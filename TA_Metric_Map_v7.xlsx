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8.xml" ContentType="application/vnd.openxmlformats-officedocument.spreadsheetml.comment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6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13.xml" ContentType="application/vnd.openxmlformats-officedocument.spreadsheetml.comments+xml"/>
  <Override PartName="/xl/drawings/vmlDrawing14.vml" ContentType="application/vnd.openxmlformats-officedocument.vmlDrawing"/>
  <Override PartName="/xl/drawings/vmlDrawing8.vml" ContentType="application/vnd.openxmlformats-officedocument.vmlDrawing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1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vmlDrawing15.vml" ContentType="application/vnd.openxmlformats-officedocument.vmlDrawing"/>
  <Override PartName="/xl/drawings/vmlDrawing9.vml" ContentType="application/vnd.openxmlformats-officedocument.vmlDrawing"/>
  <Override PartName="/xl/drawings/vmlDrawing4.vml" ContentType="application/vnd.openxmlformats-officedocument.vmlDrawing"/>
  <Override PartName="/xl/drawings/vmlDrawing10.vml" ContentType="application/vnd.openxmlformats-officedocument.vmlDrawing"/>
  <Override PartName="/xl/drawings/vmlDrawing5.vml" ContentType="application/vnd.openxmlformats-officedocument.vmlDrawing"/>
  <Override PartName="/xl/drawings/vmlDrawing11.vml" ContentType="application/vnd.openxmlformats-officedocument.vmlDrawing"/>
  <Override PartName="/xl/drawings/vmlDrawing6.vml" ContentType="application/vnd.openxmlformats-officedocument.vmlDrawing"/>
  <Override PartName="/xl/drawings/vmlDrawing12.vml" ContentType="application/vnd.openxmlformats-officedocument.vmlDrawing"/>
  <Override PartName="/xl/drawings/vmlDrawing7.vml" ContentType="application/vnd.openxmlformats-officedocument.vmlDrawing"/>
  <Override PartName="/xl/drawings/vmlDrawing13.vml" ContentType="application/vnd.openxmlformats-officedocument.vmlDrawing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comments17.xml" ContentType="application/vnd.openxmlformats-officedocument.spreadsheetml.comments+xml"/>
  <Override PartName="/xl/comments7.xml" ContentType="application/vnd.openxmlformats-officedocument.spreadsheetml.comment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isions" sheetId="2" state="visible" r:id="rId4"/>
    <sheet name="Column guide" sheetId="3" state="visible" r:id="rId5"/>
    <sheet name="Products" sheetId="4" state="visible" r:id="rId6"/>
    <sheet name="Product inputs" sheetId="5" state="visible" r:id="rId7"/>
    <sheet name="Metrics" sheetId="6" state="visible" r:id="rId8"/>
    <sheet name="Metric to Product" sheetId="7" state="visible" r:id="rId9"/>
    <sheet name="Tables" sheetId="8" state="visible" r:id="rId10"/>
    <sheet name="Scripts" sheetId="9" state="visible" r:id="rId11"/>
    <sheet name="Fields" sheetId="10" state="visible" r:id="rId12"/>
    <sheet name="Metric to Field" sheetId="11" state="visible" r:id="rId13"/>
    <sheet name="Dimensions" sheetId="12" state="visible" r:id="rId14"/>
    <sheet name="Dimension usage" sheetId="13" state="visible" r:id="rId15"/>
    <sheet name="Platforms" sheetId="14" state="visible" r:id="rId16"/>
    <sheet name="Families" sheetId="15" state="visible" r:id="rId17"/>
    <sheet name="Incidents" sheetId="16" state="visible" r:id="rId18"/>
    <sheet name="Decision log" sheetId="17" state="visible" r:id="rId19"/>
    <sheet name="Questions" sheetId="18" state="visible" r:id="rId20"/>
  </sheets>
  <definedNames>
    <definedName function="false" hidden="true" localSheetId="2" name="_xlnm._FilterDatabase" vbProcedure="false">'Column guide'!$A$4:$E$207</definedName>
    <definedName function="false" hidden="true" localSheetId="16" name="_xlnm._FilterDatabase" vbProcedure="false">'Decision log'!$A$4:$I$304</definedName>
    <definedName function="false" hidden="true" localSheetId="12" name="_xlnm._FilterDatabase" vbProcedure="false">'Dimension usage'!$A$4:$K$404</definedName>
    <definedName function="false" hidden="true" localSheetId="11" name="_xlnm._FilterDatabase" vbProcedure="false">Dimensions!$A$4:$N$104</definedName>
    <definedName function="false" hidden="true" localSheetId="14" name="_xlnm._FilterDatabase" vbProcedure="false">Families!$A$4:$E$44</definedName>
    <definedName function="false" hidden="true" localSheetId="9" name="_xlnm._FilterDatabase" vbProcedure="false">Fields!$A$4:$W$704</definedName>
    <definedName function="false" hidden="true" localSheetId="15" name="_xlnm._FilterDatabase" vbProcedure="false">Incidents!$A$4:$R$504</definedName>
    <definedName function="false" hidden="true" localSheetId="10" name="_xlnm._FilterDatabase" vbProcedure="false">'Metric to Field'!$A$4:$K$904</definedName>
    <definedName function="false" hidden="true" localSheetId="6" name="_xlnm._FilterDatabase" vbProcedure="false">'Metric to Product'!$A$4:$I$604</definedName>
    <definedName function="false" hidden="true" localSheetId="5" name="_xlnm._FilterDatabase" vbProcedure="false">Metrics!$A$4:$X$304</definedName>
    <definedName function="false" hidden="true" localSheetId="13" name="_xlnm._FilterDatabase" vbProcedure="false">Platforms!$A$4:$E$44</definedName>
    <definedName function="false" hidden="true" localSheetId="4" name="_xlnm._FilterDatabase" vbProcedure="false">'Product inputs'!$A$4:$K$504</definedName>
    <definedName function="false" hidden="true" localSheetId="3" name="_xlnm._FilterDatabase" vbProcedure="false">Products!$A$4:$AA$154</definedName>
    <definedName function="false" hidden="true" localSheetId="17" name="_xlnm._FilterDatabase" vbProcedure="false">Questions!$A$4:$K$504</definedName>
    <definedName function="false" hidden="true" localSheetId="8" name="_xlnm._FilterDatabase" vbProcedure="false">Scripts!$A$4:$V$304</definedName>
    <definedName function="false" hidden="true" localSheetId="7" name="_xlnm._FilterDatabase" vbProcedure="false">Tables!$A$4:$AG$304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Assigned by the tools. Never typed.
Example: P-001</t>
        </r>
      </text>
    </comment>
    <comment ref="B4" authorId="0">
      <text>
        <r>
          <rPr>
            <sz val="10"/>
            <rFont val="Arial"/>
            <family val="2"/>
          </rPr>
          <t xml:space="preserve">Two or three words, unique. This is how the product is named everywhere else in the workbook.
Example: TA scorecard</t>
        </r>
      </text>
    </comment>
    <comment ref="C4" authorId="0">
      <text>
        <r>
          <rPr>
            <sz val="10"/>
            <rFont val="Arial"/>
            <family val="2"/>
          </rPr>
          <t xml:space="preserve">The file or workbook name as it is.
Example: TA_Scorecard_FY26.xlsx</t>
        </r>
      </text>
    </comment>
    <comment ref="D4" authorId="0">
      <text>
        <r>
          <rPr>
            <sz val="10"/>
            <rFont val="Arial"/>
            <family val="2"/>
          </rPr>
          <t xml:space="preserve">Scorecard = the executive view. Dashboard = a Tableau or QuickSight view. Sent report = emailed or posted on a schedule. Data pull = a recurring extract.
Example: Scorecard</t>
        </r>
      </text>
    </comment>
    <comment ref="E4" authorId="0">
      <text>
        <r>
          <rPr>
            <sz val="10"/>
            <rFont val="Arial"/>
            <family val="2"/>
          </rPr>
          <t xml:space="preserve">Where it lives.
Example: Excel</t>
        </r>
      </text>
    </comment>
    <comment ref="F4" authorId="0">
      <text>
        <r>
          <rPr>
            <sz val="10"/>
            <rFont val="Arial"/>
            <family val="2"/>
          </rPr>
          <t xml:space="preserve">Who looks at it.
Example: TA leadership</t>
        </r>
      </text>
    </comment>
    <comment ref="G4" authorId="0">
      <text>
        <r>
          <rPr>
            <sz val="10"/>
            <rFont val="Arial"/>
            <family val="2"/>
          </rPr>
          <t xml:space="preserve">Team responsible for keeping it working.
Example: Team Opportunity</t>
        </r>
      </text>
    </comment>
    <comment ref="H4" authorId="0">
      <text>
        <r>
          <rPr>
            <sz val="10"/>
            <rFont val="Arial"/>
            <family val="2"/>
          </rPr>
          <t xml:space="preserve">The person to call about it.
Example: A. Patel</t>
        </r>
      </text>
    </comment>
    <comment ref="I4" authorId="0">
      <text>
        <r>
          <rPr>
            <sz val="10"/>
            <rFont val="Arial"/>
            <family val="2"/>
          </rPr>
          <t xml:space="preserve">How often the numbers in it update.
Example: Weekly</t>
        </r>
      </text>
    </comment>
    <comment ref="J4" authorId="0">
      <text>
        <r>
          <rPr>
            <sz val="10"/>
            <rFont val="Arial"/>
            <family val="2"/>
          </rPr>
          <t xml:space="preserve">Sent reports only: when and to whom it goes out.
Example: Sent monthly to TA leadership.</t>
        </r>
      </text>
    </comment>
    <comment ref="K4" authorId="0">
      <text>
        <r>
          <rPr>
            <sz val="10"/>
            <rFont val="Arial"/>
            <family val="2"/>
          </rPr>
          <t xml:space="preserve">Every table or spreadsheet it reads, by short name. Maintained from the Product inputs sheet; add rows there, not here.
Example: scorecard base, TA capacity sheet</t>
        </r>
      </text>
    </comment>
    <comment ref="M4" authorId="0">
      <text>
        <r>
          <rPr>
            <sz val="10"/>
            <rFont val="Arial"/>
            <family val="2"/>
          </rPr>
          <t xml:space="preserve">Scripts whose Feeds column names this product. Maintained by the tools.
Example: scorecard notebook</t>
        </r>
      </text>
    </comment>
    <comment ref="O4" authorId="0">
      <text>
        <r>
          <rPr>
            <sz val="10"/>
            <rFont val="Arial"/>
            <family val="2"/>
          </rPr>
          <t xml:space="preserve">How the numbers get into the product on the final step. Scripted = a script writes it. Pasted by hand = a person copies numbers in. Live connection = it queries a table directly. The one cell only a person who runs it can answer.
Example: Pasted by hand</t>
        </r>
      </text>
    </comment>
    <comment ref="P4" authorId="0">
      <text>
        <r>
          <rPr>
            <sz val="10"/>
            <rFont val="Arial"/>
            <family val="2"/>
          </rPr>
          <t xml:space="preserve">Automated = refreshes end to end with nobody touching it. Partly manual = at least one step a person does each cycle. Manual = built by hand each time. An analyst sets this; the analysis script says when the chain disagrees.
Example: Partly manual</t>
        </r>
      </text>
    </comment>
    <comment ref="Q4" authorId="0">
      <text>
        <r>
          <rPr>
            <sz val="10"/>
            <rFont val="Arial"/>
            <family val="2"/>
          </rPr>
          <t xml:space="preserve">What a person does each cycle, in plain words. This is the automation backlog.
Example: An analyst runs the scorecard notebook, then pastes the Data tab into the workbook each Monday.</t>
        </r>
      </text>
    </comment>
    <comment ref="R4" authorId="0">
      <text>
        <r>
          <rPr>
            <sz val="10"/>
            <rFont val="Arial"/>
            <family val="2"/>
          </rPr>
          <t xml:space="preserve">Rough hours of human time per refresh.
Example: 3</t>
        </r>
      </text>
    </comment>
    <comment ref="S4" authorId="0">
      <text>
        <r>
          <rPr>
            <sz val="10"/>
            <rFont val="Arial"/>
            <family val="2"/>
          </rPr>
          <t xml:space="preserve">How many metrics the product shows, from Metric to Product.
Example: 12</t>
        </r>
      </text>
    </comment>
    <comment ref="T4" authorId="0">
      <text>
        <r>
          <rPr>
            <sz val="10"/>
            <rFont val="Arial"/>
            <family val="2"/>
          </rPr>
          <t xml:space="preserve">How many of its inputs are hand-maintained spreadsheets.
Example: 1</t>
        </r>
      </text>
    </comment>
    <comment ref="U4" authorId="0">
      <text>
        <r>
          <rPr>
            <sz val="10"/>
            <rFont val="Arial"/>
            <family val="2"/>
          </rPr>
          <t xml:space="preserve">Phase 1 = work it now. Later, Not traced, Out of scope.
Example: Phase 1</t>
        </r>
      </text>
    </comment>
    <comment ref="V4" authorId="0">
      <text>
        <r>
          <rPr>
            <sz val="10"/>
            <rFont val="Arial"/>
            <family val="2"/>
          </rPr>
          <t xml:space="preserve">Anything else worth knowing.
Example: One tab per org with the same metrics.</t>
        </r>
      </text>
    </comment>
    <comment ref="W4" authorId="0">
      <text>
        <r>
          <rPr>
            <sz val="10"/>
            <rFont val="Arial"/>
            <family val="2"/>
          </rPr>
          <t xml:space="preserve">Proposed = a tool wrote the row and nobody has checked it. Accepted = a person agreed. Corrected = a person changed it. Rejected = wrong; the correction is in the cell or in a Question.
Example: Accepted</t>
        </r>
      </text>
    </comment>
    <comment ref="X4" authorId="0">
      <text>
        <r>
          <rPr>
            <sz val="10"/>
            <rFont val="Arial"/>
            <family val="2"/>
          </rPr>
          <t xml:space="preserve">The file, sheet, cell, notebook cell or conversation the row came from. Specific enough to open it.
Example: scorecard.xlsx, tab Eng, cell B5</t>
        </r>
      </text>
    </comment>
    <comment ref="Y4" authorId="0">
      <text>
        <r>
          <rPr>
            <sz val="10"/>
            <rFont val="Arial"/>
            <family val="2"/>
          </rPr>
          <t xml:space="preserve">Found = read directly from a file. Inferred = deduced from more than one file or a naming pattern; Notes says how. Proposed = a best reading where no file states it. Human = a person entered or confirmed it.
Example: Found</t>
        </r>
      </text>
    </comment>
    <comment ref="Z4" authorId="0">
      <text>
        <r>
          <rPr>
            <sz val="10"/>
            <rFont val="Arial"/>
            <family val="2"/>
          </rPr>
          <t xml:space="preserve">Date a person last confirmed the row is still true.
Example: 2026-10-13</t>
        </r>
      </text>
    </comment>
    <comment ref="AA4" authorId="0">
      <text>
        <r>
          <rPr>
            <sz val="10"/>
            <rFont val="Arial"/>
            <family val="2"/>
          </rPr>
          <t xml:space="preserve">Who confirmed it.
Example: A. Patel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The product's short name. Pick from the list.
Example: TA scorecard</t>
        </r>
      </text>
    </comment>
    <comment ref="C4" authorId="0">
      <text>
        <r>
          <rPr>
            <sz val="10"/>
            <rFont val="Arial"/>
            <family val="2"/>
          </rPr>
          <t xml:space="preserve">The table or spreadsheet's short name. Pick from the list. A hand-maintained spreadsheet is a table of kind Manual spreadsheet.
Example: scorecard base</t>
        </r>
      </text>
    </comment>
    <comment ref="E4" authorId="0">
      <text>
        <r>
          <rPr>
            <sz val="10"/>
            <rFont val="Arial"/>
            <family val="2"/>
          </rPr>
          <t xml:space="preserve">Looked up from Tables.
Example: Team custom</t>
        </r>
      </text>
    </comment>
    <comment ref="F4" authorId="0">
      <text>
        <r>
          <rPr>
            <sz val="10"/>
            <rFont val="Arial"/>
            <family val="2"/>
          </rPr>
          <t xml:space="preserve">Scripted, Pasted by hand, Live connection, Unknown.
Example: Pasted by hand</t>
        </r>
      </text>
    </comment>
    <comment ref="G4" authorId="0">
      <text>
        <r>
          <rPr>
            <sz val="10"/>
            <rFont val="Arial"/>
            <family val="2"/>
          </rPr>
          <t xml:space="preserve">Whether a tool derived this link or a person typed it.
Example: Derived from the product file</t>
        </r>
      </text>
    </comment>
    <comment ref="H4" authorId="0">
      <text>
        <r>
          <rPr>
            <sz val="10"/>
            <rFont val="Arial"/>
            <family val="2"/>
          </rPr>
          <t xml:space="preserve">Which tab or data source reads it, anything odd.
Example: The Data tab is the notebook's output.</t>
        </r>
      </text>
    </comment>
    <comment ref="I4" authorId="0">
      <text>
        <r>
          <rPr>
            <sz val="10"/>
            <rFont val="Arial"/>
            <family val="2"/>
          </rPr>
          <t xml:space="preserve">Proposed = a tool wrote the row and nobody has checked it. Accepted = a person agreed. Corrected = a person changed it. Rejected = wrong; the correction is in the cell or in a Question.
Example: Accepted</t>
        </r>
      </text>
    </comment>
    <comment ref="J4" authorId="0">
      <text>
        <r>
          <rPr>
            <sz val="10"/>
            <rFont val="Arial"/>
            <family val="2"/>
          </rPr>
          <t xml:space="preserve">The file, sheet, cell, notebook cell or conversation the row came from. Specific enough to open it.
Example: scorecard.xlsx, tab Eng, cell B5</t>
        </r>
      </text>
    </comment>
    <comment ref="K4" authorId="0">
      <text>
        <r>
          <rPr>
            <sz val="10"/>
            <rFont val="Arial"/>
            <family val="2"/>
          </rPr>
          <t xml:space="preserve">Found = read directly from a file. Inferred = deduced from more than one file or a naming pattern; Notes says how. Proposed = a best reading where no file states it. Human = a person entered or confirmed it.
Example: Found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Assigned by the tools.
Example: M-001</t>
        </r>
      </text>
    </comment>
    <comment ref="B4" authorId="0">
      <text>
        <r>
          <rPr>
            <sz val="10"/>
            <rFont val="Arial"/>
            <family val="2"/>
          </rPr>
          <t xml:space="preserve">The business question this metric answers, picked from the Families sheet. Chosen by reading the definition, never by shortening the name.
Example: How long does hiring take?</t>
        </r>
      </text>
    </comment>
    <comment ref="C4" authorId="0">
      <text>
        <r>
          <rPr>
            <sz val="10"/>
            <rFont val="Arial"/>
            <family val="2"/>
          </rPr>
          <t xml:space="preserve">The name people use, with the distinguishing part in brackets when the family has more than one definition.
Example: Cycle time (approved to accepted)</t>
        </r>
      </text>
    </comment>
    <comment ref="D4" authorId="0">
      <text>
        <r>
          <rPr>
            <sz val="10"/>
            <rFont val="Arial"/>
            <family val="2"/>
          </rPr>
          <t xml:space="preserve">How the number is calculated, written so a recruiter would understand it: what starts the clock, what ends it, what is counted. No formulas; the formula goes in Notes.
Example: Calendar days from requisition approval to offer acceptance, averaged over hires in the period.</t>
        </r>
      </text>
    </comment>
    <comment ref="E4" authorId="0">
      <text>
        <r>
          <rPr>
            <sz val="10"/>
            <rFont val="Arial"/>
            <family val="2"/>
          </rPr>
          <t xml:space="preserve">The population, in one sentence.
Example: Accepted offers on standard requisitions, internal and external.</t>
        </r>
      </text>
    </comment>
    <comment ref="F4" authorId="0">
      <text>
        <r>
          <rPr>
            <sz val="10"/>
            <rFont val="Arial"/>
            <family val="2"/>
          </rPr>
          <t xml:space="preserve">The exclusions, in one sentence. This is where most disagreements hide.
Example: Evergreen and cancelled requisitions.</t>
        </r>
      </text>
    </comment>
    <comment ref="G4" authorId="0">
      <text>
        <r>
          <rPr>
            <sz val="10"/>
            <rFont val="Arial"/>
            <family val="2"/>
          </rPr>
          <t xml:space="preserve">The thing counted or averaged over.
Example: Hire</t>
        </r>
      </text>
    </comment>
    <comment ref="H4" authorId="0">
      <text>
        <r>
          <rPr>
            <sz val="10"/>
            <rFont val="Arial"/>
            <family val="2"/>
          </rPr>
          <t xml:space="preserve">Days, Count, Percent, Dollars.
Example: Days</t>
        </r>
      </text>
    </comment>
    <comment ref="I4" authorId="0">
      <text>
        <r>
          <rPr>
            <sz val="10"/>
            <rFont val="Arial"/>
            <family val="2"/>
          </rPr>
          <t xml:space="preserve">The tables its fields come from, by short name. Maintained by the tools from Metric to Field. More than one table for a simple count is worth a look.
Example: HRDW offers, HRDW requisitions</t>
        </r>
      </text>
    </comment>
    <comment ref="K4" authorId="0">
      <text>
        <r>
          <rPr>
            <sz val="10"/>
            <rFont val="Arial"/>
            <family val="2"/>
          </rPr>
          <t xml:space="preserve">How many distinct tables feed it.
Example: 2</t>
        </r>
      </text>
    </comment>
    <comment ref="L4" authorId="0">
      <text>
        <r>
          <rPr>
            <sz val="10"/>
            <rFont val="Arial"/>
            <family val="2"/>
          </rPr>
          <t xml:space="preserve">From Metric to Product.
Example: 3</t>
        </r>
      </text>
    </comment>
    <comment ref="M4" authorId="0">
      <text>
        <r>
          <rPr>
            <sz val="10"/>
            <rFont val="Arial"/>
            <family val="2"/>
          </rPr>
          <t xml:space="preserve">From Metric to Field.
Example: 5</t>
        </r>
      </text>
    </comment>
    <comment ref="N4" authorId="0">
      <text>
        <r>
          <rPr>
            <sz val="10"/>
            <rFont val="Arial"/>
            <family val="2"/>
          </rPr>
          <t xml:space="preserve">How many Metrics rows share this family. More than one means the family needs aligning.
Example: 2</t>
        </r>
      </text>
    </comment>
    <comment ref="O4" authorId="0">
      <text>
        <r>
          <rPr>
            <sz val="10"/>
            <rFont val="Arial"/>
            <family val="2"/>
          </rPr>
          <t xml:space="preserve">How many other rows have the same definition word for word. Above zero means the same metric under two names.
Example: 0</t>
        </r>
      </text>
    </comment>
    <comment ref="P4" authorId="0">
      <text>
        <r>
          <rPr>
            <sz val="10"/>
            <rFont val="Arial"/>
            <family val="2"/>
          </rPr>
          <t xml:space="preserve">Who owns the definition.
Example: A. Patel</t>
        </r>
      </text>
    </comment>
    <comment ref="Q4" authorId="0">
      <text>
        <r>
          <rPr>
            <sz val="10"/>
            <rFont val="Arial"/>
            <family val="2"/>
          </rPr>
          <t xml:space="preserve">Phase 1 = on the scorecard, work it now.
Example: Phase 1</t>
        </r>
      </text>
    </comment>
    <comment ref="R4" authorId="0">
      <text>
        <r>
          <rPr>
            <sz val="10"/>
            <rFont val="Arial"/>
            <family val="2"/>
          </rPr>
          <t xml:space="preserve">The formula as found, alternate names, where it is computed.
Example: Formula: AVERAGEIFS(Data!F:F, Data!B:B, org). Computed in the scorecard notebook, cell 4.</t>
        </r>
      </text>
    </comment>
    <comment ref="T4" authorId="0">
      <text>
        <r>
          <rPr>
            <sz val="10"/>
            <rFont val="Arial"/>
            <family val="2"/>
          </rPr>
          <t xml:space="preserve">Proposed = a tool wrote the row and nobody has checked it. Accepted = a person agreed. Corrected = a person changed it. Rejected = wrong; the correction is in the cell or in a Question.
Example: Accepted</t>
        </r>
      </text>
    </comment>
    <comment ref="U4" authorId="0">
      <text>
        <r>
          <rPr>
            <sz val="10"/>
            <rFont val="Arial"/>
            <family val="2"/>
          </rPr>
          <t xml:space="preserve">The file, sheet, cell, notebook cell or conversation the row came from. Specific enough to open it.
Example: scorecard.xlsx, tab Eng, cell B5</t>
        </r>
      </text>
    </comment>
    <comment ref="V4" authorId="0">
      <text>
        <r>
          <rPr>
            <sz val="10"/>
            <rFont val="Arial"/>
            <family val="2"/>
          </rPr>
          <t xml:space="preserve">Found = read directly from a file. Inferred = deduced from more than one file or a naming pattern; Notes says how. Proposed = a best reading where no file states it. Human = a person entered or confirmed it.
Example: Found</t>
        </r>
      </text>
    </comment>
    <comment ref="W4" authorId="0">
      <text>
        <r>
          <rPr>
            <sz val="10"/>
            <rFont val="Arial"/>
            <family val="2"/>
          </rPr>
          <t xml:space="preserve">Date a person last confirmed the row is still true.
Example: 2026-10-13</t>
        </r>
      </text>
    </comment>
    <comment ref="X4" authorId="0">
      <text>
        <r>
          <rPr>
            <sz val="10"/>
            <rFont val="Arial"/>
            <family val="2"/>
          </rPr>
          <t xml:space="preserve">Who confirmed it.
Example: A. Patel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The metric's name, from the Metrics sheet.
Example: Cycle time (approved to accepted)</t>
        </r>
      </text>
    </comment>
    <comment ref="D4" authorId="0">
      <text>
        <r>
          <rPr>
            <sz val="10"/>
            <rFont val="Arial"/>
            <family val="2"/>
          </rPr>
          <t xml:space="preserve">The product's short name.
Example: TA scorecard</t>
        </r>
      </text>
    </comment>
    <comment ref="E4" authorId="0">
      <text>
        <r>
          <rPr>
            <sz val="10"/>
            <rFont val="Arial"/>
            <family val="2"/>
          </rPr>
          <t xml:space="preserve">What the product does with it: headline tile, trend, table, one tab per org.
Example: Headline number, one tab per org, by month.</t>
        </r>
      </text>
    </comment>
    <comment ref="F4" authorId="0">
      <text>
        <r>
          <rPr>
            <sz val="10"/>
            <rFont val="Arial"/>
            <family val="2"/>
          </rPr>
          <t xml:space="preserve">Anything else.</t>
        </r>
      </text>
    </comment>
    <comment ref="G4" authorId="0">
      <text>
        <r>
          <rPr>
            <sz val="10"/>
            <rFont val="Arial"/>
            <family val="2"/>
          </rPr>
          <t xml:space="preserve">Proposed = a tool wrote the row and nobody has checked it. Accepted = a person agreed. Corrected = a person changed it. Rejected = wrong; the correction is in the cell or in a Question.
Example: Accepted</t>
        </r>
      </text>
    </comment>
    <comment ref="H4" authorId="0">
      <text>
        <r>
          <rPr>
            <sz val="10"/>
            <rFont val="Arial"/>
            <family val="2"/>
          </rPr>
          <t xml:space="preserve">The file, sheet, cell, notebook cell or conversation the row came from. Specific enough to open it.
Example: scorecard.xlsx, tab Eng, cell B5</t>
        </r>
      </text>
    </comment>
    <comment ref="I4" authorId="0">
      <text>
        <r>
          <rPr>
            <sz val="10"/>
            <rFont val="Arial"/>
            <family val="2"/>
          </rPr>
          <t xml:space="preserve">Found = read directly from a file. Inferred = deduced from more than one file or a naming pattern; Notes says how. Proposed = a best reading where no file states it. Human = a person entered or confirmed it.
Example: Found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Assigned by the tools.
Example: T-004</t>
        </r>
      </text>
    </comment>
    <comment ref="B4" authorId="0">
      <text>
        <r>
          <rPr>
            <sz val="10"/>
            <rFont val="Arial"/>
            <family val="2"/>
          </rPr>
          <t xml:space="preserve">Two or three words, unique. Used everywhere a human reads a link.
Example: req linkage</t>
        </r>
      </text>
    </comment>
    <comment ref="C4" authorId="0">
      <text>
        <r>
          <rPr>
            <sz val="10"/>
            <rFont val="Arial"/>
            <family val="2"/>
          </rPr>
          <t xml:space="preserve">schema.table as written in the source, or the file name for a spreadsheet.
Example: ta_custom.req_linkage</t>
        </r>
      </text>
    </comment>
    <comment ref="D4" authorId="0">
      <text>
        <r>
          <rPr>
            <sz val="10"/>
            <rFont val="Arial"/>
            <family val="2"/>
          </rPr>
          <t xml:space="preserve">HRDW = a warehouse table as delivered by PDP. Team custom = a table our team builds. Shared (other team) = another team's table we read. Manual spreadsheet = a file a person maintains by hand. Script output file = a file a script writes (an xlsx or csv). Platform extract = a direct feed from a recruiting system.
Example: Team custom</t>
        </r>
      </text>
    </comment>
    <comment ref="E4" authorId="0">
      <text>
        <r>
          <rPr>
            <sz val="10"/>
            <rFont val="Arial"/>
            <family val="2"/>
          </rPr>
          <t xml:space="preserve">The system this data is born in. Only on HRDW and Platform extract tables. A person fills it from PDP's mapping; the tools never guess it.
Example: Workday Recruiting</t>
        </r>
      </text>
    </comment>
    <comment ref="F4" authorId="0">
      <text>
        <r>
          <rPr>
            <sz val="10"/>
            <rFont val="Arial"/>
            <family val="2"/>
          </rPr>
          <t xml:space="preserve">The tables it is built from, by short name, main parent first. The lineage chain follows the first one.
Example: req history, HRDW requisitions</t>
        </r>
      </text>
    </comment>
    <comment ref="H4" authorId="0">
      <text>
        <r>
          <rPr>
            <sz val="10"/>
            <rFont val="Arial"/>
            <family val="2"/>
          </rPr>
          <t xml:space="preserve">The script that writes it, by short name. Maintained by the tools from the Scripts sheet.
Example: req linkage notebook</t>
        </r>
      </text>
    </comment>
    <comment ref="J4" authorId="0">
      <text>
        <r>
          <rPr>
            <sz val="10"/>
            <rFont val="Arial"/>
            <family val="2"/>
          </rPr>
          <t xml:space="preserve">Scheduled job, Manual run (someone starts the script), Manual spreadsheet (someone edits the file), Live query, Unknown. Set by the tools from the building script's trigger.
Example: Manual run</t>
        </r>
      </text>
    </comment>
    <comment ref="K4" authorId="0">
      <text>
        <r>
          <rPr>
            <sz val="10"/>
            <rFont val="Arial"/>
            <family val="2"/>
          </rPr>
          <t xml:space="preserve">How often it updates, from the script's schedule or from a person.
Example: Daily</t>
        </r>
      </text>
    </comment>
    <comment ref="L4" authorId="0">
      <text>
        <r>
          <rPr>
            <sz val="10"/>
            <rFont val="Arial"/>
            <family val="2"/>
          </rPr>
          <t xml:space="preserve">The reason it was created, in one or two sentences: what it provides that the table below it does not. If nobody can say, that is a finding.
Example: Maps a transferred requisition to its original so clocks keep running from the original approval.</t>
        </r>
      </text>
    </comment>
    <comment ref="M4" authorId="0">
      <text>
        <r>
          <rPr>
            <sz val="10"/>
            <rFont val="Arial"/>
            <family val="2"/>
          </rPr>
          <t xml:space="preserve">Team responsible for it.
Example: Team Opportunity</t>
        </r>
      </text>
    </comment>
    <comment ref="N4" authorId="0">
      <text>
        <r>
          <rPr>
            <sz val="10"/>
            <rFont val="Arial"/>
            <family val="2"/>
          </rPr>
          <t xml:space="preserve">The person to call.
Example: A. Patel</t>
        </r>
      </text>
    </comment>
    <comment ref="O4" authorId="0">
      <text>
        <r>
          <rPr>
            <sz val="10"/>
            <rFont val="Arial"/>
            <family val="2"/>
          </rPr>
          <t xml:space="preserve">0 = read as delivered. 1 = built straight on such tables. 2 or more = built on a table that is itself built. Sort by this to find the tallest stacks.
Example: 2</t>
        </r>
      </text>
    </comment>
    <comment ref="P4" authorId="0">
      <text>
        <r>
          <rPr>
            <sz val="10"/>
            <rFont val="Arial"/>
            <family val="2"/>
          </rPr>
          <t xml:space="preserve">The table and its chain of first parents, by name, back to the source. (+ other parents) means it also reads tables not shown.
Example: recruiter extract &lt;- recruiter base &lt;- req linkage &lt;- req history</t>
        </r>
      </text>
    </comment>
    <comment ref="Q4" authorId="0">
      <text>
        <r>
          <rPr>
            <sz val="10"/>
            <rFont val="Arial"/>
            <family val="2"/>
          </rPr>
          <t xml:space="preserve">The platform at the bottom of the chain, if the bottom table has one.
Example: Workday Recruiting</t>
        </r>
      </text>
    </comment>
    <comment ref="R4" authorId="0">
      <text>
        <r>
          <rPr>
            <sz val="10"/>
            <rFont val="Arial"/>
            <family val="2"/>
          </rPr>
          <t xml:space="preserve">Fields on the Fields sheet that belong to it.
Example: 3</t>
        </r>
      </text>
    </comment>
    <comment ref="S4" authorId="0">
      <text>
        <r>
          <rPr>
            <sz val="10"/>
            <rFont val="Arial"/>
            <family val="2"/>
          </rPr>
          <t xml:space="preserve">Metric-to-field links that run through it. Zero on a custom table in use is a retire signal.
Example: 3</t>
        </r>
      </text>
    </comment>
    <comment ref="T4" authorId="0">
      <text>
        <r>
          <rPr>
            <sz val="10"/>
            <rFont val="Arial"/>
            <family val="2"/>
          </rPr>
          <t xml:space="preserve">From Product inputs.
Example: 1</t>
        </r>
      </text>
    </comment>
    <comment ref="U4" authorId="0">
      <text>
        <r>
          <rPr>
            <sz val="10"/>
            <rFont val="Arial"/>
            <family val="2"/>
          </rPr>
          <t xml:space="preserve">Where it belongs in the proposed architecture. Proposed only when obvious.
Example: Business rules</t>
        </r>
      </text>
    </comment>
    <comment ref="V4" authorId="0">
      <text>
        <r>
          <rPr>
            <sz val="10"/>
            <rFont val="Arial"/>
            <family val="2"/>
          </rPr>
          <t xml:space="preserve">The decision. Never proposed by a tool.
Example: Merge into certified table</t>
        </r>
      </text>
    </comment>
    <comment ref="W4" authorId="0">
      <text>
        <r>
          <rPr>
            <sz val="10"/>
            <rFont val="Arial"/>
            <family val="2"/>
          </rPr>
          <t xml:space="preserve">Phase 1 = sits under a scorecard metric.
Example: Phase 1</t>
        </r>
      </text>
    </comment>
    <comment ref="X4" authorId="0">
      <text>
        <r>
          <rPr>
            <sz val="10"/>
            <rFont val="Arial"/>
            <family val="2"/>
          </rPr>
          <t xml:space="preserve">File that creates it, anything odd.</t>
        </r>
      </text>
    </comment>
    <comment ref="Y4" authorId="0">
      <text>
        <r>
          <rPr>
            <sz val="10"/>
            <rFont val="Arial"/>
            <family val="2"/>
          </rPr>
          <t xml:space="preserve">Proposed = a tool wrote the row and nobody has checked it. Accepted = a person agreed. Corrected = a person changed it. Rejected = wrong; the correction is in the cell or in a Question.
Example: Accepted</t>
        </r>
      </text>
    </comment>
    <comment ref="Z4" authorId="0">
      <text>
        <r>
          <rPr>
            <sz val="10"/>
            <rFont val="Arial"/>
            <family val="2"/>
          </rPr>
          <t xml:space="preserve">The file, sheet, cell, notebook cell or conversation the row came from. Specific enough to open it.
Example: scorecard.xlsx, tab Eng, cell B5</t>
        </r>
      </text>
    </comment>
    <comment ref="AA4" authorId="0">
      <text>
        <r>
          <rPr>
            <sz val="10"/>
            <rFont val="Arial"/>
            <family val="2"/>
          </rPr>
          <t xml:space="preserve">Found = read directly from a file. Inferred = deduced from more than one file or a naming pattern; Notes says how. Proposed = a best reading where no file states it. Human = a person entered or confirmed it.
Example: Found</t>
        </r>
      </text>
    </comment>
    <comment ref="AB4" authorId="0">
      <text>
        <r>
          <rPr>
            <sz val="10"/>
            <rFont val="Arial"/>
            <family val="2"/>
          </rPr>
          <t xml:space="preserve">Date a person last confirmed the row is still true.
Example: 2026-10-13</t>
        </r>
      </text>
    </comment>
    <comment ref="AC4" authorId="0">
      <text>
        <r>
          <rPr>
            <sz val="10"/>
            <rFont val="Arial"/>
            <family val="2"/>
          </rPr>
          <t xml:space="preserve">Who confirmed it.
Example: A. Patel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Assigned by the tools.
Example: S-002</t>
        </r>
      </text>
    </comment>
    <comment ref="B4" authorId="0">
      <text>
        <r>
          <rPr>
            <sz val="10"/>
            <rFont val="Arial"/>
            <family val="2"/>
          </rPr>
          <t xml:space="preserve">Two or three words, unique.
Example: scorecard notebook</t>
        </r>
      </text>
    </comment>
    <comment ref="C4" authorId="0">
      <text>
        <r>
          <rPr>
            <sz val="10"/>
            <rFont val="Arial"/>
            <family val="2"/>
          </rPr>
          <t xml:space="preserve">What kind of thing it is. Manual process = steps a person performs, such as uploading a file.
Example: Databricks notebook</t>
        </r>
      </text>
    </comment>
    <comment ref="D4" authorId="0">
      <text>
        <r>
          <rPr>
            <sz val="10"/>
            <rFont val="Arial"/>
            <family val="2"/>
          </rPr>
          <t xml:space="preserve">Repo path, workspace path or URL.
Example: /Repos/ta/notebooks/scorecard</t>
        </r>
      </text>
    </comment>
    <comment ref="E4" authorId="0">
      <text>
        <r>
          <rPr>
            <sz val="10"/>
            <rFont val="Arial"/>
            <family val="2"/>
          </rPr>
          <t xml:space="preserve">Tables it reads, by short name.
Example: HRDW requisitions, HRDW offers</t>
        </r>
      </text>
    </comment>
    <comment ref="G4" authorId="0">
      <text>
        <r>
          <rPr>
            <sz val="10"/>
            <rFont val="Arial"/>
            <family val="2"/>
          </rPr>
          <t xml:space="preserve">Tables or files it writes, by short name.
Example: scorecard base</t>
        </r>
      </text>
    </comment>
    <comment ref="I4" authorId="0">
      <text>
        <r>
          <rPr>
            <sz val="10"/>
            <rFont val="Arial"/>
            <family val="2"/>
          </rPr>
          <t xml:space="preserve">Products it feeds directly, by short name: it writes the product file, or a tab in it.
Example: TA scorecard</t>
        </r>
      </text>
    </comment>
    <comment ref="K4" authorId="0">
      <text>
        <r>
          <rPr>
            <sz val="10"/>
            <rFont val="Arial"/>
            <family val="2"/>
          </rPr>
          <t xml:space="preserve">Builds a table, Feeds a product, Both, or Nothing recorded. Derived from the Writes and Feeds columns.
Example: Both</t>
        </r>
      </text>
    </comment>
    <comment ref="L4" authorId="0">
      <text>
        <r>
          <rPr>
            <sz val="10"/>
            <rFont val="Arial"/>
            <family val="2"/>
          </rPr>
          <t xml:space="preserve">In words, from the job definition.
Example: Weekdays 06:00 ET</t>
        </r>
      </text>
    </comment>
    <comment ref="M4" authorId="0">
      <text>
        <r>
          <rPr>
            <sz val="10"/>
            <rFont val="Arial"/>
            <family val="2"/>
          </rPr>
          <t xml:space="preserve">Scheduled = runs on its own. Manual run = a person starts it. On demand = another job or a user action triggers it. Manual run is what makes a product partly manual.
Example: Manual run</t>
        </r>
      </text>
    </comment>
    <comment ref="N4" authorId="0">
      <text>
        <r>
          <rPr>
            <sz val="10"/>
            <rFont val="Arial"/>
            <family val="2"/>
          </rPr>
          <t xml:space="preserve">The team or person, in words.
Example: Any analyst on Team Opportunity, by hand.</t>
        </r>
      </text>
    </comment>
    <comment ref="O4" authorId="0">
      <text>
        <r>
          <rPr>
            <sz val="10"/>
            <rFont val="Arial"/>
            <family val="2"/>
          </rPr>
          <t xml:space="preserve">What happens when it fails. Nobody is told is the common answer and the reason stale products go unnoticed. Put the address or channel in Notes.
Example: Nobody is told</t>
        </r>
      </text>
    </comment>
    <comment ref="P4" authorId="0">
      <text>
        <r>
          <rPr>
            <sz val="10"/>
            <rFont val="Arial"/>
            <family val="2"/>
          </rPr>
          <t xml:space="preserve">From the file or workspace.
Example: 2026-09-30</t>
        </r>
      </text>
    </comment>
    <comment ref="Q4" authorId="0">
      <text>
        <r>
          <rPr>
            <sz val="10"/>
            <rFont val="Arial"/>
            <family val="2"/>
          </rPr>
          <t xml:space="preserve">Header comments, unresolved table names, anything odd.
Example: Reads a table named by the schema widget; production value unknown.</t>
        </r>
      </text>
    </comment>
    <comment ref="R4" authorId="0">
      <text>
        <r>
          <rPr>
            <sz val="10"/>
            <rFont val="Arial"/>
            <family val="2"/>
          </rPr>
          <t xml:space="preserve">Proposed = a tool wrote the row and nobody has checked it. Accepted = a person agreed. Corrected = a person changed it. Rejected = wrong; the correction is in the cell or in a Question.
Example: Accepted</t>
        </r>
      </text>
    </comment>
    <comment ref="S4" authorId="0">
      <text>
        <r>
          <rPr>
            <sz val="10"/>
            <rFont val="Arial"/>
            <family val="2"/>
          </rPr>
          <t xml:space="preserve">The file, sheet, cell, notebook cell or conversation the row came from. Specific enough to open it.
Example: scorecard.xlsx, tab Eng, cell B5</t>
        </r>
      </text>
    </comment>
    <comment ref="T4" authorId="0">
      <text>
        <r>
          <rPr>
            <sz val="10"/>
            <rFont val="Arial"/>
            <family val="2"/>
          </rPr>
          <t xml:space="preserve">Found = read directly from a file. Inferred = deduced from more than one file or a naming pattern; Notes says how. Proposed = a best reading where no file states it. Human = a person entered or confirmed it.
Example: Found</t>
        </r>
      </text>
    </comment>
    <comment ref="U4" authorId="0">
      <text>
        <r>
          <rPr>
            <sz val="10"/>
            <rFont val="Arial"/>
            <family val="2"/>
          </rPr>
          <t xml:space="preserve">Date a person last confirmed the row is still true.
Example: 2026-10-13</t>
        </r>
      </text>
    </comment>
    <comment ref="V4" authorId="0">
      <text>
        <r>
          <rPr>
            <sz val="10"/>
            <rFont val="Arial"/>
            <family val="2"/>
          </rPr>
          <t xml:space="preserve">Who confirmed it.
Example: A. Patel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Assigned by the tools.
Example: F-005</t>
        </r>
      </text>
    </comment>
    <comment ref="B4" authorId="0">
      <text>
        <r>
          <rPr>
            <sz val="10"/>
            <rFont val="Arial"/>
            <family val="2"/>
          </rPr>
          <t xml:space="preserve">The column name people see. Must be unique across the sheet; when two tables have the same column, the table's short name goes in brackets.
Example: credited recruiter (recruiter base)</t>
        </r>
      </text>
    </comment>
    <comment ref="C4" authorId="0">
      <text>
        <r>
          <rPr>
            <sz val="10"/>
            <rFont val="Arial"/>
            <family val="2"/>
          </rPr>
          <t xml:space="preserve">The table it belongs to, by short name. A field that exists only inside a product (a Tableau calculation, a scorecard formula) names the product's output table or is left blank with a note.
Example: recruiter base</t>
        </r>
      </text>
    </comment>
    <comment ref="E4" authorId="0">
      <text>
        <r>
          <rPr>
            <sz val="10"/>
            <rFont val="Arial"/>
            <family val="2"/>
          </rPr>
          <t xml:space="preserve">Looked up from Tables.
Example: Team custom</t>
        </r>
      </text>
    </comment>
    <comment ref="F4" authorId="0">
      <text>
        <r>
          <rPr>
            <sz val="10"/>
            <rFont val="Arial"/>
            <family val="2"/>
          </rPr>
          <t xml:space="preserve">Raw = a physical column. Derived = calculated by a rule.
Example: Derived</t>
        </r>
      </text>
    </comment>
    <comment ref="G4" authorId="0">
      <text>
        <r>
          <rPr>
            <sz val="10"/>
            <rFont val="Arial"/>
            <family val="2"/>
          </rPr>
          <t xml:space="preserve">Derived only: the fields it is computed from, by name.
Example: requisition owner history, offer accepted date</t>
        </r>
      </text>
    </comment>
    <comment ref="I4" authorId="0">
      <text>
        <r>
          <rPr>
            <sz val="10"/>
            <rFont val="Arial"/>
            <family val="2"/>
          </rPr>
          <t xml:space="preserve">Derived only. The rule in plain words: who gets credit, what counts, how things are linked.
Example: Recruiter who owned the requisition on the day the offer was accepted, not the recruiter tagged on it today.</t>
        </r>
      </text>
    </comment>
    <comment ref="J4" authorId="0">
      <text>
        <r>
          <rPr>
            <sz val="10"/>
            <rFont val="Arial"/>
            <family val="2"/>
          </rPr>
          <t xml:space="preserve">A rule inside a product (a Tableau calculated field, a scorecard formula) is the thing the architecture work moves.
Example: Inside the product</t>
        </r>
      </text>
    </comment>
    <comment ref="K4" authorId="0">
      <text>
        <r>
          <rPr>
            <sz val="10"/>
            <rFont val="Arial"/>
            <family val="2"/>
          </rPr>
          <t xml:space="preserve">Issue when a known problem exists.
Example: Issue</t>
        </r>
      </text>
    </comment>
    <comment ref="L4" authorId="0">
      <text>
        <r>
          <rPr>
            <sz val="10"/>
            <rFont val="Arial"/>
            <family val="2"/>
          </rPr>
          <t xml:space="preserve">Where the problem is introduced, not where it is noticed.
Example: Platform to HRDW</t>
        </r>
      </text>
    </comment>
    <comment ref="M4" authorId="0">
      <text>
        <r>
          <rPr>
            <sz val="10"/>
            <rFont val="Arial"/>
            <family val="2"/>
          </rPr>
          <t xml:space="preserve">What is wrong, in words.
Example: Flag arrives blank for requisitions created through bulk upload.</t>
        </r>
      </text>
    </comment>
    <comment ref="N4" authorId="0">
      <text>
        <r>
          <rPr>
            <sz val="10"/>
            <rFont val="Arial"/>
            <family val="2"/>
          </rPr>
          <t xml:space="preserve">Where it belongs in the proposed architecture.
Example: Business rules</t>
        </r>
      </text>
    </comment>
    <comment ref="O4" authorId="0">
      <text>
        <r>
          <rPr>
            <sz val="10"/>
            <rFont val="Arial"/>
            <family val="2"/>
          </rPr>
          <t xml:space="preserve">The decision. Never proposed by a tool.
Example: Move to business rules</t>
        </r>
      </text>
    </comment>
    <comment ref="P4" authorId="0">
      <text>
        <r>
          <rPr>
            <sz val="10"/>
            <rFont val="Arial"/>
            <family val="2"/>
          </rPr>
          <t xml:space="preserve">Anything else.</t>
        </r>
      </text>
    </comment>
    <comment ref="Q4" authorId="0">
      <text>
        <r>
          <rPr>
            <sz val="10"/>
            <rFont val="Arial"/>
            <family val="2"/>
          </rPr>
          <t xml:space="preserve">From Metric to Field.
Example: 2</t>
        </r>
      </text>
    </comment>
    <comment ref="R4" authorId="0">
      <text>
        <r>
          <rPr>
            <sz val="10"/>
            <rFont val="Arial"/>
            <family val="2"/>
          </rPr>
          <t xml:space="preserve">How many product links its metrics have.
Example: 3</t>
        </r>
      </text>
    </comment>
    <comment ref="S4" authorId="0">
      <text>
        <r>
          <rPr>
            <sz val="10"/>
            <rFont val="Arial"/>
            <family val="2"/>
          </rPr>
          <t xml:space="preserve">Proposed = a tool wrote the row and nobody has checked it. Accepted = a person agreed. Corrected = a person changed it. Rejected = wrong; the correction is in the cell or in a Question.
Example: Accepted</t>
        </r>
      </text>
    </comment>
    <comment ref="T4" authorId="0">
      <text>
        <r>
          <rPr>
            <sz val="10"/>
            <rFont val="Arial"/>
            <family val="2"/>
          </rPr>
          <t xml:space="preserve">The file, sheet, cell, notebook cell or conversation the row came from. Specific enough to open it.
Example: scorecard.xlsx, tab Eng, cell B5</t>
        </r>
      </text>
    </comment>
    <comment ref="U4" authorId="0">
      <text>
        <r>
          <rPr>
            <sz val="10"/>
            <rFont val="Arial"/>
            <family val="2"/>
          </rPr>
          <t xml:space="preserve">Found = read directly from a file. Inferred = deduced from more than one file or a naming pattern; Notes says how. Proposed = a best reading where no file states it. Human = a person entered or confirmed it.
Example: Found</t>
        </r>
      </text>
    </comment>
    <comment ref="V4" authorId="0">
      <text>
        <r>
          <rPr>
            <sz val="10"/>
            <rFont val="Arial"/>
            <family val="2"/>
          </rPr>
          <t xml:space="preserve">Date a person last confirmed the row is still true.
Example: 2026-10-13</t>
        </r>
      </text>
    </comment>
    <comment ref="W4" authorId="0">
      <text>
        <r>
          <rPr>
            <sz val="10"/>
            <rFont val="Arial"/>
            <family val="2"/>
          </rPr>
          <t xml:space="preserve">Who confirmed it.
Example: A. Patel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The metric's name.
Example: Cycle time (approved to accepted)</t>
        </r>
      </text>
    </comment>
    <comment ref="D4" authorId="0">
      <text>
        <r>
          <rPr>
            <sz val="10"/>
            <rFont val="Arial"/>
            <family val="2"/>
          </rPr>
          <t xml:space="preserve">The field's name.
Example: offer accepted date</t>
        </r>
      </text>
    </comment>
    <comment ref="E4" authorId="0">
      <text>
        <r>
          <rPr>
            <sz val="10"/>
            <rFont val="Arial"/>
            <family val="2"/>
          </rPr>
          <t xml:space="preserve">What the field does in the calculation.
Example: End of clock</t>
        </r>
      </text>
    </comment>
    <comment ref="F4" authorId="0">
      <text>
        <r>
          <rPr>
            <sz val="10"/>
            <rFont val="Arial"/>
            <family val="2"/>
          </rPr>
          <t xml:space="preserve">Looked up: the field's table.
Example: HRDW offers</t>
        </r>
      </text>
    </comment>
    <comment ref="H4" authorId="0">
      <text>
        <r>
          <rPr>
            <sz val="10"/>
            <rFont val="Arial"/>
            <family val="2"/>
          </rPr>
          <t xml:space="preserve">Anything else.</t>
        </r>
      </text>
    </comment>
    <comment ref="I4" authorId="0">
      <text>
        <r>
          <rPr>
            <sz val="10"/>
            <rFont val="Arial"/>
            <family val="2"/>
          </rPr>
          <t xml:space="preserve">Proposed = a tool wrote the row and nobody has checked it. Accepted = a person agreed. Corrected = a person changed it. Rejected = wrong; the correction is in the cell or in a Question.
Example: Accepted</t>
        </r>
      </text>
    </comment>
    <comment ref="J4" authorId="0">
      <text>
        <r>
          <rPr>
            <sz val="10"/>
            <rFont val="Arial"/>
            <family val="2"/>
          </rPr>
          <t xml:space="preserve">The file, sheet, cell, notebook cell or conversation the row came from. Specific enough to open it.
Example: scorecard.xlsx, tab Eng, cell B5</t>
        </r>
      </text>
    </comment>
    <comment ref="K4" authorId="0">
      <text>
        <r>
          <rPr>
            <sz val="10"/>
            <rFont val="Arial"/>
            <family val="2"/>
          </rPr>
          <t xml:space="preserve">Found = read directly from a file. Inferred = deduced from more than one file or a naming pattern; Notes says how. Proposed = a best reading where no file states it. Human = a person entered or confirmed it.
Example: Found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Assigned by the tools.
Example: D-001</t>
        </r>
      </text>
    </comment>
    <comment ref="B4" authorId="0">
      <text>
        <r>
          <rPr>
            <sz val="10"/>
            <rFont val="Arial"/>
            <family val="2"/>
          </rPr>
          <t xml:space="preserve">The cut as people name it.
Example: Hiring org</t>
        </r>
      </text>
    </comment>
    <comment ref="C4" authorId="0">
      <text>
        <r>
          <rPr>
            <sz val="10"/>
            <rFont val="Arial"/>
            <family val="2"/>
          </rPr>
          <t xml:space="preserve">The one table every product should map this cut from. A decision.
Example: HRDW org hierarchy</t>
        </r>
      </text>
    </comment>
    <comment ref="E4" authorId="0">
      <text>
        <r>
          <rPr>
            <sz val="10"/>
            <rFont val="Arial"/>
            <family val="2"/>
          </rPr>
          <t xml:space="preserve">The column on that table.
Example: org level 3</t>
        </r>
      </text>
    </comment>
    <comment ref="F4" authorId="0">
      <text>
        <r>
          <rPr>
            <sz val="10"/>
            <rFont val="Arial"/>
            <family val="2"/>
          </rPr>
          <t xml:space="preserve">Who owns the mapping.</t>
        </r>
      </text>
    </comment>
    <comment ref="G4" authorId="0">
      <text>
        <r>
          <rPr>
            <sz val="10"/>
            <rFont val="Arial"/>
            <family val="2"/>
          </rPr>
          <t xml:space="preserve">From Dimension usage.
Example: 3</t>
        </r>
      </text>
    </comment>
    <comment ref="H4" authorId="0">
      <text>
        <r>
          <rPr>
            <sz val="10"/>
            <rFont val="Arial"/>
            <family val="2"/>
          </rPr>
          <t xml:space="preserve">Usages whose mapping table differs from the agreed one.
Example: 1</t>
        </r>
      </text>
    </comment>
    <comment ref="J4" authorId="0">
      <text>
        <r>
          <rPr>
            <sz val="10"/>
            <rFont val="Arial"/>
            <family val="2"/>
          </rPr>
          <t xml:space="preserve">Proposed = a tool wrote the row and nobody has checked it. Accepted = a person agreed. Corrected = a person changed it. Rejected = wrong; the correction is in the cell or in a Question.
Example: Accepted</t>
        </r>
      </text>
    </comment>
    <comment ref="K4" authorId="0">
      <text>
        <r>
          <rPr>
            <sz val="10"/>
            <rFont val="Arial"/>
            <family val="2"/>
          </rPr>
          <t xml:space="preserve">The file, sheet, cell, notebook cell or conversation the row came from. Specific enough to open it.
Example: scorecard.xlsx, tab Eng, cell B5</t>
        </r>
      </text>
    </comment>
    <comment ref="L4" authorId="0">
      <text>
        <r>
          <rPr>
            <sz val="10"/>
            <rFont val="Arial"/>
            <family val="2"/>
          </rPr>
          <t xml:space="preserve">Found = read directly from a file. Inferred = deduced from more than one file or a naming pattern; Notes says how. Proposed = a best reading where no file states it. Human = a person entered or confirmed it.
Example: Found</t>
        </r>
      </text>
    </comment>
    <comment ref="M4" authorId="0">
      <text>
        <r>
          <rPr>
            <sz val="10"/>
            <rFont val="Arial"/>
            <family val="2"/>
          </rPr>
          <t xml:space="preserve">Date a person last confirmed the row is still true.
Example: 2026-10-13</t>
        </r>
      </text>
    </comment>
    <comment ref="N4" authorId="0">
      <text>
        <r>
          <rPr>
            <sz val="10"/>
            <rFont val="Arial"/>
            <family val="2"/>
          </rPr>
          <t xml:space="preserve">Who confirmed it.
Example: A. Patel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Short name.
Example: TA scorecard</t>
        </r>
      </text>
    </comment>
    <comment ref="C4" authorId="0">
      <text>
        <r>
          <rPr>
            <sz val="10"/>
            <rFont val="Arial"/>
            <family val="2"/>
          </rPr>
          <t xml:space="preserve">The cut.
Example: Hiring org</t>
        </r>
      </text>
    </comment>
    <comment ref="E4" authorId="0">
      <text>
        <r>
          <rPr>
            <sz val="10"/>
            <rFont val="Arial"/>
            <family val="2"/>
          </rPr>
          <t xml:space="preserve">The table the product actually takes this cut from.
Example: recruiter base</t>
        </r>
      </text>
    </comment>
    <comment ref="G4" authorId="0">
      <text>
        <r>
          <rPr>
            <sz val="10"/>
            <rFont val="Arial"/>
            <family val="2"/>
          </rPr>
          <t xml:space="preserve">Yes, No, or blank when no agreed source is set yet.
Example: No</t>
        </r>
      </text>
    </comment>
    <comment ref="I4" authorId="0">
      <text>
        <r>
          <rPr>
            <sz val="10"/>
            <rFont val="Arial"/>
            <family val="2"/>
          </rPr>
          <t xml:space="preserve">Proposed = a tool wrote the row and nobody has checked it. Accepted = a person agreed. Corrected = a person changed it. Rejected = wrong; the correction is in the cell or in a Question.
Example: Accepted</t>
        </r>
      </text>
    </comment>
    <comment ref="J4" authorId="0">
      <text>
        <r>
          <rPr>
            <sz val="10"/>
            <rFont val="Arial"/>
            <family val="2"/>
          </rPr>
          <t xml:space="preserve">The file, sheet, cell, notebook cell or conversation the row came from. Specific enough to open it.
Example: scorecard.xlsx, tab Eng, cell B5</t>
        </r>
      </text>
    </comment>
    <comment ref="K4" authorId="0">
      <text>
        <r>
          <rPr>
            <sz val="10"/>
            <rFont val="Arial"/>
            <family val="2"/>
          </rPr>
          <t xml:space="preserve">Found = read directly from a file. Inferred = deduced from more than one file or a naming pattern; Notes says how. Proposed = a best reading where no file states it. Human = a person entered or confirmed it.
Example: Found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The system's name as people say it.
Example: Workday Recruiting</t>
        </r>
      </text>
    </comment>
    <comment ref="B4" authorId="0">
      <text>
        <r>
          <rPr>
            <sz val="10"/>
            <rFont val="Arial"/>
            <family val="2"/>
          </rPr>
          <t xml:space="preserve">One sentence on what is entered or recorded there.
Example: Requisitions, candidates, offers and hires as recruiters enter them.</t>
        </r>
      </text>
    </comment>
    <comment ref="C4" authorId="0">
      <text>
        <r>
          <rPr>
            <sz val="10"/>
            <rFont val="Arial"/>
            <family val="2"/>
          </rPr>
          <t xml:space="preserve">Who to ask about the feed from this platform.
Example: PDP integrations team</t>
        </r>
      </text>
    </comment>
    <comment ref="D4" authorId="0">
      <text>
        <r>
          <rPr>
            <sz val="10"/>
            <rFont val="Arial"/>
            <family val="2"/>
          </rPr>
          <t xml:space="preserve">How many tables on the Tables sheet name this platform as their origin.
Example: 3</t>
        </r>
      </text>
    </comment>
    <comment ref="E4" authorId="0">
      <text>
        <r>
          <rPr>
            <sz val="10"/>
            <rFont val="Arial"/>
            <family val="2"/>
          </rPr>
          <t xml:space="preserve">Anything else.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The question in plain words. This exact text goes in the Metric family column.
Example: How long does hiring take?</t>
        </r>
      </text>
    </comment>
    <comment ref="B4" authorId="0">
      <text>
        <r>
          <rPr>
            <sz val="10"/>
            <rFont val="Arial"/>
            <family val="2"/>
          </rPr>
          <t xml:space="preserve">The category name people used before.
Example: Cycle time</t>
        </r>
      </text>
    </comment>
    <comment ref="C4" authorId="0">
      <text>
        <r>
          <rPr>
            <sz val="10"/>
            <rFont val="Arial"/>
            <family val="2"/>
          </rPr>
          <t xml:space="preserve">One sentence on what belongs here.
Example: Elapsed days between two events in the hiring process.</t>
        </r>
      </text>
    </comment>
    <comment ref="D4" authorId="0">
      <text>
        <r>
          <rPr>
            <sz val="10"/>
            <rFont val="Arial"/>
            <family val="2"/>
          </rPr>
          <t xml:space="preserve">Names people will recognise.
Example: Approved to accepted; Posted to start</t>
        </r>
      </text>
    </comment>
    <comment ref="E4" authorId="0">
      <text>
        <r>
          <rPr>
            <sz val="10"/>
            <rFont val="Arial"/>
            <family val="2"/>
          </rPr>
          <t xml:space="preserve">How many Metrics rows use this family.
Example: 3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Assigned by the tools.
Example: I-001</t>
        </r>
      </text>
    </comment>
    <comment ref="B4" authorId="0">
      <text>
        <r>
          <rPr>
            <sz val="10"/>
            <rFont val="Arial"/>
            <family val="2"/>
          </rPr>
          <t xml:space="preserve">When it was reported.
Example: 2026-10-06</t>
        </r>
      </text>
    </comment>
    <comment ref="C4" authorId="0">
      <text>
        <r>
          <rPr>
            <sz val="10"/>
            <rFont val="Arial"/>
            <family val="2"/>
          </rPr>
          <t xml:space="preserve">Where it was noticed.
Example: TA scorecard</t>
        </r>
      </text>
    </comment>
    <comment ref="E4" authorId="0">
      <text>
        <r>
          <rPr>
            <sz val="10"/>
            <rFont val="Arial"/>
            <family val="2"/>
          </rPr>
          <t xml:space="preserve">The category of what people saw.
Example: Wrong number</t>
        </r>
      </text>
    </comment>
    <comment ref="F4" authorId="0">
      <text>
        <r>
          <rPr>
            <sz val="10"/>
            <rFont val="Arial"/>
            <family val="2"/>
          </rPr>
          <t xml:space="preserve">In the reporter's words, shortened.
Example: Finance cycle time showed 180 days.</t>
        </r>
      </text>
    </comment>
    <comment ref="G4" authorId="0">
      <text>
        <r>
          <rPr>
            <sz val="10"/>
            <rFont val="Arial"/>
            <family val="2"/>
          </rPr>
          <t xml:space="preserve">Where the problem was introduced, read from the fix, not the symptom.
Example: Manual step</t>
        </r>
      </text>
    </comment>
    <comment ref="I4" authorId="0">
      <text>
        <r>
          <rPr>
            <sz val="10"/>
            <rFont val="Arial"/>
            <family val="2"/>
          </rPr>
          <t xml:space="preserve">By name.
Example: TA capacity sheet</t>
        </r>
      </text>
    </comment>
    <comment ref="N4" authorId="0">
      <text>
        <r>
          <rPr>
            <sz val="10"/>
            <rFont val="Arial"/>
            <family val="2"/>
          </rPr>
          <t xml:space="preserve">Yes when the same symptom has happened before.
Example: Yes</t>
        </r>
      </text>
    </comment>
    <comment ref="O4" authorId="0">
      <text>
        <r>
          <rPr>
            <sz val="10"/>
            <rFont val="Arial"/>
            <family val="2"/>
          </rPr>
          <t xml:space="preserve">Ticket number, link.</t>
        </r>
      </text>
    </comment>
    <comment ref="P4" authorId="0">
      <text>
        <r>
          <rPr>
            <sz val="10"/>
            <rFont val="Arial"/>
            <family val="2"/>
          </rPr>
          <t xml:space="preserve">Proposed = a tool wrote the row and nobody has checked it. Accepted = a person agreed. Corrected = a person changed it. Rejected = wrong; the correction is in the cell or in a Question.
Example: Accepted</t>
        </r>
      </text>
    </comment>
    <comment ref="Q4" authorId="0">
      <text>
        <r>
          <rPr>
            <sz val="10"/>
            <rFont val="Arial"/>
            <family val="2"/>
          </rPr>
          <t xml:space="preserve">The file, sheet, cell, notebook cell or conversation the row came from. Specific enough to open it.
Example: scorecard.xlsx, tab Eng, cell B5</t>
        </r>
      </text>
    </comment>
    <comment ref="R4" authorId="0">
      <text>
        <r>
          <rPr>
            <sz val="10"/>
            <rFont val="Arial"/>
            <family val="2"/>
          </rPr>
          <t xml:space="preserve">Found = read directly from a file. Inferred = deduced from more than one file or a naming pattern; Notes says how. Proposed = a best reading where no file states it. Human = a person entered or confirmed it.
Example: Found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What was agreed, in one or two sentences.
Example: Cycle time is measured from approval to offer acceptance. The posted-to-start variant is renamed Time to start.</t>
        </r>
      </text>
    </comment>
    <comment ref="D4" authorId="0">
      <text>
        <r>
          <rPr>
            <sz val="10"/>
            <rFont val="Arial"/>
            <family val="2"/>
          </rPr>
          <t xml:space="preserve">Metrics, tables, products or fields, by name.
Example: Cycle time (approved to accepted), Cycle time (posted to start)</t>
        </r>
      </text>
    </comment>
    <comment ref="G4" authorId="0">
      <text>
        <r>
          <rPr>
            <sz val="10"/>
            <rFont val="Arial"/>
            <family val="2"/>
          </rPr>
          <t xml:space="preserve">What has to happen now, and who does it.
Example: Rename on the recruiter view by end of month.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Which sheet the question is about.
Example: Metrics</t>
        </r>
      </text>
    </comment>
    <comment ref="D4" authorId="0">
      <text>
        <r>
          <rPr>
            <sz val="10"/>
            <rFont val="Arial"/>
            <family val="2"/>
          </rPr>
          <t xml:space="preserve">The row it concerns, by name.
Example: Cycle time (posted to start)</t>
        </r>
      </text>
    </comment>
    <comment ref="F4" authorId="0">
      <text>
        <r>
          <rPr>
            <sz val="10"/>
            <rFont val="Arial"/>
            <family val="2"/>
          </rPr>
          <t xml:space="preserve">Written so a person who was not there can answer it in one line.
Example: Two formulas carry the name Cycle Time. Which is the official definition?</t>
        </r>
      </text>
    </comment>
    <comment ref="G4" authorId="0">
      <text>
        <r>
          <rPr>
            <sz val="10"/>
            <rFont val="Arial"/>
            <family val="2"/>
          </rPr>
          <t xml:space="preserve">The evidence: both formulas, both file names.
Example: Scorecard: approval to acceptance. Recruiter view: posted to start.</t>
        </r>
      </text>
    </comment>
  </commentList>
</comments>
</file>

<file path=xl/sharedStrings.xml><?xml version="1.0" encoding="utf-8"?>
<sst xmlns="http://schemas.openxmlformats.org/spreadsheetml/2006/main" count="1388" uniqueCount="568">
  <si>
    <t xml:space="preserve">TA metric map</t>
  </si>
  <si>
    <t xml:space="preserve">What exists today in TA reporting, linked end to end: platform, table, script, metric, product. Validate the rows; the Decisions sheet reads them back as the choices to make.</t>
  </si>
  <si>
    <t xml:space="preserve">The chain</t>
  </si>
  <si>
    <t xml:space="preserve">Platforms (where data is born) -&gt; Tables (warehouse, custom, shared, hand-kept) -&gt; Scripts (what reads and writes them, when, started by whom) -&gt; Metrics (one row per definition, with the fields they read) -&gt; Products (what people look at, and what each reads directly).</t>
  </si>
  <si>
    <t xml:space="preserve">How to read a link</t>
  </si>
  <si>
    <t xml:space="preserve">Every link shows a name, never a code. The grey columns next to a name hold the ID the tools use; leave them alone. Short name is the key: give every table, script and product two or three words that stay stable.</t>
  </si>
  <si>
    <t xml:space="preserve">How to add a link</t>
  </si>
  <si>
    <t xml:space="preserve">Type the name in the cream column (there is a drop-down). The grey column resolves it, or says Not found.</t>
  </si>
  <si>
    <t xml:space="preserve">Multi-value links</t>
  </si>
  <si>
    <t xml:space="preserve">Built from, Reads, Writes, Feeds, Reads from: comma-separated names. Run the skill's sync (or ask it to) after editing; it fills the grey ID columns and the derived name columns, and raises a Question for any name it cannot match.</t>
  </si>
  <si>
    <t xml:space="preserve">Who fills what</t>
  </si>
  <si>
    <t xml:space="preserve">The skill fills everything it can from files and proposes the judgement columns, labelled Review = Proposed. A person accepts, corrects or rejects. Disposition and the Decision log are only ever a person's. Platform on each source table is a person's, from PDP's mapping.</t>
  </si>
  <si>
    <t xml:space="preserve">Three columns only a person who runs the product can answer</t>
  </si>
  <si>
    <t xml:space="preserve">Products: Last hop into the product, Automation level, Manual effort.</t>
  </si>
  <si>
    <t xml:space="preserve">Colour code</t>
  </si>
  <si>
    <t xml:space="preserve">Dark blue header</t>
  </si>
  <si>
    <t xml:space="preserve">Column names. Hover for the meaning and an example; the Column guide sheet has the same text.</t>
  </si>
  <si>
    <t xml:space="preserve">Light blue</t>
  </si>
  <si>
    <t xml:space="preserve">Short names: the human keys. Unique on each sheet.</t>
  </si>
  <si>
    <t xml:space="preserve">Cream</t>
  </si>
  <si>
    <t xml:space="preserve">Text, names and drop-downs for the skill or a person to fill.</t>
  </si>
  <si>
    <t xml:space="preserve">Green text</t>
  </si>
  <si>
    <t xml:space="preserve">Formulas. Do not type over them.</t>
  </si>
  <si>
    <t xml:space="preserve">Grey</t>
  </si>
  <si>
    <t xml:space="preserve">IDs and helpers the tools maintain. Leave them alone.</t>
  </si>
  <si>
    <t xml:space="preserve">Amber Proposed</t>
  </si>
  <si>
    <t xml:space="preserve">A Review value of Proposed means a tool wrote the row and nobody has checked it.</t>
  </si>
  <si>
    <t xml:space="preserve">Order of work</t>
  </si>
  <si>
    <t xml:space="preserve">1 Products and what each reads. 2 Tables and the scripts that build them. 3 Metrics and the fields they read. 4 Dimensions. 5 Validate the Proposed rows. 6 Read Decisions. 7 Record what is agreed in the Decision log.</t>
  </si>
  <si>
    <t xml:space="preserve">No examples</t>
  </si>
  <si>
    <t xml:space="preserve">This workbook ships empty on purpose. Everything in it comes from your files or your people.</t>
  </si>
  <si>
    <t xml:space="preserve">Decisions</t>
  </si>
  <si>
    <t xml:space="preserve">Read-only. Each number is a choice to make; click through to the rows behind it. Numbers come from the sheets and update as rows are validated.</t>
  </si>
  <si>
    <t xml:space="preserve">Standardise metrics</t>
  </si>
  <si>
    <t xml:space="preserve">Every distinct definition found, before any merging.</t>
  </si>
  <si>
    <t xml:space="preserve">The truly distinct ones.</t>
  </si>
  <si>
    <t xml:space="preserve">Same thing under two names: merge candidates.</t>
  </si>
  <si>
    <t xml:space="preserve">Same question, different rules: the alignment agenda with TAAA.</t>
  </si>
  <si>
    <t xml:space="preserve">Where numbers can disagree even when the definition matches. Check each one's Reads from tables.</t>
  </si>
  <si>
    <t xml:space="preserve">A number on a product with no formula anywhere we can see.</t>
  </si>
  <si>
    <t xml:space="preserve">Standardise tables</t>
  </si>
  <si>
    <t xml:space="preserve">Warehouse, custom, shared and hand-kept, together.</t>
  </si>
  <si>
    <t xml:space="preserve">Layers built on layers: the simplification candidates.</t>
  </si>
  <si>
    <t xml:space="preserve">One person away from breaking.</t>
  </si>
  <si>
    <t xml:space="preserve">Nothing in the files writes them; who refreshes them?</t>
  </si>
  <si>
    <t xml:space="preserve">Retire signal, once the fields are traced.</t>
  </si>
  <si>
    <t xml:space="preserve">Fill from PDP's mapping.</t>
  </si>
  <si>
    <t xml:space="preserve">Simplify products</t>
  </si>
  <si>
    <t xml:space="preserve">The automation backlog; Manual steps says what.</t>
  </si>
  <si>
    <t xml:space="preserve">The last hop.</t>
  </si>
  <si>
    <t xml:space="preserve">Same filter name, different mapping.</t>
  </si>
  <si>
    <t xml:space="preserve">Still to validate</t>
  </si>
  <si>
    <t xml:space="preserve">Work these down, highest impact first.</t>
  </si>
  <si>
    <t xml:space="preserve">Column guide</t>
  </si>
  <si>
    <t xml:space="preserve">Every column on every sheet, who fills it, what it means, and an example. The same text sits on each column header as a hover note.</t>
  </si>
  <si>
    <t xml:space="preserve">Sheet</t>
  </si>
  <si>
    <t xml:space="preserve">Column</t>
  </si>
  <si>
    <t xml:space="preserve">Who fills it</t>
  </si>
  <si>
    <t xml:space="preserve">What it means</t>
  </si>
  <si>
    <t xml:space="preserve">Example</t>
  </si>
  <si>
    <t xml:space="preserve">Platforms</t>
  </si>
  <si>
    <t xml:space="preserve">Platform name</t>
  </si>
  <si>
    <t xml:space="preserve">A person</t>
  </si>
  <si>
    <t xml:space="preserve">The system's name as people say it.</t>
  </si>
  <si>
    <t xml:space="preserve">Workday Recruiting</t>
  </si>
  <si>
    <t xml:space="preserve">What it holds</t>
  </si>
  <si>
    <t xml:space="preserve">One sentence on what is entered or recorded there.</t>
  </si>
  <si>
    <t xml:space="preserve">Requisitions, candidates, offers and hires as recruiters enter them.</t>
  </si>
  <si>
    <t xml:space="preserve">Point of contact</t>
  </si>
  <si>
    <t xml:space="preserve">Who to ask about the feed from this platform.</t>
  </si>
  <si>
    <t xml:space="preserve">PDP integrations team</t>
  </si>
  <si>
    <t xml:space="preserve">Tables fed</t>
  </si>
  <si>
    <t xml:space="preserve">Filled automatically</t>
  </si>
  <si>
    <t xml:space="preserve">How many tables on the Tables sheet name this platform as their origin.</t>
  </si>
  <si>
    <t xml:space="preserve">3</t>
  </si>
  <si>
    <t xml:space="preserve">Notes</t>
  </si>
  <si>
    <t xml:space="preserve">Anything else.</t>
  </si>
  <si>
    <t xml:space="preserve">Families</t>
  </si>
  <si>
    <t xml:space="preserve">Family (the question it answers)</t>
  </si>
  <si>
    <t xml:space="preserve">The question in plain words. This exact text goes in the Metric family column.</t>
  </si>
  <si>
    <t xml:space="preserve">How long does hiring take?</t>
  </si>
  <si>
    <t xml:space="preserve">Old name</t>
  </si>
  <si>
    <t xml:space="preserve">The category name people used before.</t>
  </si>
  <si>
    <t xml:space="preserve">Cycle time</t>
  </si>
  <si>
    <t xml:space="preserve">What it covers</t>
  </si>
  <si>
    <t xml:space="preserve">One sentence on what belongs here.</t>
  </si>
  <si>
    <t xml:space="preserve">Elapsed days between two events in the hiring process.</t>
  </si>
  <si>
    <t xml:space="preserve">Example metrics</t>
  </si>
  <si>
    <t xml:space="preserve">Names people will recognise.</t>
  </si>
  <si>
    <t xml:space="preserve">Approved to accepted; Posted to start</t>
  </si>
  <si>
    <t xml:space="preserve">Metrics in family</t>
  </si>
  <si>
    <t xml:space="preserve">How many Metrics rows use this family.</t>
  </si>
  <si>
    <t xml:space="preserve">Products</t>
  </si>
  <si>
    <t xml:space="preserve">Product ID</t>
  </si>
  <si>
    <t xml:space="preserve">The tools</t>
  </si>
  <si>
    <t xml:space="preserve">Assigned by the tools. Never typed.</t>
  </si>
  <si>
    <t xml:space="preserve">P-001</t>
  </si>
  <si>
    <t xml:space="preserve">Short name</t>
  </si>
  <si>
    <t xml:space="preserve">The skill, from files</t>
  </si>
  <si>
    <t xml:space="preserve">Two or three words, unique. This is how the product is named everywhere else in the workbook.</t>
  </si>
  <si>
    <t xml:space="preserve">TA scorecard</t>
  </si>
  <si>
    <t xml:space="preserve">Full name</t>
  </si>
  <si>
    <t xml:space="preserve">The file or workbook name as it is.</t>
  </si>
  <si>
    <t xml:space="preserve">TA_Scorecard_FY26.xlsx</t>
  </si>
  <si>
    <t xml:space="preserve">Type</t>
  </si>
  <si>
    <t xml:space="preserve">Scorecard = the executive view. Dashboard = a Tableau or QuickSight view. Sent report = emailed or posted on a schedule. Data pull = a recurring extract.</t>
  </si>
  <si>
    <t xml:space="preserve">Scorecard</t>
  </si>
  <si>
    <t xml:space="preserve">Tool</t>
  </si>
  <si>
    <t xml:space="preserve">Where it lives.</t>
  </si>
  <si>
    <t xml:space="preserve">Excel</t>
  </si>
  <si>
    <t xml:space="preserve">Audience</t>
  </si>
  <si>
    <t xml:space="preserve">The skill proposes; a person confirms</t>
  </si>
  <si>
    <t xml:space="preserve">Who looks at it.</t>
  </si>
  <si>
    <t xml:space="preserve">TA leadership</t>
  </si>
  <si>
    <t xml:space="preserve">Owner (team)</t>
  </si>
  <si>
    <t xml:space="preserve">Team responsible for keeping it working.</t>
  </si>
  <si>
    <t xml:space="preserve">Team Opportunity</t>
  </si>
  <si>
    <t xml:space="preserve">The person to call about it.</t>
  </si>
  <si>
    <t xml:space="preserve">A. Patel</t>
  </si>
  <si>
    <t xml:space="preserve">Refresh frequency</t>
  </si>
  <si>
    <t xml:space="preserve">How often the numbers in it update.</t>
  </si>
  <si>
    <t xml:space="preserve">Weekly</t>
  </si>
  <si>
    <t xml:space="preserve">Delivery cadence</t>
  </si>
  <si>
    <t xml:space="preserve">Sent reports only: when and to whom it goes out.</t>
  </si>
  <si>
    <t xml:space="preserve">Sent monthly to TA leadership.</t>
  </si>
  <si>
    <t xml:space="preserve">Reads from</t>
  </si>
  <si>
    <t xml:space="preserve">Every table or spreadsheet it reads, by short name. Maintained from the Product inputs sheet; add rows there, not here.</t>
  </si>
  <si>
    <t xml:space="preserve">scorecard base, TA capacity sheet</t>
  </si>
  <si>
    <t xml:space="preserve">Fed by scripts</t>
  </si>
  <si>
    <t xml:space="preserve">Scripts whose Feeds column names this product. Maintained by the tools.</t>
  </si>
  <si>
    <t xml:space="preserve">scorecard notebook</t>
  </si>
  <si>
    <t xml:space="preserve">Last hop into the product</t>
  </si>
  <si>
    <t xml:space="preserve">How the numbers get into the product on the final step. Scripted = a script writes it. Pasted by hand = a person copies numbers in. Live connection = it queries a table directly. The one cell only a person who runs it can answer.</t>
  </si>
  <si>
    <t xml:space="preserve">Pasted by hand</t>
  </si>
  <si>
    <t xml:space="preserve">Automation level</t>
  </si>
  <si>
    <t xml:space="preserve">Automated = refreshes end to end with nobody touching it. Partly manual = at least one step a person does each cycle. Manual = built by hand each time. An analyst sets this; the analysis script says when the chain disagrees.</t>
  </si>
  <si>
    <t xml:space="preserve">Partly manual</t>
  </si>
  <si>
    <t xml:space="preserve">Manual steps</t>
  </si>
  <si>
    <t xml:space="preserve">What a person does each cycle, in plain words. This is the automation backlog.</t>
  </si>
  <si>
    <t xml:space="preserve">An analyst runs the scorecard notebook, then pastes the Data tab into the workbook each Monday.</t>
  </si>
  <si>
    <t xml:space="preserve">Manual effort (hours per cycle)</t>
  </si>
  <si>
    <t xml:space="preserve">Rough hours of human time per refresh.</t>
  </si>
  <si>
    <t xml:space="preserve">Metrics shown</t>
  </si>
  <si>
    <t xml:space="preserve">How many metrics the product shows, from Metric to Product.</t>
  </si>
  <si>
    <t xml:space="preserve">12</t>
  </si>
  <si>
    <t xml:space="preserve">Manual spreadsheets read</t>
  </si>
  <si>
    <t xml:space="preserve">How many of its inputs are hand-maintained spreadsheets.</t>
  </si>
  <si>
    <t xml:space="preserve">1</t>
  </si>
  <si>
    <t xml:space="preserve">Phase</t>
  </si>
  <si>
    <t xml:space="preserve">Phase 1 = work it now. Later, Not traced, Out of scope.</t>
  </si>
  <si>
    <t xml:space="preserve">Phase 1</t>
  </si>
  <si>
    <t xml:space="preserve">Anything else worth knowing.</t>
  </si>
  <si>
    <t xml:space="preserve">One tab per org with the same metrics.</t>
  </si>
  <si>
    <t xml:space="preserve">Review</t>
  </si>
  <si>
    <t xml:space="preserve">Proposed = a tool wrote the row and nobody has checked it. Accepted = a person agreed. Corrected = a person changed it. Rejected = wrong; the correction is in the cell or in a Question.</t>
  </si>
  <si>
    <t xml:space="preserve">Accepted</t>
  </si>
  <si>
    <t xml:space="preserve">Source (where found)</t>
  </si>
  <si>
    <t xml:space="preserve">The file, sheet, cell, notebook cell or conversation the row came from. Specific enough to open it.</t>
  </si>
  <si>
    <t xml:space="preserve">scorecard.xlsx, tab Eng, cell B5</t>
  </si>
  <si>
    <t xml:space="preserve">Confidence</t>
  </si>
  <si>
    <t xml:space="preserve">Found = read directly from a file. Inferred = deduced from more than one file or a naming pattern; Notes says how. Proposed = a best reading where no file states it. Human = a person entered or confirmed it.</t>
  </si>
  <si>
    <t xml:space="preserve">Found</t>
  </si>
  <si>
    <t xml:space="preserve">Last verified</t>
  </si>
  <si>
    <t xml:space="preserve">Date a person last confirmed the row is still true.</t>
  </si>
  <si>
    <t xml:space="preserve">2026-10-13</t>
  </si>
  <si>
    <t xml:space="preserve">Verified by</t>
  </si>
  <si>
    <t xml:space="preserve">Who confirmed it.</t>
  </si>
  <si>
    <t xml:space="preserve">Product inputs</t>
  </si>
  <si>
    <t xml:space="preserve">Product</t>
  </si>
  <si>
    <t xml:space="preserve">The product's short name. Pick from the list.</t>
  </si>
  <si>
    <t xml:space="preserve">Table</t>
  </si>
  <si>
    <t xml:space="preserve">The table or spreadsheet's short name. Pick from the list. A hand-maintained spreadsheet is a table of kind Manual spreadsheet.</t>
  </si>
  <si>
    <t xml:space="preserve">scorecard base</t>
  </si>
  <si>
    <t xml:space="preserve">Table kind</t>
  </si>
  <si>
    <t xml:space="preserve">Looked up from Tables.</t>
  </si>
  <si>
    <t xml:space="preserve">Team custom</t>
  </si>
  <si>
    <t xml:space="preserve">How it gets in</t>
  </si>
  <si>
    <t xml:space="preserve">Scripted, Pasted by hand, Live connection, Unknown.</t>
  </si>
  <si>
    <t xml:space="preserve">Origin of this row</t>
  </si>
  <si>
    <t xml:space="preserve">Whether a tool derived this link or a person typed it.</t>
  </si>
  <si>
    <t xml:space="preserve">Derived from the product file</t>
  </si>
  <si>
    <t xml:space="preserve">Which tab or data source reads it, anything odd.</t>
  </si>
  <si>
    <t xml:space="preserve">The Data tab is the notebook's output.</t>
  </si>
  <si>
    <t xml:space="preserve">Metrics</t>
  </si>
  <si>
    <t xml:space="preserve">Metric ID</t>
  </si>
  <si>
    <t xml:space="preserve">Assigned by the tools.</t>
  </si>
  <si>
    <t xml:space="preserve">M-001</t>
  </si>
  <si>
    <t xml:space="preserve">Metric family</t>
  </si>
  <si>
    <t xml:space="preserve">The business question this metric answers, picked from the Families sheet. Chosen by reading the definition, never by shortening the name.</t>
  </si>
  <si>
    <t xml:space="preserve">Metric name</t>
  </si>
  <si>
    <t xml:space="preserve">The name people use, with the distinguishing part in brackets when the family has more than one definition.</t>
  </si>
  <si>
    <t xml:space="preserve">Cycle time (approved to accepted)</t>
  </si>
  <si>
    <t xml:space="preserve">Definition (plain words)</t>
  </si>
  <si>
    <t xml:space="preserve">How the number is calculated, written so a recruiter would understand it: what starts the clock, what ends it, what is counted. No formulas; the formula goes in Notes.</t>
  </si>
  <si>
    <t xml:space="preserve">Calendar days from requisition approval to offer acceptance, averaged over hires in the period.</t>
  </si>
  <si>
    <t xml:space="preserve">Who is counted</t>
  </si>
  <si>
    <t xml:space="preserve">The population, in one sentence.</t>
  </si>
  <si>
    <t xml:space="preserve">Accepted offers on standard requisitions, internal and external.</t>
  </si>
  <si>
    <t xml:space="preserve">Who is left out</t>
  </si>
  <si>
    <t xml:space="preserve">The exclusions, in one sentence. This is where most disagreements hide.</t>
  </si>
  <si>
    <t xml:space="preserve">Evergreen and cancelled requisitions.</t>
  </si>
  <si>
    <t xml:space="preserve">Grain (one row per)</t>
  </si>
  <si>
    <t xml:space="preserve">The thing counted or averaged over.</t>
  </si>
  <si>
    <t xml:space="preserve">Hire</t>
  </si>
  <si>
    <t xml:space="preserve">Unit</t>
  </si>
  <si>
    <t xml:space="preserve">Days, Count, Percent, Dollars.</t>
  </si>
  <si>
    <t xml:space="preserve">Days</t>
  </si>
  <si>
    <t xml:space="preserve">Reads from tables</t>
  </si>
  <si>
    <t xml:space="preserve">The tables its fields come from, by short name. Maintained by the tools from Metric to Field. More than one table for a simple count is worth a look.</t>
  </si>
  <si>
    <t xml:space="preserve">HRDW offers, HRDW requisitions</t>
  </si>
  <si>
    <t xml:space="preserve">Tables read</t>
  </si>
  <si>
    <t xml:space="preserve">How many distinct tables feed it.</t>
  </si>
  <si>
    <t xml:space="preserve">2</t>
  </si>
  <si>
    <t xml:space="preserve">Products using it</t>
  </si>
  <si>
    <t xml:space="preserve">From Metric to Product.</t>
  </si>
  <si>
    <t xml:space="preserve">Fields needed</t>
  </si>
  <si>
    <t xml:space="preserve">From Metric to Field.</t>
  </si>
  <si>
    <t xml:space="preserve">5</t>
  </si>
  <si>
    <t xml:space="preserve">Definitions in family</t>
  </si>
  <si>
    <t xml:space="preserve">How many Metrics rows share this family. More than one means the family needs aligning.</t>
  </si>
  <si>
    <t xml:space="preserve">Same definition elsewhere</t>
  </si>
  <si>
    <t xml:space="preserve">How many other rows have the same definition word for word. Above zero means the same metric under two names.</t>
  </si>
  <si>
    <t xml:space="preserve">0</t>
  </si>
  <si>
    <t xml:space="preserve">Owner</t>
  </si>
  <si>
    <t xml:space="preserve">Who owns the definition.</t>
  </si>
  <si>
    <t xml:space="preserve">Phase 1 = on the scorecard, work it now.</t>
  </si>
  <si>
    <t xml:space="preserve">The formula as found, alternate names, where it is computed.</t>
  </si>
  <si>
    <t xml:space="preserve">Formula: AVERAGEIFS(Data!F:F, Data!B:B, org). Computed in the scorecard notebook, cell 4.</t>
  </si>
  <si>
    <t xml:space="preserve">Metric to Product</t>
  </si>
  <si>
    <t xml:space="preserve">Metric</t>
  </si>
  <si>
    <t xml:space="preserve">The metric's name, from the Metrics sheet.</t>
  </si>
  <si>
    <t xml:space="preserve">The product's short name.</t>
  </si>
  <si>
    <t xml:space="preserve">How it is shown</t>
  </si>
  <si>
    <t xml:space="preserve">What the product does with it: headline tile, trend, table, one tab per org.</t>
  </si>
  <si>
    <t xml:space="preserve">Headline number, one tab per org, by month.</t>
  </si>
  <si>
    <t xml:space="preserve">Tables</t>
  </si>
  <si>
    <t xml:space="preserve">Table ID</t>
  </si>
  <si>
    <t xml:space="preserve">T-004</t>
  </si>
  <si>
    <t xml:space="preserve">Two or three words, unique. Used everywhere a human reads a link.</t>
  </si>
  <si>
    <t xml:space="preserve">req linkage</t>
  </si>
  <si>
    <t xml:space="preserve">schema.table as written in the source, or the file name for a spreadsheet.</t>
  </si>
  <si>
    <t xml:space="preserve">ta_custom.req_linkage</t>
  </si>
  <si>
    <t xml:space="preserve">Kind</t>
  </si>
  <si>
    <t xml:space="preserve">HRDW = a warehouse table as delivered by PDP. Team custom = a table our team builds. Shared (other team) = another team's table we read. Manual spreadsheet = a file a person maintains by hand. Script output file = a file a script writes (an xlsx or csv). Platform extract = a direct feed from a recruiting system.</t>
  </si>
  <si>
    <t xml:space="preserve">Platform</t>
  </si>
  <si>
    <t xml:space="preserve">The system this data is born in. Only on HRDW and Platform extract tables. A person fills it from PDP's mapping; the tools never guess it.</t>
  </si>
  <si>
    <t xml:space="preserve">Built from</t>
  </si>
  <si>
    <t xml:space="preserve">The tables it is built from, by short name, main parent first. The lineage chain follows the first one.</t>
  </si>
  <si>
    <t xml:space="preserve">req history, HRDW requisitions</t>
  </si>
  <si>
    <t xml:space="preserve">Built by</t>
  </si>
  <si>
    <t xml:space="preserve">The script that writes it, by short name. Maintained by the tools from the Scripts sheet.</t>
  </si>
  <si>
    <t xml:space="preserve">req linkage notebook</t>
  </si>
  <si>
    <t xml:space="preserve">Refresh mechanism</t>
  </si>
  <si>
    <t xml:space="preserve">Scheduled job, Manual run (someone starts the script), Manual spreadsheet (someone edits the file), Live query, Unknown. Set by the tools from the building script's trigger.</t>
  </si>
  <si>
    <t xml:space="preserve">Manual run</t>
  </si>
  <si>
    <t xml:space="preserve">How often it updates, from the script's schedule or from a person.</t>
  </si>
  <si>
    <t xml:space="preserve">Daily</t>
  </si>
  <si>
    <t xml:space="preserve">Why it exists</t>
  </si>
  <si>
    <t xml:space="preserve">The reason it was created, in one or two sentences: what it provides that the table below it does not. If nobody can say, that is a finding.</t>
  </si>
  <si>
    <t xml:space="preserve">Maps a transferred requisition to its original so clocks keep running from the original approval.</t>
  </si>
  <si>
    <t xml:space="preserve">Team responsible for it.</t>
  </si>
  <si>
    <t xml:space="preserve">The person to call.</t>
  </si>
  <si>
    <t xml:space="preserve">Depth</t>
  </si>
  <si>
    <t xml:space="preserve">0 = read as delivered. 1 = built straight on such tables. 2 or more = built on a table that is itself built. Sort by this to find the tallest stacks.</t>
  </si>
  <si>
    <t xml:space="preserve">Lineage chain</t>
  </si>
  <si>
    <t xml:space="preserve">The table and its chain of first parents, by name, back to the source. (+ other parents) means it also reads tables not shown.</t>
  </si>
  <si>
    <t xml:space="preserve">recruiter extract &lt;- recruiter base &lt;- req linkage &lt;- req history</t>
  </si>
  <si>
    <t xml:space="preserve">Root platform</t>
  </si>
  <si>
    <t xml:space="preserve">The platform at the bottom of the chain, if the bottom table has one.</t>
  </si>
  <si>
    <t xml:space="preserve">Fields listed</t>
  </si>
  <si>
    <t xml:space="preserve">Fields on the Fields sheet that belong to it.</t>
  </si>
  <si>
    <t xml:space="preserve">Metrics depending</t>
  </si>
  <si>
    <t xml:space="preserve">Metric-to-field links that run through it. Zero on a custom table in use is a retire signal.</t>
  </si>
  <si>
    <t xml:space="preserve">Products reading it directly</t>
  </si>
  <si>
    <t xml:space="preserve">From Product inputs.</t>
  </si>
  <si>
    <t xml:space="preserve">Target layer</t>
  </si>
  <si>
    <t xml:space="preserve">Where it belongs in the proposed architecture. Proposed only when obvious.</t>
  </si>
  <si>
    <t xml:space="preserve">Business rules</t>
  </si>
  <si>
    <t xml:space="preserve">Disposition</t>
  </si>
  <si>
    <t xml:space="preserve">The decision. Never proposed by a tool.</t>
  </si>
  <si>
    <t xml:space="preserve">Merge into certified table</t>
  </si>
  <si>
    <t xml:space="preserve">Phase 1 = sits under a scorecard metric.</t>
  </si>
  <si>
    <t xml:space="preserve">File that creates it, anything odd.</t>
  </si>
  <si>
    <t xml:space="preserve">Scripts</t>
  </si>
  <si>
    <t xml:space="preserve">Script ID</t>
  </si>
  <si>
    <t xml:space="preserve">S-002</t>
  </si>
  <si>
    <t xml:space="preserve">Two or three words, unique.</t>
  </si>
  <si>
    <t xml:space="preserve">What kind of thing it is. Manual process = steps a person performs, such as uploading a file.</t>
  </si>
  <si>
    <t xml:space="preserve">Databricks notebook</t>
  </si>
  <si>
    <t xml:space="preserve">Path or location</t>
  </si>
  <si>
    <t xml:space="preserve">Repo path, workspace path or URL.</t>
  </si>
  <si>
    <t xml:space="preserve">/Repos/ta/notebooks/scorecard</t>
  </si>
  <si>
    <t xml:space="preserve">Reads</t>
  </si>
  <si>
    <t xml:space="preserve">Tables it reads, by short name.</t>
  </si>
  <si>
    <t xml:space="preserve">HRDW requisitions, HRDW offers</t>
  </si>
  <si>
    <t xml:space="preserve">Writes</t>
  </si>
  <si>
    <t xml:space="preserve">Tables or files it writes, by short name.</t>
  </si>
  <si>
    <t xml:space="preserve">Feeds</t>
  </si>
  <si>
    <t xml:space="preserve">Products it feeds directly, by short name: it writes the product file, or a tab in it.</t>
  </si>
  <si>
    <t xml:space="preserve">What it does</t>
  </si>
  <si>
    <t xml:space="preserve">Builds a table, Feeds a product, Both, or Nothing recorded. Derived from the Writes and Feeds columns.</t>
  </si>
  <si>
    <t xml:space="preserve">Both</t>
  </si>
  <si>
    <t xml:space="preserve">Schedule</t>
  </si>
  <si>
    <t xml:space="preserve">In words, from the job definition.</t>
  </si>
  <si>
    <t xml:space="preserve">Weekdays 06:00 ET</t>
  </si>
  <si>
    <t xml:space="preserve">Trigger</t>
  </si>
  <si>
    <t xml:space="preserve">Scheduled = runs on its own. Manual run = a person starts it. On demand = another job or a user action triggers it. Manual run is what makes a product partly manual.</t>
  </si>
  <si>
    <t xml:space="preserve">Who runs it</t>
  </si>
  <si>
    <t xml:space="preserve">The team or person, in words.</t>
  </si>
  <si>
    <t xml:space="preserve">Any analyst on Team Opportunity, by hand.</t>
  </si>
  <si>
    <t xml:space="preserve">Failure notice</t>
  </si>
  <si>
    <t xml:space="preserve">What happens when it fails. Nobody is told is the common answer and the reason stale products go unnoticed. Put the address or channel in Notes.</t>
  </si>
  <si>
    <t xml:space="preserve">Nobody is told</t>
  </si>
  <si>
    <t xml:space="preserve">Last modified</t>
  </si>
  <si>
    <t xml:space="preserve">From the file or workspace.</t>
  </si>
  <si>
    <t xml:space="preserve">2026-09-30</t>
  </si>
  <si>
    <t xml:space="preserve">Header comments, unresolved table names, anything odd.</t>
  </si>
  <si>
    <t xml:space="preserve">Reads a table named by the schema widget; production value unknown.</t>
  </si>
  <si>
    <t xml:space="preserve">Fields</t>
  </si>
  <si>
    <t xml:space="preserve">Field ID</t>
  </si>
  <si>
    <t xml:space="preserve">F-005</t>
  </si>
  <si>
    <t xml:space="preserve">Field name</t>
  </si>
  <si>
    <t xml:space="preserve">The column name people see. Must be unique across the sheet; when two tables have the same column, the table's short name goes in brackets.</t>
  </si>
  <si>
    <t xml:space="preserve">credited recruiter (recruiter base)</t>
  </si>
  <si>
    <t xml:space="preserve">The table it belongs to, by short name. A field that exists only inside a product (a Tableau calculation, a scorecard formula) names the product's output table or is left blank with a note.</t>
  </si>
  <si>
    <t xml:space="preserve">recruiter base</t>
  </si>
  <si>
    <t xml:space="preserve">Raw = a physical column. Derived = calculated by a rule.</t>
  </si>
  <si>
    <t xml:space="preserve">Derived</t>
  </si>
  <si>
    <t xml:space="preserve">Derived from</t>
  </si>
  <si>
    <t xml:space="preserve">Derived only: the fields it is computed from, by name.</t>
  </si>
  <si>
    <t xml:space="preserve">requisition owner history, offer accepted date</t>
  </si>
  <si>
    <t xml:space="preserve">Logic (the business rule)</t>
  </si>
  <si>
    <t xml:space="preserve">Derived only. The rule in plain words: who gets credit, what counts, how things are linked.</t>
  </si>
  <si>
    <t xml:space="preserve">Recruiter who owned the requisition on the day the offer was accepted, not the recruiter tagged on it today.</t>
  </si>
  <si>
    <t xml:space="preserve">Where the rule lives</t>
  </si>
  <si>
    <t xml:space="preserve">A rule inside a product (a Tableau calculated field, a scorecard formula) is the thing the architecture work moves.</t>
  </si>
  <si>
    <t xml:space="preserve">Inside the product</t>
  </si>
  <si>
    <t xml:space="preserve">Data quality</t>
  </si>
  <si>
    <t xml:space="preserve">Issue when a known problem exists.</t>
  </si>
  <si>
    <t xml:space="preserve">Issue</t>
  </si>
  <si>
    <t xml:space="preserve">Root stage of issue</t>
  </si>
  <si>
    <t xml:space="preserve">Where the problem is introduced, not where it is noticed.</t>
  </si>
  <si>
    <t xml:space="preserve">Platform to HRDW</t>
  </si>
  <si>
    <t xml:space="preserve">Issue / note</t>
  </si>
  <si>
    <t xml:space="preserve">What is wrong, in words.</t>
  </si>
  <si>
    <t xml:space="preserve">Flag arrives blank for requisitions created through bulk upload.</t>
  </si>
  <si>
    <t xml:space="preserve">Where it belongs in the proposed architecture.</t>
  </si>
  <si>
    <t xml:space="preserve">Move to business rules</t>
  </si>
  <si>
    <t xml:space="preserve">Metrics using it</t>
  </si>
  <si>
    <t xml:space="preserve">Products reached</t>
  </si>
  <si>
    <t xml:space="preserve">How many product links its metrics have.</t>
  </si>
  <si>
    <t xml:space="preserve">Metric to Field</t>
  </si>
  <si>
    <t xml:space="preserve">The metric's name.</t>
  </si>
  <si>
    <t xml:space="preserve">Field</t>
  </si>
  <si>
    <t xml:space="preserve">The field's name.</t>
  </si>
  <si>
    <t xml:space="preserve">offer accepted date</t>
  </si>
  <si>
    <t xml:space="preserve">Role in the metric</t>
  </si>
  <si>
    <t xml:space="preserve">What the field does in the calculation.</t>
  </si>
  <si>
    <t xml:space="preserve">End of clock</t>
  </si>
  <si>
    <t xml:space="preserve">Looked up: the field's table.</t>
  </si>
  <si>
    <t xml:space="preserve">HRDW offers</t>
  </si>
  <si>
    <t xml:space="preserve">Dimensions</t>
  </si>
  <si>
    <t xml:space="preserve">Dimension ID</t>
  </si>
  <si>
    <t xml:space="preserve">D-001</t>
  </si>
  <si>
    <t xml:space="preserve">Dimension name</t>
  </si>
  <si>
    <t xml:space="preserve">The cut as people name it.</t>
  </si>
  <si>
    <t xml:space="preserve">Hiring org</t>
  </si>
  <si>
    <t xml:space="preserve">Agreed source table</t>
  </si>
  <si>
    <t xml:space="preserve">The one table every product should map this cut from. A decision.</t>
  </si>
  <si>
    <t xml:space="preserve">HRDW org hierarchy</t>
  </si>
  <si>
    <t xml:space="preserve">Agreed source field</t>
  </si>
  <si>
    <t xml:space="preserve">The column on that table.</t>
  </si>
  <si>
    <t xml:space="preserve">org level 3</t>
  </si>
  <si>
    <t xml:space="preserve">Who owns the mapping.</t>
  </si>
  <si>
    <t xml:space="preserve">From Dimension usage.</t>
  </si>
  <si>
    <t xml:space="preserve">Mappings off the agreed source</t>
  </si>
  <si>
    <t xml:space="preserve">Usages whose mapping table differs from the agreed one.</t>
  </si>
  <si>
    <t xml:space="preserve">Dimension usage</t>
  </si>
  <si>
    <t xml:space="preserve">Short name.</t>
  </si>
  <si>
    <t xml:space="preserve">Dimension</t>
  </si>
  <si>
    <t xml:space="preserve">The cut.</t>
  </si>
  <si>
    <t xml:space="preserve">Mapping source table</t>
  </si>
  <si>
    <t xml:space="preserve">The table the product actually takes this cut from.</t>
  </si>
  <si>
    <t xml:space="preserve">Matches agreed source?</t>
  </si>
  <si>
    <t xml:space="preserve">Yes, No, or blank when no agreed source is set yet.</t>
  </si>
  <si>
    <t xml:space="preserve">No</t>
  </si>
  <si>
    <t xml:space="preserve">Incidents</t>
  </si>
  <si>
    <t xml:space="preserve">Incident ID</t>
  </si>
  <si>
    <t xml:space="preserve">I-001</t>
  </si>
  <si>
    <t xml:space="preserve">Date</t>
  </si>
  <si>
    <t xml:space="preserve">When it was reported.</t>
  </si>
  <si>
    <t xml:space="preserve">2026-10-06</t>
  </si>
  <si>
    <t xml:space="preserve">Where it was noticed.</t>
  </si>
  <si>
    <t xml:space="preserve">Symptom</t>
  </si>
  <si>
    <t xml:space="preserve">The category of what people saw.</t>
  </si>
  <si>
    <t xml:space="preserve">Wrong number</t>
  </si>
  <si>
    <t xml:space="preserve">What was reported</t>
  </si>
  <si>
    <t xml:space="preserve">In the reporter's words, shortened.</t>
  </si>
  <si>
    <t xml:space="preserve">Finance cycle time showed 180 days.</t>
  </si>
  <si>
    <t xml:space="preserve">Root stage</t>
  </si>
  <si>
    <t xml:space="preserve">Where the problem was introduced, read from the fix, not the symptom.</t>
  </si>
  <si>
    <t xml:space="preserve">Manual step</t>
  </si>
  <si>
    <t xml:space="preserve">Root cause (plain words)</t>
  </si>
  <si>
    <t xml:space="preserve">The capacity sheet was uploaded with last month's tab.</t>
  </si>
  <si>
    <t xml:space="preserve">Tables or fields involved</t>
  </si>
  <si>
    <t xml:space="preserve">By name.</t>
  </si>
  <si>
    <t xml:space="preserve">TA capacity sheet</t>
  </si>
  <si>
    <t xml:space="preserve">Time to resolve (hours)</t>
  </si>
  <si>
    <t xml:space="preserve">Reported by</t>
  </si>
  <si>
    <t xml:space="preserve">Finance HRBP</t>
  </si>
  <si>
    <t xml:space="preserve">Fixed by</t>
  </si>
  <si>
    <t xml:space="preserve">Analyst A</t>
  </si>
  <si>
    <t xml:space="preserve">Recurring?</t>
  </si>
  <si>
    <t xml:space="preserve">Yes when the same symptom has happened before.</t>
  </si>
  <si>
    <t xml:space="preserve">Yes</t>
  </si>
  <si>
    <t xml:space="preserve">Ticket number, link.</t>
  </si>
  <si>
    <t xml:space="preserve">Decision log</t>
  </si>
  <si>
    <t xml:space="preserve">Decision ID</t>
  </si>
  <si>
    <t xml:space="preserve">DL-001</t>
  </si>
  <si>
    <t xml:space="preserve">2026-10-20</t>
  </si>
  <si>
    <t xml:space="preserve">Decision</t>
  </si>
  <si>
    <t xml:space="preserve">What was agreed, in one or two sentences.</t>
  </si>
  <si>
    <t xml:space="preserve">Cycle time is measured from approval to offer acceptance. The posted-to-start variant is renamed Time to start.</t>
  </si>
  <si>
    <t xml:space="preserve">Relates to</t>
  </si>
  <si>
    <t xml:space="preserve">Metrics, tables, products or fields, by name.</t>
  </si>
  <si>
    <t xml:space="preserve">Cycle time (approved to accepted), Cycle time (posted to start)</t>
  </si>
  <si>
    <t xml:space="preserve">Agreed by</t>
  </si>
  <si>
    <t xml:space="preserve">TAAA lead, Team Opportunity lead</t>
  </si>
  <si>
    <t xml:space="preserve">Follow-up</t>
  </si>
  <si>
    <t xml:space="preserve">What has to happen now, and who does it.</t>
  </si>
  <si>
    <t xml:space="preserve">Rename on the recruiter view by end of month.</t>
  </si>
  <si>
    <t xml:space="preserve">Status</t>
  </si>
  <si>
    <t xml:space="preserve">Agreed</t>
  </si>
  <si>
    <t xml:space="preserve">Questions</t>
  </si>
  <si>
    <t xml:space="preserve">Question ID</t>
  </si>
  <si>
    <t xml:space="preserve">Q-001</t>
  </si>
  <si>
    <t xml:space="preserve">Raised on</t>
  </si>
  <si>
    <t xml:space="preserve">Which sheet the question is about.</t>
  </si>
  <si>
    <t xml:space="preserve">About</t>
  </si>
  <si>
    <t xml:space="preserve">The row it concerns, by name.</t>
  </si>
  <si>
    <t xml:space="preserve">Cycle time (posted to start)</t>
  </si>
  <si>
    <t xml:space="preserve">Question</t>
  </si>
  <si>
    <t xml:space="preserve">Written so a person who was not there can answer it in one line.</t>
  </si>
  <si>
    <t xml:space="preserve">Two formulas carry the name Cycle Time. Which is the official definition?</t>
  </si>
  <si>
    <t xml:space="preserve">What was seen</t>
  </si>
  <si>
    <t xml:space="preserve">The evidence: both formulas, both file names.</t>
  </si>
  <si>
    <t xml:space="preserve">Scorecard: approval to acceptance. Recruiter view: posted to start.</t>
  </si>
  <si>
    <t xml:space="preserve">Open</t>
  </si>
  <si>
    <t xml:space="preserve">Answer</t>
  </si>
  <si>
    <t xml:space="preserve">Answered by</t>
  </si>
  <si>
    <t xml:space="preserve">Answered on</t>
  </si>
  <si>
    <t xml:space="preserve">One row per thing people look at: the scorecard, dashboards, sent reports, data pulls. What it reads comes from the Product inputs sheet.</t>
  </si>
  <si>
    <t xml:space="preserve">h_reads_ids</t>
  </si>
  <si>
    <t xml:space="preserve">h_fed_ids</t>
  </si>
  <si>
    <t xml:space="preserve">One row per table or spreadsheet a product reads directly. Type names; the grey columns resolve them. This is where 'reads from tables, or tables and sheets' is answered.</t>
  </si>
  <si>
    <t xml:space="preserve">h_product_id</t>
  </si>
  <si>
    <t xml:space="preserve">h_table_id</t>
  </si>
  <si>
    <t xml:space="preserve">One row per distinct definition. Same rule on a different cut or tab = one row. Same name with a different rule = two rows in one family.</t>
  </si>
  <si>
    <t xml:space="preserve">h_tables_ids</t>
  </si>
  <si>
    <t xml:space="preserve">h_defkey</t>
  </si>
  <si>
    <t xml:space="preserve">One row per place a metric appears. Type the two names; the grey columns resolve them.</t>
  </si>
  <si>
    <t xml:space="preserve">h_metric_id</t>
  </si>
  <si>
    <t xml:space="preserve">Every table or file a product or script reads or writes: warehouse tables, our own tables, other teams' tables, hand-kept spreadsheets. Lineage comes from Built from; refresh comes from the script that builds it.</t>
  </si>
  <si>
    <t xml:space="preserve">h_built_from_ids</t>
  </si>
  <si>
    <t xml:space="preserve">h_built_by_id</t>
  </si>
  <si>
    <t xml:space="preserve">h_p1</t>
  </si>
  <si>
    <t xml:space="preserve">h_p2</t>
  </si>
  <si>
    <t xml:space="preserve">h_p3</t>
  </si>
  <si>
    <t xml:space="preserve">h_p4</t>
  </si>
  <si>
    <t xml:space="preserve">Every notebook, SQL file, workflow or by-hand process that moves data: what it reads, what it writes, what product it feeds, when it runs and who finds out when it fails.</t>
  </si>
  <si>
    <t xml:space="preserve">h_writes_ids</t>
  </si>
  <si>
    <t xml:space="preserve">h_feeds_ids</t>
  </si>
  <si>
    <t xml:space="preserve">The columns the metrics need. Raw = taken as is from a table. Derived = computed by a rule written in Logic; every Derived row is a business rule living somewhere.</t>
  </si>
  <si>
    <t xml:space="preserve">h_derived_ids</t>
  </si>
  <si>
    <t xml:space="preserve">One row per field a metric uses, with the role the field plays.</t>
  </si>
  <si>
    <t xml:space="preserve">h_field_id</t>
  </si>
  <si>
    <t xml:space="preserve">h_products</t>
  </si>
  <si>
    <t xml:space="preserve">The cuts: org, level, location, recruiter. Each should have one agreed source; the usage sheet shows where products slice the same way from different tables.</t>
  </si>
  <si>
    <t xml:space="preserve">h_agreed_id</t>
  </si>
  <si>
    <t xml:space="preserve">Which products cut by which dimension, using which mapping table. Two products slicing by the same name from different tables will not agree.</t>
  </si>
  <si>
    <t xml:space="preserve">h_dimension_id</t>
  </si>
  <si>
    <t xml:space="preserve">h_mapping_id</t>
  </si>
  <si>
    <t xml:space="preserve">Where the data is born: the systems recruiters and candidates actually use. People fill this; the tools never guess it.</t>
  </si>
  <si>
    <t xml:space="preserve">The fixed list of metric families. A family is the business question a metric answers. Old category names are kept so nothing is lost; edit the questions, not the idea.</t>
  </si>
  <si>
    <t xml:space="preserve">How much hiring is asked of us?</t>
  </si>
  <si>
    <t xml:space="preserve">Requisition demand</t>
  </si>
  <si>
    <t xml:space="preserve">Requisitions created or approved, hiring plan against actual.</t>
  </si>
  <si>
    <t xml:space="preserve">Reqs approved; Hiring plan vs actual</t>
  </si>
  <si>
    <t xml:space="preserve">How many openings are open right now?</t>
  </si>
  <si>
    <t xml:space="preserve">Open requisitions</t>
  </si>
  <si>
    <t xml:space="preserve">Open requisition counts, ageing, point-in-time snapshots.</t>
  </si>
  <si>
    <t xml:space="preserve">Open reqs; Average open live reqs; Req ageing</t>
  </si>
  <si>
    <t xml:space="preserve">How many people are in the pipeline?</t>
  </si>
  <si>
    <t xml:space="preserve">Pipeline</t>
  </si>
  <si>
    <t xml:space="preserve">Active candidates by stage.</t>
  </si>
  <si>
    <t xml:space="preserve">Candidates in process; Pipeline by stage</t>
  </si>
  <si>
    <t xml:space="preserve">How many apply?</t>
  </si>
  <si>
    <t xml:space="preserve">Applications</t>
  </si>
  <si>
    <t xml:space="preserve">Application volume and applications per requisition.</t>
  </si>
  <si>
    <t xml:space="preserve">Applications; Apps per req</t>
  </si>
  <si>
    <t xml:space="preserve">Where do candidates come from?</t>
  </si>
  <si>
    <t xml:space="preserve">Source mix</t>
  </si>
  <si>
    <t xml:space="preserve">Share of applicants or hires by source or channel.</t>
  </si>
  <si>
    <t xml:space="preserve">% referrals; % sourced; % internal</t>
  </si>
  <si>
    <t xml:space="preserve">How many interviews do we run?</t>
  </si>
  <si>
    <t xml:space="preserve">Interview volume</t>
  </si>
  <si>
    <t xml:space="preserve">Interview and results-card counts.</t>
  </si>
  <si>
    <t xml:space="preserve">Interviews completed; Results cards</t>
  </si>
  <si>
    <t xml:space="preserve">Who gets through each stage?</t>
  </si>
  <si>
    <t xml:space="preserve">Conversion</t>
  </si>
  <si>
    <t xml:space="preserve">Pass and conversion rates between stages.</t>
  </si>
  <si>
    <t xml:space="preserve">First-round pass rate; App-to-offer conversion</t>
  </si>
  <si>
    <t xml:space="preserve">How many offers do we make?</t>
  </si>
  <si>
    <t xml:space="preserve">Offers</t>
  </si>
  <si>
    <t xml:space="preserve">Offer counts.</t>
  </si>
  <si>
    <t xml:space="preserve">Offers extended</t>
  </si>
  <si>
    <t xml:space="preserve">Do candidates accept our offers?</t>
  </si>
  <si>
    <t xml:space="preserve">Offer acceptance</t>
  </si>
  <si>
    <t xml:space="preserve">Accepted offers over offers extended.</t>
  </si>
  <si>
    <t xml:space="preserve">Offer accept rate; Accept rate by level</t>
  </si>
  <si>
    <t xml:space="preserve">What do we offer?</t>
  </si>
  <si>
    <t xml:space="preserve">Offer terms</t>
  </si>
  <si>
    <t xml:space="preserve">Pay, bonus and position in range on offers.</t>
  </si>
  <si>
    <t xml:space="preserve">% with sign-on; % at max of range</t>
  </si>
  <si>
    <t xml:space="preserve">How many do we hire?</t>
  </si>
  <si>
    <t xml:space="preserve">Hires</t>
  </si>
  <si>
    <t xml:space="preserve">Hire counts, hires against demand.</t>
  </si>
  <si>
    <t xml:space="preserve">Hires; Hires against plan</t>
  </si>
  <si>
    <t xml:space="preserve">Elapsed days between two events in the hiring process, any pair.</t>
  </si>
  <si>
    <t xml:space="preserve">Approved to accepted; Posted to start; App to offer</t>
  </si>
  <si>
    <t xml:space="preserve">Are the hires good?</t>
  </si>
  <si>
    <t xml:space="preserve">Quality of hire</t>
  </si>
  <si>
    <t xml:space="preserve">Early performance, hiring-manager rating.</t>
  </si>
  <si>
    <t xml:space="preserve">90-day rating; New-hire survey</t>
  </si>
  <si>
    <t xml:space="preserve">Do our processes pass review?</t>
  </si>
  <si>
    <t xml:space="preserve">QA pass rate</t>
  </si>
  <si>
    <t xml:space="preserve">Requisition, offer and decline quality checks.</t>
  </si>
  <si>
    <t xml:space="preserve">% passed req QA</t>
  </si>
  <si>
    <t xml:space="preserve">Are we hiring a diverse slate?</t>
  </si>
  <si>
    <t xml:space="preserve">Diversity</t>
  </si>
  <si>
    <t xml:space="preserve">Representation at each stage.</t>
  </si>
  <si>
    <t xml:space="preserve">% women in slate; Offer rate by group</t>
  </si>
  <si>
    <t xml:space="preserve">How much does each recruiter carry?</t>
  </si>
  <si>
    <t xml:space="preserve">Recruiter load</t>
  </si>
  <si>
    <t xml:space="preserve">Load per recruiter or team.</t>
  </si>
  <si>
    <t xml:space="preserve">Reqs per recruiter; Hires per recruiter</t>
  </si>
  <si>
    <t xml:space="preserve">Do we have enough recruiters?</t>
  </si>
  <si>
    <t xml:space="preserve">TA capacity</t>
  </si>
  <si>
    <t xml:space="preserve">Capacity of the TA team against demand.</t>
  </si>
  <si>
    <t xml:space="preserve">Capacity vs demand; Team headcount</t>
  </si>
  <si>
    <t xml:space="preserve">What does hiring cost?</t>
  </si>
  <si>
    <t xml:space="preserve">Cost</t>
  </si>
  <si>
    <t xml:space="preserve">Cost per hire, agency spend, operating cost.</t>
  </si>
  <si>
    <t xml:space="preserve">Cost per hire; Agency fees</t>
  </si>
  <si>
    <t xml:space="preserve">Do our hires stay?</t>
  </si>
  <si>
    <t xml:space="preserve">Early attrition</t>
  </si>
  <si>
    <t xml:space="preserve">Attrition and retention of recent hires.</t>
  </si>
  <si>
    <t xml:space="preserve">90-day attrition; First-year retention</t>
  </si>
  <si>
    <t xml:space="preserve">How is the TA organisation itself doing?</t>
  </si>
  <si>
    <t xml:space="preserve">Org health</t>
  </si>
  <si>
    <t xml:space="preserve">Measures about the TA team, not about the hiring flow.</t>
  </si>
  <si>
    <t xml:space="preserve">Engagement; Span of control</t>
  </si>
  <si>
    <t xml:space="preserve">Every time a number was wrong, stale or missing. Starts empty; fill it as things come up. Counted by root stage, it becomes the root-cause chart.</t>
  </si>
  <si>
    <t xml:space="preserve">h_involved_ids</t>
  </si>
  <si>
    <t xml:space="preserve">Every agreement, retirement or definition sign-off, with date and who agreed. People only. The record that stops things being relitigated.</t>
  </si>
  <si>
    <t xml:space="preserve">h_relates_ids</t>
  </si>
  <si>
    <t xml:space="preserve">Anything a tool could not settle from the files. Each sits next to the row it is about. Work the Open rows down; the answer goes back into the row.</t>
  </si>
  <si>
    <t xml:space="preserve">h_row_id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</si>
</sst>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3A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0B1F3A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7B3A"/>
      <name val="Arial"/>
      <family val="0"/>
      <charset val="1"/>
    </font>
    <font>
      <b val="true"/>
      <sz val="10"/>
      <color rgb="FFB7791F"/>
      <name val="Arial"/>
      <family val="0"/>
      <charset val="1"/>
    </font>
    <font>
      <b val="true"/>
      <sz val="12"/>
      <color rgb="FF0B1F3A"/>
      <name val="Arial"/>
      <family val="0"/>
      <charset val="1"/>
    </font>
    <font>
      <b val="true"/>
      <sz val="14"/>
      <color rgb="FFB85042"/>
      <name val="Arial"/>
      <family val="0"/>
      <charset val="1"/>
    </font>
    <font>
      <b val="true"/>
      <u val="single"/>
      <sz val="11"/>
      <color rgb="FF0B1F3A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6B7280"/>
      <name val="Arial"/>
      <family val="0"/>
      <charset val="1"/>
    </font>
    <font>
      <sz val="8"/>
      <color rgb="FF6B7280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sz val="10"/>
      <color rgb="FF1E7B3A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B1F3A"/>
        <bgColor rgb="FF1F2933"/>
      </patternFill>
    </fill>
    <fill>
      <patternFill patternType="solid">
        <fgColor rgb="FFEAF0F5"/>
        <bgColor rgb="FFF3F4F6"/>
      </patternFill>
    </fill>
    <fill>
      <patternFill patternType="solid">
        <fgColor rgb="FFFFF8DC"/>
        <bgColor rgb="FFF3F4F6"/>
      </patternFill>
    </fill>
    <fill>
      <patternFill patternType="solid">
        <fgColor rgb="FFF3F4F6"/>
        <bgColor rgb="FFEAF0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B1F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EAF0F5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1E7B3A"/>
          <bgColor rgb="FF000000"/>
        </patternFill>
      </fill>
    </dxf>
    <dxf>
      <font>
        <name val="Arial"/>
        <charset val="1"/>
        <family val="0"/>
        <b val="1"/>
        <color rgb="FFB85042"/>
      </font>
    </dxf>
    <dxf>
      <font>
        <name val="Arial"/>
        <charset val="1"/>
        <family val="0"/>
        <b val="1"/>
        <color rgb="FFB7791F"/>
      </font>
    </dxf>
    <dxf>
      <font>
        <name val="Arial"/>
        <charset val="1"/>
        <family val="0"/>
        <b val="1"/>
        <color rgb="FF1E7B3A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A"/>
      <rgbColor rgb="FF000080"/>
      <rgbColor rgb="FFB7791F"/>
      <rgbColor rgb="FF800080"/>
      <rgbColor rgb="FF008080"/>
      <rgbColor rgb="FFC0C0C0"/>
      <rgbColor rgb="FF808080"/>
      <rgbColor rgb="FF9999FF"/>
      <rgbColor rgb="FFB85042"/>
      <rgbColor rgb="FFFFF8DC"/>
      <rgbColor rgb="FFEAF0F5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4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/>
      <c r="B5" s="4"/>
    </row>
    <row r="6" customFormat="false" ht="23.8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23.85" hidden="false" customHeight="false" outlineLevel="0" collapsed="false">
      <c r="A8" s="3" t="s">
        <v>8</v>
      </c>
      <c r="B8" s="4" t="s">
        <v>9</v>
      </c>
    </row>
    <row r="9" customFormat="false" ht="15" hidden="false" customHeight="false" outlineLevel="0" collapsed="false">
      <c r="A9" s="3"/>
      <c r="B9" s="4"/>
    </row>
    <row r="10" customFormat="false" ht="23.85" hidden="false" customHeight="false" outlineLevel="0" collapsed="false">
      <c r="A10" s="3" t="s">
        <v>10</v>
      </c>
      <c r="B10" s="4" t="s">
        <v>11</v>
      </c>
    </row>
    <row r="11" customFormat="false" ht="23.85" hidden="false" customHeight="false" outlineLevel="0" collapsed="false">
      <c r="A11" s="3" t="s">
        <v>12</v>
      </c>
      <c r="B11" s="4" t="s">
        <v>13</v>
      </c>
    </row>
    <row r="12" customFormat="false" ht="15" hidden="false" customHeight="false" outlineLevel="0" collapsed="false">
      <c r="A12" s="3"/>
      <c r="B12" s="4"/>
    </row>
    <row r="13" customFormat="false" ht="15" hidden="false" customHeight="false" outlineLevel="0" collapsed="false">
      <c r="A13" s="3" t="s">
        <v>14</v>
      </c>
      <c r="B13" s="4"/>
    </row>
    <row r="14" customFormat="false" ht="15" hidden="false" customHeight="false" outlineLevel="0" collapsed="false">
      <c r="A14" s="5" t="s">
        <v>15</v>
      </c>
      <c r="B14" s="4" t="s">
        <v>16</v>
      </c>
    </row>
    <row r="15" customFormat="false" ht="15" hidden="false" customHeight="false" outlineLevel="0" collapsed="false">
      <c r="A15" s="6" t="s">
        <v>17</v>
      </c>
      <c r="B15" s="4" t="s">
        <v>18</v>
      </c>
    </row>
    <row r="16" customFormat="false" ht="15" hidden="false" customHeight="false" outlineLevel="0" collapsed="false">
      <c r="A16" s="7" t="s">
        <v>19</v>
      </c>
      <c r="B16" s="4" t="s">
        <v>20</v>
      </c>
    </row>
    <row r="17" customFormat="false" ht="15" hidden="false" customHeight="false" outlineLevel="0" collapsed="false">
      <c r="A17" s="8" t="s">
        <v>21</v>
      </c>
      <c r="B17" s="4" t="s">
        <v>22</v>
      </c>
    </row>
    <row r="18" customFormat="false" ht="15" hidden="false" customHeight="false" outlineLevel="0" collapsed="false">
      <c r="A18" s="9" t="s">
        <v>23</v>
      </c>
      <c r="B18" s="4" t="s">
        <v>24</v>
      </c>
    </row>
    <row r="19" customFormat="false" ht="15" hidden="false" customHeight="false" outlineLevel="0" collapsed="false">
      <c r="A19" s="10" t="s">
        <v>25</v>
      </c>
      <c r="B19" s="4" t="s">
        <v>26</v>
      </c>
    </row>
    <row r="20" customFormat="false" ht="15" hidden="false" customHeight="false" outlineLevel="0" collapsed="false">
      <c r="A20" s="3"/>
      <c r="B20" s="4"/>
    </row>
    <row r="21" customFormat="false" ht="23.85" hidden="false" customHeight="false" outlineLevel="0" collapsed="false">
      <c r="A21" s="3" t="s">
        <v>27</v>
      </c>
      <c r="B21" s="4" t="s">
        <v>28</v>
      </c>
    </row>
    <row r="22" customFormat="false" ht="15" hidden="false" customHeight="false" outlineLevel="0" collapsed="false">
      <c r="A22" s="3" t="s">
        <v>29</v>
      </c>
      <c r="B22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11" t="s">
        <v>33</v>
      </c>
    </row>
    <row r="5" customFormat="false" ht="17.35" hidden="false" customHeight="false" outlineLevel="0" collapsed="false">
      <c r="A5" s="12" t="n">
        <f aca="false">COUNTA(Metrics!$A$5:$A$304)</f>
        <v>0</v>
      </c>
      <c r="B5" s="13" t="str">
        <f aca="false">HYPERLINK("#Metrics!A4","Metrics in the inventory")</f>
        <v>Metrics in the inventory</v>
      </c>
      <c r="C5" s="14" t="s">
        <v>34</v>
      </c>
    </row>
    <row r="6" customFormat="false" ht="17.35" hidden="false" customHeight="false" outlineLevel="0" collapsed="false">
      <c r="A6" s="12" t="n">
        <f aca="false">SUMPRODUCT((Metrics!$A$5:$A$304&lt;&gt;"")*(Metrics!$O$5:$O$304=0))</f>
        <v>0</v>
      </c>
      <c r="B6" s="13" t="str">
        <f aca="false">HYPERLINK("#Metrics!A4","Metrics with a definition nobody else has")</f>
        <v>Metrics with a definition nobody else has</v>
      </c>
      <c r="C6" s="14" t="s">
        <v>35</v>
      </c>
    </row>
    <row r="7" customFormat="false" ht="17.35" hidden="false" customHeight="false" outlineLevel="0" collapsed="false">
      <c r="A7" s="12" t="n">
        <f aca="false">SUMPRODUCT((Metrics!$A$5:$A$304&lt;&gt;"")*(Metrics!$O$5:$O$304&gt;0))</f>
        <v>0</v>
      </c>
      <c r="B7" s="13" t="str">
        <f aca="false">HYPERLINK("#Metrics!A4","Metrics that share a definition with another row")</f>
        <v>Metrics that share a definition with another row</v>
      </c>
      <c r="C7" s="14" t="s">
        <v>36</v>
      </c>
    </row>
    <row r="8" customFormat="false" ht="17.35" hidden="false" customHeight="false" outlineLevel="0" collapsed="false">
      <c r="A8" s="12" t="n">
        <f aca="false">SUMPRODUCT((Families!$A$5:$A$44&lt;&gt;"")*(Families!$E$5:$E$44&gt;1))</f>
        <v>0</v>
      </c>
      <c r="B8" s="13" t="str">
        <f aca="false">HYPERLINK("#Families!A4","Families with more than one definition")</f>
        <v>Families with more than one definition</v>
      </c>
      <c r="C8" s="14" t="s">
        <v>37</v>
      </c>
    </row>
    <row r="9" customFormat="false" ht="23.85" hidden="false" customHeight="false" outlineLevel="0" collapsed="false">
      <c r="A9" s="12" t="n">
        <f aca="false">SUMPRODUCT((Metrics!$A$5:$A$304&lt;&gt;"")*(Metrics!$K$5:$K$304&gt;1))</f>
        <v>0</v>
      </c>
      <c r="B9" s="13" t="str">
        <f aca="false">HYPERLINK("#Metrics!A4","Metrics pulled from more than one table")</f>
        <v>Metrics pulled from more than one table</v>
      </c>
      <c r="C9" s="14" t="s">
        <v>38</v>
      </c>
    </row>
    <row r="10" customFormat="false" ht="17.35" hidden="false" customHeight="false" outlineLevel="0" collapsed="false">
      <c r="A10" s="12" t="n">
        <f aca="false">SUMPRODUCT((Metrics!$A$5:$A$304&lt;&gt;"")*(Metrics!$D$5:$D$304=""))</f>
        <v>0</v>
      </c>
      <c r="B10" s="13" t="str">
        <f aca="false">HYPERLINK("#Metrics!A4","Metrics with no definition")</f>
        <v>Metrics with no definition</v>
      </c>
      <c r="C10" s="14" t="s">
        <v>39</v>
      </c>
    </row>
    <row r="12" customFormat="false" ht="15" hidden="false" customHeight="false" outlineLevel="0" collapsed="false">
      <c r="A12" s="11" t="s">
        <v>40</v>
      </c>
    </row>
    <row r="13" customFormat="false" ht="17.35" hidden="false" customHeight="false" outlineLevel="0" collapsed="false">
      <c r="A13" s="12" t="n">
        <f aca="false">COUNTA(Tables!$A$5:$A$304)</f>
        <v>0</v>
      </c>
      <c r="B13" s="13" t="str">
        <f aca="false">HYPERLINK("#Tables!A4","Tables in the inventory")</f>
        <v>Tables in the inventory</v>
      </c>
      <c r="C13" s="14" t="s">
        <v>41</v>
      </c>
    </row>
    <row r="14" customFormat="false" ht="17.35" hidden="false" customHeight="false" outlineLevel="0" collapsed="false">
      <c r="A14" s="12" t="n">
        <f aca="false">SUMPRODUCT((Tables!$A$5:$A$304&lt;&gt;"")*(ISNUMBER(Tables!$O$5:$O$304))*(Tables!$O$5:$O$304&gt;=2))+COUNTIF(Tables!$O$5:$O$304,"4+")</f>
        <v>0</v>
      </c>
      <c r="B14" s="13" t="str">
        <f aca="false">HYPERLINK("#Tables!A4","Stacked tables (depth 2 or more)")</f>
        <v>Stacked tables (depth 2 or more)</v>
      </c>
      <c r="C14" s="14" t="s">
        <v>42</v>
      </c>
    </row>
    <row r="15" customFormat="false" ht="17.35" hidden="false" customHeight="false" outlineLevel="0" collapsed="false">
      <c r="A15" s="12" t="n">
        <f aca="false">COUNTIF(Tables!$D$5:$D$304,"Manual spreadsheet")</f>
        <v>0</v>
      </c>
      <c r="B15" s="13" t="str">
        <f aca="false">HYPERLINK("#Tables!A4","Hand-maintained spreadsheets in the chain")</f>
        <v>Hand-maintained spreadsheets in the chain</v>
      </c>
      <c r="C15" s="14" t="s">
        <v>43</v>
      </c>
    </row>
    <row r="16" customFormat="false" ht="17.35" hidden="false" customHeight="false" outlineLevel="0" collapsed="false">
      <c r="A16" s="12" t="n">
        <f aca="false">SUMPRODUCT((Tables!$D$5:$D$304="Team custom")*(Tables!$H$5:$H$304=""))</f>
        <v>0</v>
      </c>
      <c r="B16" s="13" t="str">
        <f aca="false">HYPERLINK("#Tables!A4","Custom tables with no known builder")</f>
        <v>Custom tables with no known builder</v>
      </c>
      <c r="C16" s="14" t="s">
        <v>44</v>
      </c>
    </row>
    <row r="17" customFormat="false" ht="17.35" hidden="false" customHeight="false" outlineLevel="0" collapsed="false">
      <c r="A17" s="12" t="n">
        <f aca="false">SUMPRODUCT((Tables!$D$5:$D$304="Team custom")*(Tables!$S$5:$S$304=0))</f>
        <v>0</v>
      </c>
      <c r="B17" s="13" t="str">
        <f aca="false">HYPERLINK("#Tables!A4","Custom tables no metric depends on")</f>
        <v>Custom tables no metric depends on</v>
      </c>
      <c r="C17" s="14" t="s">
        <v>45</v>
      </c>
    </row>
    <row r="18" customFormat="false" ht="17.35" hidden="false" customHeight="false" outlineLevel="0" collapsed="false">
      <c r="A18" s="12" t="n">
        <f aca="false">SUMPRODUCT((Tables!$A$5:$A$304&lt;&gt;"")*((Tables!$D$5:$D$304="HRDW")+(Tables!$D$5:$D$304="Platform extract"))*(Tables!$E$5:$E$304=""))</f>
        <v>0</v>
      </c>
      <c r="B18" s="13" t="str">
        <f aca="false">HYPERLINK("#Tables!A4","Source tables with no platform recorded")</f>
        <v>Source tables with no platform recorded</v>
      </c>
      <c r="C18" s="14" t="s">
        <v>46</v>
      </c>
    </row>
    <row r="20" customFormat="false" ht="15" hidden="false" customHeight="false" outlineLevel="0" collapsed="false">
      <c r="A20" s="11" t="s">
        <v>47</v>
      </c>
    </row>
    <row r="21" customFormat="false" ht="17.35" hidden="false" customHeight="false" outlineLevel="0" collapsed="false">
      <c r="A21" s="12" t="n">
        <f aca="false">COUNTA(Products!$A$5:$A$154)</f>
        <v>0</v>
      </c>
      <c r="B21" s="13" t="str">
        <f aca="false">HYPERLINK("#Products!A4","Products in the inventory")</f>
        <v>Products in the inventory</v>
      </c>
      <c r="C21" s="14"/>
    </row>
    <row r="22" customFormat="false" ht="17.35" hidden="false" customHeight="false" outlineLevel="0" collapsed="false">
      <c r="A22" s="12" t="n">
        <f aca="false">COUNTIF(Products!$P$5:$P$154,"Automated")</f>
        <v>0</v>
      </c>
      <c r="B22" s="13" t="str">
        <f aca="false">HYPERLINK("#Products!A4","Automated end to end")</f>
        <v>Automated end to end</v>
      </c>
      <c r="C22" s="14"/>
    </row>
    <row r="23" customFormat="false" ht="17.35" hidden="false" customHeight="false" outlineLevel="0" collapsed="false">
      <c r="A23" s="12" t="n">
        <f aca="false">COUNTIF(Products!$P$5:$P$154,"Partly manual")+COUNTIF(Products!$P$5:$P$154,"Manual")</f>
        <v>0</v>
      </c>
      <c r="B23" s="13" t="str">
        <f aca="false">HYPERLINK("#Products!A4","Partly manual or manual")</f>
        <v>Partly manual or manual</v>
      </c>
      <c r="C23" s="14" t="s">
        <v>48</v>
      </c>
    </row>
    <row r="24" customFormat="false" ht="17.35" hidden="false" customHeight="false" outlineLevel="0" collapsed="false">
      <c r="A24" s="12" t="n">
        <f aca="false">COUNTIF(Products!$O$5:$O$154,"Pasted by hand")</f>
        <v>0</v>
      </c>
      <c r="B24" s="13" t="str">
        <f aca="false">HYPERLINK("#Products!A4","Products where numbers are pasted in by hand")</f>
        <v>Products where numbers are pasted in by hand</v>
      </c>
      <c r="C24" s="14" t="s">
        <v>49</v>
      </c>
    </row>
    <row r="25" customFormat="false" ht="17.35" hidden="false" customHeight="false" outlineLevel="0" collapsed="false">
      <c r="A25" s="12" t="n">
        <f aca="false">SUMPRODUCT((Products!$A$5:$A$154&lt;&gt;"")*(Products!$T$5:$T$154&gt;0))</f>
        <v>0</v>
      </c>
      <c r="B25" s="13" t="str">
        <f aca="false">HYPERLINK("#Products!A4","Products reading a hand-maintained spreadsheet")</f>
        <v>Products reading a hand-maintained spreadsheet</v>
      </c>
      <c r="C25" s="14"/>
    </row>
    <row r="26" customFormat="false" ht="17.35" hidden="false" customHeight="false" outlineLevel="0" collapsed="false">
      <c r="A26" s="12" t="n">
        <f aca="false">COUNTIF(Scripts!$M$5:$M$304,"Manual run")</f>
        <v>0</v>
      </c>
      <c r="B26" s="13" t="str">
        <f aca="false">HYPERLINK("#Scripts!A4","Scripts someone has to start by hand")</f>
        <v>Scripts someone has to start by hand</v>
      </c>
      <c r="C26" s="14"/>
    </row>
    <row r="27" customFormat="false" ht="17.35" hidden="false" customHeight="false" outlineLevel="0" collapsed="false">
      <c r="A27" s="12" t="n">
        <f aca="false">COUNTIF(Scripts!$O$5:$O$304,"Nobody is told")</f>
        <v>0</v>
      </c>
      <c r="B27" s="13" t="str">
        <f aca="false">HYPERLINK("#Scripts!A4","Scripts nobody is told about when they fail")</f>
        <v>Scripts nobody is told about when they fail</v>
      </c>
      <c r="C27" s="14"/>
    </row>
    <row r="28" customFormat="false" ht="17.35" hidden="false" customHeight="false" outlineLevel="0" collapsed="false">
      <c r="A28" s="12" t="n">
        <f aca="false">COUNTIF('Dimension usage'!$G$5:$G$404,"No")</f>
        <v>0</v>
      </c>
      <c r="B28" s="13" t="str">
        <f aca="false">HYPERLINK("#'Dimension usage'!A4","Dimension cuts taken from the wrong table")</f>
        <v>Dimension cuts taken from the wrong table</v>
      </c>
      <c r="C28" s="14" t="s">
        <v>50</v>
      </c>
    </row>
    <row r="30" customFormat="false" ht="15" hidden="false" customHeight="false" outlineLevel="0" collapsed="false">
      <c r="A30" s="11" t="s">
        <v>51</v>
      </c>
    </row>
    <row r="31" customFormat="false" ht="17.35" hidden="false" customHeight="false" outlineLevel="0" collapsed="false">
      <c r="A31" s="12" t="n">
        <f aca="false">COUNTIF(Products!$W$5:$W$154,"Proposed")+COUNTIF(Metrics!$T$5:$T$304,"Proposed")+COUNTIF(Tables!$Y$5:$Y$304,"Proposed")+COUNTIF(Scripts!$R$5:$R$304,"Proposed")+COUNTIF(Fields!$S$5:$S$704,"Proposed")</f>
        <v>0</v>
      </c>
      <c r="B31" s="13" t="str">
        <f aca="false">HYPERLINK("#Products!A4","Rows a tool wrote that nobody has checked")</f>
        <v>Rows a tool wrote that nobody has checked</v>
      </c>
      <c r="C31" s="14" t="s">
        <v>52</v>
      </c>
    </row>
    <row r="32" customFormat="false" ht="17.35" hidden="false" customHeight="false" outlineLevel="0" collapsed="false">
      <c r="A32" s="12" t="n">
        <f aca="false">COUNTIF(Questions!$H$5:$H$504,"Open")</f>
        <v>0</v>
      </c>
      <c r="B32" s="13" t="str">
        <f aca="false">HYPERLINK("#Questions!A4","Open questions")</f>
        <v>Open questions</v>
      </c>
      <c r="C32" s="14"/>
    </row>
    <row r="33" customFormat="false" ht="17.35" hidden="false" customHeight="false" outlineLevel="0" collapsed="false">
      <c r="A33" s="12" t="n">
        <f aca="false">COUNTIF(Incidents!$G$5:$G$504,"Unknown")</f>
        <v>0</v>
      </c>
      <c r="B33" s="13" t="str">
        <f aca="false">HYPERLINK("#Incidents!A4","Incidents with no root stage")</f>
        <v>Incidents with no root stage</v>
      </c>
      <c r="C33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15" t="s">
        <v>55</v>
      </c>
      <c r="B4" s="15" t="s">
        <v>56</v>
      </c>
      <c r="C4" s="15" t="s">
        <v>57</v>
      </c>
      <c r="D4" s="15" t="s">
        <v>58</v>
      </c>
      <c r="E4" s="15" t="s">
        <v>59</v>
      </c>
    </row>
    <row r="5" customFormat="false" ht="1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</row>
    <row r="6" customFormat="false" ht="23.85" hidden="false" customHeight="false" outlineLevel="0" collapsed="false">
      <c r="A6" s="4" t="s">
        <v>60</v>
      </c>
      <c r="B6" s="4" t="s">
        <v>65</v>
      </c>
      <c r="C6" s="4" t="s">
        <v>62</v>
      </c>
      <c r="D6" s="4" t="s">
        <v>66</v>
      </c>
      <c r="E6" s="4" t="s">
        <v>67</v>
      </c>
    </row>
    <row r="7" customFormat="false" ht="15" hidden="false" customHeight="false" outlineLevel="0" collapsed="false">
      <c r="A7" s="4" t="s">
        <v>60</v>
      </c>
      <c r="B7" s="4" t="s">
        <v>68</v>
      </c>
      <c r="C7" s="4" t="s">
        <v>62</v>
      </c>
      <c r="D7" s="4" t="s">
        <v>69</v>
      </c>
      <c r="E7" s="4" t="s">
        <v>70</v>
      </c>
    </row>
    <row r="8" customFormat="false" ht="15" hidden="false" customHeight="false" outlineLevel="0" collapsed="false">
      <c r="A8" s="4" t="s">
        <v>60</v>
      </c>
      <c r="B8" s="4" t="s">
        <v>71</v>
      </c>
      <c r="C8" s="4" t="s">
        <v>72</v>
      </c>
      <c r="D8" s="4" t="s">
        <v>73</v>
      </c>
      <c r="E8" s="4" t="s">
        <v>74</v>
      </c>
    </row>
    <row r="9" customFormat="false" ht="15" hidden="false" customHeight="false" outlineLevel="0" collapsed="false">
      <c r="A9" s="4" t="s">
        <v>60</v>
      </c>
      <c r="B9" s="4" t="s">
        <v>75</v>
      </c>
      <c r="C9" s="4" t="s">
        <v>62</v>
      </c>
      <c r="D9" s="4" t="s">
        <v>76</v>
      </c>
      <c r="E9" s="4"/>
    </row>
    <row r="10" customFormat="false" ht="15" hidden="false" customHeight="false" outlineLevel="0" collapsed="false">
      <c r="A10" s="4" t="s">
        <v>77</v>
      </c>
      <c r="B10" s="4" t="s">
        <v>78</v>
      </c>
      <c r="C10" s="4" t="s">
        <v>62</v>
      </c>
      <c r="D10" s="4" t="s">
        <v>79</v>
      </c>
      <c r="E10" s="4" t="s">
        <v>80</v>
      </c>
    </row>
    <row r="11" customFormat="false" ht="15" hidden="false" customHeight="false" outlineLevel="0" collapsed="false">
      <c r="A11" s="4" t="s">
        <v>77</v>
      </c>
      <c r="B11" s="4" t="s">
        <v>81</v>
      </c>
      <c r="C11" s="4" t="s">
        <v>62</v>
      </c>
      <c r="D11" s="4" t="s">
        <v>82</v>
      </c>
      <c r="E11" s="4" t="s">
        <v>83</v>
      </c>
    </row>
    <row r="12" customFormat="false" ht="23.85" hidden="false" customHeight="false" outlineLevel="0" collapsed="false">
      <c r="A12" s="4" t="s">
        <v>77</v>
      </c>
      <c r="B12" s="4" t="s">
        <v>84</v>
      </c>
      <c r="C12" s="4" t="s">
        <v>62</v>
      </c>
      <c r="D12" s="4" t="s">
        <v>85</v>
      </c>
      <c r="E12" s="4" t="s">
        <v>86</v>
      </c>
    </row>
    <row r="13" customFormat="false" ht="15" hidden="false" customHeight="false" outlineLevel="0" collapsed="false">
      <c r="A13" s="4" t="s">
        <v>77</v>
      </c>
      <c r="B13" s="4" t="s">
        <v>87</v>
      </c>
      <c r="C13" s="4" t="s">
        <v>62</v>
      </c>
      <c r="D13" s="4" t="s">
        <v>88</v>
      </c>
      <c r="E13" s="4" t="s">
        <v>89</v>
      </c>
    </row>
    <row r="14" customFormat="false" ht="15" hidden="false" customHeight="false" outlineLevel="0" collapsed="false">
      <c r="A14" s="4" t="s">
        <v>77</v>
      </c>
      <c r="B14" s="4" t="s">
        <v>90</v>
      </c>
      <c r="C14" s="4" t="s">
        <v>72</v>
      </c>
      <c r="D14" s="4" t="s">
        <v>91</v>
      </c>
      <c r="E14" s="4" t="s">
        <v>74</v>
      </c>
    </row>
    <row r="15" customFormat="false" ht="15" hidden="false" customHeight="false" outlineLevel="0" collapsed="false">
      <c r="A15" s="4" t="s">
        <v>92</v>
      </c>
      <c r="B15" s="4" t="s">
        <v>93</v>
      </c>
      <c r="C15" s="4" t="s">
        <v>94</v>
      </c>
      <c r="D15" s="4" t="s">
        <v>95</v>
      </c>
      <c r="E15" s="4" t="s">
        <v>96</v>
      </c>
    </row>
    <row r="16" customFormat="false" ht="15" hidden="false" customHeight="false" outlineLevel="0" collapsed="false">
      <c r="A16" s="4" t="s">
        <v>92</v>
      </c>
      <c r="B16" s="4" t="s">
        <v>97</v>
      </c>
      <c r="C16" s="4" t="s">
        <v>98</v>
      </c>
      <c r="D16" s="4" t="s">
        <v>99</v>
      </c>
      <c r="E16" s="4" t="s">
        <v>100</v>
      </c>
    </row>
    <row r="17" customFormat="false" ht="15" hidden="false" customHeight="false" outlineLevel="0" collapsed="false">
      <c r="A17" s="4" t="s">
        <v>92</v>
      </c>
      <c r="B17" s="4" t="s">
        <v>101</v>
      </c>
      <c r="C17" s="4" t="s">
        <v>98</v>
      </c>
      <c r="D17" s="4" t="s">
        <v>102</v>
      </c>
      <c r="E17" s="4" t="s">
        <v>103</v>
      </c>
    </row>
    <row r="18" customFormat="false" ht="23.85" hidden="false" customHeight="false" outlineLevel="0" collapsed="false">
      <c r="A18" s="4" t="s">
        <v>92</v>
      </c>
      <c r="B18" s="4" t="s">
        <v>104</v>
      </c>
      <c r="C18" s="4" t="s">
        <v>98</v>
      </c>
      <c r="D18" s="4" t="s">
        <v>105</v>
      </c>
      <c r="E18" s="4" t="s">
        <v>106</v>
      </c>
    </row>
    <row r="19" customFormat="false" ht="15" hidden="false" customHeight="false" outlineLevel="0" collapsed="false">
      <c r="A19" s="4" t="s">
        <v>92</v>
      </c>
      <c r="B19" s="4" t="s">
        <v>107</v>
      </c>
      <c r="C19" s="4" t="s">
        <v>98</v>
      </c>
      <c r="D19" s="4" t="s">
        <v>108</v>
      </c>
      <c r="E19" s="4" t="s">
        <v>109</v>
      </c>
    </row>
    <row r="20" customFormat="false" ht="23.85" hidden="false" customHeight="false" outlineLevel="0" collapsed="false">
      <c r="A20" s="4" t="s">
        <v>92</v>
      </c>
      <c r="B20" s="4" t="s">
        <v>110</v>
      </c>
      <c r="C20" s="4" t="s">
        <v>111</v>
      </c>
      <c r="D20" s="4" t="s">
        <v>112</v>
      </c>
      <c r="E20" s="4" t="s">
        <v>113</v>
      </c>
    </row>
    <row r="21" customFormat="false" ht="23.85" hidden="false" customHeight="false" outlineLevel="0" collapsed="false">
      <c r="A21" s="4" t="s">
        <v>92</v>
      </c>
      <c r="B21" s="4" t="s">
        <v>114</v>
      </c>
      <c r="C21" s="4" t="s">
        <v>111</v>
      </c>
      <c r="D21" s="4" t="s">
        <v>115</v>
      </c>
      <c r="E21" s="4" t="s">
        <v>116</v>
      </c>
    </row>
    <row r="22" customFormat="false" ht="15" hidden="false" customHeight="false" outlineLevel="0" collapsed="false">
      <c r="A22" s="4" t="s">
        <v>92</v>
      </c>
      <c r="B22" s="4" t="s">
        <v>68</v>
      </c>
      <c r="C22" s="4" t="s">
        <v>62</v>
      </c>
      <c r="D22" s="4" t="s">
        <v>117</v>
      </c>
      <c r="E22" s="4" t="s">
        <v>118</v>
      </c>
    </row>
    <row r="23" customFormat="false" ht="15" hidden="false" customHeight="false" outlineLevel="0" collapsed="false">
      <c r="A23" s="4" t="s">
        <v>92</v>
      </c>
      <c r="B23" s="4" t="s">
        <v>119</v>
      </c>
      <c r="C23" s="4" t="s">
        <v>98</v>
      </c>
      <c r="D23" s="4" t="s">
        <v>120</v>
      </c>
      <c r="E23" s="4" t="s">
        <v>121</v>
      </c>
    </row>
    <row r="24" customFormat="false" ht="15" hidden="false" customHeight="false" outlineLevel="0" collapsed="false">
      <c r="A24" s="4" t="s">
        <v>92</v>
      </c>
      <c r="B24" s="4" t="s">
        <v>122</v>
      </c>
      <c r="C24" s="4" t="s">
        <v>62</v>
      </c>
      <c r="D24" s="4" t="s">
        <v>123</v>
      </c>
      <c r="E24" s="4" t="s">
        <v>124</v>
      </c>
    </row>
    <row r="25" customFormat="false" ht="23.85" hidden="false" customHeight="false" outlineLevel="0" collapsed="false">
      <c r="A25" s="4" t="s">
        <v>92</v>
      </c>
      <c r="B25" s="4" t="s">
        <v>125</v>
      </c>
      <c r="C25" s="4" t="s">
        <v>94</v>
      </c>
      <c r="D25" s="4" t="s">
        <v>126</v>
      </c>
      <c r="E25" s="4" t="s">
        <v>127</v>
      </c>
    </row>
    <row r="26" customFormat="false" ht="15" hidden="false" customHeight="false" outlineLevel="0" collapsed="false">
      <c r="A26" s="4" t="s">
        <v>92</v>
      </c>
      <c r="B26" s="4" t="s">
        <v>128</v>
      </c>
      <c r="C26" s="4" t="s">
        <v>94</v>
      </c>
      <c r="D26" s="4" t="s">
        <v>129</v>
      </c>
      <c r="E26" s="4" t="s">
        <v>130</v>
      </c>
    </row>
    <row r="27" customFormat="false" ht="35.05" hidden="false" customHeight="false" outlineLevel="0" collapsed="false">
      <c r="A27" s="4" t="s">
        <v>92</v>
      </c>
      <c r="B27" s="4" t="s">
        <v>131</v>
      </c>
      <c r="C27" s="4" t="s">
        <v>62</v>
      </c>
      <c r="D27" s="4" t="s">
        <v>132</v>
      </c>
      <c r="E27" s="4" t="s">
        <v>133</v>
      </c>
    </row>
    <row r="28" customFormat="false" ht="35.05" hidden="false" customHeight="false" outlineLevel="0" collapsed="false">
      <c r="A28" s="4" t="s">
        <v>92</v>
      </c>
      <c r="B28" s="4" t="s">
        <v>134</v>
      </c>
      <c r="C28" s="4" t="s">
        <v>62</v>
      </c>
      <c r="D28" s="4" t="s">
        <v>135</v>
      </c>
      <c r="E28" s="4" t="s">
        <v>136</v>
      </c>
    </row>
    <row r="29" customFormat="false" ht="35.05" hidden="false" customHeight="false" outlineLevel="0" collapsed="false">
      <c r="A29" s="4" t="s">
        <v>92</v>
      </c>
      <c r="B29" s="4" t="s">
        <v>137</v>
      </c>
      <c r="C29" s="4" t="s">
        <v>111</v>
      </c>
      <c r="D29" s="4" t="s">
        <v>138</v>
      </c>
      <c r="E29" s="4" t="s">
        <v>139</v>
      </c>
    </row>
    <row r="30" customFormat="false" ht="15" hidden="false" customHeight="false" outlineLevel="0" collapsed="false">
      <c r="A30" s="4" t="s">
        <v>92</v>
      </c>
      <c r="B30" s="4" t="s">
        <v>140</v>
      </c>
      <c r="C30" s="4" t="s">
        <v>62</v>
      </c>
      <c r="D30" s="4" t="s">
        <v>141</v>
      </c>
      <c r="E30" s="4" t="s">
        <v>74</v>
      </c>
    </row>
    <row r="31" customFormat="false" ht="15" hidden="false" customHeight="false" outlineLevel="0" collapsed="false">
      <c r="A31" s="4" t="s">
        <v>92</v>
      </c>
      <c r="B31" s="4" t="s">
        <v>142</v>
      </c>
      <c r="C31" s="4" t="s">
        <v>72</v>
      </c>
      <c r="D31" s="4" t="s">
        <v>143</v>
      </c>
      <c r="E31" s="4" t="s">
        <v>144</v>
      </c>
    </row>
    <row r="32" customFormat="false" ht="15" hidden="false" customHeight="false" outlineLevel="0" collapsed="false">
      <c r="A32" s="4" t="s">
        <v>92</v>
      </c>
      <c r="B32" s="4" t="s">
        <v>145</v>
      </c>
      <c r="C32" s="4" t="s">
        <v>72</v>
      </c>
      <c r="D32" s="4" t="s">
        <v>146</v>
      </c>
      <c r="E32" s="4" t="s">
        <v>147</v>
      </c>
    </row>
    <row r="33" customFormat="false" ht="15" hidden="false" customHeight="false" outlineLevel="0" collapsed="false">
      <c r="A33" s="4" t="s">
        <v>92</v>
      </c>
      <c r="B33" s="4" t="s">
        <v>148</v>
      </c>
      <c r="C33" s="4" t="s">
        <v>62</v>
      </c>
      <c r="D33" s="4" t="s">
        <v>149</v>
      </c>
      <c r="E33" s="4" t="s">
        <v>150</v>
      </c>
    </row>
    <row r="34" customFormat="false" ht="15" hidden="false" customHeight="false" outlineLevel="0" collapsed="false">
      <c r="A34" s="4" t="s">
        <v>92</v>
      </c>
      <c r="B34" s="4" t="s">
        <v>75</v>
      </c>
      <c r="C34" s="4" t="s">
        <v>98</v>
      </c>
      <c r="D34" s="4" t="s">
        <v>151</v>
      </c>
      <c r="E34" s="4" t="s">
        <v>152</v>
      </c>
    </row>
    <row r="35" customFormat="false" ht="23.85" hidden="false" customHeight="false" outlineLevel="0" collapsed="false">
      <c r="A35" s="4" t="s">
        <v>92</v>
      </c>
      <c r="B35" s="4" t="s">
        <v>153</v>
      </c>
      <c r="C35" s="4" t="s">
        <v>62</v>
      </c>
      <c r="D35" s="4" t="s">
        <v>154</v>
      </c>
      <c r="E35" s="4" t="s">
        <v>155</v>
      </c>
    </row>
    <row r="36" customFormat="false" ht="15" hidden="false" customHeight="false" outlineLevel="0" collapsed="false">
      <c r="A36" s="4" t="s">
        <v>92</v>
      </c>
      <c r="B36" s="4" t="s">
        <v>156</v>
      </c>
      <c r="C36" s="4" t="s">
        <v>98</v>
      </c>
      <c r="D36" s="4" t="s">
        <v>157</v>
      </c>
      <c r="E36" s="4" t="s">
        <v>158</v>
      </c>
    </row>
    <row r="37" customFormat="false" ht="35.05" hidden="false" customHeight="false" outlineLevel="0" collapsed="false">
      <c r="A37" s="4" t="s">
        <v>92</v>
      </c>
      <c r="B37" s="4" t="s">
        <v>159</v>
      </c>
      <c r="C37" s="4" t="s">
        <v>98</v>
      </c>
      <c r="D37" s="4" t="s">
        <v>160</v>
      </c>
      <c r="E37" s="4" t="s">
        <v>161</v>
      </c>
    </row>
    <row r="38" customFormat="false" ht="15" hidden="false" customHeight="false" outlineLevel="0" collapsed="false">
      <c r="A38" s="4" t="s">
        <v>92</v>
      </c>
      <c r="B38" s="4" t="s">
        <v>162</v>
      </c>
      <c r="C38" s="4" t="s">
        <v>62</v>
      </c>
      <c r="D38" s="4" t="s">
        <v>163</v>
      </c>
      <c r="E38" s="4" t="s">
        <v>164</v>
      </c>
    </row>
    <row r="39" customFormat="false" ht="15" hidden="false" customHeight="false" outlineLevel="0" collapsed="false">
      <c r="A39" s="4" t="s">
        <v>92</v>
      </c>
      <c r="B39" s="4" t="s">
        <v>165</v>
      </c>
      <c r="C39" s="4" t="s">
        <v>62</v>
      </c>
      <c r="D39" s="4" t="s">
        <v>166</v>
      </c>
      <c r="E39" s="4" t="s">
        <v>118</v>
      </c>
    </row>
    <row r="40" customFormat="false" ht="15" hidden="false" customHeight="false" outlineLevel="0" collapsed="false">
      <c r="A40" s="4" t="s">
        <v>167</v>
      </c>
      <c r="B40" s="4" t="s">
        <v>168</v>
      </c>
      <c r="C40" s="4" t="s">
        <v>98</v>
      </c>
      <c r="D40" s="4" t="s">
        <v>169</v>
      </c>
      <c r="E40" s="4" t="s">
        <v>100</v>
      </c>
    </row>
    <row r="41" customFormat="false" ht="23.85" hidden="false" customHeight="false" outlineLevel="0" collapsed="false">
      <c r="A41" s="4" t="s">
        <v>167</v>
      </c>
      <c r="B41" s="4" t="s">
        <v>170</v>
      </c>
      <c r="C41" s="4" t="s">
        <v>98</v>
      </c>
      <c r="D41" s="4" t="s">
        <v>171</v>
      </c>
      <c r="E41" s="4" t="s">
        <v>172</v>
      </c>
    </row>
    <row r="42" customFormat="false" ht="15" hidden="false" customHeight="false" outlineLevel="0" collapsed="false">
      <c r="A42" s="4" t="s">
        <v>167</v>
      </c>
      <c r="B42" s="4" t="s">
        <v>173</v>
      </c>
      <c r="C42" s="4" t="s">
        <v>72</v>
      </c>
      <c r="D42" s="4" t="s">
        <v>174</v>
      </c>
      <c r="E42" s="4" t="s">
        <v>175</v>
      </c>
    </row>
    <row r="43" customFormat="false" ht="23.85" hidden="false" customHeight="false" outlineLevel="0" collapsed="false">
      <c r="A43" s="4" t="s">
        <v>167</v>
      </c>
      <c r="B43" s="4" t="s">
        <v>176</v>
      </c>
      <c r="C43" s="4" t="s">
        <v>111</v>
      </c>
      <c r="D43" s="4" t="s">
        <v>177</v>
      </c>
      <c r="E43" s="4" t="s">
        <v>133</v>
      </c>
    </row>
    <row r="44" customFormat="false" ht="15" hidden="false" customHeight="false" outlineLevel="0" collapsed="false">
      <c r="A44" s="4" t="s">
        <v>167</v>
      </c>
      <c r="B44" s="4" t="s">
        <v>178</v>
      </c>
      <c r="C44" s="4" t="s">
        <v>98</v>
      </c>
      <c r="D44" s="4" t="s">
        <v>179</v>
      </c>
      <c r="E44" s="4" t="s">
        <v>180</v>
      </c>
    </row>
    <row r="45" customFormat="false" ht="15" hidden="false" customHeight="false" outlineLevel="0" collapsed="false">
      <c r="A45" s="4" t="s">
        <v>167</v>
      </c>
      <c r="B45" s="4" t="s">
        <v>75</v>
      </c>
      <c r="C45" s="4" t="s">
        <v>98</v>
      </c>
      <c r="D45" s="4" t="s">
        <v>181</v>
      </c>
      <c r="E45" s="4" t="s">
        <v>182</v>
      </c>
    </row>
    <row r="46" customFormat="false" ht="23.85" hidden="false" customHeight="false" outlineLevel="0" collapsed="false">
      <c r="A46" s="4" t="s">
        <v>167</v>
      </c>
      <c r="B46" s="4" t="s">
        <v>153</v>
      </c>
      <c r="C46" s="4" t="s">
        <v>62</v>
      </c>
      <c r="D46" s="4" t="s">
        <v>154</v>
      </c>
      <c r="E46" s="4" t="s">
        <v>155</v>
      </c>
    </row>
    <row r="47" customFormat="false" ht="15" hidden="false" customHeight="false" outlineLevel="0" collapsed="false">
      <c r="A47" s="4" t="s">
        <v>167</v>
      </c>
      <c r="B47" s="4" t="s">
        <v>156</v>
      </c>
      <c r="C47" s="4" t="s">
        <v>98</v>
      </c>
      <c r="D47" s="4" t="s">
        <v>157</v>
      </c>
      <c r="E47" s="4" t="s">
        <v>158</v>
      </c>
    </row>
    <row r="48" customFormat="false" ht="35.05" hidden="false" customHeight="false" outlineLevel="0" collapsed="false">
      <c r="A48" s="4" t="s">
        <v>167</v>
      </c>
      <c r="B48" s="4" t="s">
        <v>159</v>
      </c>
      <c r="C48" s="4" t="s">
        <v>98</v>
      </c>
      <c r="D48" s="4" t="s">
        <v>160</v>
      </c>
      <c r="E48" s="4" t="s">
        <v>161</v>
      </c>
    </row>
    <row r="49" customFormat="false" ht="15" hidden="false" customHeight="false" outlineLevel="0" collapsed="false">
      <c r="A49" s="4" t="s">
        <v>183</v>
      </c>
      <c r="B49" s="4" t="s">
        <v>184</v>
      </c>
      <c r="C49" s="4" t="s">
        <v>94</v>
      </c>
      <c r="D49" s="4" t="s">
        <v>185</v>
      </c>
      <c r="E49" s="4" t="s">
        <v>186</v>
      </c>
    </row>
    <row r="50" customFormat="false" ht="23.85" hidden="false" customHeight="false" outlineLevel="0" collapsed="false">
      <c r="A50" s="4" t="s">
        <v>183</v>
      </c>
      <c r="B50" s="4" t="s">
        <v>187</v>
      </c>
      <c r="C50" s="4" t="s">
        <v>98</v>
      </c>
      <c r="D50" s="4" t="s">
        <v>188</v>
      </c>
      <c r="E50" s="4" t="s">
        <v>80</v>
      </c>
    </row>
    <row r="51" customFormat="false" ht="23.85" hidden="false" customHeight="false" outlineLevel="0" collapsed="false">
      <c r="A51" s="4" t="s">
        <v>183</v>
      </c>
      <c r="B51" s="4" t="s">
        <v>189</v>
      </c>
      <c r="C51" s="4" t="s">
        <v>98</v>
      </c>
      <c r="D51" s="4" t="s">
        <v>190</v>
      </c>
      <c r="E51" s="4" t="s">
        <v>191</v>
      </c>
    </row>
    <row r="52" customFormat="false" ht="23.85" hidden="false" customHeight="false" outlineLevel="0" collapsed="false">
      <c r="A52" s="4" t="s">
        <v>183</v>
      </c>
      <c r="B52" s="4" t="s">
        <v>192</v>
      </c>
      <c r="C52" s="4" t="s">
        <v>98</v>
      </c>
      <c r="D52" s="4" t="s">
        <v>193</v>
      </c>
      <c r="E52" s="4" t="s">
        <v>194</v>
      </c>
    </row>
    <row r="53" customFormat="false" ht="23.85" hidden="false" customHeight="false" outlineLevel="0" collapsed="false">
      <c r="A53" s="4" t="s">
        <v>183</v>
      </c>
      <c r="B53" s="4" t="s">
        <v>195</v>
      </c>
      <c r="C53" s="4" t="s">
        <v>111</v>
      </c>
      <c r="D53" s="4" t="s">
        <v>196</v>
      </c>
      <c r="E53" s="4" t="s">
        <v>197</v>
      </c>
    </row>
    <row r="54" customFormat="false" ht="23.85" hidden="false" customHeight="false" outlineLevel="0" collapsed="false">
      <c r="A54" s="4" t="s">
        <v>183</v>
      </c>
      <c r="B54" s="4" t="s">
        <v>198</v>
      </c>
      <c r="C54" s="4" t="s">
        <v>111</v>
      </c>
      <c r="D54" s="4" t="s">
        <v>199</v>
      </c>
      <c r="E54" s="4" t="s">
        <v>200</v>
      </c>
    </row>
    <row r="55" customFormat="false" ht="15" hidden="false" customHeight="false" outlineLevel="0" collapsed="false">
      <c r="A55" s="4" t="s">
        <v>183</v>
      </c>
      <c r="B55" s="4" t="s">
        <v>201</v>
      </c>
      <c r="C55" s="4" t="s">
        <v>98</v>
      </c>
      <c r="D55" s="4" t="s">
        <v>202</v>
      </c>
      <c r="E55" s="4" t="s">
        <v>203</v>
      </c>
    </row>
    <row r="56" customFormat="false" ht="15" hidden="false" customHeight="false" outlineLevel="0" collapsed="false">
      <c r="A56" s="4" t="s">
        <v>183</v>
      </c>
      <c r="B56" s="4" t="s">
        <v>204</v>
      </c>
      <c r="C56" s="4" t="s">
        <v>98</v>
      </c>
      <c r="D56" s="4" t="s">
        <v>205</v>
      </c>
      <c r="E56" s="4" t="s">
        <v>206</v>
      </c>
    </row>
    <row r="57" customFormat="false" ht="23.85" hidden="false" customHeight="false" outlineLevel="0" collapsed="false">
      <c r="A57" s="4" t="s">
        <v>183</v>
      </c>
      <c r="B57" s="4" t="s">
        <v>207</v>
      </c>
      <c r="C57" s="4" t="s">
        <v>94</v>
      </c>
      <c r="D57" s="4" t="s">
        <v>208</v>
      </c>
      <c r="E57" s="4" t="s">
        <v>209</v>
      </c>
    </row>
    <row r="58" customFormat="false" ht="15" hidden="false" customHeight="false" outlineLevel="0" collapsed="false">
      <c r="A58" s="4" t="s">
        <v>183</v>
      </c>
      <c r="B58" s="4" t="s">
        <v>210</v>
      </c>
      <c r="C58" s="4" t="s">
        <v>72</v>
      </c>
      <c r="D58" s="4" t="s">
        <v>211</v>
      </c>
      <c r="E58" s="4" t="s">
        <v>212</v>
      </c>
    </row>
    <row r="59" customFormat="false" ht="15" hidden="false" customHeight="false" outlineLevel="0" collapsed="false">
      <c r="A59" s="4" t="s">
        <v>183</v>
      </c>
      <c r="B59" s="4" t="s">
        <v>213</v>
      </c>
      <c r="C59" s="4" t="s">
        <v>72</v>
      </c>
      <c r="D59" s="4" t="s">
        <v>214</v>
      </c>
      <c r="E59" s="4" t="s">
        <v>74</v>
      </c>
    </row>
    <row r="60" customFormat="false" ht="15" hidden="false" customHeight="false" outlineLevel="0" collapsed="false">
      <c r="A60" s="4" t="s">
        <v>183</v>
      </c>
      <c r="B60" s="4" t="s">
        <v>215</v>
      </c>
      <c r="C60" s="4" t="s">
        <v>72</v>
      </c>
      <c r="D60" s="4" t="s">
        <v>216</v>
      </c>
      <c r="E60" s="4" t="s">
        <v>217</v>
      </c>
    </row>
    <row r="61" customFormat="false" ht="15" hidden="false" customHeight="false" outlineLevel="0" collapsed="false">
      <c r="A61" s="4" t="s">
        <v>183</v>
      </c>
      <c r="B61" s="4" t="s">
        <v>218</v>
      </c>
      <c r="C61" s="4" t="s">
        <v>72</v>
      </c>
      <c r="D61" s="4" t="s">
        <v>219</v>
      </c>
      <c r="E61" s="4" t="s">
        <v>212</v>
      </c>
    </row>
    <row r="62" customFormat="false" ht="23.85" hidden="false" customHeight="false" outlineLevel="0" collapsed="false">
      <c r="A62" s="4" t="s">
        <v>183</v>
      </c>
      <c r="B62" s="4" t="s">
        <v>220</v>
      </c>
      <c r="C62" s="4" t="s">
        <v>72</v>
      </c>
      <c r="D62" s="4" t="s">
        <v>221</v>
      </c>
      <c r="E62" s="4" t="s">
        <v>222</v>
      </c>
    </row>
    <row r="63" customFormat="false" ht="23.85" hidden="false" customHeight="false" outlineLevel="0" collapsed="false">
      <c r="A63" s="4" t="s">
        <v>183</v>
      </c>
      <c r="B63" s="4" t="s">
        <v>223</v>
      </c>
      <c r="C63" s="4" t="s">
        <v>111</v>
      </c>
      <c r="D63" s="4" t="s">
        <v>224</v>
      </c>
      <c r="E63" s="4" t="s">
        <v>118</v>
      </c>
    </row>
    <row r="64" customFormat="false" ht="15" hidden="false" customHeight="false" outlineLevel="0" collapsed="false">
      <c r="A64" s="4" t="s">
        <v>183</v>
      </c>
      <c r="B64" s="4" t="s">
        <v>148</v>
      </c>
      <c r="C64" s="4" t="s">
        <v>62</v>
      </c>
      <c r="D64" s="4" t="s">
        <v>225</v>
      </c>
      <c r="E64" s="4" t="s">
        <v>150</v>
      </c>
    </row>
    <row r="65" customFormat="false" ht="35.05" hidden="false" customHeight="false" outlineLevel="0" collapsed="false">
      <c r="A65" s="4" t="s">
        <v>183</v>
      </c>
      <c r="B65" s="4" t="s">
        <v>75</v>
      </c>
      <c r="C65" s="4" t="s">
        <v>98</v>
      </c>
      <c r="D65" s="4" t="s">
        <v>226</v>
      </c>
      <c r="E65" s="4" t="s">
        <v>227</v>
      </c>
    </row>
    <row r="66" customFormat="false" ht="23.85" hidden="false" customHeight="false" outlineLevel="0" collapsed="false">
      <c r="A66" s="4" t="s">
        <v>183</v>
      </c>
      <c r="B66" s="4" t="s">
        <v>153</v>
      </c>
      <c r="C66" s="4" t="s">
        <v>62</v>
      </c>
      <c r="D66" s="4" t="s">
        <v>154</v>
      </c>
      <c r="E66" s="4" t="s">
        <v>155</v>
      </c>
    </row>
    <row r="67" customFormat="false" ht="15" hidden="false" customHeight="false" outlineLevel="0" collapsed="false">
      <c r="A67" s="4" t="s">
        <v>183</v>
      </c>
      <c r="B67" s="4" t="s">
        <v>156</v>
      </c>
      <c r="C67" s="4" t="s">
        <v>98</v>
      </c>
      <c r="D67" s="4" t="s">
        <v>157</v>
      </c>
      <c r="E67" s="4" t="s">
        <v>158</v>
      </c>
    </row>
    <row r="68" customFormat="false" ht="35.05" hidden="false" customHeight="false" outlineLevel="0" collapsed="false">
      <c r="A68" s="4" t="s">
        <v>183</v>
      </c>
      <c r="B68" s="4" t="s">
        <v>159</v>
      </c>
      <c r="C68" s="4" t="s">
        <v>98</v>
      </c>
      <c r="D68" s="4" t="s">
        <v>160</v>
      </c>
      <c r="E68" s="4" t="s">
        <v>161</v>
      </c>
    </row>
    <row r="69" customFormat="false" ht="15" hidden="false" customHeight="false" outlineLevel="0" collapsed="false">
      <c r="A69" s="4" t="s">
        <v>183</v>
      </c>
      <c r="B69" s="4" t="s">
        <v>162</v>
      </c>
      <c r="C69" s="4" t="s">
        <v>62</v>
      </c>
      <c r="D69" s="4" t="s">
        <v>163</v>
      </c>
      <c r="E69" s="4" t="s">
        <v>164</v>
      </c>
    </row>
    <row r="70" customFormat="false" ht="15" hidden="false" customHeight="false" outlineLevel="0" collapsed="false">
      <c r="A70" s="4" t="s">
        <v>183</v>
      </c>
      <c r="B70" s="4" t="s">
        <v>165</v>
      </c>
      <c r="C70" s="4" t="s">
        <v>62</v>
      </c>
      <c r="D70" s="4" t="s">
        <v>166</v>
      </c>
      <c r="E70" s="4" t="s">
        <v>118</v>
      </c>
    </row>
    <row r="71" customFormat="false" ht="15" hidden="false" customHeight="false" outlineLevel="0" collapsed="false">
      <c r="A71" s="4" t="s">
        <v>228</v>
      </c>
      <c r="B71" s="4" t="s">
        <v>229</v>
      </c>
      <c r="C71" s="4" t="s">
        <v>98</v>
      </c>
      <c r="D71" s="4" t="s">
        <v>230</v>
      </c>
      <c r="E71" s="4" t="s">
        <v>191</v>
      </c>
    </row>
    <row r="72" customFormat="false" ht="15" hidden="false" customHeight="false" outlineLevel="0" collapsed="false">
      <c r="A72" s="4" t="s">
        <v>228</v>
      </c>
      <c r="B72" s="4" t="s">
        <v>168</v>
      </c>
      <c r="C72" s="4" t="s">
        <v>98</v>
      </c>
      <c r="D72" s="4" t="s">
        <v>231</v>
      </c>
      <c r="E72" s="4" t="s">
        <v>100</v>
      </c>
    </row>
    <row r="73" customFormat="false" ht="15" hidden="false" customHeight="false" outlineLevel="0" collapsed="false">
      <c r="A73" s="4" t="s">
        <v>228</v>
      </c>
      <c r="B73" s="4" t="s">
        <v>232</v>
      </c>
      <c r="C73" s="4" t="s">
        <v>98</v>
      </c>
      <c r="D73" s="4" t="s">
        <v>233</v>
      </c>
      <c r="E73" s="4" t="s">
        <v>234</v>
      </c>
    </row>
    <row r="74" customFormat="false" ht="15" hidden="false" customHeight="false" outlineLevel="0" collapsed="false">
      <c r="A74" s="4" t="s">
        <v>228</v>
      </c>
      <c r="B74" s="4" t="s">
        <v>75</v>
      </c>
      <c r="C74" s="4" t="s">
        <v>98</v>
      </c>
      <c r="D74" s="4" t="s">
        <v>76</v>
      </c>
      <c r="E74" s="4"/>
    </row>
    <row r="75" customFormat="false" ht="23.85" hidden="false" customHeight="false" outlineLevel="0" collapsed="false">
      <c r="A75" s="4" t="s">
        <v>228</v>
      </c>
      <c r="B75" s="4" t="s">
        <v>153</v>
      </c>
      <c r="C75" s="4" t="s">
        <v>62</v>
      </c>
      <c r="D75" s="4" t="s">
        <v>154</v>
      </c>
      <c r="E75" s="4" t="s">
        <v>155</v>
      </c>
    </row>
    <row r="76" customFormat="false" ht="15" hidden="false" customHeight="false" outlineLevel="0" collapsed="false">
      <c r="A76" s="4" t="s">
        <v>228</v>
      </c>
      <c r="B76" s="4" t="s">
        <v>156</v>
      </c>
      <c r="C76" s="4" t="s">
        <v>98</v>
      </c>
      <c r="D76" s="4" t="s">
        <v>157</v>
      </c>
      <c r="E76" s="4" t="s">
        <v>158</v>
      </c>
    </row>
    <row r="77" customFormat="false" ht="35.05" hidden="false" customHeight="false" outlineLevel="0" collapsed="false">
      <c r="A77" s="4" t="s">
        <v>228</v>
      </c>
      <c r="B77" s="4" t="s">
        <v>159</v>
      </c>
      <c r="C77" s="4" t="s">
        <v>98</v>
      </c>
      <c r="D77" s="4" t="s">
        <v>160</v>
      </c>
      <c r="E77" s="4" t="s">
        <v>161</v>
      </c>
    </row>
    <row r="78" customFormat="false" ht="15" hidden="false" customHeight="false" outlineLevel="0" collapsed="false">
      <c r="A78" s="4" t="s">
        <v>235</v>
      </c>
      <c r="B78" s="4" t="s">
        <v>236</v>
      </c>
      <c r="C78" s="4" t="s">
        <v>94</v>
      </c>
      <c r="D78" s="4" t="s">
        <v>185</v>
      </c>
      <c r="E78" s="4" t="s">
        <v>237</v>
      </c>
    </row>
    <row r="79" customFormat="false" ht="15" hidden="false" customHeight="false" outlineLevel="0" collapsed="false">
      <c r="A79" s="4" t="s">
        <v>235</v>
      </c>
      <c r="B79" s="4" t="s">
        <v>97</v>
      </c>
      <c r="C79" s="4" t="s">
        <v>98</v>
      </c>
      <c r="D79" s="4" t="s">
        <v>238</v>
      </c>
      <c r="E79" s="4" t="s">
        <v>239</v>
      </c>
    </row>
    <row r="80" customFormat="false" ht="15" hidden="false" customHeight="false" outlineLevel="0" collapsed="false">
      <c r="A80" s="4" t="s">
        <v>235</v>
      </c>
      <c r="B80" s="4" t="s">
        <v>101</v>
      </c>
      <c r="C80" s="4" t="s">
        <v>98</v>
      </c>
      <c r="D80" s="4" t="s">
        <v>240</v>
      </c>
      <c r="E80" s="4" t="s">
        <v>241</v>
      </c>
    </row>
    <row r="81" customFormat="false" ht="46.25" hidden="false" customHeight="false" outlineLevel="0" collapsed="false">
      <c r="A81" s="4" t="s">
        <v>235</v>
      </c>
      <c r="B81" s="4" t="s">
        <v>242</v>
      </c>
      <c r="C81" s="4" t="s">
        <v>98</v>
      </c>
      <c r="D81" s="4" t="s">
        <v>243</v>
      </c>
      <c r="E81" s="4" t="s">
        <v>175</v>
      </c>
    </row>
    <row r="82" customFormat="false" ht="23.85" hidden="false" customHeight="false" outlineLevel="0" collapsed="false">
      <c r="A82" s="4" t="s">
        <v>235</v>
      </c>
      <c r="B82" s="4" t="s">
        <v>244</v>
      </c>
      <c r="C82" s="4" t="s">
        <v>62</v>
      </c>
      <c r="D82" s="4" t="s">
        <v>245</v>
      </c>
      <c r="E82" s="4" t="s">
        <v>64</v>
      </c>
    </row>
    <row r="83" customFormat="false" ht="15" hidden="false" customHeight="false" outlineLevel="0" collapsed="false">
      <c r="A83" s="4" t="s">
        <v>235</v>
      </c>
      <c r="B83" s="4" t="s">
        <v>246</v>
      </c>
      <c r="C83" s="4" t="s">
        <v>98</v>
      </c>
      <c r="D83" s="4" t="s">
        <v>247</v>
      </c>
      <c r="E83" s="4" t="s">
        <v>248</v>
      </c>
    </row>
    <row r="84" customFormat="false" ht="15" hidden="false" customHeight="false" outlineLevel="0" collapsed="false">
      <c r="A84" s="4" t="s">
        <v>235</v>
      </c>
      <c r="B84" s="4" t="s">
        <v>249</v>
      </c>
      <c r="C84" s="4" t="s">
        <v>94</v>
      </c>
      <c r="D84" s="4" t="s">
        <v>250</v>
      </c>
      <c r="E84" s="4" t="s">
        <v>251</v>
      </c>
    </row>
    <row r="85" customFormat="false" ht="23.85" hidden="false" customHeight="false" outlineLevel="0" collapsed="false">
      <c r="A85" s="4" t="s">
        <v>235</v>
      </c>
      <c r="B85" s="4" t="s">
        <v>252</v>
      </c>
      <c r="C85" s="4" t="s">
        <v>94</v>
      </c>
      <c r="D85" s="4" t="s">
        <v>253</v>
      </c>
      <c r="E85" s="4" t="s">
        <v>254</v>
      </c>
    </row>
    <row r="86" customFormat="false" ht="15" hidden="false" customHeight="false" outlineLevel="0" collapsed="false">
      <c r="A86" s="4" t="s">
        <v>235</v>
      </c>
      <c r="B86" s="4" t="s">
        <v>119</v>
      </c>
      <c r="C86" s="4" t="s">
        <v>98</v>
      </c>
      <c r="D86" s="4" t="s">
        <v>255</v>
      </c>
      <c r="E86" s="4" t="s">
        <v>256</v>
      </c>
    </row>
    <row r="87" customFormat="false" ht="23.85" hidden="false" customHeight="false" outlineLevel="0" collapsed="false">
      <c r="A87" s="4" t="s">
        <v>235</v>
      </c>
      <c r="B87" s="4" t="s">
        <v>257</v>
      </c>
      <c r="C87" s="4" t="s">
        <v>111</v>
      </c>
      <c r="D87" s="4" t="s">
        <v>258</v>
      </c>
      <c r="E87" s="4" t="s">
        <v>259</v>
      </c>
    </row>
    <row r="88" customFormat="false" ht="23.85" hidden="false" customHeight="false" outlineLevel="0" collapsed="false">
      <c r="A88" s="4" t="s">
        <v>235</v>
      </c>
      <c r="B88" s="4" t="s">
        <v>114</v>
      </c>
      <c r="C88" s="4" t="s">
        <v>111</v>
      </c>
      <c r="D88" s="4" t="s">
        <v>260</v>
      </c>
      <c r="E88" s="4" t="s">
        <v>116</v>
      </c>
    </row>
    <row r="89" customFormat="false" ht="15" hidden="false" customHeight="false" outlineLevel="0" collapsed="false">
      <c r="A89" s="4" t="s">
        <v>235</v>
      </c>
      <c r="B89" s="4" t="s">
        <v>68</v>
      </c>
      <c r="C89" s="4" t="s">
        <v>62</v>
      </c>
      <c r="D89" s="4" t="s">
        <v>261</v>
      </c>
      <c r="E89" s="4" t="s">
        <v>118</v>
      </c>
    </row>
    <row r="90" customFormat="false" ht="23.85" hidden="false" customHeight="false" outlineLevel="0" collapsed="false">
      <c r="A90" s="4" t="s">
        <v>235</v>
      </c>
      <c r="B90" s="4" t="s">
        <v>262</v>
      </c>
      <c r="C90" s="4" t="s">
        <v>72</v>
      </c>
      <c r="D90" s="4" t="s">
        <v>263</v>
      </c>
      <c r="E90" s="4" t="s">
        <v>212</v>
      </c>
    </row>
    <row r="91" customFormat="false" ht="23.85" hidden="false" customHeight="false" outlineLevel="0" collapsed="false">
      <c r="A91" s="4" t="s">
        <v>235</v>
      </c>
      <c r="B91" s="4" t="s">
        <v>264</v>
      </c>
      <c r="C91" s="4" t="s">
        <v>72</v>
      </c>
      <c r="D91" s="4" t="s">
        <v>265</v>
      </c>
      <c r="E91" s="4" t="s">
        <v>266</v>
      </c>
    </row>
    <row r="92" customFormat="false" ht="15" hidden="false" customHeight="false" outlineLevel="0" collapsed="false">
      <c r="A92" s="4" t="s">
        <v>235</v>
      </c>
      <c r="B92" s="4" t="s">
        <v>267</v>
      </c>
      <c r="C92" s="4" t="s">
        <v>72</v>
      </c>
      <c r="D92" s="4" t="s">
        <v>268</v>
      </c>
      <c r="E92" s="4" t="s">
        <v>64</v>
      </c>
    </row>
    <row r="93" customFormat="false" ht="15" hidden="false" customHeight="false" outlineLevel="0" collapsed="false">
      <c r="A93" s="4" t="s">
        <v>235</v>
      </c>
      <c r="B93" s="4" t="s">
        <v>269</v>
      </c>
      <c r="C93" s="4" t="s">
        <v>72</v>
      </c>
      <c r="D93" s="4" t="s">
        <v>270</v>
      </c>
      <c r="E93" s="4" t="s">
        <v>74</v>
      </c>
    </row>
    <row r="94" customFormat="false" ht="15" hidden="false" customHeight="false" outlineLevel="0" collapsed="false">
      <c r="A94" s="4" t="s">
        <v>235</v>
      </c>
      <c r="B94" s="4" t="s">
        <v>271</v>
      </c>
      <c r="C94" s="4" t="s">
        <v>72</v>
      </c>
      <c r="D94" s="4" t="s">
        <v>272</v>
      </c>
      <c r="E94" s="4" t="s">
        <v>74</v>
      </c>
    </row>
    <row r="95" customFormat="false" ht="15" hidden="false" customHeight="false" outlineLevel="0" collapsed="false">
      <c r="A95" s="4" t="s">
        <v>235</v>
      </c>
      <c r="B95" s="4" t="s">
        <v>273</v>
      </c>
      <c r="C95" s="4" t="s">
        <v>72</v>
      </c>
      <c r="D95" s="4" t="s">
        <v>274</v>
      </c>
      <c r="E95" s="4" t="s">
        <v>147</v>
      </c>
    </row>
    <row r="96" customFormat="false" ht="23.85" hidden="false" customHeight="false" outlineLevel="0" collapsed="false">
      <c r="A96" s="4" t="s">
        <v>235</v>
      </c>
      <c r="B96" s="4" t="s">
        <v>275</v>
      </c>
      <c r="C96" s="4" t="s">
        <v>111</v>
      </c>
      <c r="D96" s="4" t="s">
        <v>276</v>
      </c>
      <c r="E96" s="4" t="s">
        <v>277</v>
      </c>
    </row>
    <row r="97" customFormat="false" ht="15" hidden="false" customHeight="false" outlineLevel="0" collapsed="false">
      <c r="A97" s="4" t="s">
        <v>235</v>
      </c>
      <c r="B97" s="4" t="s">
        <v>278</v>
      </c>
      <c r="C97" s="4" t="s">
        <v>62</v>
      </c>
      <c r="D97" s="4" t="s">
        <v>279</v>
      </c>
      <c r="E97" s="4" t="s">
        <v>280</v>
      </c>
    </row>
    <row r="98" customFormat="false" ht="15" hidden="false" customHeight="false" outlineLevel="0" collapsed="false">
      <c r="A98" s="4" t="s">
        <v>235</v>
      </c>
      <c r="B98" s="4" t="s">
        <v>148</v>
      </c>
      <c r="C98" s="4" t="s">
        <v>62</v>
      </c>
      <c r="D98" s="4" t="s">
        <v>281</v>
      </c>
      <c r="E98" s="4" t="s">
        <v>150</v>
      </c>
    </row>
    <row r="99" customFormat="false" ht="15" hidden="false" customHeight="false" outlineLevel="0" collapsed="false">
      <c r="A99" s="4" t="s">
        <v>235</v>
      </c>
      <c r="B99" s="4" t="s">
        <v>75</v>
      </c>
      <c r="C99" s="4" t="s">
        <v>98</v>
      </c>
      <c r="D99" s="4" t="s">
        <v>282</v>
      </c>
      <c r="E99" s="4"/>
    </row>
    <row r="100" customFormat="false" ht="23.85" hidden="false" customHeight="false" outlineLevel="0" collapsed="false">
      <c r="A100" s="4" t="s">
        <v>235</v>
      </c>
      <c r="B100" s="4" t="s">
        <v>153</v>
      </c>
      <c r="C100" s="4" t="s">
        <v>62</v>
      </c>
      <c r="D100" s="4" t="s">
        <v>154</v>
      </c>
      <c r="E100" s="4" t="s">
        <v>155</v>
      </c>
    </row>
    <row r="101" customFormat="false" ht="15" hidden="false" customHeight="false" outlineLevel="0" collapsed="false">
      <c r="A101" s="4" t="s">
        <v>235</v>
      </c>
      <c r="B101" s="4" t="s">
        <v>156</v>
      </c>
      <c r="C101" s="4" t="s">
        <v>98</v>
      </c>
      <c r="D101" s="4" t="s">
        <v>157</v>
      </c>
      <c r="E101" s="4" t="s">
        <v>158</v>
      </c>
    </row>
    <row r="102" customFormat="false" ht="35.05" hidden="false" customHeight="false" outlineLevel="0" collapsed="false">
      <c r="A102" s="4" t="s">
        <v>235</v>
      </c>
      <c r="B102" s="4" t="s">
        <v>159</v>
      </c>
      <c r="C102" s="4" t="s">
        <v>98</v>
      </c>
      <c r="D102" s="4" t="s">
        <v>160</v>
      </c>
      <c r="E102" s="4" t="s">
        <v>161</v>
      </c>
    </row>
    <row r="103" customFormat="false" ht="15" hidden="false" customHeight="false" outlineLevel="0" collapsed="false">
      <c r="A103" s="4" t="s">
        <v>235</v>
      </c>
      <c r="B103" s="4" t="s">
        <v>162</v>
      </c>
      <c r="C103" s="4" t="s">
        <v>62</v>
      </c>
      <c r="D103" s="4" t="s">
        <v>163</v>
      </c>
      <c r="E103" s="4" t="s">
        <v>164</v>
      </c>
    </row>
    <row r="104" customFormat="false" ht="15" hidden="false" customHeight="false" outlineLevel="0" collapsed="false">
      <c r="A104" s="4" t="s">
        <v>235</v>
      </c>
      <c r="B104" s="4" t="s">
        <v>165</v>
      </c>
      <c r="C104" s="4" t="s">
        <v>62</v>
      </c>
      <c r="D104" s="4" t="s">
        <v>166</v>
      </c>
      <c r="E104" s="4" t="s">
        <v>118</v>
      </c>
    </row>
    <row r="105" customFormat="false" ht="15" hidden="false" customHeight="false" outlineLevel="0" collapsed="false">
      <c r="A105" s="4" t="s">
        <v>283</v>
      </c>
      <c r="B105" s="4" t="s">
        <v>284</v>
      </c>
      <c r="C105" s="4" t="s">
        <v>94</v>
      </c>
      <c r="D105" s="4" t="s">
        <v>185</v>
      </c>
      <c r="E105" s="4" t="s">
        <v>285</v>
      </c>
    </row>
    <row r="106" customFormat="false" ht="15" hidden="false" customHeight="false" outlineLevel="0" collapsed="false">
      <c r="A106" s="4" t="s">
        <v>283</v>
      </c>
      <c r="B106" s="4" t="s">
        <v>97</v>
      </c>
      <c r="C106" s="4" t="s">
        <v>98</v>
      </c>
      <c r="D106" s="4" t="s">
        <v>286</v>
      </c>
      <c r="E106" s="4" t="s">
        <v>130</v>
      </c>
    </row>
    <row r="107" customFormat="false" ht="15" hidden="false" customHeight="false" outlineLevel="0" collapsed="false">
      <c r="A107" s="4" t="s">
        <v>283</v>
      </c>
      <c r="B107" s="4" t="s">
        <v>242</v>
      </c>
      <c r="C107" s="4" t="s">
        <v>98</v>
      </c>
      <c r="D107" s="4" t="s">
        <v>287</v>
      </c>
      <c r="E107" s="4" t="s">
        <v>288</v>
      </c>
    </row>
    <row r="108" customFormat="false" ht="15" hidden="false" customHeight="false" outlineLevel="0" collapsed="false">
      <c r="A108" s="4" t="s">
        <v>283</v>
      </c>
      <c r="B108" s="4" t="s">
        <v>289</v>
      </c>
      <c r="C108" s="4" t="s">
        <v>98</v>
      </c>
      <c r="D108" s="4" t="s">
        <v>290</v>
      </c>
      <c r="E108" s="4" t="s">
        <v>291</v>
      </c>
    </row>
    <row r="109" customFormat="false" ht="15" hidden="false" customHeight="false" outlineLevel="0" collapsed="false">
      <c r="A109" s="4" t="s">
        <v>283</v>
      </c>
      <c r="B109" s="4" t="s">
        <v>292</v>
      </c>
      <c r="C109" s="4" t="s">
        <v>98</v>
      </c>
      <c r="D109" s="4" t="s">
        <v>293</v>
      </c>
      <c r="E109" s="4" t="s">
        <v>294</v>
      </c>
    </row>
    <row r="110" customFormat="false" ht="15" hidden="false" customHeight="false" outlineLevel="0" collapsed="false">
      <c r="A110" s="4" t="s">
        <v>283</v>
      </c>
      <c r="B110" s="4" t="s">
        <v>295</v>
      </c>
      <c r="C110" s="4" t="s">
        <v>98</v>
      </c>
      <c r="D110" s="4" t="s">
        <v>296</v>
      </c>
      <c r="E110" s="4" t="s">
        <v>172</v>
      </c>
    </row>
    <row r="111" customFormat="false" ht="15" hidden="false" customHeight="false" outlineLevel="0" collapsed="false">
      <c r="A111" s="4" t="s">
        <v>283</v>
      </c>
      <c r="B111" s="4" t="s">
        <v>297</v>
      </c>
      <c r="C111" s="4" t="s">
        <v>98</v>
      </c>
      <c r="D111" s="4" t="s">
        <v>298</v>
      </c>
      <c r="E111" s="4" t="s">
        <v>100</v>
      </c>
    </row>
    <row r="112" customFormat="false" ht="23.85" hidden="false" customHeight="false" outlineLevel="0" collapsed="false">
      <c r="A112" s="4" t="s">
        <v>283</v>
      </c>
      <c r="B112" s="4" t="s">
        <v>299</v>
      </c>
      <c r="C112" s="4" t="s">
        <v>72</v>
      </c>
      <c r="D112" s="4" t="s">
        <v>300</v>
      </c>
      <c r="E112" s="4" t="s">
        <v>301</v>
      </c>
    </row>
    <row r="113" customFormat="false" ht="15" hidden="false" customHeight="false" outlineLevel="0" collapsed="false">
      <c r="A113" s="4" t="s">
        <v>283</v>
      </c>
      <c r="B113" s="4" t="s">
        <v>302</v>
      </c>
      <c r="C113" s="4" t="s">
        <v>98</v>
      </c>
      <c r="D113" s="4" t="s">
        <v>303</v>
      </c>
      <c r="E113" s="4" t="s">
        <v>304</v>
      </c>
    </row>
    <row r="114" customFormat="false" ht="23.85" hidden="false" customHeight="false" outlineLevel="0" collapsed="false">
      <c r="A114" s="4" t="s">
        <v>283</v>
      </c>
      <c r="B114" s="4" t="s">
        <v>305</v>
      </c>
      <c r="C114" s="4" t="s">
        <v>98</v>
      </c>
      <c r="D114" s="4" t="s">
        <v>306</v>
      </c>
      <c r="E114" s="4" t="s">
        <v>254</v>
      </c>
    </row>
    <row r="115" customFormat="false" ht="23.85" hidden="false" customHeight="false" outlineLevel="0" collapsed="false">
      <c r="A115" s="4" t="s">
        <v>283</v>
      </c>
      <c r="B115" s="4" t="s">
        <v>307</v>
      </c>
      <c r="C115" s="4" t="s">
        <v>111</v>
      </c>
      <c r="D115" s="4" t="s">
        <v>308</v>
      </c>
      <c r="E115" s="4" t="s">
        <v>309</v>
      </c>
    </row>
    <row r="116" customFormat="false" ht="23.85" hidden="false" customHeight="false" outlineLevel="0" collapsed="false">
      <c r="A116" s="4" t="s">
        <v>283</v>
      </c>
      <c r="B116" s="4" t="s">
        <v>310</v>
      </c>
      <c r="C116" s="4" t="s">
        <v>111</v>
      </c>
      <c r="D116" s="4" t="s">
        <v>311</v>
      </c>
      <c r="E116" s="4" t="s">
        <v>312</v>
      </c>
    </row>
    <row r="117" customFormat="false" ht="15" hidden="false" customHeight="false" outlineLevel="0" collapsed="false">
      <c r="A117" s="4" t="s">
        <v>283</v>
      </c>
      <c r="B117" s="4" t="s">
        <v>313</v>
      </c>
      <c r="C117" s="4" t="s">
        <v>98</v>
      </c>
      <c r="D117" s="4" t="s">
        <v>314</v>
      </c>
      <c r="E117" s="4" t="s">
        <v>315</v>
      </c>
    </row>
    <row r="118" customFormat="false" ht="23.85" hidden="false" customHeight="false" outlineLevel="0" collapsed="false">
      <c r="A118" s="4" t="s">
        <v>283</v>
      </c>
      <c r="B118" s="4" t="s">
        <v>75</v>
      </c>
      <c r="C118" s="4" t="s">
        <v>98</v>
      </c>
      <c r="D118" s="4" t="s">
        <v>316</v>
      </c>
      <c r="E118" s="4" t="s">
        <v>317</v>
      </c>
    </row>
    <row r="119" customFormat="false" ht="23.85" hidden="false" customHeight="false" outlineLevel="0" collapsed="false">
      <c r="A119" s="4" t="s">
        <v>283</v>
      </c>
      <c r="B119" s="4" t="s">
        <v>153</v>
      </c>
      <c r="C119" s="4" t="s">
        <v>62</v>
      </c>
      <c r="D119" s="4" t="s">
        <v>154</v>
      </c>
      <c r="E119" s="4" t="s">
        <v>155</v>
      </c>
    </row>
    <row r="120" customFormat="false" ht="15" hidden="false" customHeight="false" outlineLevel="0" collapsed="false">
      <c r="A120" s="4" t="s">
        <v>283</v>
      </c>
      <c r="B120" s="4" t="s">
        <v>156</v>
      </c>
      <c r="C120" s="4" t="s">
        <v>98</v>
      </c>
      <c r="D120" s="4" t="s">
        <v>157</v>
      </c>
      <c r="E120" s="4" t="s">
        <v>158</v>
      </c>
    </row>
    <row r="121" customFormat="false" ht="35.05" hidden="false" customHeight="false" outlineLevel="0" collapsed="false">
      <c r="A121" s="4" t="s">
        <v>283</v>
      </c>
      <c r="B121" s="4" t="s">
        <v>159</v>
      </c>
      <c r="C121" s="4" t="s">
        <v>98</v>
      </c>
      <c r="D121" s="4" t="s">
        <v>160</v>
      </c>
      <c r="E121" s="4" t="s">
        <v>161</v>
      </c>
    </row>
    <row r="122" customFormat="false" ht="15" hidden="false" customHeight="false" outlineLevel="0" collapsed="false">
      <c r="A122" s="4" t="s">
        <v>283</v>
      </c>
      <c r="B122" s="4" t="s">
        <v>162</v>
      </c>
      <c r="C122" s="4" t="s">
        <v>62</v>
      </c>
      <c r="D122" s="4" t="s">
        <v>163</v>
      </c>
      <c r="E122" s="4" t="s">
        <v>164</v>
      </c>
    </row>
    <row r="123" customFormat="false" ht="15" hidden="false" customHeight="false" outlineLevel="0" collapsed="false">
      <c r="A123" s="4" t="s">
        <v>283</v>
      </c>
      <c r="B123" s="4" t="s">
        <v>165</v>
      </c>
      <c r="C123" s="4" t="s">
        <v>62</v>
      </c>
      <c r="D123" s="4" t="s">
        <v>166</v>
      </c>
      <c r="E123" s="4" t="s">
        <v>118</v>
      </c>
    </row>
    <row r="124" customFormat="false" ht="15" hidden="false" customHeight="false" outlineLevel="0" collapsed="false">
      <c r="A124" s="4" t="s">
        <v>318</v>
      </c>
      <c r="B124" s="4" t="s">
        <v>319</v>
      </c>
      <c r="C124" s="4" t="s">
        <v>94</v>
      </c>
      <c r="D124" s="4" t="s">
        <v>185</v>
      </c>
      <c r="E124" s="4" t="s">
        <v>320</v>
      </c>
    </row>
    <row r="125" customFormat="false" ht="23.85" hidden="false" customHeight="false" outlineLevel="0" collapsed="false">
      <c r="A125" s="4" t="s">
        <v>318</v>
      </c>
      <c r="B125" s="4" t="s">
        <v>321</v>
      </c>
      <c r="C125" s="4" t="s">
        <v>98</v>
      </c>
      <c r="D125" s="4" t="s">
        <v>322</v>
      </c>
      <c r="E125" s="4" t="s">
        <v>323</v>
      </c>
    </row>
    <row r="126" customFormat="false" ht="23.85" hidden="false" customHeight="false" outlineLevel="0" collapsed="false">
      <c r="A126" s="4" t="s">
        <v>318</v>
      </c>
      <c r="B126" s="4" t="s">
        <v>170</v>
      </c>
      <c r="C126" s="4" t="s">
        <v>98</v>
      </c>
      <c r="D126" s="4" t="s">
        <v>324</v>
      </c>
      <c r="E126" s="4" t="s">
        <v>325</v>
      </c>
    </row>
    <row r="127" customFormat="false" ht="15" hidden="false" customHeight="false" outlineLevel="0" collapsed="false">
      <c r="A127" s="4" t="s">
        <v>318</v>
      </c>
      <c r="B127" s="4" t="s">
        <v>173</v>
      </c>
      <c r="C127" s="4" t="s">
        <v>72</v>
      </c>
      <c r="D127" s="4" t="s">
        <v>174</v>
      </c>
      <c r="E127" s="4" t="s">
        <v>175</v>
      </c>
    </row>
    <row r="128" customFormat="false" ht="15" hidden="false" customHeight="false" outlineLevel="0" collapsed="false">
      <c r="A128" s="4" t="s">
        <v>318</v>
      </c>
      <c r="B128" s="4" t="s">
        <v>104</v>
      </c>
      <c r="C128" s="4" t="s">
        <v>98</v>
      </c>
      <c r="D128" s="4" t="s">
        <v>326</v>
      </c>
      <c r="E128" s="4" t="s">
        <v>327</v>
      </c>
    </row>
    <row r="129" customFormat="false" ht="15" hidden="false" customHeight="false" outlineLevel="0" collapsed="false">
      <c r="A129" s="4" t="s">
        <v>318</v>
      </c>
      <c r="B129" s="4" t="s">
        <v>328</v>
      </c>
      <c r="C129" s="4" t="s">
        <v>98</v>
      </c>
      <c r="D129" s="4" t="s">
        <v>329</v>
      </c>
      <c r="E129" s="4" t="s">
        <v>330</v>
      </c>
    </row>
    <row r="130" customFormat="false" ht="35.05" hidden="false" customHeight="false" outlineLevel="0" collapsed="false">
      <c r="A130" s="4" t="s">
        <v>318</v>
      </c>
      <c r="B130" s="4" t="s">
        <v>331</v>
      </c>
      <c r="C130" s="4" t="s">
        <v>98</v>
      </c>
      <c r="D130" s="4" t="s">
        <v>332</v>
      </c>
      <c r="E130" s="4" t="s">
        <v>333</v>
      </c>
    </row>
    <row r="131" customFormat="false" ht="23.85" hidden="false" customHeight="false" outlineLevel="0" collapsed="false">
      <c r="A131" s="4" t="s">
        <v>318</v>
      </c>
      <c r="B131" s="4" t="s">
        <v>334</v>
      </c>
      <c r="C131" s="4" t="s">
        <v>98</v>
      </c>
      <c r="D131" s="4" t="s">
        <v>335</v>
      </c>
      <c r="E131" s="4" t="s">
        <v>336</v>
      </c>
    </row>
    <row r="132" customFormat="false" ht="23.85" hidden="false" customHeight="false" outlineLevel="0" collapsed="false">
      <c r="A132" s="4" t="s">
        <v>318</v>
      </c>
      <c r="B132" s="4" t="s">
        <v>337</v>
      </c>
      <c r="C132" s="4" t="s">
        <v>111</v>
      </c>
      <c r="D132" s="4" t="s">
        <v>338</v>
      </c>
      <c r="E132" s="4" t="s">
        <v>339</v>
      </c>
    </row>
    <row r="133" customFormat="false" ht="23.85" hidden="false" customHeight="false" outlineLevel="0" collapsed="false">
      <c r="A133" s="4" t="s">
        <v>318</v>
      </c>
      <c r="B133" s="4" t="s">
        <v>340</v>
      </c>
      <c r="C133" s="4" t="s">
        <v>111</v>
      </c>
      <c r="D133" s="4" t="s">
        <v>341</v>
      </c>
      <c r="E133" s="4" t="s">
        <v>342</v>
      </c>
    </row>
    <row r="134" customFormat="false" ht="23.85" hidden="false" customHeight="false" outlineLevel="0" collapsed="false">
      <c r="A134" s="4" t="s">
        <v>318</v>
      </c>
      <c r="B134" s="4" t="s">
        <v>343</v>
      </c>
      <c r="C134" s="4" t="s">
        <v>111</v>
      </c>
      <c r="D134" s="4" t="s">
        <v>344</v>
      </c>
      <c r="E134" s="4" t="s">
        <v>345</v>
      </c>
    </row>
    <row r="135" customFormat="false" ht="23.85" hidden="false" customHeight="false" outlineLevel="0" collapsed="false">
      <c r="A135" s="4" t="s">
        <v>318</v>
      </c>
      <c r="B135" s="4" t="s">
        <v>275</v>
      </c>
      <c r="C135" s="4" t="s">
        <v>111</v>
      </c>
      <c r="D135" s="4" t="s">
        <v>346</v>
      </c>
      <c r="E135" s="4" t="s">
        <v>277</v>
      </c>
    </row>
    <row r="136" customFormat="false" ht="15" hidden="false" customHeight="false" outlineLevel="0" collapsed="false">
      <c r="A136" s="4" t="s">
        <v>318</v>
      </c>
      <c r="B136" s="4" t="s">
        <v>278</v>
      </c>
      <c r="C136" s="4" t="s">
        <v>62</v>
      </c>
      <c r="D136" s="4" t="s">
        <v>279</v>
      </c>
      <c r="E136" s="4" t="s">
        <v>347</v>
      </c>
    </row>
    <row r="137" customFormat="false" ht="15" hidden="false" customHeight="false" outlineLevel="0" collapsed="false">
      <c r="A137" s="4" t="s">
        <v>318</v>
      </c>
      <c r="B137" s="4" t="s">
        <v>75</v>
      </c>
      <c r="C137" s="4" t="s">
        <v>98</v>
      </c>
      <c r="D137" s="4" t="s">
        <v>76</v>
      </c>
      <c r="E137" s="4"/>
    </row>
    <row r="138" customFormat="false" ht="15" hidden="false" customHeight="false" outlineLevel="0" collapsed="false">
      <c r="A138" s="4" t="s">
        <v>318</v>
      </c>
      <c r="B138" s="4" t="s">
        <v>348</v>
      </c>
      <c r="C138" s="4" t="s">
        <v>72</v>
      </c>
      <c r="D138" s="4" t="s">
        <v>216</v>
      </c>
      <c r="E138" s="4" t="s">
        <v>212</v>
      </c>
    </row>
    <row r="139" customFormat="false" ht="15" hidden="false" customHeight="false" outlineLevel="0" collapsed="false">
      <c r="A139" s="4" t="s">
        <v>318</v>
      </c>
      <c r="B139" s="4" t="s">
        <v>349</v>
      </c>
      <c r="C139" s="4" t="s">
        <v>72</v>
      </c>
      <c r="D139" s="4" t="s">
        <v>350</v>
      </c>
      <c r="E139" s="4" t="s">
        <v>74</v>
      </c>
    </row>
    <row r="140" customFormat="false" ht="23.85" hidden="false" customHeight="false" outlineLevel="0" collapsed="false">
      <c r="A140" s="4" t="s">
        <v>318</v>
      </c>
      <c r="B140" s="4" t="s">
        <v>153</v>
      </c>
      <c r="C140" s="4" t="s">
        <v>62</v>
      </c>
      <c r="D140" s="4" t="s">
        <v>154</v>
      </c>
      <c r="E140" s="4" t="s">
        <v>155</v>
      </c>
    </row>
    <row r="141" customFormat="false" ht="15" hidden="false" customHeight="false" outlineLevel="0" collapsed="false">
      <c r="A141" s="4" t="s">
        <v>318</v>
      </c>
      <c r="B141" s="4" t="s">
        <v>156</v>
      </c>
      <c r="C141" s="4" t="s">
        <v>98</v>
      </c>
      <c r="D141" s="4" t="s">
        <v>157</v>
      </c>
      <c r="E141" s="4" t="s">
        <v>158</v>
      </c>
    </row>
    <row r="142" customFormat="false" ht="35.05" hidden="false" customHeight="false" outlineLevel="0" collapsed="false">
      <c r="A142" s="4" t="s">
        <v>318</v>
      </c>
      <c r="B142" s="4" t="s">
        <v>159</v>
      </c>
      <c r="C142" s="4" t="s">
        <v>98</v>
      </c>
      <c r="D142" s="4" t="s">
        <v>160</v>
      </c>
      <c r="E142" s="4" t="s">
        <v>161</v>
      </c>
    </row>
    <row r="143" customFormat="false" ht="15" hidden="false" customHeight="false" outlineLevel="0" collapsed="false">
      <c r="A143" s="4" t="s">
        <v>318</v>
      </c>
      <c r="B143" s="4" t="s">
        <v>162</v>
      </c>
      <c r="C143" s="4" t="s">
        <v>62</v>
      </c>
      <c r="D143" s="4" t="s">
        <v>163</v>
      </c>
      <c r="E143" s="4" t="s">
        <v>164</v>
      </c>
    </row>
    <row r="144" customFormat="false" ht="15" hidden="false" customHeight="false" outlineLevel="0" collapsed="false">
      <c r="A144" s="4" t="s">
        <v>318</v>
      </c>
      <c r="B144" s="4" t="s">
        <v>165</v>
      </c>
      <c r="C144" s="4" t="s">
        <v>62</v>
      </c>
      <c r="D144" s="4" t="s">
        <v>166</v>
      </c>
      <c r="E144" s="4" t="s">
        <v>118</v>
      </c>
    </row>
    <row r="145" customFormat="false" ht="15" hidden="false" customHeight="false" outlineLevel="0" collapsed="false">
      <c r="A145" s="4" t="s">
        <v>351</v>
      </c>
      <c r="B145" s="4" t="s">
        <v>229</v>
      </c>
      <c r="C145" s="4" t="s">
        <v>98</v>
      </c>
      <c r="D145" s="4" t="s">
        <v>352</v>
      </c>
      <c r="E145" s="4" t="s">
        <v>191</v>
      </c>
    </row>
    <row r="146" customFormat="false" ht="15" hidden="false" customHeight="false" outlineLevel="0" collapsed="false">
      <c r="A146" s="4" t="s">
        <v>351</v>
      </c>
      <c r="B146" s="4" t="s">
        <v>353</v>
      </c>
      <c r="C146" s="4" t="s">
        <v>98</v>
      </c>
      <c r="D146" s="4" t="s">
        <v>354</v>
      </c>
      <c r="E146" s="4" t="s">
        <v>355</v>
      </c>
    </row>
    <row r="147" customFormat="false" ht="15" hidden="false" customHeight="false" outlineLevel="0" collapsed="false">
      <c r="A147" s="4" t="s">
        <v>351</v>
      </c>
      <c r="B147" s="4" t="s">
        <v>356</v>
      </c>
      <c r="C147" s="4" t="s">
        <v>98</v>
      </c>
      <c r="D147" s="4" t="s">
        <v>357</v>
      </c>
      <c r="E147" s="4" t="s">
        <v>358</v>
      </c>
    </row>
    <row r="148" customFormat="false" ht="15" hidden="false" customHeight="false" outlineLevel="0" collapsed="false">
      <c r="A148" s="4" t="s">
        <v>351</v>
      </c>
      <c r="B148" s="4" t="s">
        <v>170</v>
      </c>
      <c r="C148" s="4" t="s">
        <v>72</v>
      </c>
      <c r="D148" s="4" t="s">
        <v>359</v>
      </c>
      <c r="E148" s="4" t="s">
        <v>360</v>
      </c>
    </row>
    <row r="149" customFormat="false" ht="15" hidden="false" customHeight="false" outlineLevel="0" collapsed="false">
      <c r="A149" s="4" t="s">
        <v>351</v>
      </c>
      <c r="B149" s="4" t="s">
        <v>75</v>
      </c>
      <c r="C149" s="4" t="s">
        <v>98</v>
      </c>
      <c r="D149" s="4" t="s">
        <v>76</v>
      </c>
      <c r="E149" s="4"/>
    </row>
    <row r="150" customFormat="false" ht="23.85" hidden="false" customHeight="false" outlineLevel="0" collapsed="false">
      <c r="A150" s="4" t="s">
        <v>351</v>
      </c>
      <c r="B150" s="4" t="s">
        <v>153</v>
      </c>
      <c r="C150" s="4" t="s">
        <v>62</v>
      </c>
      <c r="D150" s="4" t="s">
        <v>154</v>
      </c>
      <c r="E150" s="4" t="s">
        <v>155</v>
      </c>
    </row>
    <row r="151" customFormat="false" ht="15" hidden="false" customHeight="false" outlineLevel="0" collapsed="false">
      <c r="A151" s="4" t="s">
        <v>351</v>
      </c>
      <c r="B151" s="4" t="s">
        <v>156</v>
      </c>
      <c r="C151" s="4" t="s">
        <v>98</v>
      </c>
      <c r="D151" s="4" t="s">
        <v>157</v>
      </c>
      <c r="E151" s="4" t="s">
        <v>158</v>
      </c>
    </row>
    <row r="152" customFormat="false" ht="35.05" hidden="false" customHeight="false" outlineLevel="0" collapsed="false">
      <c r="A152" s="4" t="s">
        <v>351</v>
      </c>
      <c r="B152" s="4" t="s">
        <v>159</v>
      </c>
      <c r="C152" s="4" t="s">
        <v>98</v>
      </c>
      <c r="D152" s="4" t="s">
        <v>160</v>
      </c>
      <c r="E152" s="4" t="s">
        <v>161</v>
      </c>
    </row>
    <row r="153" customFormat="false" ht="15" hidden="false" customHeight="false" outlineLevel="0" collapsed="false">
      <c r="A153" s="4" t="s">
        <v>361</v>
      </c>
      <c r="B153" s="4" t="s">
        <v>362</v>
      </c>
      <c r="C153" s="4" t="s">
        <v>94</v>
      </c>
      <c r="D153" s="4" t="s">
        <v>185</v>
      </c>
      <c r="E153" s="4" t="s">
        <v>363</v>
      </c>
    </row>
    <row r="154" customFormat="false" ht="15" hidden="false" customHeight="false" outlineLevel="0" collapsed="false">
      <c r="A154" s="4" t="s">
        <v>361</v>
      </c>
      <c r="B154" s="4" t="s">
        <v>364</v>
      </c>
      <c r="C154" s="4" t="s">
        <v>98</v>
      </c>
      <c r="D154" s="4" t="s">
        <v>365</v>
      </c>
      <c r="E154" s="4" t="s">
        <v>366</v>
      </c>
    </row>
    <row r="155" customFormat="false" ht="15" hidden="false" customHeight="false" outlineLevel="0" collapsed="false">
      <c r="A155" s="4" t="s">
        <v>361</v>
      </c>
      <c r="B155" s="4" t="s">
        <v>367</v>
      </c>
      <c r="C155" s="4" t="s">
        <v>62</v>
      </c>
      <c r="D155" s="4" t="s">
        <v>368</v>
      </c>
      <c r="E155" s="4" t="s">
        <v>369</v>
      </c>
    </row>
    <row r="156" customFormat="false" ht="15" hidden="false" customHeight="false" outlineLevel="0" collapsed="false">
      <c r="A156" s="4" t="s">
        <v>361</v>
      </c>
      <c r="B156" s="4" t="s">
        <v>370</v>
      </c>
      <c r="C156" s="4" t="s">
        <v>62</v>
      </c>
      <c r="D156" s="4" t="s">
        <v>371</v>
      </c>
      <c r="E156" s="4" t="s">
        <v>372</v>
      </c>
    </row>
    <row r="157" customFormat="false" ht="15" hidden="false" customHeight="false" outlineLevel="0" collapsed="false">
      <c r="A157" s="4" t="s">
        <v>361</v>
      </c>
      <c r="B157" s="4" t="s">
        <v>223</v>
      </c>
      <c r="C157" s="4" t="s">
        <v>62</v>
      </c>
      <c r="D157" s="4" t="s">
        <v>373</v>
      </c>
      <c r="E157" s="4"/>
    </row>
    <row r="158" customFormat="false" ht="15" hidden="false" customHeight="false" outlineLevel="0" collapsed="false">
      <c r="A158" s="4" t="s">
        <v>361</v>
      </c>
      <c r="B158" s="4" t="s">
        <v>213</v>
      </c>
      <c r="C158" s="4" t="s">
        <v>72</v>
      </c>
      <c r="D158" s="4" t="s">
        <v>374</v>
      </c>
      <c r="E158" s="4" t="s">
        <v>74</v>
      </c>
    </row>
    <row r="159" customFormat="false" ht="15" hidden="false" customHeight="false" outlineLevel="0" collapsed="false">
      <c r="A159" s="4" t="s">
        <v>361</v>
      </c>
      <c r="B159" s="4" t="s">
        <v>375</v>
      </c>
      <c r="C159" s="4" t="s">
        <v>72</v>
      </c>
      <c r="D159" s="4" t="s">
        <v>376</v>
      </c>
      <c r="E159" s="4" t="s">
        <v>147</v>
      </c>
    </row>
    <row r="160" customFormat="false" ht="15" hidden="false" customHeight="false" outlineLevel="0" collapsed="false">
      <c r="A160" s="4" t="s">
        <v>361</v>
      </c>
      <c r="B160" s="4" t="s">
        <v>75</v>
      </c>
      <c r="C160" s="4" t="s">
        <v>98</v>
      </c>
      <c r="D160" s="4"/>
      <c r="E160" s="4"/>
    </row>
    <row r="161" customFormat="false" ht="23.85" hidden="false" customHeight="false" outlineLevel="0" collapsed="false">
      <c r="A161" s="4" t="s">
        <v>361</v>
      </c>
      <c r="B161" s="4" t="s">
        <v>153</v>
      </c>
      <c r="C161" s="4" t="s">
        <v>62</v>
      </c>
      <c r="D161" s="4" t="s">
        <v>154</v>
      </c>
      <c r="E161" s="4" t="s">
        <v>155</v>
      </c>
    </row>
    <row r="162" customFormat="false" ht="15" hidden="false" customHeight="false" outlineLevel="0" collapsed="false">
      <c r="A162" s="4" t="s">
        <v>361</v>
      </c>
      <c r="B162" s="4" t="s">
        <v>156</v>
      </c>
      <c r="C162" s="4" t="s">
        <v>98</v>
      </c>
      <c r="D162" s="4" t="s">
        <v>157</v>
      </c>
      <c r="E162" s="4" t="s">
        <v>158</v>
      </c>
    </row>
    <row r="163" customFormat="false" ht="35.05" hidden="false" customHeight="false" outlineLevel="0" collapsed="false">
      <c r="A163" s="4" t="s">
        <v>361</v>
      </c>
      <c r="B163" s="4" t="s">
        <v>159</v>
      </c>
      <c r="C163" s="4" t="s">
        <v>98</v>
      </c>
      <c r="D163" s="4" t="s">
        <v>160</v>
      </c>
      <c r="E163" s="4" t="s">
        <v>161</v>
      </c>
    </row>
    <row r="164" customFormat="false" ht="15" hidden="false" customHeight="false" outlineLevel="0" collapsed="false">
      <c r="A164" s="4" t="s">
        <v>361</v>
      </c>
      <c r="B164" s="4" t="s">
        <v>162</v>
      </c>
      <c r="C164" s="4" t="s">
        <v>62</v>
      </c>
      <c r="D164" s="4" t="s">
        <v>163</v>
      </c>
      <c r="E164" s="4" t="s">
        <v>164</v>
      </c>
    </row>
    <row r="165" customFormat="false" ht="15" hidden="false" customHeight="false" outlineLevel="0" collapsed="false">
      <c r="A165" s="4" t="s">
        <v>361</v>
      </c>
      <c r="B165" s="4" t="s">
        <v>165</v>
      </c>
      <c r="C165" s="4" t="s">
        <v>62</v>
      </c>
      <c r="D165" s="4" t="s">
        <v>166</v>
      </c>
      <c r="E165" s="4" t="s">
        <v>118</v>
      </c>
    </row>
    <row r="166" customFormat="false" ht="15" hidden="false" customHeight="false" outlineLevel="0" collapsed="false">
      <c r="A166" s="4" t="s">
        <v>377</v>
      </c>
      <c r="B166" s="4" t="s">
        <v>168</v>
      </c>
      <c r="C166" s="4" t="s">
        <v>98</v>
      </c>
      <c r="D166" s="4" t="s">
        <v>378</v>
      </c>
      <c r="E166" s="4" t="s">
        <v>100</v>
      </c>
    </row>
    <row r="167" customFormat="false" ht="15" hidden="false" customHeight="false" outlineLevel="0" collapsed="false">
      <c r="A167" s="4" t="s">
        <v>377</v>
      </c>
      <c r="B167" s="4" t="s">
        <v>379</v>
      </c>
      <c r="C167" s="4" t="s">
        <v>98</v>
      </c>
      <c r="D167" s="4" t="s">
        <v>380</v>
      </c>
      <c r="E167" s="4" t="s">
        <v>366</v>
      </c>
    </row>
    <row r="168" customFormat="false" ht="15" hidden="false" customHeight="false" outlineLevel="0" collapsed="false">
      <c r="A168" s="4" t="s">
        <v>377</v>
      </c>
      <c r="B168" s="4" t="s">
        <v>381</v>
      </c>
      <c r="C168" s="4" t="s">
        <v>98</v>
      </c>
      <c r="D168" s="4" t="s">
        <v>382</v>
      </c>
      <c r="E168" s="4" t="s">
        <v>325</v>
      </c>
    </row>
    <row r="169" customFormat="false" ht="15" hidden="false" customHeight="false" outlineLevel="0" collapsed="false">
      <c r="A169" s="4" t="s">
        <v>377</v>
      </c>
      <c r="B169" s="4" t="s">
        <v>383</v>
      </c>
      <c r="C169" s="4" t="s">
        <v>72</v>
      </c>
      <c r="D169" s="4" t="s">
        <v>384</v>
      </c>
      <c r="E169" s="4" t="s">
        <v>385</v>
      </c>
    </row>
    <row r="170" customFormat="false" ht="15" hidden="false" customHeight="false" outlineLevel="0" collapsed="false">
      <c r="A170" s="4" t="s">
        <v>377</v>
      </c>
      <c r="B170" s="4" t="s">
        <v>75</v>
      </c>
      <c r="C170" s="4" t="s">
        <v>98</v>
      </c>
      <c r="D170" s="4"/>
      <c r="E170" s="4"/>
    </row>
    <row r="171" customFormat="false" ht="23.85" hidden="false" customHeight="false" outlineLevel="0" collapsed="false">
      <c r="A171" s="4" t="s">
        <v>377</v>
      </c>
      <c r="B171" s="4" t="s">
        <v>153</v>
      </c>
      <c r="C171" s="4" t="s">
        <v>62</v>
      </c>
      <c r="D171" s="4" t="s">
        <v>154</v>
      </c>
      <c r="E171" s="4" t="s">
        <v>155</v>
      </c>
    </row>
    <row r="172" customFormat="false" ht="15" hidden="false" customHeight="false" outlineLevel="0" collapsed="false">
      <c r="A172" s="4" t="s">
        <v>377</v>
      </c>
      <c r="B172" s="4" t="s">
        <v>156</v>
      </c>
      <c r="C172" s="4" t="s">
        <v>98</v>
      </c>
      <c r="D172" s="4" t="s">
        <v>157</v>
      </c>
      <c r="E172" s="4" t="s">
        <v>158</v>
      </c>
    </row>
    <row r="173" customFormat="false" ht="35.05" hidden="false" customHeight="false" outlineLevel="0" collapsed="false">
      <c r="A173" s="4" t="s">
        <v>377</v>
      </c>
      <c r="B173" s="4" t="s">
        <v>159</v>
      </c>
      <c r="C173" s="4" t="s">
        <v>98</v>
      </c>
      <c r="D173" s="4" t="s">
        <v>160</v>
      </c>
      <c r="E173" s="4" t="s">
        <v>161</v>
      </c>
    </row>
    <row r="174" customFormat="false" ht="15" hidden="false" customHeight="false" outlineLevel="0" collapsed="false">
      <c r="A174" s="4" t="s">
        <v>386</v>
      </c>
      <c r="B174" s="4" t="s">
        <v>387</v>
      </c>
      <c r="C174" s="4" t="s">
        <v>94</v>
      </c>
      <c r="D174" s="4" t="s">
        <v>185</v>
      </c>
      <c r="E174" s="4" t="s">
        <v>388</v>
      </c>
    </row>
    <row r="175" customFormat="false" ht="15" hidden="false" customHeight="false" outlineLevel="0" collapsed="false">
      <c r="A175" s="4" t="s">
        <v>386</v>
      </c>
      <c r="B175" s="4" t="s">
        <v>389</v>
      </c>
      <c r="C175" s="4" t="s">
        <v>98</v>
      </c>
      <c r="D175" s="4" t="s">
        <v>390</v>
      </c>
      <c r="E175" s="4" t="s">
        <v>391</v>
      </c>
    </row>
    <row r="176" customFormat="false" ht="15" hidden="false" customHeight="false" outlineLevel="0" collapsed="false">
      <c r="A176" s="4" t="s">
        <v>386</v>
      </c>
      <c r="B176" s="4" t="s">
        <v>168</v>
      </c>
      <c r="C176" s="4" t="s">
        <v>98</v>
      </c>
      <c r="D176" s="4" t="s">
        <v>392</v>
      </c>
      <c r="E176" s="4" t="s">
        <v>100</v>
      </c>
    </row>
    <row r="177" customFormat="false" ht="15" hidden="false" customHeight="false" outlineLevel="0" collapsed="false">
      <c r="A177" s="4" t="s">
        <v>386</v>
      </c>
      <c r="B177" s="4" t="s">
        <v>393</v>
      </c>
      <c r="C177" s="4" t="s">
        <v>98</v>
      </c>
      <c r="D177" s="4" t="s">
        <v>394</v>
      </c>
      <c r="E177" s="4" t="s">
        <v>395</v>
      </c>
    </row>
    <row r="178" customFormat="false" ht="15" hidden="false" customHeight="false" outlineLevel="0" collapsed="false">
      <c r="A178" s="4" t="s">
        <v>386</v>
      </c>
      <c r="B178" s="4" t="s">
        <v>396</v>
      </c>
      <c r="C178" s="4" t="s">
        <v>98</v>
      </c>
      <c r="D178" s="4" t="s">
        <v>397</v>
      </c>
      <c r="E178" s="4" t="s">
        <v>398</v>
      </c>
    </row>
    <row r="179" customFormat="false" ht="23.85" hidden="false" customHeight="false" outlineLevel="0" collapsed="false">
      <c r="A179" s="4" t="s">
        <v>386</v>
      </c>
      <c r="B179" s="4" t="s">
        <v>399</v>
      </c>
      <c r="C179" s="4" t="s">
        <v>111</v>
      </c>
      <c r="D179" s="4" t="s">
        <v>400</v>
      </c>
      <c r="E179" s="4" t="s">
        <v>401</v>
      </c>
    </row>
    <row r="180" customFormat="false" ht="23.85" hidden="false" customHeight="false" outlineLevel="0" collapsed="false">
      <c r="A180" s="4" t="s">
        <v>386</v>
      </c>
      <c r="B180" s="4" t="s">
        <v>402</v>
      </c>
      <c r="C180" s="4" t="s">
        <v>111</v>
      </c>
      <c r="D180" s="4"/>
      <c r="E180" s="4" t="s">
        <v>403</v>
      </c>
    </row>
    <row r="181" customFormat="false" ht="23.85" hidden="false" customHeight="false" outlineLevel="0" collapsed="false">
      <c r="A181" s="4" t="s">
        <v>386</v>
      </c>
      <c r="B181" s="4" t="s">
        <v>404</v>
      </c>
      <c r="C181" s="4" t="s">
        <v>111</v>
      </c>
      <c r="D181" s="4" t="s">
        <v>405</v>
      </c>
      <c r="E181" s="4" t="s">
        <v>406</v>
      </c>
    </row>
    <row r="182" customFormat="false" ht="15" hidden="false" customHeight="false" outlineLevel="0" collapsed="false">
      <c r="A182" s="4" t="s">
        <v>386</v>
      </c>
      <c r="B182" s="4" t="s">
        <v>407</v>
      </c>
      <c r="C182" s="4" t="s">
        <v>98</v>
      </c>
      <c r="D182" s="4"/>
      <c r="E182" s="4" t="s">
        <v>74</v>
      </c>
    </row>
    <row r="183" customFormat="false" ht="15" hidden="false" customHeight="false" outlineLevel="0" collapsed="false">
      <c r="A183" s="4" t="s">
        <v>386</v>
      </c>
      <c r="B183" s="4" t="s">
        <v>408</v>
      </c>
      <c r="C183" s="4" t="s">
        <v>98</v>
      </c>
      <c r="D183" s="4"/>
      <c r="E183" s="4" t="s">
        <v>409</v>
      </c>
    </row>
    <row r="184" customFormat="false" ht="15" hidden="false" customHeight="false" outlineLevel="0" collapsed="false">
      <c r="A184" s="4" t="s">
        <v>386</v>
      </c>
      <c r="B184" s="4" t="s">
        <v>410</v>
      </c>
      <c r="C184" s="4" t="s">
        <v>98</v>
      </c>
      <c r="D184" s="4"/>
      <c r="E184" s="4" t="s">
        <v>411</v>
      </c>
    </row>
    <row r="185" customFormat="false" ht="23.85" hidden="false" customHeight="false" outlineLevel="0" collapsed="false">
      <c r="A185" s="4" t="s">
        <v>386</v>
      </c>
      <c r="B185" s="4" t="s">
        <v>412</v>
      </c>
      <c r="C185" s="4" t="s">
        <v>111</v>
      </c>
      <c r="D185" s="4" t="s">
        <v>413</v>
      </c>
      <c r="E185" s="4" t="s">
        <v>414</v>
      </c>
    </row>
    <row r="186" customFormat="false" ht="15" hidden="false" customHeight="false" outlineLevel="0" collapsed="false">
      <c r="A186" s="4" t="s">
        <v>386</v>
      </c>
      <c r="B186" s="4" t="s">
        <v>75</v>
      </c>
      <c r="C186" s="4" t="s">
        <v>98</v>
      </c>
      <c r="D186" s="4" t="s">
        <v>415</v>
      </c>
      <c r="E186" s="4"/>
    </row>
    <row r="187" customFormat="false" ht="23.85" hidden="false" customHeight="false" outlineLevel="0" collapsed="false">
      <c r="A187" s="4" t="s">
        <v>386</v>
      </c>
      <c r="B187" s="4" t="s">
        <v>153</v>
      </c>
      <c r="C187" s="4" t="s">
        <v>62</v>
      </c>
      <c r="D187" s="4" t="s">
        <v>154</v>
      </c>
      <c r="E187" s="4" t="s">
        <v>155</v>
      </c>
    </row>
    <row r="188" customFormat="false" ht="15" hidden="false" customHeight="false" outlineLevel="0" collapsed="false">
      <c r="A188" s="4" t="s">
        <v>386</v>
      </c>
      <c r="B188" s="4" t="s">
        <v>156</v>
      </c>
      <c r="C188" s="4" t="s">
        <v>98</v>
      </c>
      <c r="D188" s="4" t="s">
        <v>157</v>
      </c>
      <c r="E188" s="4" t="s">
        <v>158</v>
      </c>
    </row>
    <row r="189" customFormat="false" ht="35.05" hidden="false" customHeight="false" outlineLevel="0" collapsed="false">
      <c r="A189" s="4" t="s">
        <v>386</v>
      </c>
      <c r="B189" s="4" t="s">
        <v>159</v>
      </c>
      <c r="C189" s="4" t="s">
        <v>98</v>
      </c>
      <c r="D189" s="4" t="s">
        <v>160</v>
      </c>
      <c r="E189" s="4" t="s">
        <v>161</v>
      </c>
    </row>
    <row r="190" customFormat="false" ht="15" hidden="false" customHeight="false" outlineLevel="0" collapsed="false">
      <c r="A190" s="4" t="s">
        <v>416</v>
      </c>
      <c r="B190" s="4" t="s">
        <v>417</v>
      </c>
      <c r="C190" s="4" t="s">
        <v>94</v>
      </c>
      <c r="D190" s="4"/>
      <c r="E190" s="4" t="s">
        <v>418</v>
      </c>
    </row>
    <row r="191" customFormat="false" ht="15" hidden="false" customHeight="false" outlineLevel="0" collapsed="false">
      <c r="A191" s="4" t="s">
        <v>416</v>
      </c>
      <c r="B191" s="4" t="s">
        <v>389</v>
      </c>
      <c r="C191" s="4" t="s">
        <v>62</v>
      </c>
      <c r="D191" s="4"/>
      <c r="E191" s="4" t="s">
        <v>419</v>
      </c>
    </row>
    <row r="192" customFormat="false" ht="35.05" hidden="false" customHeight="false" outlineLevel="0" collapsed="false">
      <c r="A192" s="4" t="s">
        <v>416</v>
      </c>
      <c r="B192" s="4" t="s">
        <v>420</v>
      </c>
      <c r="C192" s="4" t="s">
        <v>62</v>
      </c>
      <c r="D192" s="4" t="s">
        <v>421</v>
      </c>
      <c r="E192" s="4" t="s">
        <v>422</v>
      </c>
    </row>
    <row r="193" customFormat="false" ht="23.85" hidden="false" customHeight="false" outlineLevel="0" collapsed="false">
      <c r="A193" s="4" t="s">
        <v>416</v>
      </c>
      <c r="B193" s="4" t="s">
        <v>423</v>
      </c>
      <c r="C193" s="4" t="s">
        <v>62</v>
      </c>
      <c r="D193" s="4" t="s">
        <v>424</v>
      </c>
      <c r="E193" s="4" t="s">
        <v>425</v>
      </c>
    </row>
    <row r="194" customFormat="false" ht="15" hidden="false" customHeight="false" outlineLevel="0" collapsed="false">
      <c r="A194" s="4" t="s">
        <v>416</v>
      </c>
      <c r="B194" s="4" t="s">
        <v>426</v>
      </c>
      <c r="C194" s="4" t="s">
        <v>62</v>
      </c>
      <c r="D194" s="4"/>
      <c r="E194" s="4" t="s">
        <v>427</v>
      </c>
    </row>
    <row r="195" customFormat="false" ht="15" hidden="false" customHeight="false" outlineLevel="0" collapsed="false">
      <c r="A195" s="4" t="s">
        <v>416</v>
      </c>
      <c r="B195" s="4" t="s">
        <v>428</v>
      </c>
      <c r="C195" s="4" t="s">
        <v>62</v>
      </c>
      <c r="D195" s="4" t="s">
        <v>429</v>
      </c>
      <c r="E195" s="4" t="s">
        <v>430</v>
      </c>
    </row>
    <row r="196" customFormat="false" ht="15" hidden="false" customHeight="false" outlineLevel="0" collapsed="false">
      <c r="A196" s="4" t="s">
        <v>416</v>
      </c>
      <c r="B196" s="4" t="s">
        <v>431</v>
      </c>
      <c r="C196" s="4" t="s">
        <v>62</v>
      </c>
      <c r="D196" s="4"/>
      <c r="E196" s="4" t="s">
        <v>432</v>
      </c>
    </row>
    <row r="197" customFormat="false" ht="15" hidden="false" customHeight="false" outlineLevel="0" collapsed="false">
      <c r="A197" s="4" t="s">
        <v>416</v>
      </c>
      <c r="B197" s="4" t="s">
        <v>75</v>
      </c>
      <c r="C197" s="4" t="s">
        <v>62</v>
      </c>
      <c r="D197" s="4"/>
      <c r="E197" s="4"/>
    </row>
    <row r="198" customFormat="false" ht="15" hidden="false" customHeight="false" outlineLevel="0" collapsed="false">
      <c r="A198" s="4" t="s">
        <v>433</v>
      </c>
      <c r="B198" s="4" t="s">
        <v>434</v>
      </c>
      <c r="C198" s="4" t="s">
        <v>94</v>
      </c>
      <c r="D198" s="4"/>
      <c r="E198" s="4" t="s">
        <v>435</v>
      </c>
    </row>
    <row r="199" customFormat="false" ht="15" hidden="false" customHeight="false" outlineLevel="0" collapsed="false">
      <c r="A199" s="4" t="s">
        <v>433</v>
      </c>
      <c r="B199" s="4" t="s">
        <v>436</v>
      </c>
      <c r="C199" s="4" t="s">
        <v>98</v>
      </c>
      <c r="D199" s="4"/>
      <c r="E199" s="4" t="s">
        <v>164</v>
      </c>
    </row>
    <row r="200" customFormat="false" ht="15" hidden="false" customHeight="false" outlineLevel="0" collapsed="false">
      <c r="A200" s="4" t="s">
        <v>433</v>
      </c>
      <c r="B200" s="4" t="s">
        <v>55</v>
      </c>
      <c r="C200" s="4" t="s">
        <v>98</v>
      </c>
      <c r="D200" s="4" t="s">
        <v>437</v>
      </c>
      <c r="E200" s="4" t="s">
        <v>183</v>
      </c>
    </row>
    <row r="201" customFormat="false" ht="15" hidden="false" customHeight="false" outlineLevel="0" collapsed="false">
      <c r="A201" s="4" t="s">
        <v>433</v>
      </c>
      <c r="B201" s="4" t="s">
        <v>438</v>
      </c>
      <c r="C201" s="4" t="s">
        <v>94</v>
      </c>
      <c r="D201" s="4" t="s">
        <v>439</v>
      </c>
      <c r="E201" s="4" t="s">
        <v>440</v>
      </c>
    </row>
    <row r="202" customFormat="false" ht="23.85" hidden="false" customHeight="false" outlineLevel="0" collapsed="false">
      <c r="A202" s="4" t="s">
        <v>433</v>
      </c>
      <c r="B202" s="4" t="s">
        <v>441</v>
      </c>
      <c r="C202" s="4" t="s">
        <v>98</v>
      </c>
      <c r="D202" s="4" t="s">
        <v>442</v>
      </c>
      <c r="E202" s="4" t="s">
        <v>443</v>
      </c>
    </row>
    <row r="203" customFormat="false" ht="23.85" hidden="false" customHeight="false" outlineLevel="0" collapsed="false">
      <c r="A203" s="4" t="s">
        <v>433</v>
      </c>
      <c r="B203" s="4" t="s">
        <v>444</v>
      </c>
      <c r="C203" s="4" t="s">
        <v>98</v>
      </c>
      <c r="D203" s="4" t="s">
        <v>445</v>
      </c>
      <c r="E203" s="4" t="s">
        <v>446</v>
      </c>
    </row>
    <row r="204" customFormat="false" ht="15" hidden="false" customHeight="false" outlineLevel="0" collapsed="false">
      <c r="A204" s="4" t="s">
        <v>433</v>
      </c>
      <c r="B204" s="4" t="s">
        <v>431</v>
      </c>
      <c r="C204" s="4" t="s">
        <v>62</v>
      </c>
      <c r="D204" s="4"/>
      <c r="E204" s="4" t="s">
        <v>447</v>
      </c>
    </row>
    <row r="205" customFormat="false" ht="15" hidden="false" customHeight="false" outlineLevel="0" collapsed="false">
      <c r="A205" s="4" t="s">
        <v>433</v>
      </c>
      <c r="B205" s="4" t="s">
        <v>448</v>
      </c>
      <c r="C205" s="4" t="s">
        <v>62</v>
      </c>
      <c r="D205" s="4"/>
      <c r="E205" s="4"/>
    </row>
    <row r="206" customFormat="false" ht="15" hidden="false" customHeight="false" outlineLevel="0" collapsed="false">
      <c r="A206" s="4" t="s">
        <v>433</v>
      </c>
      <c r="B206" s="4" t="s">
        <v>449</v>
      </c>
      <c r="C206" s="4" t="s">
        <v>62</v>
      </c>
      <c r="D206" s="4"/>
      <c r="E206" s="4"/>
    </row>
    <row r="207" customFormat="false" ht="15" hidden="false" customHeight="false" outlineLevel="0" collapsed="false">
      <c r="A207" s="4" t="s">
        <v>433</v>
      </c>
      <c r="B207" s="4" t="s">
        <v>450</v>
      </c>
      <c r="C207" s="4" t="s">
        <v>62</v>
      </c>
      <c r="D207" s="4"/>
      <c r="E207" s="4"/>
    </row>
  </sheetData>
  <autoFilter ref="A4:E2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12"/>
    <col collapsed="false" customWidth="true" hidden="false" outlineLevel="0" max="10" min="10" style="0" width="24"/>
    <col collapsed="false" customWidth="true" hidden="false" outlineLevel="0" max="11" min="11" style="0" width="44"/>
    <col collapsed="false" customWidth="true" hidden="false" outlineLevel="0" max="12" min="12" style="0" width="8"/>
    <col collapsed="false" customWidth="true" hidden="false" outlineLevel="0" max="13" min="13" style="0" width="30"/>
    <col collapsed="false" customWidth="true" hidden="false" outlineLevel="0" max="14" min="14" style="0" width="8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44"/>
    <col collapsed="false" customWidth="true" hidden="false" outlineLevel="0" max="18" min="18" style="0" width="10"/>
    <col collapsed="false" customWidth="true" hidden="false" outlineLevel="0" max="19" min="19" style="0" width="9"/>
    <col collapsed="false" customWidth="true" hidden="false" outlineLevel="0" max="21" min="20" style="0" width="10"/>
    <col collapsed="false" customWidth="true" hidden="false" outlineLevel="0" max="22" min="22" style="0" width="36"/>
    <col collapsed="false" customWidth="true" hidden="false" outlineLevel="0" max="23" min="23" style="0" width="11"/>
    <col collapsed="false" customWidth="true" hidden="false" outlineLevel="0" max="24" min="24" style="0" width="26"/>
    <col collapsed="false" customWidth="true" hidden="false" outlineLevel="0" max="25" min="25" style="0" width="11"/>
    <col collapsed="false" customWidth="true" hidden="false" outlineLevel="0" max="26" min="26" style="0" width="12"/>
    <col collapsed="false" customWidth="true" hidden="false" outlineLevel="0" max="27" min="27" style="0" width="14"/>
  </cols>
  <sheetData>
    <row r="1" customFormat="false" ht="17.35" hidden="false" customHeight="false" outlineLevel="0" collapsed="false">
      <c r="A1" s="1" t="s">
        <v>92</v>
      </c>
    </row>
    <row r="2" customFormat="false" ht="15" hidden="false" customHeight="false" outlineLevel="0" collapsed="false">
      <c r="A2" s="2" t="s">
        <v>451</v>
      </c>
    </row>
    <row r="4" customFormat="false" ht="33.75" hidden="false" customHeight="true" outlineLevel="0" collapsed="false">
      <c r="A4" s="16" t="s">
        <v>93</v>
      </c>
      <c r="B4" s="17" t="s">
        <v>97</v>
      </c>
      <c r="C4" s="17" t="s">
        <v>101</v>
      </c>
      <c r="D4" s="17" t="s">
        <v>104</v>
      </c>
      <c r="E4" s="17" t="s">
        <v>107</v>
      </c>
      <c r="F4" s="17" t="s">
        <v>110</v>
      </c>
      <c r="G4" s="17" t="s">
        <v>114</v>
      </c>
      <c r="H4" s="17" t="s">
        <v>68</v>
      </c>
      <c r="I4" s="17" t="s">
        <v>119</v>
      </c>
      <c r="J4" s="17" t="s">
        <v>122</v>
      </c>
      <c r="K4" s="17" t="s">
        <v>125</v>
      </c>
      <c r="L4" s="16" t="s">
        <v>452</v>
      </c>
      <c r="M4" s="17" t="s">
        <v>128</v>
      </c>
      <c r="N4" s="16" t="s">
        <v>453</v>
      </c>
      <c r="O4" s="17" t="s">
        <v>131</v>
      </c>
      <c r="P4" s="17" t="s">
        <v>134</v>
      </c>
      <c r="Q4" s="17" t="s">
        <v>137</v>
      </c>
      <c r="R4" s="17" t="s">
        <v>140</v>
      </c>
      <c r="S4" s="17" t="s">
        <v>142</v>
      </c>
      <c r="T4" s="17" t="s">
        <v>145</v>
      </c>
      <c r="U4" s="17" t="s">
        <v>148</v>
      </c>
      <c r="V4" s="17" t="s">
        <v>75</v>
      </c>
      <c r="W4" s="17" t="s">
        <v>153</v>
      </c>
      <c r="X4" s="17" t="s">
        <v>156</v>
      </c>
      <c r="Y4" s="17" t="s">
        <v>159</v>
      </c>
      <c r="Z4" s="17" t="s">
        <v>162</v>
      </c>
      <c r="AA4" s="17" t="s">
        <v>165</v>
      </c>
    </row>
    <row r="5" customFormat="false" ht="15" hidden="false" customHeight="false" outlineLevel="0" collapsed="false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18"/>
      <c r="M5" s="20"/>
      <c r="N5" s="18"/>
      <c r="O5" s="20"/>
      <c r="P5" s="20"/>
      <c r="Q5" s="20"/>
      <c r="R5" s="20"/>
      <c r="S5" s="21" t="str">
        <f aca="false">IF(A5="","",COUNTIF('Metric to Product'!$B:$B,A5))</f>
        <v/>
      </c>
      <c r="T5" s="21" t="str">
        <f aca="false">IF(A5="","",COUNTIFS('Product inputs'!$B:$B,A5,'Product inputs'!$E:$E,"Manual spreadsheet"))</f>
        <v/>
      </c>
      <c r="U5" s="20"/>
      <c r="V5" s="20"/>
      <c r="W5" s="20"/>
      <c r="X5" s="20"/>
      <c r="Y5" s="20"/>
      <c r="Z5" s="20"/>
      <c r="AA5" s="20"/>
    </row>
    <row r="6" customFormat="false" ht="15" hidden="false" customHeight="false" outlineLevel="0" collapsed="false">
      <c r="A6" s="18"/>
      <c r="B6" s="19"/>
      <c r="C6" s="20"/>
      <c r="D6" s="20"/>
      <c r="E6" s="20"/>
      <c r="F6" s="20"/>
      <c r="G6" s="20"/>
      <c r="H6" s="20"/>
      <c r="I6" s="20"/>
      <c r="J6" s="20"/>
      <c r="K6" s="20"/>
      <c r="L6" s="18"/>
      <c r="M6" s="20"/>
      <c r="N6" s="18"/>
      <c r="O6" s="20"/>
      <c r="P6" s="20"/>
      <c r="Q6" s="20"/>
      <c r="R6" s="20"/>
      <c r="S6" s="21" t="str">
        <f aca="false">IF(A6="","",COUNTIF('Metric to Product'!$B:$B,A6))</f>
        <v/>
      </c>
      <c r="T6" s="21" t="str">
        <f aca="false">IF(A6="","",COUNTIFS('Product inputs'!$B:$B,A6,'Product inputs'!$E:$E,"Manual spreadsheet"))</f>
        <v/>
      </c>
      <c r="U6" s="20"/>
      <c r="V6" s="20"/>
      <c r="W6" s="20"/>
      <c r="X6" s="20"/>
      <c r="Y6" s="20"/>
      <c r="Z6" s="20"/>
      <c r="AA6" s="20"/>
    </row>
    <row r="7" customFormat="false" ht="15" hidden="false" customHeight="false" outlineLevel="0" collapsed="false">
      <c r="A7" s="18"/>
      <c r="B7" s="19"/>
      <c r="C7" s="20"/>
      <c r="D7" s="20"/>
      <c r="E7" s="20"/>
      <c r="F7" s="20"/>
      <c r="G7" s="20"/>
      <c r="H7" s="20"/>
      <c r="I7" s="20"/>
      <c r="J7" s="20"/>
      <c r="K7" s="20"/>
      <c r="L7" s="18"/>
      <c r="M7" s="20"/>
      <c r="N7" s="18"/>
      <c r="O7" s="20"/>
      <c r="P7" s="20"/>
      <c r="Q7" s="20"/>
      <c r="R7" s="20"/>
      <c r="S7" s="21" t="str">
        <f aca="false">IF(A7="","",COUNTIF('Metric to Product'!$B:$B,A7))</f>
        <v/>
      </c>
      <c r="T7" s="21" t="str">
        <f aca="false">IF(A7="","",COUNTIFS('Product inputs'!$B:$B,A7,'Product inputs'!$E:$E,"Manual spreadsheet"))</f>
        <v/>
      </c>
      <c r="U7" s="20"/>
      <c r="V7" s="20"/>
      <c r="W7" s="20"/>
      <c r="X7" s="20"/>
      <c r="Y7" s="20"/>
      <c r="Z7" s="20"/>
      <c r="AA7" s="20"/>
    </row>
    <row r="8" customFormat="false" ht="15" hidden="false" customHeight="false" outlineLevel="0" collapsed="false">
      <c r="A8" s="18"/>
      <c r="B8" s="19"/>
      <c r="C8" s="20"/>
      <c r="D8" s="20"/>
      <c r="E8" s="20"/>
      <c r="F8" s="20"/>
      <c r="G8" s="20"/>
      <c r="H8" s="20"/>
      <c r="I8" s="20"/>
      <c r="J8" s="20"/>
      <c r="K8" s="20"/>
      <c r="L8" s="18"/>
      <c r="M8" s="20"/>
      <c r="N8" s="18"/>
      <c r="O8" s="20"/>
      <c r="P8" s="20"/>
      <c r="Q8" s="20"/>
      <c r="R8" s="20"/>
      <c r="S8" s="21" t="str">
        <f aca="false">IF(A8="","",COUNTIF('Metric to Product'!$B:$B,A8))</f>
        <v/>
      </c>
      <c r="T8" s="21" t="str">
        <f aca="false">IF(A8="","",COUNTIFS('Product inputs'!$B:$B,A8,'Product inputs'!$E:$E,"Manual spreadsheet"))</f>
        <v/>
      </c>
      <c r="U8" s="20"/>
      <c r="V8" s="20"/>
      <c r="W8" s="20"/>
      <c r="X8" s="20"/>
      <c r="Y8" s="20"/>
      <c r="Z8" s="20"/>
      <c r="AA8" s="20"/>
    </row>
    <row r="9" customFormat="false" ht="15" hidden="false" customHeight="false" outlineLevel="0" collapsed="false">
      <c r="A9" s="18"/>
      <c r="B9" s="19"/>
      <c r="C9" s="20"/>
      <c r="D9" s="20"/>
      <c r="E9" s="20"/>
      <c r="F9" s="20"/>
      <c r="G9" s="20"/>
      <c r="H9" s="20"/>
      <c r="I9" s="20"/>
      <c r="J9" s="20"/>
      <c r="K9" s="20"/>
      <c r="L9" s="18"/>
      <c r="M9" s="20"/>
      <c r="N9" s="18"/>
      <c r="O9" s="20"/>
      <c r="P9" s="20"/>
      <c r="Q9" s="20"/>
      <c r="R9" s="20"/>
      <c r="S9" s="21" t="str">
        <f aca="false">IF(A9="","",COUNTIF('Metric to Product'!$B:$B,A9))</f>
        <v/>
      </c>
      <c r="T9" s="21" t="str">
        <f aca="false">IF(A9="","",COUNTIFS('Product inputs'!$B:$B,A9,'Product inputs'!$E:$E,"Manual spreadsheet"))</f>
        <v/>
      </c>
      <c r="U9" s="20"/>
      <c r="V9" s="20"/>
      <c r="W9" s="20"/>
      <c r="X9" s="20"/>
      <c r="Y9" s="20"/>
      <c r="Z9" s="20"/>
      <c r="AA9" s="20"/>
    </row>
    <row r="10" customFormat="false" ht="15" hidden="false" customHeight="false" outlineLevel="0" collapsed="false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18"/>
      <c r="M10" s="20"/>
      <c r="N10" s="18"/>
      <c r="O10" s="20"/>
      <c r="P10" s="20"/>
      <c r="Q10" s="20"/>
      <c r="R10" s="20"/>
      <c r="S10" s="21" t="str">
        <f aca="false">IF(A10="","",COUNTIF('Metric to Product'!$B:$B,A10))</f>
        <v/>
      </c>
      <c r="T10" s="21" t="str">
        <f aca="false">IF(A10="","",COUNTIFS('Product inputs'!$B:$B,A10,'Product inputs'!$E:$E,"Manual spreadsheet"))</f>
        <v/>
      </c>
      <c r="U10" s="20"/>
      <c r="V10" s="20"/>
      <c r="W10" s="20"/>
      <c r="X10" s="20"/>
      <c r="Y10" s="20"/>
      <c r="Z10" s="20"/>
      <c r="AA10" s="20"/>
    </row>
    <row r="11" customFormat="false" ht="15" hidden="false" customHeight="false" outlineLevel="0" collapsed="false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18"/>
      <c r="M11" s="20"/>
      <c r="N11" s="18"/>
      <c r="O11" s="20"/>
      <c r="P11" s="20"/>
      <c r="Q11" s="20"/>
      <c r="R11" s="20"/>
      <c r="S11" s="21" t="str">
        <f aca="false">IF(A11="","",COUNTIF('Metric to Product'!$B:$B,A11))</f>
        <v/>
      </c>
      <c r="T11" s="21" t="str">
        <f aca="false">IF(A11="","",COUNTIFS('Product inputs'!$B:$B,A11,'Product inputs'!$E:$E,"Manual spreadsheet"))</f>
        <v/>
      </c>
      <c r="U11" s="20"/>
      <c r="V11" s="20"/>
      <c r="W11" s="20"/>
      <c r="X11" s="20"/>
      <c r="Y11" s="20"/>
      <c r="Z11" s="20"/>
      <c r="AA11" s="20"/>
    </row>
    <row r="12" customFormat="false" ht="15" hidden="false" customHeight="false" outlineLevel="0" collapsed="false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18"/>
      <c r="M12" s="20"/>
      <c r="N12" s="18"/>
      <c r="O12" s="20"/>
      <c r="P12" s="20"/>
      <c r="Q12" s="20"/>
      <c r="R12" s="20"/>
      <c r="S12" s="21" t="str">
        <f aca="false">IF(A12="","",COUNTIF('Metric to Product'!$B:$B,A12))</f>
        <v/>
      </c>
      <c r="T12" s="21" t="str">
        <f aca="false">IF(A12="","",COUNTIFS('Product inputs'!$B:$B,A12,'Product inputs'!$E:$E,"Manual spreadsheet"))</f>
        <v/>
      </c>
      <c r="U12" s="20"/>
      <c r="V12" s="20"/>
      <c r="W12" s="20"/>
      <c r="X12" s="20"/>
      <c r="Y12" s="20"/>
      <c r="Z12" s="20"/>
      <c r="AA12" s="20"/>
    </row>
    <row r="13" customFormat="false" ht="15" hidden="false" customHeight="false" outlineLevel="0" collapsed="false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18"/>
      <c r="M13" s="20"/>
      <c r="N13" s="18"/>
      <c r="O13" s="20"/>
      <c r="P13" s="20"/>
      <c r="Q13" s="20"/>
      <c r="R13" s="20"/>
      <c r="S13" s="21" t="str">
        <f aca="false">IF(A13="","",COUNTIF('Metric to Product'!$B:$B,A13))</f>
        <v/>
      </c>
      <c r="T13" s="21" t="str">
        <f aca="false">IF(A13="","",COUNTIFS('Product inputs'!$B:$B,A13,'Product inputs'!$E:$E,"Manual spreadsheet"))</f>
        <v/>
      </c>
      <c r="U13" s="20"/>
      <c r="V13" s="20"/>
      <c r="W13" s="20"/>
      <c r="X13" s="20"/>
      <c r="Y13" s="20"/>
      <c r="Z13" s="20"/>
      <c r="AA13" s="20"/>
    </row>
    <row r="14" customFormat="false" ht="15" hidden="false" customHeight="false" outlineLevel="0" collapsed="false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18"/>
      <c r="M14" s="20"/>
      <c r="N14" s="18"/>
      <c r="O14" s="20"/>
      <c r="P14" s="20"/>
      <c r="Q14" s="20"/>
      <c r="R14" s="20"/>
      <c r="S14" s="21" t="str">
        <f aca="false">IF(A14="","",COUNTIF('Metric to Product'!$B:$B,A14))</f>
        <v/>
      </c>
      <c r="T14" s="21" t="str">
        <f aca="false">IF(A14="","",COUNTIFS('Product inputs'!$B:$B,A14,'Product inputs'!$E:$E,"Manual spreadsheet"))</f>
        <v/>
      </c>
      <c r="U14" s="20"/>
      <c r="V14" s="20"/>
      <c r="W14" s="20"/>
      <c r="X14" s="20"/>
      <c r="Y14" s="20"/>
      <c r="Z14" s="20"/>
      <c r="AA14" s="20"/>
    </row>
    <row r="15" customFormat="false" ht="15" hidden="false" customHeight="false" outlineLevel="0" collapsed="false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18"/>
      <c r="M15" s="20"/>
      <c r="N15" s="18"/>
      <c r="O15" s="20"/>
      <c r="P15" s="20"/>
      <c r="Q15" s="20"/>
      <c r="R15" s="20"/>
      <c r="S15" s="21" t="str">
        <f aca="false">IF(A15="","",COUNTIF('Metric to Product'!$B:$B,A15))</f>
        <v/>
      </c>
      <c r="T15" s="21" t="str">
        <f aca="false">IF(A15="","",COUNTIFS('Product inputs'!$B:$B,A15,'Product inputs'!$E:$E,"Manual spreadsheet"))</f>
        <v/>
      </c>
      <c r="U15" s="20"/>
      <c r="V15" s="20"/>
      <c r="W15" s="20"/>
      <c r="X15" s="20"/>
      <c r="Y15" s="20"/>
      <c r="Z15" s="20"/>
      <c r="AA15" s="20"/>
    </row>
    <row r="16" customFormat="false" ht="15" hidden="false" customHeight="false" outlineLevel="0" collapsed="false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18"/>
      <c r="M16" s="20"/>
      <c r="N16" s="18"/>
      <c r="O16" s="20"/>
      <c r="P16" s="20"/>
      <c r="Q16" s="20"/>
      <c r="R16" s="20"/>
      <c r="S16" s="21" t="str">
        <f aca="false">IF(A16="","",COUNTIF('Metric to Product'!$B:$B,A16))</f>
        <v/>
      </c>
      <c r="T16" s="21" t="str">
        <f aca="false">IF(A16="","",COUNTIFS('Product inputs'!$B:$B,A16,'Product inputs'!$E:$E,"Manual spreadsheet"))</f>
        <v/>
      </c>
      <c r="U16" s="20"/>
      <c r="V16" s="20"/>
      <c r="W16" s="20"/>
      <c r="X16" s="20"/>
      <c r="Y16" s="20"/>
      <c r="Z16" s="20"/>
      <c r="AA16" s="20"/>
    </row>
    <row r="17" customFormat="false" ht="15" hidden="false" customHeight="false" outlineLevel="0" collapsed="false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18"/>
      <c r="M17" s="20"/>
      <c r="N17" s="18"/>
      <c r="O17" s="20"/>
      <c r="P17" s="20"/>
      <c r="Q17" s="20"/>
      <c r="R17" s="20"/>
      <c r="S17" s="21" t="str">
        <f aca="false">IF(A17="","",COUNTIF('Metric to Product'!$B:$B,A17))</f>
        <v/>
      </c>
      <c r="T17" s="21" t="str">
        <f aca="false">IF(A17="","",COUNTIFS('Product inputs'!$B:$B,A17,'Product inputs'!$E:$E,"Manual spreadsheet"))</f>
        <v/>
      </c>
      <c r="U17" s="20"/>
      <c r="V17" s="20"/>
      <c r="W17" s="20"/>
      <c r="X17" s="20"/>
      <c r="Y17" s="20"/>
      <c r="Z17" s="20"/>
      <c r="AA17" s="20"/>
    </row>
    <row r="18" customFormat="false" ht="15" hidden="false" customHeight="false" outlineLevel="0" collapsed="false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18"/>
      <c r="M18" s="20"/>
      <c r="N18" s="18"/>
      <c r="O18" s="20"/>
      <c r="P18" s="20"/>
      <c r="Q18" s="20"/>
      <c r="R18" s="20"/>
      <c r="S18" s="21" t="str">
        <f aca="false">IF(A18="","",COUNTIF('Metric to Product'!$B:$B,A18))</f>
        <v/>
      </c>
      <c r="T18" s="21" t="str">
        <f aca="false">IF(A18="","",COUNTIFS('Product inputs'!$B:$B,A18,'Product inputs'!$E:$E,"Manual spreadsheet"))</f>
        <v/>
      </c>
      <c r="U18" s="20"/>
      <c r="V18" s="20"/>
      <c r="W18" s="20"/>
      <c r="X18" s="20"/>
      <c r="Y18" s="20"/>
      <c r="Z18" s="20"/>
      <c r="AA18" s="20"/>
    </row>
    <row r="19" customFormat="false" ht="15" hidden="false" customHeight="false" outlineLevel="0" collapsed="false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18"/>
      <c r="M19" s="20"/>
      <c r="N19" s="18"/>
      <c r="O19" s="20"/>
      <c r="P19" s="20"/>
      <c r="Q19" s="20"/>
      <c r="R19" s="20"/>
      <c r="S19" s="21" t="str">
        <f aca="false">IF(A19="","",COUNTIF('Metric to Product'!$B:$B,A19))</f>
        <v/>
      </c>
      <c r="T19" s="21" t="str">
        <f aca="false">IF(A19="","",COUNTIFS('Product inputs'!$B:$B,A19,'Product inputs'!$E:$E,"Manual spreadsheet"))</f>
        <v/>
      </c>
      <c r="U19" s="20"/>
      <c r="V19" s="20"/>
      <c r="W19" s="20"/>
      <c r="X19" s="20"/>
      <c r="Y19" s="20"/>
      <c r="Z19" s="20"/>
      <c r="AA19" s="20"/>
    </row>
    <row r="20" customFormat="false" ht="15" hidden="false" customHeight="false" outlineLevel="0" collapsed="false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18"/>
      <c r="M20" s="20"/>
      <c r="N20" s="18"/>
      <c r="O20" s="20"/>
      <c r="P20" s="20"/>
      <c r="Q20" s="20"/>
      <c r="R20" s="20"/>
      <c r="S20" s="21" t="str">
        <f aca="false">IF(A20="","",COUNTIF('Metric to Product'!$B:$B,A20))</f>
        <v/>
      </c>
      <c r="T20" s="21" t="str">
        <f aca="false">IF(A20="","",COUNTIFS('Product inputs'!$B:$B,A20,'Product inputs'!$E:$E,"Manual spreadsheet"))</f>
        <v/>
      </c>
      <c r="U20" s="20"/>
      <c r="V20" s="20"/>
      <c r="W20" s="20"/>
      <c r="X20" s="20"/>
      <c r="Y20" s="20"/>
      <c r="Z20" s="20"/>
      <c r="AA20" s="20"/>
    </row>
    <row r="21" customFormat="false" ht="15" hidden="false" customHeight="false" outlineLevel="0" collapsed="false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18"/>
      <c r="M21" s="20"/>
      <c r="N21" s="18"/>
      <c r="O21" s="20"/>
      <c r="P21" s="20"/>
      <c r="Q21" s="20"/>
      <c r="R21" s="20"/>
      <c r="S21" s="21" t="str">
        <f aca="false">IF(A21="","",COUNTIF('Metric to Product'!$B:$B,A21))</f>
        <v/>
      </c>
      <c r="T21" s="21" t="str">
        <f aca="false">IF(A21="","",COUNTIFS('Product inputs'!$B:$B,A21,'Product inputs'!$E:$E,"Manual spreadsheet"))</f>
        <v/>
      </c>
      <c r="U21" s="20"/>
      <c r="V21" s="20"/>
      <c r="W21" s="20"/>
      <c r="X21" s="20"/>
      <c r="Y21" s="20"/>
      <c r="Z21" s="20"/>
      <c r="AA21" s="20"/>
    </row>
    <row r="22" customFormat="false" ht="15" hidden="false" customHeight="false" outlineLevel="0" collapsed="false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18"/>
      <c r="M22" s="20"/>
      <c r="N22" s="18"/>
      <c r="O22" s="20"/>
      <c r="P22" s="20"/>
      <c r="Q22" s="20"/>
      <c r="R22" s="20"/>
      <c r="S22" s="21" t="str">
        <f aca="false">IF(A22="","",COUNTIF('Metric to Product'!$B:$B,A22))</f>
        <v/>
      </c>
      <c r="T22" s="21" t="str">
        <f aca="false">IF(A22="","",COUNTIFS('Product inputs'!$B:$B,A22,'Product inputs'!$E:$E,"Manual spreadsheet"))</f>
        <v/>
      </c>
      <c r="U22" s="20"/>
      <c r="V22" s="20"/>
      <c r="W22" s="20"/>
      <c r="X22" s="20"/>
      <c r="Y22" s="20"/>
      <c r="Z22" s="20"/>
      <c r="AA22" s="20"/>
    </row>
    <row r="23" customFormat="false" ht="15" hidden="false" customHeight="false" outlineLevel="0" collapsed="false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18"/>
      <c r="M23" s="20"/>
      <c r="N23" s="18"/>
      <c r="O23" s="20"/>
      <c r="P23" s="20"/>
      <c r="Q23" s="20"/>
      <c r="R23" s="20"/>
      <c r="S23" s="21" t="str">
        <f aca="false">IF(A23="","",COUNTIF('Metric to Product'!$B:$B,A23))</f>
        <v/>
      </c>
      <c r="T23" s="21" t="str">
        <f aca="false">IF(A23="","",COUNTIFS('Product inputs'!$B:$B,A23,'Product inputs'!$E:$E,"Manual spreadsheet"))</f>
        <v/>
      </c>
      <c r="U23" s="20"/>
      <c r="V23" s="20"/>
      <c r="W23" s="20"/>
      <c r="X23" s="20"/>
      <c r="Y23" s="20"/>
      <c r="Z23" s="20"/>
      <c r="AA23" s="20"/>
    </row>
    <row r="24" customFormat="false" ht="15" hidden="false" customHeight="false" outlineLevel="0" collapsed="false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18"/>
      <c r="M24" s="20"/>
      <c r="N24" s="18"/>
      <c r="O24" s="20"/>
      <c r="P24" s="20"/>
      <c r="Q24" s="20"/>
      <c r="R24" s="20"/>
      <c r="S24" s="21" t="str">
        <f aca="false">IF(A24="","",COUNTIF('Metric to Product'!$B:$B,A24))</f>
        <v/>
      </c>
      <c r="T24" s="21" t="str">
        <f aca="false">IF(A24="","",COUNTIFS('Product inputs'!$B:$B,A24,'Product inputs'!$E:$E,"Manual spreadsheet"))</f>
        <v/>
      </c>
      <c r="U24" s="20"/>
      <c r="V24" s="20"/>
      <c r="W24" s="20"/>
      <c r="X24" s="20"/>
      <c r="Y24" s="20"/>
      <c r="Z24" s="20"/>
      <c r="AA24" s="20"/>
    </row>
    <row r="25" customFormat="false" ht="15" hidden="false" customHeight="false" outlineLevel="0" collapsed="false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18"/>
      <c r="M25" s="20"/>
      <c r="N25" s="18"/>
      <c r="O25" s="20"/>
      <c r="P25" s="20"/>
      <c r="Q25" s="20"/>
      <c r="R25" s="20"/>
      <c r="S25" s="21" t="str">
        <f aca="false">IF(A25="","",COUNTIF('Metric to Product'!$B:$B,A25))</f>
        <v/>
      </c>
      <c r="T25" s="21" t="str">
        <f aca="false">IF(A25="","",COUNTIFS('Product inputs'!$B:$B,A25,'Product inputs'!$E:$E,"Manual spreadsheet"))</f>
        <v/>
      </c>
      <c r="U25" s="20"/>
      <c r="V25" s="20"/>
      <c r="W25" s="20"/>
      <c r="X25" s="20"/>
      <c r="Y25" s="20"/>
      <c r="Z25" s="20"/>
      <c r="AA25" s="20"/>
    </row>
    <row r="26" customFormat="false" ht="15" hidden="false" customHeight="false" outlineLevel="0" collapsed="false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18"/>
      <c r="M26" s="20"/>
      <c r="N26" s="18"/>
      <c r="O26" s="20"/>
      <c r="P26" s="20"/>
      <c r="Q26" s="20"/>
      <c r="R26" s="20"/>
      <c r="S26" s="21" t="str">
        <f aca="false">IF(A26="","",COUNTIF('Metric to Product'!$B:$B,A26))</f>
        <v/>
      </c>
      <c r="T26" s="21" t="str">
        <f aca="false">IF(A26="","",COUNTIFS('Product inputs'!$B:$B,A26,'Product inputs'!$E:$E,"Manual spreadsheet"))</f>
        <v/>
      </c>
      <c r="U26" s="20"/>
      <c r="V26" s="20"/>
      <c r="W26" s="20"/>
      <c r="X26" s="20"/>
      <c r="Y26" s="20"/>
      <c r="Z26" s="20"/>
      <c r="AA26" s="20"/>
    </row>
    <row r="27" customFormat="false" ht="15" hidden="false" customHeight="false" outlineLevel="0" collapsed="false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18"/>
      <c r="M27" s="20"/>
      <c r="N27" s="18"/>
      <c r="O27" s="20"/>
      <c r="P27" s="20"/>
      <c r="Q27" s="20"/>
      <c r="R27" s="20"/>
      <c r="S27" s="21" t="str">
        <f aca="false">IF(A27="","",COUNTIF('Metric to Product'!$B:$B,A27))</f>
        <v/>
      </c>
      <c r="T27" s="21" t="str">
        <f aca="false">IF(A27="","",COUNTIFS('Product inputs'!$B:$B,A27,'Product inputs'!$E:$E,"Manual spreadsheet"))</f>
        <v/>
      </c>
      <c r="U27" s="20"/>
      <c r="V27" s="20"/>
      <c r="W27" s="20"/>
      <c r="X27" s="20"/>
      <c r="Y27" s="20"/>
      <c r="Z27" s="20"/>
      <c r="AA27" s="20"/>
    </row>
    <row r="28" customFormat="false" ht="15" hidden="false" customHeight="false" outlineLevel="0" collapsed="false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18"/>
      <c r="M28" s="20"/>
      <c r="N28" s="18"/>
      <c r="O28" s="20"/>
      <c r="P28" s="20"/>
      <c r="Q28" s="20"/>
      <c r="R28" s="20"/>
      <c r="S28" s="21" t="str">
        <f aca="false">IF(A28="","",COUNTIF('Metric to Product'!$B:$B,A28))</f>
        <v/>
      </c>
      <c r="T28" s="21" t="str">
        <f aca="false">IF(A28="","",COUNTIFS('Product inputs'!$B:$B,A28,'Product inputs'!$E:$E,"Manual spreadsheet"))</f>
        <v/>
      </c>
      <c r="U28" s="20"/>
      <c r="V28" s="20"/>
      <c r="W28" s="20"/>
      <c r="X28" s="20"/>
      <c r="Y28" s="20"/>
      <c r="Z28" s="20"/>
      <c r="AA28" s="20"/>
    </row>
    <row r="29" customFormat="false" ht="15" hidden="false" customHeight="false" outlineLevel="0" collapsed="false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18"/>
      <c r="M29" s="20"/>
      <c r="N29" s="18"/>
      <c r="O29" s="20"/>
      <c r="P29" s="20"/>
      <c r="Q29" s="20"/>
      <c r="R29" s="20"/>
      <c r="S29" s="21" t="str">
        <f aca="false">IF(A29="","",COUNTIF('Metric to Product'!$B:$B,A29))</f>
        <v/>
      </c>
      <c r="T29" s="21" t="str">
        <f aca="false">IF(A29="","",COUNTIFS('Product inputs'!$B:$B,A29,'Product inputs'!$E:$E,"Manual spreadsheet"))</f>
        <v/>
      </c>
      <c r="U29" s="20"/>
      <c r="V29" s="20"/>
      <c r="W29" s="20"/>
      <c r="X29" s="20"/>
      <c r="Y29" s="20"/>
      <c r="Z29" s="20"/>
      <c r="AA29" s="20"/>
    </row>
    <row r="30" customFormat="false" ht="15" hidden="false" customHeight="false" outlineLevel="0" collapsed="false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0"/>
      <c r="L30" s="18"/>
      <c r="M30" s="20"/>
      <c r="N30" s="18"/>
      <c r="O30" s="20"/>
      <c r="P30" s="20"/>
      <c r="Q30" s="20"/>
      <c r="R30" s="20"/>
      <c r="S30" s="21" t="str">
        <f aca="false">IF(A30="","",COUNTIF('Metric to Product'!$B:$B,A30))</f>
        <v/>
      </c>
      <c r="T30" s="21" t="str">
        <f aca="false">IF(A30="","",COUNTIFS('Product inputs'!$B:$B,A30,'Product inputs'!$E:$E,"Manual spreadsheet"))</f>
        <v/>
      </c>
      <c r="U30" s="20"/>
      <c r="V30" s="20"/>
      <c r="W30" s="20"/>
      <c r="X30" s="20"/>
      <c r="Y30" s="20"/>
      <c r="Z30" s="20"/>
      <c r="AA30" s="20"/>
    </row>
    <row r="31" customFormat="false" ht="15" hidden="false" customHeight="false" outlineLevel="0" collapsed="false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18"/>
      <c r="M31" s="20"/>
      <c r="N31" s="18"/>
      <c r="O31" s="20"/>
      <c r="P31" s="20"/>
      <c r="Q31" s="20"/>
      <c r="R31" s="20"/>
      <c r="S31" s="21" t="str">
        <f aca="false">IF(A31="","",COUNTIF('Metric to Product'!$B:$B,A31))</f>
        <v/>
      </c>
      <c r="T31" s="21" t="str">
        <f aca="false">IF(A31="","",COUNTIFS('Product inputs'!$B:$B,A31,'Product inputs'!$E:$E,"Manual spreadsheet"))</f>
        <v/>
      </c>
      <c r="U31" s="20"/>
      <c r="V31" s="20"/>
      <c r="W31" s="20"/>
      <c r="X31" s="20"/>
      <c r="Y31" s="20"/>
      <c r="Z31" s="20"/>
      <c r="AA31" s="20"/>
    </row>
    <row r="32" customFormat="false" ht="15" hidden="false" customHeight="false" outlineLevel="0" collapsed="false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0"/>
      <c r="L32" s="18"/>
      <c r="M32" s="20"/>
      <c r="N32" s="18"/>
      <c r="O32" s="20"/>
      <c r="P32" s="20"/>
      <c r="Q32" s="20"/>
      <c r="R32" s="20"/>
      <c r="S32" s="21" t="str">
        <f aca="false">IF(A32="","",COUNTIF('Metric to Product'!$B:$B,A32))</f>
        <v/>
      </c>
      <c r="T32" s="21" t="str">
        <f aca="false">IF(A32="","",COUNTIFS('Product inputs'!$B:$B,A32,'Product inputs'!$E:$E,"Manual spreadsheet"))</f>
        <v/>
      </c>
      <c r="U32" s="20"/>
      <c r="V32" s="20"/>
      <c r="W32" s="20"/>
      <c r="X32" s="20"/>
      <c r="Y32" s="20"/>
      <c r="Z32" s="20"/>
      <c r="AA32" s="20"/>
    </row>
    <row r="33" customFormat="false" ht="15" hidden="false" customHeight="false" outlineLevel="0" collapsed="false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18"/>
      <c r="M33" s="20"/>
      <c r="N33" s="18"/>
      <c r="O33" s="20"/>
      <c r="P33" s="20"/>
      <c r="Q33" s="20"/>
      <c r="R33" s="20"/>
      <c r="S33" s="21" t="str">
        <f aca="false">IF(A33="","",COUNTIF('Metric to Product'!$B:$B,A33))</f>
        <v/>
      </c>
      <c r="T33" s="21" t="str">
        <f aca="false">IF(A33="","",COUNTIFS('Product inputs'!$B:$B,A33,'Product inputs'!$E:$E,"Manual spreadsheet"))</f>
        <v/>
      </c>
      <c r="U33" s="20"/>
      <c r="V33" s="20"/>
      <c r="W33" s="20"/>
      <c r="X33" s="20"/>
      <c r="Y33" s="20"/>
      <c r="Z33" s="20"/>
      <c r="AA33" s="20"/>
    </row>
    <row r="34" customFormat="false" ht="15" hidden="false" customHeight="false" outlineLevel="0" collapsed="false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18"/>
      <c r="M34" s="20"/>
      <c r="N34" s="18"/>
      <c r="O34" s="20"/>
      <c r="P34" s="20"/>
      <c r="Q34" s="20"/>
      <c r="R34" s="20"/>
      <c r="S34" s="21" t="str">
        <f aca="false">IF(A34="","",COUNTIF('Metric to Product'!$B:$B,A34))</f>
        <v/>
      </c>
      <c r="T34" s="21" t="str">
        <f aca="false">IF(A34="","",COUNTIFS('Product inputs'!$B:$B,A34,'Product inputs'!$E:$E,"Manual spreadsheet"))</f>
        <v/>
      </c>
      <c r="U34" s="20"/>
      <c r="V34" s="20"/>
      <c r="W34" s="20"/>
      <c r="X34" s="20"/>
      <c r="Y34" s="20"/>
      <c r="Z34" s="20"/>
      <c r="AA34" s="20"/>
    </row>
    <row r="35" customFormat="false" ht="15" hidden="false" customHeight="false" outlineLevel="0" collapsed="false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18"/>
      <c r="M35" s="20"/>
      <c r="N35" s="18"/>
      <c r="O35" s="20"/>
      <c r="P35" s="20"/>
      <c r="Q35" s="20"/>
      <c r="R35" s="20"/>
      <c r="S35" s="21" t="str">
        <f aca="false">IF(A35="","",COUNTIF('Metric to Product'!$B:$B,A35))</f>
        <v/>
      </c>
      <c r="T35" s="21" t="str">
        <f aca="false">IF(A35="","",COUNTIFS('Product inputs'!$B:$B,A35,'Product inputs'!$E:$E,"Manual spreadsheet"))</f>
        <v/>
      </c>
      <c r="U35" s="20"/>
      <c r="V35" s="20"/>
      <c r="W35" s="20"/>
      <c r="X35" s="20"/>
      <c r="Y35" s="20"/>
      <c r="Z35" s="20"/>
      <c r="AA35" s="20"/>
    </row>
    <row r="36" customFormat="false" ht="15" hidden="false" customHeight="false" outlineLevel="0" collapsed="false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0"/>
      <c r="L36" s="18"/>
      <c r="M36" s="20"/>
      <c r="N36" s="18"/>
      <c r="O36" s="20"/>
      <c r="P36" s="20"/>
      <c r="Q36" s="20"/>
      <c r="R36" s="20"/>
      <c r="S36" s="21" t="str">
        <f aca="false">IF(A36="","",COUNTIF('Metric to Product'!$B:$B,A36))</f>
        <v/>
      </c>
      <c r="T36" s="21" t="str">
        <f aca="false">IF(A36="","",COUNTIFS('Product inputs'!$B:$B,A36,'Product inputs'!$E:$E,"Manual spreadsheet"))</f>
        <v/>
      </c>
      <c r="U36" s="20"/>
      <c r="V36" s="20"/>
      <c r="W36" s="20"/>
      <c r="X36" s="20"/>
      <c r="Y36" s="20"/>
      <c r="Z36" s="20"/>
      <c r="AA36" s="20"/>
    </row>
    <row r="37" customFormat="false" ht="15" hidden="false" customHeight="false" outlineLevel="0" collapsed="false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18"/>
      <c r="M37" s="20"/>
      <c r="N37" s="18"/>
      <c r="O37" s="20"/>
      <c r="P37" s="20"/>
      <c r="Q37" s="20"/>
      <c r="R37" s="20"/>
      <c r="S37" s="21" t="str">
        <f aca="false">IF(A37="","",COUNTIF('Metric to Product'!$B:$B,A37))</f>
        <v/>
      </c>
      <c r="T37" s="21" t="str">
        <f aca="false">IF(A37="","",COUNTIFS('Product inputs'!$B:$B,A37,'Product inputs'!$E:$E,"Manual spreadsheet"))</f>
        <v/>
      </c>
      <c r="U37" s="20"/>
      <c r="V37" s="20"/>
      <c r="W37" s="20"/>
      <c r="X37" s="20"/>
      <c r="Y37" s="20"/>
      <c r="Z37" s="20"/>
      <c r="AA37" s="20"/>
    </row>
    <row r="38" customFormat="false" ht="15" hidden="false" customHeight="false" outlineLevel="0" collapsed="false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18"/>
      <c r="M38" s="20"/>
      <c r="N38" s="18"/>
      <c r="O38" s="20"/>
      <c r="P38" s="20"/>
      <c r="Q38" s="20"/>
      <c r="R38" s="20"/>
      <c r="S38" s="21" t="str">
        <f aca="false">IF(A38="","",COUNTIF('Metric to Product'!$B:$B,A38))</f>
        <v/>
      </c>
      <c r="T38" s="21" t="str">
        <f aca="false">IF(A38="","",COUNTIFS('Product inputs'!$B:$B,A38,'Product inputs'!$E:$E,"Manual spreadsheet"))</f>
        <v/>
      </c>
      <c r="U38" s="20"/>
      <c r="V38" s="20"/>
      <c r="W38" s="20"/>
      <c r="X38" s="20"/>
      <c r="Y38" s="20"/>
      <c r="Z38" s="20"/>
      <c r="AA38" s="20"/>
    </row>
    <row r="39" customFormat="false" ht="15" hidden="false" customHeight="false" outlineLevel="0" collapsed="false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0"/>
      <c r="L39" s="18"/>
      <c r="M39" s="20"/>
      <c r="N39" s="18"/>
      <c r="O39" s="20"/>
      <c r="P39" s="20"/>
      <c r="Q39" s="20"/>
      <c r="R39" s="20"/>
      <c r="S39" s="21" t="str">
        <f aca="false">IF(A39="","",COUNTIF('Metric to Product'!$B:$B,A39))</f>
        <v/>
      </c>
      <c r="T39" s="21" t="str">
        <f aca="false">IF(A39="","",COUNTIFS('Product inputs'!$B:$B,A39,'Product inputs'!$E:$E,"Manual spreadsheet"))</f>
        <v/>
      </c>
      <c r="U39" s="20"/>
      <c r="V39" s="20"/>
      <c r="W39" s="20"/>
      <c r="X39" s="20"/>
      <c r="Y39" s="20"/>
      <c r="Z39" s="20"/>
      <c r="AA39" s="20"/>
    </row>
    <row r="40" customFormat="false" ht="15" hidden="false" customHeight="false" outlineLevel="0" collapsed="false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0"/>
      <c r="L40" s="18"/>
      <c r="M40" s="20"/>
      <c r="N40" s="18"/>
      <c r="O40" s="20"/>
      <c r="P40" s="20"/>
      <c r="Q40" s="20"/>
      <c r="R40" s="20"/>
      <c r="S40" s="21" t="str">
        <f aca="false">IF(A40="","",COUNTIF('Metric to Product'!$B:$B,A40))</f>
        <v/>
      </c>
      <c r="T40" s="21" t="str">
        <f aca="false">IF(A40="","",COUNTIFS('Product inputs'!$B:$B,A40,'Product inputs'!$E:$E,"Manual spreadsheet"))</f>
        <v/>
      </c>
      <c r="U40" s="20"/>
      <c r="V40" s="20"/>
      <c r="W40" s="20"/>
      <c r="X40" s="20"/>
      <c r="Y40" s="20"/>
      <c r="Z40" s="20"/>
      <c r="AA40" s="20"/>
    </row>
    <row r="41" customFormat="false" ht="15" hidden="false" customHeight="false" outlineLevel="0" collapsed="false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0"/>
      <c r="L41" s="18"/>
      <c r="M41" s="20"/>
      <c r="N41" s="18"/>
      <c r="O41" s="20"/>
      <c r="P41" s="20"/>
      <c r="Q41" s="20"/>
      <c r="R41" s="20"/>
      <c r="S41" s="21" t="str">
        <f aca="false">IF(A41="","",COUNTIF('Metric to Product'!$B:$B,A41))</f>
        <v/>
      </c>
      <c r="T41" s="21" t="str">
        <f aca="false">IF(A41="","",COUNTIFS('Product inputs'!$B:$B,A41,'Product inputs'!$E:$E,"Manual spreadsheet"))</f>
        <v/>
      </c>
      <c r="U41" s="20"/>
      <c r="V41" s="20"/>
      <c r="W41" s="20"/>
      <c r="X41" s="20"/>
      <c r="Y41" s="20"/>
      <c r="Z41" s="20"/>
      <c r="AA41" s="20"/>
    </row>
    <row r="42" customFormat="false" ht="15" hidden="false" customHeight="false" outlineLevel="0" collapsed="false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0"/>
      <c r="L42" s="18"/>
      <c r="M42" s="20"/>
      <c r="N42" s="18"/>
      <c r="O42" s="20"/>
      <c r="P42" s="20"/>
      <c r="Q42" s="20"/>
      <c r="R42" s="20"/>
      <c r="S42" s="21" t="str">
        <f aca="false">IF(A42="","",COUNTIF('Metric to Product'!$B:$B,A42))</f>
        <v/>
      </c>
      <c r="T42" s="21" t="str">
        <f aca="false">IF(A42="","",COUNTIFS('Product inputs'!$B:$B,A42,'Product inputs'!$E:$E,"Manual spreadsheet"))</f>
        <v/>
      </c>
      <c r="U42" s="20"/>
      <c r="V42" s="20"/>
      <c r="W42" s="20"/>
      <c r="X42" s="20"/>
      <c r="Y42" s="20"/>
      <c r="Z42" s="20"/>
      <c r="AA42" s="20"/>
    </row>
    <row r="43" customFormat="false" ht="15" hidden="false" customHeight="false" outlineLevel="0" collapsed="false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0"/>
      <c r="L43" s="18"/>
      <c r="M43" s="20"/>
      <c r="N43" s="18"/>
      <c r="O43" s="20"/>
      <c r="P43" s="20"/>
      <c r="Q43" s="20"/>
      <c r="R43" s="20"/>
      <c r="S43" s="21" t="str">
        <f aca="false">IF(A43="","",COUNTIF('Metric to Product'!$B:$B,A43))</f>
        <v/>
      </c>
      <c r="T43" s="21" t="str">
        <f aca="false">IF(A43="","",COUNTIFS('Product inputs'!$B:$B,A43,'Product inputs'!$E:$E,"Manual spreadsheet"))</f>
        <v/>
      </c>
      <c r="U43" s="20"/>
      <c r="V43" s="20"/>
      <c r="W43" s="20"/>
      <c r="X43" s="20"/>
      <c r="Y43" s="20"/>
      <c r="Z43" s="20"/>
      <c r="AA43" s="20"/>
    </row>
    <row r="44" customFormat="false" ht="15" hidden="false" customHeight="false" outlineLevel="0" collapsed="false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0"/>
      <c r="L44" s="18"/>
      <c r="M44" s="20"/>
      <c r="N44" s="18"/>
      <c r="O44" s="20"/>
      <c r="P44" s="20"/>
      <c r="Q44" s="20"/>
      <c r="R44" s="20"/>
      <c r="S44" s="21" t="str">
        <f aca="false">IF(A44="","",COUNTIF('Metric to Product'!$B:$B,A44))</f>
        <v/>
      </c>
      <c r="T44" s="21" t="str">
        <f aca="false">IF(A44="","",COUNTIFS('Product inputs'!$B:$B,A44,'Product inputs'!$E:$E,"Manual spreadsheet"))</f>
        <v/>
      </c>
      <c r="U44" s="20"/>
      <c r="V44" s="20"/>
      <c r="W44" s="20"/>
      <c r="X44" s="20"/>
      <c r="Y44" s="20"/>
      <c r="Z44" s="20"/>
      <c r="AA44" s="20"/>
    </row>
    <row r="45" customFormat="false" ht="15" hidden="false" customHeight="false" outlineLevel="0" collapsed="false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0"/>
      <c r="L45" s="18"/>
      <c r="M45" s="20"/>
      <c r="N45" s="18"/>
      <c r="O45" s="20"/>
      <c r="P45" s="20"/>
      <c r="Q45" s="20"/>
      <c r="R45" s="20"/>
      <c r="S45" s="21" t="str">
        <f aca="false">IF(A45="","",COUNTIF('Metric to Product'!$B:$B,A45))</f>
        <v/>
      </c>
      <c r="T45" s="21" t="str">
        <f aca="false">IF(A45="","",COUNTIFS('Product inputs'!$B:$B,A45,'Product inputs'!$E:$E,"Manual spreadsheet"))</f>
        <v/>
      </c>
      <c r="U45" s="20"/>
      <c r="V45" s="20"/>
      <c r="W45" s="20"/>
      <c r="X45" s="20"/>
      <c r="Y45" s="20"/>
      <c r="Z45" s="20"/>
      <c r="AA45" s="20"/>
    </row>
    <row r="46" customFormat="false" ht="15" hidden="false" customHeight="false" outlineLevel="0" collapsed="false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0"/>
      <c r="L46" s="18"/>
      <c r="M46" s="20"/>
      <c r="N46" s="18"/>
      <c r="O46" s="20"/>
      <c r="P46" s="20"/>
      <c r="Q46" s="20"/>
      <c r="R46" s="20"/>
      <c r="S46" s="21" t="str">
        <f aca="false">IF(A46="","",COUNTIF('Metric to Product'!$B:$B,A46))</f>
        <v/>
      </c>
      <c r="T46" s="21" t="str">
        <f aca="false">IF(A46="","",COUNTIFS('Product inputs'!$B:$B,A46,'Product inputs'!$E:$E,"Manual spreadsheet"))</f>
        <v/>
      </c>
      <c r="U46" s="20"/>
      <c r="V46" s="20"/>
      <c r="W46" s="20"/>
      <c r="X46" s="20"/>
      <c r="Y46" s="20"/>
      <c r="Z46" s="20"/>
      <c r="AA46" s="20"/>
    </row>
    <row r="47" customFormat="false" ht="15" hidden="false" customHeight="false" outlineLevel="0" collapsed="false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0"/>
      <c r="L47" s="18"/>
      <c r="M47" s="20"/>
      <c r="N47" s="18"/>
      <c r="O47" s="20"/>
      <c r="P47" s="20"/>
      <c r="Q47" s="20"/>
      <c r="R47" s="20"/>
      <c r="S47" s="21" t="str">
        <f aca="false">IF(A47="","",COUNTIF('Metric to Product'!$B:$B,A47))</f>
        <v/>
      </c>
      <c r="T47" s="21" t="str">
        <f aca="false">IF(A47="","",COUNTIFS('Product inputs'!$B:$B,A47,'Product inputs'!$E:$E,"Manual spreadsheet"))</f>
        <v/>
      </c>
      <c r="U47" s="20"/>
      <c r="V47" s="20"/>
      <c r="W47" s="20"/>
      <c r="X47" s="20"/>
      <c r="Y47" s="20"/>
      <c r="Z47" s="20"/>
      <c r="AA47" s="20"/>
    </row>
    <row r="48" customFormat="false" ht="15" hidden="false" customHeight="false" outlineLevel="0" collapsed="false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0"/>
      <c r="L48" s="18"/>
      <c r="M48" s="20"/>
      <c r="N48" s="18"/>
      <c r="O48" s="20"/>
      <c r="P48" s="20"/>
      <c r="Q48" s="20"/>
      <c r="R48" s="20"/>
      <c r="S48" s="21" t="str">
        <f aca="false">IF(A48="","",COUNTIF('Metric to Product'!$B:$B,A48))</f>
        <v/>
      </c>
      <c r="T48" s="21" t="str">
        <f aca="false">IF(A48="","",COUNTIFS('Product inputs'!$B:$B,A48,'Product inputs'!$E:$E,"Manual spreadsheet"))</f>
        <v/>
      </c>
      <c r="U48" s="20"/>
      <c r="V48" s="20"/>
      <c r="W48" s="20"/>
      <c r="X48" s="20"/>
      <c r="Y48" s="20"/>
      <c r="Z48" s="20"/>
      <c r="AA48" s="20"/>
    </row>
    <row r="49" customFormat="false" ht="15" hidden="false" customHeight="false" outlineLevel="0" collapsed="false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0"/>
      <c r="L49" s="18"/>
      <c r="M49" s="20"/>
      <c r="N49" s="18"/>
      <c r="O49" s="20"/>
      <c r="P49" s="20"/>
      <c r="Q49" s="20"/>
      <c r="R49" s="20"/>
      <c r="S49" s="21" t="str">
        <f aca="false">IF(A49="","",COUNTIF('Metric to Product'!$B:$B,A49))</f>
        <v/>
      </c>
      <c r="T49" s="21" t="str">
        <f aca="false">IF(A49="","",COUNTIFS('Product inputs'!$B:$B,A49,'Product inputs'!$E:$E,"Manual spreadsheet"))</f>
        <v/>
      </c>
      <c r="U49" s="20"/>
      <c r="V49" s="20"/>
      <c r="W49" s="20"/>
      <c r="X49" s="20"/>
      <c r="Y49" s="20"/>
      <c r="Z49" s="20"/>
      <c r="AA49" s="20"/>
    </row>
    <row r="50" customFormat="false" ht="15" hidden="false" customHeight="false" outlineLevel="0" collapsed="false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0"/>
      <c r="L50" s="18"/>
      <c r="M50" s="20"/>
      <c r="N50" s="18"/>
      <c r="O50" s="20"/>
      <c r="P50" s="20"/>
      <c r="Q50" s="20"/>
      <c r="R50" s="20"/>
      <c r="S50" s="21" t="str">
        <f aca="false">IF(A50="","",COUNTIF('Metric to Product'!$B:$B,A50))</f>
        <v/>
      </c>
      <c r="T50" s="21" t="str">
        <f aca="false">IF(A50="","",COUNTIFS('Product inputs'!$B:$B,A50,'Product inputs'!$E:$E,"Manual spreadsheet"))</f>
        <v/>
      </c>
      <c r="U50" s="20"/>
      <c r="V50" s="20"/>
      <c r="W50" s="20"/>
      <c r="X50" s="20"/>
      <c r="Y50" s="20"/>
      <c r="Z50" s="20"/>
      <c r="AA50" s="20"/>
    </row>
    <row r="51" customFormat="false" ht="15" hidden="false" customHeight="false" outlineLevel="0" collapsed="false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18"/>
      <c r="M51" s="20"/>
      <c r="N51" s="18"/>
      <c r="O51" s="20"/>
      <c r="P51" s="20"/>
      <c r="Q51" s="20"/>
      <c r="R51" s="20"/>
      <c r="S51" s="21" t="str">
        <f aca="false">IF(A51="","",COUNTIF('Metric to Product'!$B:$B,A51))</f>
        <v/>
      </c>
      <c r="T51" s="21" t="str">
        <f aca="false">IF(A51="","",COUNTIFS('Product inputs'!$B:$B,A51,'Product inputs'!$E:$E,"Manual spreadsheet"))</f>
        <v/>
      </c>
      <c r="U51" s="20"/>
      <c r="V51" s="20"/>
      <c r="W51" s="20"/>
      <c r="X51" s="20"/>
      <c r="Y51" s="20"/>
      <c r="Z51" s="20"/>
      <c r="AA51" s="20"/>
    </row>
    <row r="52" customFormat="false" ht="15" hidden="false" customHeight="false" outlineLevel="0" collapsed="false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0"/>
      <c r="L52" s="18"/>
      <c r="M52" s="20"/>
      <c r="N52" s="18"/>
      <c r="O52" s="20"/>
      <c r="P52" s="20"/>
      <c r="Q52" s="20"/>
      <c r="R52" s="20"/>
      <c r="S52" s="21" t="str">
        <f aca="false">IF(A52="","",COUNTIF('Metric to Product'!$B:$B,A52))</f>
        <v/>
      </c>
      <c r="T52" s="21" t="str">
        <f aca="false">IF(A52="","",COUNTIFS('Product inputs'!$B:$B,A52,'Product inputs'!$E:$E,"Manual spreadsheet"))</f>
        <v/>
      </c>
      <c r="U52" s="20"/>
      <c r="V52" s="20"/>
      <c r="W52" s="20"/>
      <c r="X52" s="20"/>
      <c r="Y52" s="20"/>
      <c r="Z52" s="20"/>
      <c r="AA52" s="20"/>
    </row>
    <row r="53" customFormat="false" ht="15" hidden="false" customHeight="false" outlineLevel="0" collapsed="false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0"/>
      <c r="L53" s="18"/>
      <c r="M53" s="20"/>
      <c r="N53" s="18"/>
      <c r="O53" s="20"/>
      <c r="P53" s="20"/>
      <c r="Q53" s="20"/>
      <c r="R53" s="20"/>
      <c r="S53" s="21" t="str">
        <f aca="false">IF(A53="","",COUNTIF('Metric to Product'!$B:$B,A53))</f>
        <v/>
      </c>
      <c r="T53" s="21" t="str">
        <f aca="false">IF(A53="","",COUNTIFS('Product inputs'!$B:$B,A53,'Product inputs'!$E:$E,"Manual spreadsheet"))</f>
        <v/>
      </c>
      <c r="U53" s="20"/>
      <c r="V53" s="20"/>
      <c r="W53" s="20"/>
      <c r="X53" s="20"/>
      <c r="Y53" s="20"/>
      <c r="Z53" s="20"/>
      <c r="AA53" s="20"/>
    </row>
    <row r="54" customFormat="false" ht="15" hidden="false" customHeight="false" outlineLevel="0" collapsed="false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0"/>
      <c r="L54" s="18"/>
      <c r="M54" s="20"/>
      <c r="N54" s="18"/>
      <c r="O54" s="20"/>
      <c r="P54" s="20"/>
      <c r="Q54" s="20"/>
      <c r="R54" s="20"/>
      <c r="S54" s="21" t="str">
        <f aca="false">IF(A54="","",COUNTIF('Metric to Product'!$B:$B,A54))</f>
        <v/>
      </c>
      <c r="T54" s="21" t="str">
        <f aca="false">IF(A54="","",COUNTIFS('Product inputs'!$B:$B,A54,'Product inputs'!$E:$E,"Manual spreadsheet"))</f>
        <v/>
      </c>
      <c r="U54" s="20"/>
      <c r="V54" s="20"/>
      <c r="W54" s="20"/>
      <c r="X54" s="20"/>
      <c r="Y54" s="20"/>
      <c r="Z54" s="20"/>
      <c r="AA54" s="20"/>
    </row>
    <row r="55" customFormat="false" ht="15" hidden="false" customHeight="false" outlineLevel="0" collapsed="false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0"/>
      <c r="L55" s="18"/>
      <c r="M55" s="20"/>
      <c r="N55" s="18"/>
      <c r="O55" s="20"/>
      <c r="P55" s="20"/>
      <c r="Q55" s="20"/>
      <c r="R55" s="20"/>
      <c r="S55" s="21" t="str">
        <f aca="false">IF(A55="","",COUNTIF('Metric to Product'!$B:$B,A55))</f>
        <v/>
      </c>
      <c r="T55" s="21" t="str">
        <f aca="false">IF(A55="","",COUNTIFS('Product inputs'!$B:$B,A55,'Product inputs'!$E:$E,"Manual spreadsheet"))</f>
        <v/>
      </c>
      <c r="U55" s="20"/>
      <c r="V55" s="20"/>
      <c r="W55" s="20"/>
      <c r="X55" s="20"/>
      <c r="Y55" s="20"/>
      <c r="Z55" s="20"/>
      <c r="AA55" s="20"/>
    </row>
    <row r="56" customFormat="false" ht="15" hidden="false" customHeight="false" outlineLevel="0" collapsed="false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0"/>
      <c r="L56" s="18"/>
      <c r="M56" s="20"/>
      <c r="N56" s="18"/>
      <c r="O56" s="20"/>
      <c r="P56" s="20"/>
      <c r="Q56" s="20"/>
      <c r="R56" s="20"/>
      <c r="S56" s="21" t="str">
        <f aca="false">IF(A56="","",COUNTIF('Metric to Product'!$B:$B,A56))</f>
        <v/>
      </c>
      <c r="T56" s="21" t="str">
        <f aca="false">IF(A56="","",COUNTIFS('Product inputs'!$B:$B,A56,'Product inputs'!$E:$E,"Manual spreadsheet"))</f>
        <v/>
      </c>
      <c r="U56" s="20"/>
      <c r="V56" s="20"/>
      <c r="W56" s="20"/>
      <c r="X56" s="20"/>
      <c r="Y56" s="20"/>
      <c r="Z56" s="20"/>
      <c r="AA56" s="20"/>
    </row>
    <row r="57" customFormat="false" ht="15" hidden="false" customHeight="false" outlineLevel="0" collapsed="false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0"/>
      <c r="L57" s="18"/>
      <c r="M57" s="20"/>
      <c r="N57" s="18"/>
      <c r="O57" s="20"/>
      <c r="P57" s="20"/>
      <c r="Q57" s="20"/>
      <c r="R57" s="20"/>
      <c r="S57" s="21" t="str">
        <f aca="false">IF(A57="","",COUNTIF('Metric to Product'!$B:$B,A57))</f>
        <v/>
      </c>
      <c r="T57" s="21" t="str">
        <f aca="false">IF(A57="","",COUNTIFS('Product inputs'!$B:$B,A57,'Product inputs'!$E:$E,"Manual spreadsheet"))</f>
        <v/>
      </c>
      <c r="U57" s="20"/>
      <c r="V57" s="20"/>
      <c r="W57" s="20"/>
      <c r="X57" s="20"/>
      <c r="Y57" s="20"/>
      <c r="Z57" s="20"/>
      <c r="AA57" s="20"/>
    </row>
    <row r="58" customFormat="false" ht="15" hidden="false" customHeight="false" outlineLevel="0" collapsed="false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0"/>
      <c r="L58" s="18"/>
      <c r="M58" s="20"/>
      <c r="N58" s="18"/>
      <c r="O58" s="20"/>
      <c r="P58" s="20"/>
      <c r="Q58" s="20"/>
      <c r="R58" s="20"/>
      <c r="S58" s="21" t="str">
        <f aca="false">IF(A58="","",COUNTIF('Metric to Product'!$B:$B,A58))</f>
        <v/>
      </c>
      <c r="T58" s="21" t="str">
        <f aca="false">IF(A58="","",COUNTIFS('Product inputs'!$B:$B,A58,'Product inputs'!$E:$E,"Manual spreadsheet"))</f>
        <v/>
      </c>
      <c r="U58" s="20"/>
      <c r="V58" s="20"/>
      <c r="W58" s="20"/>
      <c r="X58" s="20"/>
      <c r="Y58" s="20"/>
      <c r="Z58" s="20"/>
      <c r="AA58" s="20"/>
    </row>
    <row r="59" customFormat="false" ht="15" hidden="false" customHeight="false" outlineLevel="0" collapsed="false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0"/>
      <c r="L59" s="18"/>
      <c r="M59" s="20"/>
      <c r="N59" s="18"/>
      <c r="O59" s="20"/>
      <c r="P59" s="20"/>
      <c r="Q59" s="20"/>
      <c r="R59" s="20"/>
      <c r="S59" s="21" t="str">
        <f aca="false">IF(A59="","",COUNTIF('Metric to Product'!$B:$B,A59))</f>
        <v/>
      </c>
      <c r="T59" s="21" t="str">
        <f aca="false">IF(A59="","",COUNTIFS('Product inputs'!$B:$B,A59,'Product inputs'!$E:$E,"Manual spreadsheet"))</f>
        <v/>
      </c>
      <c r="U59" s="20"/>
      <c r="V59" s="20"/>
      <c r="W59" s="20"/>
      <c r="X59" s="20"/>
      <c r="Y59" s="20"/>
      <c r="Z59" s="20"/>
      <c r="AA59" s="20"/>
    </row>
    <row r="60" customFormat="false" ht="15" hidden="false" customHeight="false" outlineLevel="0" collapsed="false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0"/>
      <c r="L60" s="18"/>
      <c r="M60" s="20"/>
      <c r="N60" s="18"/>
      <c r="O60" s="20"/>
      <c r="P60" s="20"/>
      <c r="Q60" s="20"/>
      <c r="R60" s="20"/>
      <c r="S60" s="21" t="str">
        <f aca="false">IF(A60="","",COUNTIF('Metric to Product'!$B:$B,A60))</f>
        <v/>
      </c>
      <c r="T60" s="21" t="str">
        <f aca="false">IF(A60="","",COUNTIFS('Product inputs'!$B:$B,A60,'Product inputs'!$E:$E,"Manual spreadsheet"))</f>
        <v/>
      </c>
      <c r="U60" s="20"/>
      <c r="V60" s="20"/>
      <c r="W60" s="20"/>
      <c r="X60" s="20"/>
      <c r="Y60" s="20"/>
      <c r="Z60" s="20"/>
      <c r="AA60" s="20"/>
    </row>
    <row r="61" customFormat="false" ht="15" hidden="false" customHeight="false" outlineLevel="0" collapsed="false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0"/>
      <c r="L61" s="18"/>
      <c r="M61" s="20"/>
      <c r="N61" s="18"/>
      <c r="O61" s="20"/>
      <c r="P61" s="20"/>
      <c r="Q61" s="20"/>
      <c r="R61" s="20"/>
      <c r="S61" s="21" t="str">
        <f aca="false">IF(A61="","",COUNTIF('Metric to Product'!$B:$B,A61))</f>
        <v/>
      </c>
      <c r="T61" s="21" t="str">
        <f aca="false">IF(A61="","",COUNTIFS('Product inputs'!$B:$B,A61,'Product inputs'!$E:$E,"Manual spreadsheet"))</f>
        <v/>
      </c>
      <c r="U61" s="20"/>
      <c r="V61" s="20"/>
      <c r="W61" s="20"/>
      <c r="X61" s="20"/>
      <c r="Y61" s="20"/>
      <c r="Z61" s="20"/>
      <c r="AA61" s="20"/>
    </row>
    <row r="62" customFormat="false" ht="15" hidden="false" customHeight="false" outlineLevel="0" collapsed="false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0"/>
      <c r="L62" s="18"/>
      <c r="M62" s="20"/>
      <c r="N62" s="18"/>
      <c r="O62" s="20"/>
      <c r="P62" s="20"/>
      <c r="Q62" s="20"/>
      <c r="R62" s="20"/>
      <c r="S62" s="21" t="str">
        <f aca="false">IF(A62="","",COUNTIF('Metric to Product'!$B:$B,A62))</f>
        <v/>
      </c>
      <c r="T62" s="21" t="str">
        <f aca="false">IF(A62="","",COUNTIFS('Product inputs'!$B:$B,A62,'Product inputs'!$E:$E,"Manual spreadsheet"))</f>
        <v/>
      </c>
      <c r="U62" s="20"/>
      <c r="V62" s="20"/>
      <c r="W62" s="20"/>
      <c r="X62" s="20"/>
      <c r="Y62" s="20"/>
      <c r="Z62" s="20"/>
      <c r="AA62" s="20"/>
    </row>
    <row r="63" customFormat="false" ht="15" hidden="false" customHeight="false" outlineLevel="0" collapsed="false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0"/>
      <c r="L63" s="18"/>
      <c r="M63" s="20"/>
      <c r="N63" s="18"/>
      <c r="O63" s="20"/>
      <c r="P63" s="20"/>
      <c r="Q63" s="20"/>
      <c r="R63" s="20"/>
      <c r="S63" s="21" t="str">
        <f aca="false">IF(A63="","",COUNTIF('Metric to Product'!$B:$B,A63))</f>
        <v/>
      </c>
      <c r="T63" s="21" t="str">
        <f aca="false">IF(A63="","",COUNTIFS('Product inputs'!$B:$B,A63,'Product inputs'!$E:$E,"Manual spreadsheet"))</f>
        <v/>
      </c>
      <c r="U63" s="20"/>
      <c r="V63" s="20"/>
      <c r="W63" s="20"/>
      <c r="X63" s="20"/>
      <c r="Y63" s="20"/>
      <c r="Z63" s="20"/>
      <c r="AA63" s="20"/>
    </row>
    <row r="64" customFormat="false" ht="15" hidden="false" customHeight="false" outlineLevel="0" collapsed="false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0"/>
      <c r="L64" s="18"/>
      <c r="M64" s="20"/>
      <c r="N64" s="18"/>
      <c r="O64" s="20"/>
      <c r="P64" s="20"/>
      <c r="Q64" s="20"/>
      <c r="R64" s="20"/>
      <c r="S64" s="21" t="str">
        <f aca="false">IF(A64="","",COUNTIF('Metric to Product'!$B:$B,A64))</f>
        <v/>
      </c>
      <c r="T64" s="21" t="str">
        <f aca="false">IF(A64="","",COUNTIFS('Product inputs'!$B:$B,A64,'Product inputs'!$E:$E,"Manual spreadsheet"))</f>
        <v/>
      </c>
      <c r="U64" s="20"/>
      <c r="V64" s="20"/>
      <c r="W64" s="20"/>
      <c r="X64" s="20"/>
      <c r="Y64" s="20"/>
      <c r="Z64" s="20"/>
      <c r="AA64" s="20"/>
    </row>
    <row r="65" customFormat="false" ht="15" hidden="false" customHeight="false" outlineLevel="0" collapsed="false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0"/>
      <c r="L65" s="18"/>
      <c r="M65" s="20"/>
      <c r="N65" s="18"/>
      <c r="O65" s="20"/>
      <c r="P65" s="20"/>
      <c r="Q65" s="20"/>
      <c r="R65" s="20"/>
      <c r="S65" s="21" t="str">
        <f aca="false">IF(A65="","",COUNTIF('Metric to Product'!$B:$B,A65))</f>
        <v/>
      </c>
      <c r="T65" s="21" t="str">
        <f aca="false">IF(A65="","",COUNTIFS('Product inputs'!$B:$B,A65,'Product inputs'!$E:$E,"Manual spreadsheet"))</f>
        <v/>
      </c>
      <c r="U65" s="20"/>
      <c r="V65" s="20"/>
      <c r="W65" s="20"/>
      <c r="X65" s="20"/>
      <c r="Y65" s="20"/>
      <c r="Z65" s="20"/>
      <c r="AA65" s="20"/>
    </row>
    <row r="66" customFormat="false" ht="15" hidden="false" customHeight="false" outlineLevel="0" collapsed="false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0"/>
      <c r="L66" s="18"/>
      <c r="M66" s="20"/>
      <c r="N66" s="18"/>
      <c r="O66" s="20"/>
      <c r="P66" s="20"/>
      <c r="Q66" s="20"/>
      <c r="R66" s="20"/>
      <c r="S66" s="21" t="str">
        <f aca="false">IF(A66="","",COUNTIF('Metric to Product'!$B:$B,A66))</f>
        <v/>
      </c>
      <c r="T66" s="21" t="str">
        <f aca="false">IF(A66="","",COUNTIFS('Product inputs'!$B:$B,A66,'Product inputs'!$E:$E,"Manual spreadsheet"))</f>
        <v/>
      </c>
      <c r="U66" s="20"/>
      <c r="V66" s="20"/>
      <c r="W66" s="20"/>
      <c r="X66" s="20"/>
      <c r="Y66" s="20"/>
      <c r="Z66" s="20"/>
      <c r="AA66" s="20"/>
    </row>
    <row r="67" customFormat="false" ht="15" hidden="false" customHeight="false" outlineLevel="0" collapsed="false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0"/>
      <c r="L67" s="18"/>
      <c r="M67" s="20"/>
      <c r="N67" s="18"/>
      <c r="O67" s="20"/>
      <c r="P67" s="20"/>
      <c r="Q67" s="20"/>
      <c r="R67" s="20"/>
      <c r="S67" s="21" t="str">
        <f aca="false">IF(A67="","",COUNTIF('Metric to Product'!$B:$B,A67))</f>
        <v/>
      </c>
      <c r="T67" s="21" t="str">
        <f aca="false">IF(A67="","",COUNTIFS('Product inputs'!$B:$B,A67,'Product inputs'!$E:$E,"Manual spreadsheet"))</f>
        <v/>
      </c>
      <c r="U67" s="20"/>
      <c r="V67" s="20"/>
      <c r="W67" s="20"/>
      <c r="X67" s="20"/>
      <c r="Y67" s="20"/>
      <c r="Z67" s="20"/>
      <c r="AA67" s="20"/>
    </row>
    <row r="68" customFormat="false" ht="15" hidden="false" customHeight="false" outlineLevel="0" collapsed="false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0"/>
      <c r="L68" s="18"/>
      <c r="M68" s="20"/>
      <c r="N68" s="18"/>
      <c r="O68" s="20"/>
      <c r="P68" s="20"/>
      <c r="Q68" s="20"/>
      <c r="R68" s="20"/>
      <c r="S68" s="21" t="str">
        <f aca="false">IF(A68="","",COUNTIF('Metric to Product'!$B:$B,A68))</f>
        <v/>
      </c>
      <c r="T68" s="21" t="str">
        <f aca="false">IF(A68="","",COUNTIFS('Product inputs'!$B:$B,A68,'Product inputs'!$E:$E,"Manual spreadsheet"))</f>
        <v/>
      </c>
      <c r="U68" s="20"/>
      <c r="V68" s="20"/>
      <c r="W68" s="20"/>
      <c r="X68" s="20"/>
      <c r="Y68" s="20"/>
      <c r="Z68" s="20"/>
      <c r="AA68" s="20"/>
    </row>
    <row r="69" customFormat="false" ht="15" hidden="false" customHeight="false" outlineLevel="0" collapsed="false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0"/>
      <c r="L69" s="18"/>
      <c r="M69" s="20"/>
      <c r="N69" s="18"/>
      <c r="O69" s="20"/>
      <c r="P69" s="20"/>
      <c r="Q69" s="20"/>
      <c r="R69" s="20"/>
      <c r="S69" s="21" t="str">
        <f aca="false">IF(A69="","",COUNTIF('Metric to Product'!$B:$B,A69))</f>
        <v/>
      </c>
      <c r="T69" s="21" t="str">
        <f aca="false">IF(A69="","",COUNTIFS('Product inputs'!$B:$B,A69,'Product inputs'!$E:$E,"Manual spreadsheet"))</f>
        <v/>
      </c>
      <c r="U69" s="20"/>
      <c r="V69" s="20"/>
      <c r="W69" s="20"/>
      <c r="X69" s="20"/>
      <c r="Y69" s="20"/>
      <c r="Z69" s="20"/>
      <c r="AA69" s="20"/>
    </row>
    <row r="70" customFormat="false" ht="15" hidden="false" customHeight="false" outlineLevel="0" collapsed="false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0"/>
      <c r="L70" s="18"/>
      <c r="M70" s="20"/>
      <c r="N70" s="18"/>
      <c r="O70" s="20"/>
      <c r="P70" s="20"/>
      <c r="Q70" s="20"/>
      <c r="R70" s="20"/>
      <c r="S70" s="21" t="str">
        <f aca="false">IF(A70="","",COUNTIF('Metric to Product'!$B:$B,A70))</f>
        <v/>
      </c>
      <c r="T70" s="21" t="str">
        <f aca="false">IF(A70="","",COUNTIFS('Product inputs'!$B:$B,A70,'Product inputs'!$E:$E,"Manual spreadsheet"))</f>
        <v/>
      </c>
      <c r="U70" s="20"/>
      <c r="V70" s="20"/>
      <c r="W70" s="20"/>
      <c r="X70" s="20"/>
      <c r="Y70" s="20"/>
      <c r="Z70" s="20"/>
      <c r="AA70" s="20"/>
    </row>
    <row r="71" customFormat="false" ht="15" hidden="false" customHeight="false" outlineLevel="0" collapsed="false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0"/>
      <c r="L71" s="18"/>
      <c r="M71" s="20"/>
      <c r="N71" s="18"/>
      <c r="O71" s="20"/>
      <c r="P71" s="20"/>
      <c r="Q71" s="20"/>
      <c r="R71" s="20"/>
      <c r="S71" s="21" t="str">
        <f aca="false">IF(A71="","",COUNTIF('Metric to Product'!$B:$B,A71))</f>
        <v/>
      </c>
      <c r="T71" s="21" t="str">
        <f aca="false">IF(A71="","",COUNTIFS('Product inputs'!$B:$B,A71,'Product inputs'!$E:$E,"Manual spreadsheet"))</f>
        <v/>
      </c>
      <c r="U71" s="20"/>
      <c r="V71" s="20"/>
      <c r="W71" s="20"/>
      <c r="X71" s="20"/>
      <c r="Y71" s="20"/>
      <c r="Z71" s="20"/>
      <c r="AA71" s="20"/>
    </row>
    <row r="72" customFormat="false" ht="15" hidden="false" customHeight="false" outlineLevel="0" collapsed="false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0"/>
      <c r="L72" s="18"/>
      <c r="M72" s="20"/>
      <c r="N72" s="18"/>
      <c r="O72" s="20"/>
      <c r="P72" s="20"/>
      <c r="Q72" s="20"/>
      <c r="R72" s="20"/>
      <c r="S72" s="21" t="str">
        <f aca="false">IF(A72="","",COUNTIF('Metric to Product'!$B:$B,A72))</f>
        <v/>
      </c>
      <c r="T72" s="21" t="str">
        <f aca="false">IF(A72="","",COUNTIFS('Product inputs'!$B:$B,A72,'Product inputs'!$E:$E,"Manual spreadsheet"))</f>
        <v/>
      </c>
      <c r="U72" s="20"/>
      <c r="V72" s="20"/>
      <c r="W72" s="20"/>
      <c r="X72" s="20"/>
      <c r="Y72" s="20"/>
      <c r="Z72" s="20"/>
      <c r="AA72" s="20"/>
    </row>
    <row r="73" customFormat="false" ht="15" hidden="false" customHeight="false" outlineLevel="0" collapsed="false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0"/>
      <c r="L73" s="18"/>
      <c r="M73" s="20"/>
      <c r="N73" s="18"/>
      <c r="O73" s="20"/>
      <c r="P73" s="20"/>
      <c r="Q73" s="20"/>
      <c r="R73" s="20"/>
      <c r="S73" s="21" t="str">
        <f aca="false">IF(A73="","",COUNTIF('Metric to Product'!$B:$B,A73))</f>
        <v/>
      </c>
      <c r="T73" s="21" t="str">
        <f aca="false">IF(A73="","",COUNTIFS('Product inputs'!$B:$B,A73,'Product inputs'!$E:$E,"Manual spreadsheet"))</f>
        <v/>
      </c>
      <c r="U73" s="20"/>
      <c r="V73" s="20"/>
      <c r="W73" s="20"/>
      <c r="X73" s="20"/>
      <c r="Y73" s="20"/>
      <c r="Z73" s="20"/>
      <c r="AA73" s="20"/>
    </row>
    <row r="74" customFormat="false" ht="15" hidden="false" customHeight="false" outlineLevel="0" collapsed="false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0"/>
      <c r="L74" s="18"/>
      <c r="M74" s="20"/>
      <c r="N74" s="18"/>
      <c r="O74" s="20"/>
      <c r="P74" s="20"/>
      <c r="Q74" s="20"/>
      <c r="R74" s="20"/>
      <c r="S74" s="21" t="str">
        <f aca="false">IF(A74="","",COUNTIF('Metric to Product'!$B:$B,A74))</f>
        <v/>
      </c>
      <c r="T74" s="21" t="str">
        <f aca="false">IF(A74="","",COUNTIFS('Product inputs'!$B:$B,A74,'Product inputs'!$E:$E,"Manual spreadsheet"))</f>
        <v/>
      </c>
      <c r="U74" s="20"/>
      <c r="V74" s="20"/>
      <c r="W74" s="20"/>
      <c r="X74" s="20"/>
      <c r="Y74" s="20"/>
      <c r="Z74" s="20"/>
      <c r="AA74" s="20"/>
    </row>
    <row r="75" customFormat="false" ht="15" hidden="false" customHeight="false" outlineLevel="0" collapsed="false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0"/>
      <c r="L75" s="18"/>
      <c r="M75" s="20"/>
      <c r="N75" s="18"/>
      <c r="O75" s="20"/>
      <c r="P75" s="20"/>
      <c r="Q75" s="20"/>
      <c r="R75" s="20"/>
      <c r="S75" s="21" t="str">
        <f aca="false">IF(A75="","",COUNTIF('Metric to Product'!$B:$B,A75))</f>
        <v/>
      </c>
      <c r="T75" s="21" t="str">
        <f aca="false">IF(A75="","",COUNTIFS('Product inputs'!$B:$B,A75,'Product inputs'!$E:$E,"Manual spreadsheet"))</f>
        <v/>
      </c>
      <c r="U75" s="20"/>
      <c r="V75" s="20"/>
      <c r="W75" s="20"/>
      <c r="X75" s="20"/>
      <c r="Y75" s="20"/>
      <c r="Z75" s="20"/>
      <c r="AA75" s="20"/>
    </row>
    <row r="76" customFormat="false" ht="15" hidden="false" customHeight="false" outlineLevel="0" collapsed="false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0"/>
      <c r="L76" s="18"/>
      <c r="M76" s="20"/>
      <c r="N76" s="18"/>
      <c r="O76" s="20"/>
      <c r="P76" s="20"/>
      <c r="Q76" s="20"/>
      <c r="R76" s="20"/>
      <c r="S76" s="21" t="str">
        <f aca="false">IF(A76="","",COUNTIF('Metric to Product'!$B:$B,A76))</f>
        <v/>
      </c>
      <c r="T76" s="21" t="str">
        <f aca="false">IF(A76="","",COUNTIFS('Product inputs'!$B:$B,A76,'Product inputs'!$E:$E,"Manual spreadsheet"))</f>
        <v/>
      </c>
      <c r="U76" s="20"/>
      <c r="V76" s="20"/>
      <c r="W76" s="20"/>
      <c r="X76" s="20"/>
      <c r="Y76" s="20"/>
      <c r="Z76" s="20"/>
      <c r="AA76" s="20"/>
    </row>
    <row r="77" customFormat="false" ht="15" hidden="false" customHeight="false" outlineLevel="0" collapsed="false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0"/>
      <c r="L77" s="18"/>
      <c r="M77" s="20"/>
      <c r="N77" s="18"/>
      <c r="O77" s="20"/>
      <c r="P77" s="20"/>
      <c r="Q77" s="20"/>
      <c r="R77" s="20"/>
      <c r="S77" s="21" t="str">
        <f aca="false">IF(A77="","",COUNTIF('Metric to Product'!$B:$B,A77))</f>
        <v/>
      </c>
      <c r="T77" s="21" t="str">
        <f aca="false">IF(A77="","",COUNTIFS('Product inputs'!$B:$B,A77,'Product inputs'!$E:$E,"Manual spreadsheet"))</f>
        <v/>
      </c>
      <c r="U77" s="20"/>
      <c r="V77" s="20"/>
      <c r="W77" s="20"/>
      <c r="X77" s="20"/>
      <c r="Y77" s="20"/>
      <c r="Z77" s="20"/>
      <c r="AA77" s="20"/>
    </row>
    <row r="78" customFormat="false" ht="15" hidden="false" customHeight="false" outlineLevel="0" collapsed="false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0"/>
      <c r="L78" s="18"/>
      <c r="M78" s="20"/>
      <c r="N78" s="18"/>
      <c r="O78" s="20"/>
      <c r="P78" s="20"/>
      <c r="Q78" s="20"/>
      <c r="R78" s="20"/>
      <c r="S78" s="21" t="str">
        <f aca="false">IF(A78="","",COUNTIF('Metric to Product'!$B:$B,A78))</f>
        <v/>
      </c>
      <c r="T78" s="21" t="str">
        <f aca="false">IF(A78="","",COUNTIFS('Product inputs'!$B:$B,A78,'Product inputs'!$E:$E,"Manual spreadsheet"))</f>
        <v/>
      </c>
      <c r="U78" s="20"/>
      <c r="V78" s="20"/>
      <c r="W78" s="20"/>
      <c r="X78" s="20"/>
      <c r="Y78" s="20"/>
      <c r="Z78" s="20"/>
      <c r="AA78" s="20"/>
    </row>
    <row r="79" customFormat="false" ht="15" hidden="false" customHeight="false" outlineLevel="0" collapsed="false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0"/>
      <c r="L79" s="18"/>
      <c r="M79" s="20"/>
      <c r="N79" s="18"/>
      <c r="O79" s="20"/>
      <c r="P79" s="20"/>
      <c r="Q79" s="20"/>
      <c r="R79" s="20"/>
      <c r="S79" s="21" t="str">
        <f aca="false">IF(A79="","",COUNTIF('Metric to Product'!$B:$B,A79))</f>
        <v/>
      </c>
      <c r="T79" s="21" t="str">
        <f aca="false">IF(A79="","",COUNTIFS('Product inputs'!$B:$B,A79,'Product inputs'!$E:$E,"Manual spreadsheet"))</f>
        <v/>
      </c>
      <c r="U79" s="20"/>
      <c r="V79" s="20"/>
      <c r="W79" s="20"/>
      <c r="X79" s="20"/>
      <c r="Y79" s="20"/>
      <c r="Z79" s="20"/>
      <c r="AA79" s="20"/>
    </row>
    <row r="80" customFormat="false" ht="15" hidden="false" customHeight="false" outlineLevel="0" collapsed="false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0"/>
      <c r="L80" s="18"/>
      <c r="M80" s="20"/>
      <c r="N80" s="18"/>
      <c r="O80" s="20"/>
      <c r="P80" s="20"/>
      <c r="Q80" s="20"/>
      <c r="R80" s="20"/>
      <c r="S80" s="21" t="str">
        <f aca="false">IF(A80="","",COUNTIF('Metric to Product'!$B:$B,A80))</f>
        <v/>
      </c>
      <c r="T80" s="21" t="str">
        <f aca="false">IF(A80="","",COUNTIFS('Product inputs'!$B:$B,A80,'Product inputs'!$E:$E,"Manual spreadsheet"))</f>
        <v/>
      </c>
      <c r="U80" s="20"/>
      <c r="V80" s="20"/>
      <c r="W80" s="20"/>
      <c r="X80" s="20"/>
      <c r="Y80" s="20"/>
      <c r="Z80" s="20"/>
      <c r="AA80" s="20"/>
    </row>
    <row r="81" customFormat="false" ht="15" hidden="false" customHeight="false" outlineLevel="0" collapsed="false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0"/>
      <c r="L81" s="18"/>
      <c r="M81" s="20"/>
      <c r="N81" s="18"/>
      <c r="O81" s="20"/>
      <c r="P81" s="20"/>
      <c r="Q81" s="20"/>
      <c r="R81" s="20"/>
      <c r="S81" s="21" t="str">
        <f aca="false">IF(A81="","",COUNTIF('Metric to Product'!$B:$B,A81))</f>
        <v/>
      </c>
      <c r="T81" s="21" t="str">
        <f aca="false">IF(A81="","",COUNTIFS('Product inputs'!$B:$B,A81,'Product inputs'!$E:$E,"Manual spreadsheet"))</f>
        <v/>
      </c>
      <c r="U81" s="20"/>
      <c r="V81" s="20"/>
      <c r="W81" s="20"/>
      <c r="X81" s="20"/>
      <c r="Y81" s="20"/>
      <c r="Z81" s="20"/>
      <c r="AA81" s="20"/>
    </row>
    <row r="82" customFormat="false" ht="15" hidden="false" customHeight="false" outlineLevel="0" collapsed="false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0"/>
      <c r="L82" s="18"/>
      <c r="M82" s="20"/>
      <c r="N82" s="18"/>
      <c r="O82" s="20"/>
      <c r="P82" s="20"/>
      <c r="Q82" s="20"/>
      <c r="R82" s="20"/>
      <c r="S82" s="21" t="str">
        <f aca="false">IF(A82="","",COUNTIF('Metric to Product'!$B:$B,A82))</f>
        <v/>
      </c>
      <c r="T82" s="21" t="str">
        <f aca="false">IF(A82="","",COUNTIFS('Product inputs'!$B:$B,A82,'Product inputs'!$E:$E,"Manual spreadsheet"))</f>
        <v/>
      </c>
      <c r="U82" s="20"/>
      <c r="V82" s="20"/>
      <c r="W82" s="20"/>
      <c r="X82" s="20"/>
      <c r="Y82" s="20"/>
      <c r="Z82" s="20"/>
      <c r="AA82" s="20"/>
    </row>
    <row r="83" customFormat="false" ht="15" hidden="false" customHeight="false" outlineLevel="0" collapsed="false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0"/>
      <c r="L83" s="18"/>
      <c r="M83" s="20"/>
      <c r="N83" s="18"/>
      <c r="O83" s="20"/>
      <c r="P83" s="20"/>
      <c r="Q83" s="20"/>
      <c r="R83" s="20"/>
      <c r="S83" s="21" t="str">
        <f aca="false">IF(A83="","",COUNTIF('Metric to Product'!$B:$B,A83))</f>
        <v/>
      </c>
      <c r="T83" s="21" t="str">
        <f aca="false">IF(A83="","",COUNTIFS('Product inputs'!$B:$B,A83,'Product inputs'!$E:$E,"Manual spreadsheet"))</f>
        <v/>
      </c>
      <c r="U83" s="20"/>
      <c r="V83" s="20"/>
      <c r="W83" s="20"/>
      <c r="X83" s="20"/>
      <c r="Y83" s="20"/>
      <c r="Z83" s="20"/>
      <c r="AA83" s="20"/>
    </row>
    <row r="84" customFormat="false" ht="15" hidden="false" customHeight="false" outlineLevel="0" collapsed="false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0"/>
      <c r="L84" s="18"/>
      <c r="M84" s="20"/>
      <c r="N84" s="18"/>
      <c r="O84" s="20"/>
      <c r="P84" s="20"/>
      <c r="Q84" s="20"/>
      <c r="R84" s="20"/>
      <c r="S84" s="21" t="str">
        <f aca="false">IF(A84="","",COUNTIF('Metric to Product'!$B:$B,A84))</f>
        <v/>
      </c>
      <c r="T84" s="21" t="str">
        <f aca="false">IF(A84="","",COUNTIFS('Product inputs'!$B:$B,A84,'Product inputs'!$E:$E,"Manual spreadsheet"))</f>
        <v/>
      </c>
      <c r="U84" s="20"/>
      <c r="V84" s="20"/>
      <c r="W84" s="20"/>
      <c r="X84" s="20"/>
      <c r="Y84" s="20"/>
      <c r="Z84" s="20"/>
      <c r="AA84" s="20"/>
    </row>
    <row r="85" customFormat="false" ht="15" hidden="false" customHeight="false" outlineLevel="0" collapsed="false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0"/>
      <c r="L85" s="18"/>
      <c r="M85" s="20"/>
      <c r="N85" s="18"/>
      <c r="O85" s="20"/>
      <c r="P85" s="20"/>
      <c r="Q85" s="20"/>
      <c r="R85" s="20"/>
      <c r="S85" s="21" t="str">
        <f aca="false">IF(A85="","",COUNTIF('Metric to Product'!$B:$B,A85))</f>
        <v/>
      </c>
      <c r="T85" s="21" t="str">
        <f aca="false">IF(A85="","",COUNTIFS('Product inputs'!$B:$B,A85,'Product inputs'!$E:$E,"Manual spreadsheet"))</f>
        <v/>
      </c>
      <c r="U85" s="20"/>
      <c r="V85" s="20"/>
      <c r="W85" s="20"/>
      <c r="X85" s="20"/>
      <c r="Y85" s="20"/>
      <c r="Z85" s="20"/>
      <c r="AA85" s="20"/>
    </row>
    <row r="86" customFormat="false" ht="15" hidden="false" customHeight="false" outlineLevel="0" collapsed="false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0"/>
      <c r="L86" s="18"/>
      <c r="M86" s="20"/>
      <c r="N86" s="18"/>
      <c r="O86" s="20"/>
      <c r="P86" s="20"/>
      <c r="Q86" s="20"/>
      <c r="R86" s="20"/>
      <c r="S86" s="21" t="str">
        <f aca="false">IF(A86="","",COUNTIF('Metric to Product'!$B:$B,A86))</f>
        <v/>
      </c>
      <c r="T86" s="21" t="str">
        <f aca="false">IF(A86="","",COUNTIFS('Product inputs'!$B:$B,A86,'Product inputs'!$E:$E,"Manual spreadsheet"))</f>
        <v/>
      </c>
      <c r="U86" s="20"/>
      <c r="V86" s="20"/>
      <c r="W86" s="20"/>
      <c r="X86" s="20"/>
      <c r="Y86" s="20"/>
      <c r="Z86" s="20"/>
      <c r="AA86" s="20"/>
    </row>
    <row r="87" customFormat="false" ht="15" hidden="false" customHeight="false" outlineLevel="0" collapsed="false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0"/>
      <c r="L87" s="18"/>
      <c r="M87" s="20"/>
      <c r="N87" s="18"/>
      <c r="O87" s="20"/>
      <c r="P87" s="20"/>
      <c r="Q87" s="20"/>
      <c r="R87" s="20"/>
      <c r="S87" s="21" t="str">
        <f aca="false">IF(A87="","",COUNTIF('Metric to Product'!$B:$B,A87))</f>
        <v/>
      </c>
      <c r="T87" s="21" t="str">
        <f aca="false">IF(A87="","",COUNTIFS('Product inputs'!$B:$B,A87,'Product inputs'!$E:$E,"Manual spreadsheet"))</f>
        <v/>
      </c>
      <c r="U87" s="20"/>
      <c r="V87" s="20"/>
      <c r="W87" s="20"/>
      <c r="X87" s="20"/>
      <c r="Y87" s="20"/>
      <c r="Z87" s="20"/>
      <c r="AA87" s="20"/>
    </row>
    <row r="88" customFormat="false" ht="15" hidden="false" customHeight="false" outlineLevel="0" collapsed="false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0"/>
      <c r="L88" s="18"/>
      <c r="M88" s="20"/>
      <c r="N88" s="18"/>
      <c r="O88" s="20"/>
      <c r="P88" s="20"/>
      <c r="Q88" s="20"/>
      <c r="R88" s="20"/>
      <c r="S88" s="21" t="str">
        <f aca="false">IF(A88="","",COUNTIF('Metric to Product'!$B:$B,A88))</f>
        <v/>
      </c>
      <c r="T88" s="21" t="str">
        <f aca="false">IF(A88="","",COUNTIFS('Product inputs'!$B:$B,A88,'Product inputs'!$E:$E,"Manual spreadsheet"))</f>
        <v/>
      </c>
      <c r="U88" s="20"/>
      <c r="V88" s="20"/>
      <c r="W88" s="20"/>
      <c r="X88" s="20"/>
      <c r="Y88" s="20"/>
      <c r="Z88" s="20"/>
      <c r="AA88" s="20"/>
    </row>
    <row r="89" customFormat="false" ht="15" hidden="false" customHeight="false" outlineLevel="0" collapsed="false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0"/>
      <c r="L89" s="18"/>
      <c r="M89" s="20"/>
      <c r="N89" s="18"/>
      <c r="O89" s="20"/>
      <c r="P89" s="20"/>
      <c r="Q89" s="20"/>
      <c r="R89" s="20"/>
      <c r="S89" s="21" t="str">
        <f aca="false">IF(A89="","",COUNTIF('Metric to Product'!$B:$B,A89))</f>
        <v/>
      </c>
      <c r="T89" s="21" t="str">
        <f aca="false">IF(A89="","",COUNTIFS('Product inputs'!$B:$B,A89,'Product inputs'!$E:$E,"Manual spreadsheet"))</f>
        <v/>
      </c>
      <c r="U89" s="20"/>
      <c r="V89" s="20"/>
      <c r="W89" s="20"/>
      <c r="X89" s="20"/>
      <c r="Y89" s="20"/>
      <c r="Z89" s="20"/>
      <c r="AA89" s="20"/>
    </row>
    <row r="90" customFormat="false" ht="15" hidden="false" customHeight="false" outlineLevel="0" collapsed="false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0"/>
      <c r="L90" s="18"/>
      <c r="M90" s="20"/>
      <c r="N90" s="18"/>
      <c r="O90" s="20"/>
      <c r="P90" s="20"/>
      <c r="Q90" s="20"/>
      <c r="R90" s="20"/>
      <c r="S90" s="21" t="str">
        <f aca="false">IF(A90="","",COUNTIF('Metric to Product'!$B:$B,A90))</f>
        <v/>
      </c>
      <c r="T90" s="21" t="str">
        <f aca="false">IF(A90="","",COUNTIFS('Product inputs'!$B:$B,A90,'Product inputs'!$E:$E,"Manual spreadsheet"))</f>
        <v/>
      </c>
      <c r="U90" s="20"/>
      <c r="V90" s="20"/>
      <c r="W90" s="20"/>
      <c r="X90" s="20"/>
      <c r="Y90" s="20"/>
      <c r="Z90" s="20"/>
      <c r="AA90" s="20"/>
    </row>
    <row r="91" customFormat="false" ht="15" hidden="false" customHeight="false" outlineLevel="0" collapsed="false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0"/>
      <c r="L91" s="18"/>
      <c r="M91" s="20"/>
      <c r="N91" s="18"/>
      <c r="O91" s="20"/>
      <c r="P91" s="20"/>
      <c r="Q91" s="20"/>
      <c r="R91" s="20"/>
      <c r="S91" s="21" t="str">
        <f aca="false">IF(A91="","",COUNTIF('Metric to Product'!$B:$B,A91))</f>
        <v/>
      </c>
      <c r="T91" s="21" t="str">
        <f aca="false">IF(A91="","",COUNTIFS('Product inputs'!$B:$B,A91,'Product inputs'!$E:$E,"Manual spreadsheet"))</f>
        <v/>
      </c>
      <c r="U91" s="20"/>
      <c r="V91" s="20"/>
      <c r="W91" s="20"/>
      <c r="X91" s="20"/>
      <c r="Y91" s="20"/>
      <c r="Z91" s="20"/>
      <c r="AA91" s="20"/>
    </row>
    <row r="92" customFormat="false" ht="15" hidden="false" customHeight="false" outlineLevel="0" collapsed="false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0"/>
      <c r="L92" s="18"/>
      <c r="M92" s="20"/>
      <c r="N92" s="18"/>
      <c r="O92" s="20"/>
      <c r="P92" s="20"/>
      <c r="Q92" s="20"/>
      <c r="R92" s="20"/>
      <c r="S92" s="21" t="str">
        <f aca="false">IF(A92="","",COUNTIF('Metric to Product'!$B:$B,A92))</f>
        <v/>
      </c>
      <c r="T92" s="21" t="str">
        <f aca="false">IF(A92="","",COUNTIFS('Product inputs'!$B:$B,A92,'Product inputs'!$E:$E,"Manual spreadsheet"))</f>
        <v/>
      </c>
      <c r="U92" s="20"/>
      <c r="V92" s="20"/>
      <c r="W92" s="20"/>
      <c r="X92" s="20"/>
      <c r="Y92" s="20"/>
      <c r="Z92" s="20"/>
      <c r="AA92" s="20"/>
    </row>
    <row r="93" customFormat="false" ht="15" hidden="false" customHeight="false" outlineLevel="0" collapsed="false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0"/>
      <c r="L93" s="18"/>
      <c r="M93" s="20"/>
      <c r="N93" s="18"/>
      <c r="O93" s="20"/>
      <c r="P93" s="20"/>
      <c r="Q93" s="20"/>
      <c r="R93" s="20"/>
      <c r="S93" s="21" t="str">
        <f aca="false">IF(A93="","",COUNTIF('Metric to Product'!$B:$B,A93))</f>
        <v/>
      </c>
      <c r="T93" s="21" t="str">
        <f aca="false">IF(A93="","",COUNTIFS('Product inputs'!$B:$B,A93,'Product inputs'!$E:$E,"Manual spreadsheet"))</f>
        <v/>
      </c>
      <c r="U93" s="20"/>
      <c r="V93" s="20"/>
      <c r="W93" s="20"/>
      <c r="X93" s="20"/>
      <c r="Y93" s="20"/>
      <c r="Z93" s="20"/>
      <c r="AA93" s="20"/>
    </row>
    <row r="94" customFormat="false" ht="15" hidden="false" customHeight="false" outlineLevel="0" collapsed="false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0"/>
      <c r="L94" s="18"/>
      <c r="M94" s="20"/>
      <c r="N94" s="18"/>
      <c r="O94" s="20"/>
      <c r="P94" s="20"/>
      <c r="Q94" s="20"/>
      <c r="R94" s="20"/>
      <c r="S94" s="21" t="str">
        <f aca="false">IF(A94="","",COUNTIF('Metric to Product'!$B:$B,A94))</f>
        <v/>
      </c>
      <c r="T94" s="21" t="str">
        <f aca="false">IF(A94="","",COUNTIFS('Product inputs'!$B:$B,A94,'Product inputs'!$E:$E,"Manual spreadsheet"))</f>
        <v/>
      </c>
      <c r="U94" s="20"/>
      <c r="V94" s="20"/>
      <c r="W94" s="20"/>
      <c r="X94" s="20"/>
      <c r="Y94" s="20"/>
      <c r="Z94" s="20"/>
      <c r="AA94" s="20"/>
    </row>
    <row r="95" customFormat="false" ht="15" hidden="false" customHeight="false" outlineLevel="0" collapsed="false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0"/>
      <c r="L95" s="18"/>
      <c r="M95" s="20"/>
      <c r="N95" s="18"/>
      <c r="O95" s="20"/>
      <c r="P95" s="20"/>
      <c r="Q95" s="20"/>
      <c r="R95" s="20"/>
      <c r="S95" s="21" t="str">
        <f aca="false">IF(A95="","",COUNTIF('Metric to Product'!$B:$B,A95))</f>
        <v/>
      </c>
      <c r="T95" s="21" t="str">
        <f aca="false">IF(A95="","",COUNTIFS('Product inputs'!$B:$B,A95,'Product inputs'!$E:$E,"Manual spreadsheet"))</f>
        <v/>
      </c>
      <c r="U95" s="20"/>
      <c r="V95" s="20"/>
      <c r="W95" s="20"/>
      <c r="X95" s="20"/>
      <c r="Y95" s="20"/>
      <c r="Z95" s="20"/>
      <c r="AA95" s="20"/>
    </row>
    <row r="96" customFormat="false" ht="15" hidden="false" customHeight="false" outlineLevel="0" collapsed="false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0"/>
      <c r="L96" s="18"/>
      <c r="M96" s="20"/>
      <c r="N96" s="18"/>
      <c r="O96" s="20"/>
      <c r="P96" s="20"/>
      <c r="Q96" s="20"/>
      <c r="R96" s="20"/>
      <c r="S96" s="21" t="str">
        <f aca="false">IF(A96="","",COUNTIF('Metric to Product'!$B:$B,A96))</f>
        <v/>
      </c>
      <c r="T96" s="21" t="str">
        <f aca="false">IF(A96="","",COUNTIFS('Product inputs'!$B:$B,A96,'Product inputs'!$E:$E,"Manual spreadsheet"))</f>
        <v/>
      </c>
      <c r="U96" s="20"/>
      <c r="V96" s="20"/>
      <c r="W96" s="20"/>
      <c r="X96" s="20"/>
      <c r="Y96" s="20"/>
      <c r="Z96" s="20"/>
      <c r="AA96" s="20"/>
    </row>
    <row r="97" customFormat="false" ht="15" hidden="false" customHeight="false" outlineLevel="0" collapsed="false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0"/>
      <c r="L97" s="18"/>
      <c r="M97" s="20"/>
      <c r="N97" s="18"/>
      <c r="O97" s="20"/>
      <c r="P97" s="20"/>
      <c r="Q97" s="20"/>
      <c r="R97" s="20"/>
      <c r="S97" s="21" t="str">
        <f aca="false">IF(A97="","",COUNTIF('Metric to Product'!$B:$B,A97))</f>
        <v/>
      </c>
      <c r="T97" s="21" t="str">
        <f aca="false">IF(A97="","",COUNTIFS('Product inputs'!$B:$B,A97,'Product inputs'!$E:$E,"Manual spreadsheet"))</f>
        <v/>
      </c>
      <c r="U97" s="20"/>
      <c r="V97" s="20"/>
      <c r="W97" s="20"/>
      <c r="X97" s="20"/>
      <c r="Y97" s="20"/>
      <c r="Z97" s="20"/>
      <c r="AA97" s="20"/>
    </row>
    <row r="98" customFormat="false" ht="15" hidden="false" customHeight="false" outlineLevel="0" collapsed="false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0"/>
      <c r="L98" s="18"/>
      <c r="M98" s="20"/>
      <c r="N98" s="18"/>
      <c r="O98" s="20"/>
      <c r="P98" s="20"/>
      <c r="Q98" s="20"/>
      <c r="R98" s="20"/>
      <c r="S98" s="21" t="str">
        <f aca="false">IF(A98="","",COUNTIF('Metric to Product'!$B:$B,A98))</f>
        <v/>
      </c>
      <c r="T98" s="21" t="str">
        <f aca="false">IF(A98="","",COUNTIFS('Product inputs'!$B:$B,A98,'Product inputs'!$E:$E,"Manual spreadsheet"))</f>
        <v/>
      </c>
      <c r="U98" s="20"/>
      <c r="V98" s="20"/>
      <c r="W98" s="20"/>
      <c r="X98" s="20"/>
      <c r="Y98" s="20"/>
      <c r="Z98" s="20"/>
      <c r="AA98" s="20"/>
    </row>
    <row r="99" customFormat="false" ht="15" hidden="false" customHeight="false" outlineLevel="0" collapsed="false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0"/>
      <c r="L99" s="18"/>
      <c r="M99" s="20"/>
      <c r="N99" s="18"/>
      <c r="O99" s="20"/>
      <c r="P99" s="20"/>
      <c r="Q99" s="20"/>
      <c r="R99" s="20"/>
      <c r="S99" s="21" t="str">
        <f aca="false">IF(A99="","",COUNTIF('Metric to Product'!$B:$B,A99))</f>
        <v/>
      </c>
      <c r="T99" s="21" t="str">
        <f aca="false">IF(A99="","",COUNTIFS('Product inputs'!$B:$B,A99,'Product inputs'!$E:$E,"Manual spreadsheet"))</f>
        <v/>
      </c>
      <c r="U99" s="20"/>
      <c r="V99" s="20"/>
      <c r="W99" s="20"/>
      <c r="X99" s="20"/>
      <c r="Y99" s="20"/>
      <c r="Z99" s="20"/>
      <c r="AA99" s="20"/>
    </row>
    <row r="100" customFormat="false" ht="15" hidden="false" customHeight="false" outlineLevel="0" collapsed="false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0"/>
      <c r="L100" s="18"/>
      <c r="M100" s="20"/>
      <c r="N100" s="18"/>
      <c r="O100" s="20"/>
      <c r="P100" s="20"/>
      <c r="Q100" s="20"/>
      <c r="R100" s="20"/>
      <c r="S100" s="21" t="str">
        <f aca="false">IF(A100="","",COUNTIF('Metric to Product'!$B:$B,A100))</f>
        <v/>
      </c>
      <c r="T100" s="21" t="str">
        <f aca="false">IF(A100="","",COUNTIFS('Product inputs'!$B:$B,A100,'Product inputs'!$E:$E,"Manual spreadsheet"))</f>
        <v/>
      </c>
      <c r="U100" s="20"/>
      <c r="V100" s="20"/>
      <c r="W100" s="20"/>
      <c r="X100" s="20"/>
      <c r="Y100" s="20"/>
      <c r="Z100" s="20"/>
      <c r="AA100" s="20"/>
    </row>
    <row r="101" customFormat="false" ht="15" hidden="false" customHeight="false" outlineLevel="0" collapsed="false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0"/>
      <c r="L101" s="18"/>
      <c r="M101" s="20"/>
      <c r="N101" s="18"/>
      <c r="O101" s="20"/>
      <c r="P101" s="20"/>
      <c r="Q101" s="20"/>
      <c r="R101" s="20"/>
      <c r="S101" s="21" t="str">
        <f aca="false">IF(A101="","",COUNTIF('Metric to Product'!$B:$B,A101))</f>
        <v/>
      </c>
      <c r="T101" s="21" t="str">
        <f aca="false">IF(A101="","",COUNTIFS('Product inputs'!$B:$B,A101,'Product inputs'!$E:$E,"Manual spreadsheet"))</f>
        <v/>
      </c>
      <c r="U101" s="20"/>
      <c r="V101" s="20"/>
      <c r="W101" s="20"/>
      <c r="X101" s="20"/>
      <c r="Y101" s="20"/>
      <c r="Z101" s="20"/>
      <c r="AA101" s="20"/>
    </row>
    <row r="102" customFormat="false" ht="15" hidden="false" customHeight="false" outlineLevel="0" collapsed="false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0"/>
      <c r="L102" s="18"/>
      <c r="M102" s="20"/>
      <c r="N102" s="18"/>
      <c r="O102" s="20"/>
      <c r="P102" s="20"/>
      <c r="Q102" s="20"/>
      <c r="R102" s="20"/>
      <c r="S102" s="21" t="str">
        <f aca="false">IF(A102="","",COUNTIF('Metric to Product'!$B:$B,A102))</f>
        <v/>
      </c>
      <c r="T102" s="21" t="str">
        <f aca="false">IF(A102="","",COUNTIFS('Product inputs'!$B:$B,A102,'Product inputs'!$E:$E,"Manual spreadsheet"))</f>
        <v/>
      </c>
      <c r="U102" s="20"/>
      <c r="V102" s="20"/>
      <c r="W102" s="20"/>
      <c r="X102" s="20"/>
      <c r="Y102" s="20"/>
      <c r="Z102" s="20"/>
      <c r="AA102" s="20"/>
    </row>
    <row r="103" customFormat="false" ht="15" hidden="false" customHeight="false" outlineLevel="0" collapsed="false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0"/>
      <c r="L103" s="18"/>
      <c r="M103" s="20"/>
      <c r="N103" s="18"/>
      <c r="O103" s="20"/>
      <c r="P103" s="20"/>
      <c r="Q103" s="20"/>
      <c r="R103" s="20"/>
      <c r="S103" s="21" t="str">
        <f aca="false">IF(A103="","",COUNTIF('Metric to Product'!$B:$B,A103))</f>
        <v/>
      </c>
      <c r="T103" s="21" t="str">
        <f aca="false">IF(A103="","",COUNTIFS('Product inputs'!$B:$B,A103,'Product inputs'!$E:$E,"Manual spreadsheet"))</f>
        <v/>
      </c>
      <c r="U103" s="20"/>
      <c r="V103" s="20"/>
      <c r="W103" s="20"/>
      <c r="X103" s="20"/>
      <c r="Y103" s="20"/>
      <c r="Z103" s="20"/>
      <c r="AA103" s="20"/>
    </row>
    <row r="104" customFormat="false" ht="15" hidden="false" customHeight="false" outlineLevel="0" collapsed="false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0"/>
      <c r="L104" s="18"/>
      <c r="M104" s="20"/>
      <c r="N104" s="18"/>
      <c r="O104" s="20"/>
      <c r="P104" s="20"/>
      <c r="Q104" s="20"/>
      <c r="R104" s="20"/>
      <c r="S104" s="21" t="str">
        <f aca="false">IF(A104="","",COUNTIF('Metric to Product'!$B:$B,A104))</f>
        <v/>
      </c>
      <c r="T104" s="21" t="str">
        <f aca="false">IF(A104="","",COUNTIFS('Product inputs'!$B:$B,A104,'Product inputs'!$E:$E,"Manual spreadsheet"))</f>
        <v/>
      </c>
      <c r="U104" s="20"/>
      <c r="V104" s="20"/>
      <c r="W104" s="20"/>
      <c r="X104" s="20"/>
      <c r="Y104" s="20"/>
      <c r="Z104" s="20"/>
      <c r="AA104" s="20"/>
    </row>
    <row r="105" customFormat="false" ht="15" hidden="false" customHeight="false" outlineLevel="0" collapsed="false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0"/>
      <c r="L105" s="18"/>
      <c r="M105" s="20"/>
      <c r="N105" s="18"/>
      <c r="O105" s="20"/>
      <c r="P105" s="20"/>
      <c r="Q105" s="20"/>
      <c r="R105" s="20"/>
      <c r="S105" s="21" t="str">
        <f aca="false">IF(A105="","",COUNTIF('Metric to Product'!$B:$B,A105))</f>
        <v/>
      </c>
      <c r="T105" s="21" t="str">
        <f aca="false">IF(A105="","",COUNTIFS('Product inputs'!$B:$B,A105,'Product inputs'!$E:$E,"Manual spreadsheet"))</f>
        <v/>
      </c>
      <c r="U105" s="20"/>
      <c r="V105" s="20"/>
      <c r="W105" s="20"/>
      <c r="X105" s="20"/>
      <c r="Y105" s="20"/>
      <c r="Z105" s="20"/>
      <c r="AA105" s="20"/>
    </row>
    <row r="106" customFormat="false" ht="15" hidden="false" customHeight="false" outlineLevel="0" collapsed="false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0"/>
      <c r="L106" s="18"/>
      <c r="M106" s="20"/>
      <c r="N106" s="18"/>
      <c r="O106" s="20"/>
      <c r="P106" s="20"/>
      <c r="Q106" s="20"/>
      <c r="R106" s="20"/>
      <c r="S106" s="21" t="str">
        <f aca="false">IF(A106="","",COUNTIF('Metric to Product'!$B:$B,A106))</f>
        <v/>
      </c>
      <c r="T106" s="21" t="str">
        <f aca="false">IF(A106="","",COUNTIFS('Product inputs'!$B:$B,A106,'Product inputs'!$E:$E,"Manual spreadsheet"))</f>
        <v/>
      </c>
      <c r="U106" s="20"/>
      <c r="V106" s="20"/>
      <c r="W106" s="20"/>
      <c r="X106" s="20"/>
      <c r="Y106" s="20"/>
      <c r="Z106" s="20"/>
      <c r="AA106" s="20"/>
    </row>
    <row r="107" customFormat="false" ht="15" hidden="false" customHeight="false" outlineLevel="0" collapsed="false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0"/>
      <c r="L107" s="18"/>
      <c r="M107" s="20"/>
      <c r="N107" s="18"/>
      <c r="O107" s="20"/>
      <c r="P107" s="20"/>
      <c r="Q107" s="20"/>
      <c r="R107" s="20"/>
      <c r="S107" s="21" t="str">
        <f aca="false">IF(A107="","",COUNTIF('Metric to Product'!$B:$B,A107))</f>
        <v/>
      </c>
      <c r="T107" s="21" t="str">
        <f aca="false">IF(A107="","",COUNTIFS('Product inputs'!$B:$B,A107,'Product inputs'!$E:$E,"Manual spreadsheet"))</f>
        <v/>
      </c>
      <c r="U107" s="20"/>
      <c r="V107" s="20"/>
      <c r="W107" s="20"/>
      <c r="X107" s="20"/>
      <c r="Y107" s="20"/>
      <c r="Z107" s="20"/>
      <c r="AA107" s="20"/>
    </row>
    <row r="108" customFormat="false" ht="15" hidden="false" customHeight="false" outlineLevel="0" collapsed="false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0"/>
      <c r="L108" s="18"/>
      <c r="M108" s="20"/>
      <c r="N108" s="18"/>
      <c r="O108" s="20"/>
      <c r="P108" s="20"/>
      <c r="Q108" s="20"/>
      <c r="R108" s="20"/>
      <c r="S108" s="21" t="str">
        <f aca="false">IF(A108="","",COUNTIF('Metric to Product'!$B:$B,A108))</f>
        <v/>
      </c>
      <c r="T108" s="21" t="str">
        <f aca="false">IF(A108="","",COUNTIFS('Product inputs'!$B:$B,A108,'Product inputs'!$E:$E,"Manual spreadsheet"))</f>
        <v/>
      </c>
      <c r="U108" s="20"/>
      <c r="V108" s="20"/>
      <c r="W108" s="20"/>
      <c r="X108" s="20"/>
      <c r="Y108" s="20"/>
      <c r="Z108" s="20"/>
      <c r="AA108" s="20"/>
    </row>
    <row r="109" customFormat="false" ht="15" hidden="false" customHeight="false" outlineLevel="0" collapsed="false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0"/>
      <c r="L109" s="18"/>
      <c r="M109" s="20"/>
      <c r="N109" s="18"/>
      <c r="O109" s="20"/>
      <c r="P109" s="20"/>
      <c r="Q109" s="20"/>
      <c r="R109" s="20"/>
      <c r="S109" s="21" t="str">
        <f aca="false">IF(A109="","",COUNTIF('Metric to Product'!$B:$B,A109))</f>
        <v/>
      </c>
      <c r="T109" s="21" t="str">
        <f aca="false">IF(A109="","",COUNTIFS('Product inputs'!$B:$B,A109,'Product inputs'!$E:$E,"Manual spreadsheet"))</f>
        <v/>
      </c>
      <c r="U109" s="20"/>
      <c r="V109" s="20"/>
      <c r="W109" s="20"/>
      <c r="X109" s="20"/>
      <c r="Y109" s="20"/>
      <c r="Z109" s="20"/>
      <c r="AA109" s="20"/>
    </row>
    <row r="110" customFormat="false" ht="15" hidden="false" customHeight="false" outlineLevel="0" collapsed="false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0"/>
      <c r="L110" s="18"/>
      <c r="M110" s="20"/>
      <c r="N110" s="18"/>
      <c r="O110" s="20"/>
      <c r="P110" s="20"/>
      <c r="Q110" s="20"/>
      <c r="R110" s="20"/>
      <c r="S110" s="21" t="str">
        <f aca="false">IF(A110="","",COUNTIF('Metric to Product'!$B:$B,A110))</f>
        <v/>
      </c>
      <c r="T110" s="21" t="str">
        <f aca="false">IF(A110="","",COUNTIFS('Product inputs'!$B:$B,A110,'Product inputs'!$E:$E,"Manual spreadsheet"))</f>
        <v/>
      </c>
      <c r="U110" s="20"/>
      <c r="V110" s="20"/>
      <c r="W110" s="20"/>
      <c r="X110" s="20"/>
      <c r="Y110" s="20"/>
      <c r="Z110" s="20"/>
      <c r="AA110" s="20"/>
    </row>
    <row r="111" customFormat="false" ht="15" hidden="false" customHeight="false" outlineLevel="0" collapsed="false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0"/>
      <c r="L111" s="18"/>
      <c r="M111" s="20"/>
      <c r="N111" s="18"/>
      <c r="O111" s="20"/>
      <c r="P111" s="20"/>
      <c r="Q111" s="20"/>
      <c r="R111" s="20"/>
      <c r="S111" s="21" t="str">
        <f aca="false">IF(A111="","",COUNTIF('Metric to Product'!$B:$B,A111))</f>
        <v/>
      </c>
      <c r="T111" s="21" t="str">
        <f aca="false">IF(A111="","",COUNTIFS('Product inputs'!$B:$B,A111,'Product inputs'!$E:$E,"Manual spreadsheet"))</f>
        <v/>
      </c>
      <c r="U111" s="20"/>
      <c r="V111" s="20"/>
      <c r="W111" s="20"/>
      <c r="X111" s="20"/>
      <c r="Y111" s="20"/>
      <c r="Z111" s="20"/>
      <c r="AA111" s="20"/>
    </row>
    <row r="112" customFormat="false" ht="15" hidden="false" customHeight="false" outlineLevel="0" collapsed="false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0"/>
      <c r="L112" s="18"/>
      <c r="M112" s="20"/>
      <c r="N112" s="18"/>
      <c r="O112" s="20"/>
      <c r="P112" s="20"/>
      <c r="Q112" s="20"/>
      <c r="R112" s="20"/>
      <c r="S112" s="21" t="str">
        <f aca="false">IF(A112="","",COUNTIF('Metric to Product'!$B:$B,A112))</f>
        <v/>
      </c>
      <c r="T112" s="21" t="str">
        <f aca="false">IF(A112="","",COUNTIFS('Product inputs'!$B:$B,A112,'Product inputs'!$E:$E,"Manual spreadsheet"))</f>
        <v/>
      </c>
      <c r="U112" s="20"/>
      <c r="V112" s="20"/>
      <c r="W112" s="20"/>
      <c r="X112" s="20"/>
      <c r="Y112" s="20"/>
      <c r="Z112" s="20"/>
      <c r="AA112" s="20"/>
    </row>
    <row r="113" customFormat="false" ht="15" hidden="false" customHeight="false" outlineLevel="0" collapsed="false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0"/>
      <c r="L113" s="18"/>
      <c r="M113" s="20"/>
      <c r="N113" s="18"/>
      <c r="O113" s="20"/>
      <c r="P113" s="20"/>
      <c r="Q113" s="20"/>
      <c r="R113" s="20"/>
      <c r="S113" s="21" t="str">
        <f aca="false">IF(A113="","",COUNTIF('Metric to Product'!$B:$B,A113))</f>
        <v/>
      </c>
      <c r="T113" s="21" t="str">
        <f aca="false">IF(A113="","",COUNTIFS('Product inputs'!$B:$B,A113,'Product inputs'!$E:$E,"Manual spreadsheet"))</f>
        <v/>
      </c>
      <c r="U113" s="20"/>
      <c r="V113" s="20"/>
      <c r="W113" s="20"/>
      <c r="X113" s="20"/>
      <c r="Y113" s="20"/>
      <c r="Z113" s="20"/>
      <c r="AA113" s="20"/>
    </row>
    <row r="114" customFormat="false" ht="15" hidden="false" customHeight="false" outlineLevel="0" collapsed="false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0"/>
      <c r="L114" s="18"/>
      <c r="M114" s="20"/>
      <c r="N114" s="18"/>
      <c r="O114" s="20"/>
      <c r="P114" s="20"/>
      <c r="Q114" s="20"/>
      <c r="R114" s="20"/>
      <c r="S114" s="21" t="str">
        <f aca="false">IF(A114="","",COUNTIF('Metric to Product'!$B:$B,A114))</f>
        <v/>
      </c>
      <c r="T114" s="21" t="str">
        <f aca="false">IF(A114="","",COUNTIFS('Product inputs'!$B:$B,A114,'Product inputs'!$E:$E,"Manual spreadsheet"))</f>
        <v/>
      </c>
      <c r="U114" s="20"/>
      <c r="V114" s="20"/>
      <c r="W114" s="20"/>
      <c r="X114" s="20"/>
      <c r="Y114" s="20"/>
      <c r="Z114" s="20"/>
      <c r="AA114" s="20"/>
    </row>
    <row r="115" customFormat="false" ht="15" hidden="false" customHeight="false" outlineLevel="0" collapsed="false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0"/>
      <c r="L115" s="18"/>
      <c r="M115" s="20"/>
      <c r="N115" s="18"/>
      <c r="O115" s="20"/>
      <c r="P115" s="20"/>
      <c r="Q115" s="20"/>
      <c r="R115" s="20"/>
      <c r="S115" s="21" t="str">
        <f aca="false">IF(A115="","",COUNTIF('Metric to Product'!$B:$B,A115))</f>
        <v/>
      </c>
      <c r="T115" s="21" t="str">
        <f aca="false">IF(A115="","",COUNTIFS('Product inputs'!$B:$B,A115,'Product inputs'!$E:$E,"Manual spreadsheet"))</f>
        <v/>
      </c>
      <c r="U115" s="20"/>
      <c r="V115" s="20"/>
      <c r="W115" s="20"/>
      <c r="X115" s="20"/>
      <c r="Y115" s="20"/>
      <c r="Z115" s="20"/>
      <c r="AA115" s="20"/>
    </row>
    <row r="116" customFormat="false" ht="15" hidden="false" customHeight="false" outlineLevel="0" collapsed="false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0"/>
      <c r="L116" s="18"/>
      <c r="M116" s="20"/>
      <c r="N116" s="18"/>
      <c r="O116" s="20"/>
      <c r="P116" s="20"/>
      <c r="Q116" s="20"/>
      <c r="R116" s="20"/>
      <c r="S116" s="21" t="str">
        <f aca="false">IF(A116="","",COUNTIF('Metric to Product'!$B:$B,A116))</f>
        <v/>
      </c>
      <c r="T116" s="21" t="str">
        <f aca="false">IF(A116="","",COUNTIFS('Product inputs'!$B:$B,A116,'Product inputs'!$E:$E,"Manual spreadsheet"))</f>
        <v/>
      </c>
      <c r="U116" s="20"/>
      <c r="V116" s="20"/>
      <c r="W116" s="20"/>
      <c r="X116" s="20"/>
      <c r="Y116" s="20"/>
      <c r="Z116" s="20"/>
      <c r="AA116" s="20"/>
    </row>
    <row r="117" customFormat="false" ht="15" hidden="false" customHeight="false" outlineLevel="0" collapsed="false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0"/>
      <c r="L117" s="18"/>
      <c r="M117" s="20"/>
      <c r="N117" s="18"/>
      <c r="O117" s="20"/>
      <c r="P117" s="20"/>
      <c r="Q117" s="20"/>
      <c r="R117" s="20"/>
      <c r="S117" s="21" t="str">
        <f aca="false">IF(A117="","",COUNTIF('Metric to Product'!$B:$B,A117))</f>
        <v/>
      </c>
      <c r="T117" s="21" t="str">
        <f aca="false">IF(A117="","",COUNTIFS('Product inputs'!$B:$B,A117,'Product inputs'!$E:$E,"Manual spreadsheet"))</f>
        <v/>
      </c>
      <c r="U117" s="20"/>
      <c r="V117" s="20"/>
      <c r="W117" s="20"/>
      <c r="X117" s="20"/>
      <c r="Y117" s="20"/>
      <c r="Z117" s="20"/>
      <c r="AA117" s="20"/>
    </row>
    <row r="118" customFormat="false" ht="15" hidden="false" customHeight="false" outlineLevel="0" collapsed="false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0"/>
      <c r="L118" s="18"/>
      <c r="M118" s="20"/>
      <c r="N118" s="18"/>
      <c r="O118" s="20"/>
      <c r="P118" s="20"/>
      <c r="Q118" s="20"/>
      <c r="R118" s="20"/>
      <c r="S118" s="21" t="str">
        <f aca="false">IF(A118="","",COUNTIF('Metric to Product'!$B:$B,A118))</f>
        <v/>
      </c>
      <c r="T118" s="21" t="str">
        <f aca="false">IF(A118="","",COUNTIFS('Product inputs'!$B:$B,A118,'Product inputs'!$E:$E,"Manual spreadsheet"))</f>
        <v/>
      </c>
      <c r="U118" s="20"/>
      <c r="V118" s="20"/>
      <c r="W118" s="20"/>
      <c r="X118" s="20"/>
      <c r="Y118" s="20"/>
      <c r="Z118" s="20"/>
      <c r="AA118" s="20"/>
    </row>
    <row r="119" customFormat="false" ht="15" hidden="false" customHeight="false" outlineLevel="0" collapsed="false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0"/>
      <c r="L119" s="18"/>
      <c r="M119" s="20"/>
      <c r="N119" s="18"/>
      <c r="O119" s="20"/>
      <c r="P119" s="20"/>
      <c r="Q119" s="20"/>
      <c r="R119" s="20"/>
      <c r="S119" s="21" t="str">
        <f aca="false">IF(A119="","",COUNTIF('Metric to Product'!$B:$B,A119))</f>
        <v/>
      </c>
      <c r="T119" s="21" t="str">
        <f aca="false">IF(A119="","",COUNTIFS('Product inputs'!$B:$B,A119,'Product inputs'!$E:$E,"Manual spreadsheet"))</f>
        <v/>
      </c>
      <c r="U119" s="20"/>
      <c r="V119" s="20"/>
      <c r="W119" s="20"/>
      <c r="X119" s="20"/>
      <c r="Y119" s="20"/>
      <c r="Z119" s="20"/>
      <c r="AA119" s="20"/>
    </row>
    <row r="120" customFormat="false" ht="15" hidden="false" customHeight="false" outlineLevel="0" collapsed="false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0"/>
      <c r="L120" s="18"/>
      <c r="M120" s="20"/>
      <c r="N120" s="18"/>
      <c r="O120" s="20"/>
      <c r="P120" s="20"/>
      <c r="Q120" s="20"/>
      <c r="R120" s="20"/>
      <c r="S120" s="21" t="str">
        <f aca="false">IF(A120="","",COUNTIF('Metric to Product'!$B:$B,A120))</f>
        <v/>
      </c>
      <c r="T120" s="21" t="str">
        <f aca="false">IF(A120="","",COUNTIFS('Product inputs'!$B:$B,A120,'Product inputs'!$E:$E,"Manual spreadsheet"))</f>
        <v/>
      </c>
      <c r="U120" s="20"/>
      <c r="V120" s="20"/>
      <c r="W120" s="20"/>
      <c r="X120" s="20"/>
      <c r="Y120" s="20"/>
      <c r="Z120" s="20"/>
      <c r="AA120" s="20"/>
    </row>
    <row r="121" customFormat="false" ht="15" hidden="false" customHeight="false" outlineLevel="0" collapsed="false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0"/>
      <c r="L121" s="18"/>
      <c r="M121" s="20"/>
      <c r="N121" s="18"/>
      <c r="O121" s="20"/>
      <c r="P121" s="20"/>
      <c r="Q121" s="20"/>
      <c r="R121" s="20"/>
      <c r="S121" s="21" t="str">
        <f aca="false">IF(A121="","",COUNTIF('Metric to Product'!$B:$B,A121))</f>
        <v/>
      </c>
      <c r="T121" s="21" t="str">
        <f aca="false">IF(A121="","",COUNTIFS('Product inputs'!$B:$B,A121,'Product inputs'!$E:$E,"Manual spreadsheet"))</f>
        <v/>
      </c>
      <c r="U121" s="20"/>
      <c r="V121" s="20"/>
      <c r="W121" s="20"/>
      <c r="X121" s="20"/>
      <c r="Y121" s="20"/>
      <c r="Z121" s="20"/>
      <c r="AA121" s="20"/>
    </row>
    <row r="122" customFormat="false" ht="15" hidden="false" customHeight="false" outlineLevel="0" collapsed="false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0"/>
      <c r="L122" s="18"/>
      <c r="M122" s="20"/>
      <c r="N122" s="18"/>
      <c r="O122" s="20"/>
      <c r="P122" s="20"/>
      <c r="Q122" s="20"/>
      <c r="R122" s="20"/>
      <c r="S122" s="21" t="str">
        <f aca="false">IF(A122="","",COUNTIF('Metric to Product'!$B:$B,A122))</f>
        <v/>
      </c>
      <c r="T122" s="21" t="str">
        <f aca="false">IF(A122="","",COUNTIFS('Product inputs'!$B:$B,A122,'Product inputs'!$E:$E,"Manual spreadsheet"))</f>
        <v/>
      </c>
      <c r="U122" s="20"/>
      <c r="V122" s="20"/>
      <c r="W122" s="20"/>
      <c r="X122" s="20"/>
      <c r="Y122" s="20"/>
      <c r="Z122" s="20"/>
      <c r="AA122" s="20"/>
    </row>
    <row r="123" customFormat="false" ht="15" hidden="false" customHeight="false" outlineLevel="0" collapsed="false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0"/>
      <c r="L123" s="18"/>
      <c r="M123" s="20"/>
      <c r="N123" s="18"/>
      <c r="O123" s="20"/>
      <c r="P123" s="20"/>
      <c r="Q123" s="20"/>
      <c r="R123" s="20"/>
      <c r="S123" s="21" t="str">
        <f aca="false">IF(A123="","",COUNTIF('Metric to Product'!$B:$B,A123))</f>
        <v/>
      </c>
      <c r="T123" s="21" t="str">
        <f aca="false">IF(A123="","",COUNTIFS('Product inputs'!$B:$B,A123,'Product inputs'!$E:$E,"Manual spreadsheet"))</f>
        <v/>
      </c>
      <c r="U123" s="20"/>
      <c r="V123" s="20"/>
      <c r="W123" s="20"/>
      <c r="X123" s="20"/>
      <c r="Y123" s="20"/>
      <c r="Z123" s="20"/>
      <c r="AA123" s="20"/>
    </row>
    <row r="124" customFormat="false" ht="15" hidden="false" customHeight="false" outlineLevel="0" collapsed="false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0"/>
      <c r="L124" s="18"/>
      <c r="M124" s="20"/>
      <c r="N124" s="18"/>
      <c r="O124" s="20"/>
      <c r="P124" s="20"/>
      <c r="Q124" s="20"/>
      <c r="R124" s="20"/>
      <c r="S124" s="21" t="str">
        <f aca="false">IF(A124="","",COUNTIF('Metric to Product'!$B:$B,A124))</f>
        <v/>
      </c>
      <c r="T124" s="21" t="str">
        <f aca="false">IF(A124="","",COUNTIFS('Product inputs'!$B:$B,A124,'Product inputs'!$E:$E,"Manual spreadsheet"))</f>
        <v/>
      </c>
      <c r="U124" s="20"/>
      <c r="V124" s="20"/>
      <c r="W124" s="20"/>
      <c r="X124" s="20"/>
      <c r="Y124" s="20"/>
      <c r="Z124" s="20"/>
      <c r="AA124" s="20"/>
    </row>
    <row r="125" customFormat="false" ht="15" hidden="false" customHeight="false" outlineLevel="0" collapsed="false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0"/>
      <c r="L125" s="18"/>
      <c r="M125" s="20"/>
      <c r="N125" s="18"/>
      <c r="O125" s="20"/>
      <c r="P125" s="20"/>
      <c r="Q125" s="20"/>
      <c r="R125" s="20"/>
      <c r="S125" s="21" t="str">
        <f aca="false">IF(A125="","",COUNTIF('Metric to Product'!$B:$B,A125))</f>
        <v/>
      </c>
      <c r="T125" s="21" t="str">
        <f aca="false">IF(A125="","",COUNTIFS('Product inputs'!$B:$B,A125,'Product inputs'!$E:$E,"Manual spreadsheet"))</f>
        <v/>
      </c>
      <c r="U125" s="20"/>
      <c r="V125" s="20"/>
      <c r="W125" s="20"/>
      <c r="X125" s="20"/>
      <c r="Y125" s="20"/>
      <c r="Z125" s="20"/>
      <c r="AA125" s="20"/>
    </row>
    <row r="126" customFormat="false" ht="15" hidden="false" customHeight="false" outlineLevel="0" collapsed="false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0"/>
      <c r="L126" s="18"/>
      <c r="M126" s="20"/>
      <c r="N126" s="18"/>
      <c r="O126" s="20"/>
      <c r="P126" s="20"/>
      <c r="Q126" s="20"/>
      <c r="R126" s="20"/>
      <c r="S126" s="21" t="str">
        <f aca="false">IF(A126="","",COUNTIF('Metric to Product'!$B:$B,A126))</f>
        <v/>
      </c>
      <c r="T126" s="21" t="str">
        <f aca="false">IF(A126="","",COUNTIFS('Product inputs'!$B:$B,A126,'Product inputs'!$E:$E,"Manual spreadsheet"))</f>
        <v/>
      </c>
      <c r="U126" s="20"/>
      <c r="V126" s="20"/>
      <c r="W126" s="20"/>
      <c r="X126" s="20"/>
      <c r="Y126" s="20"/>
      <c r="Z126" s="20"/>
      <c r="AA126" s="20"/>
    </row>
    <row r="127" customFormat="false" ht="15" hidden="false" customHeight="false" outlineLevel="0" collapsed="false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0"/>
      <c r="L127" s="18"/>
      <c r="M127" s="20"/>
      <c r="N127" s="18"/>
      <c r="O127" s="20"/>
      <c r="P127" s="20"/>
      <c r="Q127" s="20"/>
      <c r="R127" s="20"/>
      <c r="S127" s="21" t="str">
        <f aca="false">IF(A127="","",COUNTIF('Metric to Product'!$B:$B,A127))</f>
        <v/>
      </c>
      <c r="T127" s="21" t="str">
        <f aca="false">IF(A127="","",COUNTIFS('Product inputs'!$B:$B,A127,'Product inputs'!$E:$E,"Manual spreadsheet"))</f>
        <v/>
      </c>
      <c r="U127" s="20"/>
      <c r="V127" s="20"/>
      <c r="W127" s="20"/>
      <c r="X127" s="20"/>
      <c r="Y127" s="20"/>
      <c r="Z127" s="20"/>
      <c r="AA127" s="20"/>
    </row>
    <row r="128" customFormat="false" ht="15" hidden="false" customHeight="false" outlineLevel="0" collapsed="false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0"/>
      <c r="L128" s="18"/>
      <c r="M128" s="20"/>
      <c r="N128" s="18"/>
      <c r="O128" s="20"/>
      <c r="P128" s="20"/>
      <c r="Q128" s="20"/>
      <c r="R128" s="20"/>
      <c r="S128" s="21" t="str">
        <f aca="false">IF(A128="","",COUNTIF('Metric to Product'!$B:$B,A128))</f>
        <v/>
      </c>
      <c r="T128" s="21" t="str">
        <f aca="false">IF(A128="","",COUNTIFS('Product inputs'!$B:$B,A128,'Product inputs'!$E:$E,"Manual spreadsheet"))</f>
        <v/>
      </c>
      <c r="U128" s="20"/>
      <c r="V128" s="20"/>
      <c r="W128" s="20"/>
      <c r="X128" s="20"/>
      <c r="Y128" s="20"/>
      <c r="Z128" s="20"/>
      <c r="AA128" s="20"/>
    </row>
    <row r="129" customFormat="false" ht="15" hidden="false" customHeight="false" outlineLevel="0" collapsed="false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0"/>
      <c r="L129" s="18"/>
      <c r="M129" s="20"/>
      <c r="N129" s="18"/>
      <c r="O129" s="20"/>
      <c r="P129" s="20"/>
      <c r="Q129" s="20"/>
      <c r="R129" s="20"/>
      <c r="S129" s="21" t="str">
        <f aca="false">IF(A129="","",COUNTIF('Metric to Product'!$B:$B,A129))</f>
        <v/>
      </c>
      <c r="T129" s="21" t="str">
        <f aca="false">IF(A129="","",COUNTIFS('Product inputs'!$B:$B,A129,'Product inputs'!$E:$E,"Manual spreadsheet"))</f>
        <v/>
      </c>
      <c r="U129" s="20"/>
      <c r="V129" s="20"/>
      <c r="W129" s="20"/>
      <c r="X129" s="20"/>
      <c r="Y129" s="20"/>
      <c r="Z129" s="20"/>
      <c r="AA129" s="20"/>
    </row>
    <row r="130" customFormat="false" ht="15" hidden="false" customHeight="false" outlineLevel="0" collapsed="false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0"/>
      <c r="L130" s="18"/>
      <c r="M130" s="20"/>
      <c r="N130" s="18"/>
      <c r="O130" s="20"/>
      <c r="P130" s="20"/>
      <c r="Q130" s="20"/>
      <c r="R130" s="20"/>
      <c r="S130" s="21" t="str">
        <f aca="false">IF(A130="","",COUNTIF('Metric to Product'!$B:$B,A130))</f>
        <v/>
      </c>
      <c r="T130" s="21" t="str">
        <f aca="false">IF(A130="","",COUNTIFS('Product inputs'!$B:$B,A130,'Product inputs'!$E:$E,"Manual spreadsheet"))</f>
        <v/>
      </c>
      <c r="U130" s="20"/>
      <c r="V130" s="20"/>
      <c r="W130" s="20"/>
      <c r="X130" s="20"/>
      <c r="Y130" s="20"/>
      <c r="Z130" s="20"/>
      <c r="AA130" s="20"/>
    </row>
    <row r="131" customFormat="false" ht="15" hidden="false" customHeight="false" outlineLevel="0" collapsed="false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0"/>
      <c r="L131" s="18"/>
      <c r="M131" s="20"/>
      <c r="N131" s="18"/>
      <c r="O131" s="20"/>
      <c r="P131" s="20"/>
      <c r="Q131" s="20"/>
      <c r="R131" s="20"/>
      <c r="S131" s="21" t="str">
        <f aca="false">IF(A131="","",COUNTIF('Metric to Product'!$B:$B,A131))</f>
        <v/>
      </c>
      <c r="T131" s="21" t="str">
        <f aca="false">IF(A131="","",COUNTIFS('Product inputs'!$B:$B,A131,'Product inputs'!$E:$E,"Manual spreadsheet"))</f>
        <v/>
      </c>
      <c r="U131" s="20"/>
      <c r="V131" s="20"/>
      <c r="W131" s="20"/>
      <c r="X131" s="20"/>
      <c r="Y131" s="20"/>
      <c r="Z131" s="20"/>
      <c r="AA131" s="20"/>
    </row>
    <row r="132" customFormat="false" ht="15" hidden="false" customHeight="false" outlineLevel="0" collapsed="false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0"/>
      <c r="L132" s="18"/>
      <c r="M132" s="20"/>
      <c r="N132" s="18"/>
      <c r="O132" s="20"/>
      <c r="P132" s="20"/>
      <c r="Q132" s="20"/>
      <c r="R132" s="20"/>
      <c r="S132" s="21" t="str">
        <f aca="false">IF(A132="","",COUNTIF('Metric to Product'!$B:$B,A132))</f>
        <v/>
      </c>
      <c r="T132" s="21" t="str">
        <f aca="false">IF(A132="","",COUNTIFS('Product inputs'!$B:$B,A132,'Product inputs'!$E:$E,"Manual spreadsheet"))</f>
        <v/>
      </c>
      <c r="U132" s="20"/>
      <c r="V132" s="20"/>
      <c r="W132" s="20"/>
      <c r="X132" s="20"/>
      <c r="Y132" s="20"/>
      <c r="Z132" s="20"/>
      <c r="AA132" s="20"/>
    </row>
    <row r="133" customFormat="false" ht="15" hidden="false" customHeight="false" outlineLevel="0" collapsed="false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0"/>
      <c r="L133" s="18"/>
      <c r="M133" s="20"/>
      <c r="N133" s="18"/>
      <c r="O133" s="20"/>
      <c r="P133" s="20"/>
      <c r="Q133" s="20"/>
      <c r="R133" s="20"/>
      <c r="S133" s="21" t="str">
        <f aca="false">IF(A133="","",COUNTIF('Metric to Product'!$B:$B,A133))</f>
        <v/>
      </c>
      <c r="T133" s="21" t="str">
        <f aca="false">IF(A133="","",COUNTIFS('Product inputs'!$B:$B,A133,'Product inputs'!$E:$E,"Manual spreadsheet"))</f>
        <v/>
      </c>
      <c r="U133" s="20"/>
      <c r="V133" s="20"/>
      <c r="W133" s="20"/>
      <c r="X133" s="20"/>
      <c r="Y133" s="20"/>
      <c r="Z133" s="20"/>
      <c r="AA133" s="20"/>
    </row>
    <row r="134" customFormat="false" ht="15" hidden="false" customHeight="false" outlineLevel="0" collapsed="false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0"/>
      <c r="L134" s="18"/>
      <c r="M134" s="20"/>
      <c r="N134" s="18"/>
      <c r="O134" s="20"/>
      <c r="P134" s="20"/>
      <c r="Q134" s="20"/>
      <c r="R134" s="20"/>
      <c r="S134" s="21" t="str">
        <f aca="false">IF(A134="","",COUNTIF('Metric to Product'!$B:$B,A134))</f>
        <v/>
      </c>
      <c r="T134" s="21" t="str">
        <f aca="false">IF(A134="","",COUNTIFS('Product inputs'!$B:$B,A134,'Product inputs'!$E:$E,"Manual spreadsheet"))</f>
        <v/>
      </c>
      <c r="U134" s="20"/>
      <c r="V134" s="20"/>
      <c r="W134" s="20"/>
      <c r="X134" s="20"/>
      <c r="Y134" s="20"/>
      <c r="Z134" s="20"/>
      <c r="AA134" s="20"/>
    </row>
    <row r="135" customFormat="false" ht="15" hidden="false" customHeight="false" outlineLevel="0" collapsed="false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0"/>
      <c r="L135" s="18"/>
      <c r="M135" s="20"/>
      <c r="N135" s="18"/>
      <c r="O135" s="20"/>
      <c r="P135" s="20"/>
      <c r="Q135" s="20"/>
      <c r="R135" s="20"/>
      <c r="S135" s="21" t="str">
        <f aca="false">IF(A135="","",COUNTIF('Metric to Product'!$B:$B,A135))</f>
        <v/>
      </c>
      <c r="T135" s="21" t="str">
        <f aca="false">IF(A135="","",COUNTIFS('Product inputs'!$B:$B,A135,'Product inputs'!$E:$E,"Manual spreadsheet"))</f>
        <v/>
      </c>
      <c r="U135" s="20"/>
      <c r="V135" s="20"/>
      <c r="W135" s="20"/>
      <c r="X135" s="20"/>
      <c r="Y135" s="20"/>
      <c r="Z135" s="20"/>
      <c r="AA135" s="20"/>
    </row>
    <row r="136" customFormat="false" ht="15" hidden="false" customHeight="false" outlineLevel="0" collapsed="false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0"/>
      <c r="L136" s="18"/>
      <c r="M136" s="20"/>
      <c r="N136" s="18"/>
      <c r="O136" s="20"/>
      <c r="P136" s="20"/>
      <c r="Q136" s="20"/>
      <c r="R136" s="20"/>
      <c r="S136" s="21" t="str">
        <f aca="false">IF(A136="","",COUNTIF('Metric to Product'!$B:$B,A136))</f>
        <v/>
      </c>
      <c r="T136" s="21" t="str">
        <f aca="false">IF(A136="","",COUNTIFS('Product inputs'!$B:$B,A136,'Product inputs'!$E:$E,"Manual spreadsheet"))</f>
        <v/>
      </c>
      <c r="U136" s="20"/>
      <c r="V136" s="20"/>
      <c r="W136" s="20"/>
      <c r="X136" s="20"/>
      <c r="Y136" s="20"/>
      <c r="Z136" s="20"/>
      <c r="AA136" s="20"/>
    </row>
    <row r="137" customFormat="false" ht="15" hidden="false" customHeight="false" outlineLevel="0" collapsed="false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0"/>
      <c r="L137" s="18"/>
      <c r="M137" s="20"/>
      <c r="N137" s="18"/>
      <c r="O137" s="20"/>
      <c r="P137" s="20"/>
      <c r="Q137" s="20"/>
      <c r="R137" s="20"/>
      <c r="S137" s="21" t="str">
        <f aca="false">IF(A137="","",COUNTIF('Metric to Product'!$B:$B,A137))</f>
        <v/>
      </c>
      <c r="T137" s="21" t="str">
        <f aca="false">IF(A137="","",COUNTIFS('Product inputs'!$B:$B,A137,'Product inputs'!$E:$E,"Manual spreadsheet"))</f>
        <v/>
      </c>
      <c r="U137" s="20"/>
      <c r="V137" s="20"/>
      <c r="W137" s="20"/>
      <c r="X137" s="20"/>
      <c r="Y137" s="20"/>
      <c r="Z137" s="20"/>
      <c r="AA137" s="20"/>
    </row>
    <row r="138" customFormat="false" ht="15" hidden="false" customHeight="false" outlineLevel="0" collapsed="false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0"/>
      <c r="L138" s="18"/>
      <c r="M138" s="20"/>
      <c r="N138" s="18"/>
      <c r="O138" s="20"/>
      <c r="P138" s="20"/>
      <c r="Q138" s="20"/>
      <c r="R138" s="20"/>
      <c r="S138" s="21" t="str">
        <f aca="false">IF(A138="","",COUNTIF('Metric to Product'!$B:$B,A138))</f>
        <v/>
      </c>
      <c r="T138" s="21" t="str">
        <f aca="false">IF(A138="","",COUNTIFS('Product inputs'!$B:$B,A138,'Product inputs'!$E:$E,"Manual spreadsheet"))</f>
        <v/>
      </c>
      <c r="U138" s="20"/>
      <c r="V138" s="20"/>
      <c r="W138" s="20"/>
      <c r="X138" s="20"/>
      <c r="Y138" s="20"/>
      <c r="Z138" s="20"/>
      <c r="AA138" s="20"/>
    </row>
    <row r="139" customFormat="false" ht="15" hidden="false" customHeight="false" outlineLevel="0" collapsed="false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0"/>
      <c r="L139" s="18"/>
      <c r="M139" s="20"/>
      <c r="N139" s="18"/>
      <c r="O139" s="20"/>
      <c r="P139" s="20"/>
      <c r="Q139" s="20"/>
      <c r="R139" s="20"/>
      <c r="S139" s="21" t="str">
        <f aca="false">IF(A139="","",COUNTIF('Metric to Product'!$B:$B,A139))</f>
        <v/>
      </c>
      <c r="T139" s="21" t="str">
        <f aca="false">IF(A139="","",COUNTIFS('Product inputs'!$B:$B,A139,'Product inputs'!$E:$E,"Manual spreadsheet"))</f>
        <v/>
      </c>
      <c r="U139" s="20"/>
      <c r="V139" s="20"/>
      <c r="W139" s="20"/>
      <c r="X139" s="20"/>
      <c r="Y139" s="20"/>
      <c r="Z139" s="20"/>
      <c r="AA139" s="20"/>
    </row>
    <row r="140" customFormat="false" ht="15" hidden="false" customHeight="false" outlineLevel="0" collapsed="false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0"/>
      <c r="L140" s="18"/>
      <c r="M140" s="20"/>
      <c r="N140" s="18"/>
      <c r="O140" s="20"/>
      <c r="P140" s="20"/>
      <c r="Q140" s="20"/>
      <c r="R140" s="20"/>
      <c r="S140" s="21" t="str">
        <f aca="false">IF(A140="","",COUNTIF('Metric to Product'!$B:$B,A140))</f>
        <v/>
      </c>
      <c r="T140" s="21" t="str">
        <f aca="false">IF(A140="","",COUNTIFS('Product inputs'!$B:$B,A140,'Product inputs'!$E:$E,"Manual spreadsheet"))</f>
        <v/>
      </c>
      <c r="U140" s="20"/>
      <c r="V140" s="20"/>
      <c r="W140" s="20"/>
      <c r="X140" s="20"/>
      <c r="Y140" s="20"/>
      <c r="Z140" s="20"/>
      <c r="AA140" s="20"/>
    </row>
    <row r="141" customFormat="false" ht="15" hidden="false" customHeight="false" outlineLevel="0" collapsed="false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0"/>
      <c r="L141" s="18"/>
      <c r="M141" s="20"/>
      <c r="N141" s="18"/>
      <c r="O141" s="20"/>
      <c r="P141" s="20"/>
      <c r="Q141" s="20"/>
      <c r="R141" s="20"/>
      <c r="S141" s="21" t="str">
        <f aca="false">IF(A141="","",COUNTIF('Metric to Product'!$B:$B,A141))</f>
        <v/>
      </c>
      <c r="T141" s="21" t="str">
        <f aca="false">IF(A141="","",COUNTIFS('Product inputs'!$B:$B,A141,'Product inputs'!$E:$E,"Manual spreadsheet"))</f>
        <v/>
      </c>
      <c r="U141" s="20"/>
      <c r="V141" s="20"/>
      <c r="W141" s="20"/>
      <c r="X141" s="20"/>
      <c r="Y141" s="20"/>
      <c r="Z141" s="20"/>
      <c r="AA141" s="20"/>
    </row>
    <row r="142" customFormat="false" ht="15" hidden="false" customHeight="false" outlineLevel="0" collapsed="false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0"/>
      <c r="L142" s="18"/>
      <c r="M142" s="20"/>
      <c r="N142" s="18"/>
      <c r="O142" s="20"/>
      <c r="P142" s="20"/>
      <c r="Q142" s="20"/>
      <c r="R142" s="20"/>
      <c r="S142" s="21" t="str">
        <f aca="false">IF(A142="","",COUNTIF('Metric to Product'!$B:$B,A142))</f>
        <v/>
      </c>
      <c r="T142" s="21" t="str">
        <f aca="false">IF(A142="","",COUNTIFS('Product inputs'!$B:$B,A142,'Product inputs'!$E:$E,"Manual spreadsheet"))</f>
        <v/>
      </c>
      <c r="U142" s="20"/>
      <c r="V142" s="20"/>
      <c r="W142" s="20"/>
      <c r="X142" s="20"/>
      <c r="Y142" s="20"/>
      <c r="Z142" s="20"/>
      <c r="AA142" s="20"/>
    </row>
    <row r="143" customFormat="false" ht="15" hidden="false" customHeight="false" outlineLevel="0" collapsed="false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0"/>
      <c r="L143" s="18"/>
      <c r="M143" s="20"/>
      <c r="N143" s="18"/>
      <c r="O143" s="20"/>
      <c r="P143" s="20"/>
      <c r="Q143" s="20"/>
      <c r="R143" s="20"/>
      <c r="S143" s="21" t="str">
        <f aca="false">IF(A143="","",COUNTIF('Metric to Product'!$B:$B,A143))</f>
        <v/>
      </c>
      <c r="T143" s="21" t="str">
        <f aca="false">IF(A143="","",COUNTIFS('Product inputs'!$B:$B,A143,'Product inputs'!$E:$E,"Manual spreadsheet"))</f>
        <v/>
      </c>
      <c r="U143" s="20"/>
      <c r="V143" s="20"/>
      <c r="W143" s="20"/>
      <c r="X143" s="20"/>
      <c r="Y143" s="20"/>
      <c r="Z143" s="20"/>
      <c r="AA143" s="20"/>
    </row>
    <row r="144" customFormat="false" ht="15" hidden="false" customHeight="false" outlineLevel="0" collapsed="false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0"/>
      <c r="L144" s="18"/>
      <c r="M144" s="20"/>
      <c r="N144" s="18"/>
      <c r="O144" s="20"/>
      <c r="P144" s="20"/>
      <c r="Q144" s="20"/>
      <c r="R144" s="20"/>
      <c r="S144" s="21" t="str">
        <f aca="false">IF(A144="","",COUNTIF('Metric to Product'!$B:$B,A144))</f>
        <v/>
      </c>
      <c r="T144" s="21" t="str">
        <f aca="false">IF(A144="","",COUNTIFS('Product inputs'!$B:$B,A144,'Product inputs'!$E:$E,"Manual spreadsheet"))</f>
        <v/>
      </c>
      <c r="U144" s="20"/>
      <c r="V144" s="20"/>
      <c r="W144" s="20"/>
      <c r="X144" s="20"/>
      <c r="Y144" s="20"/>
      <c r="Z144" s="20"/>
      <c r="AA144" s="20"/>
    </row>
    <row r="145" customFormat="false" ht="15" hidden="false" customHeight="false" outlineLevel="0" collapsed="false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0"/>
      <c r="L145" s="18"/>
      <c r="M145" s="20"/>
      <c r="N145" s="18"/>
      <c r="O145" s="20"/>
      <c r="P145" s="20"/>
      <c r="Q145" s="20"/>
      <c r="R145" s="20"/>
      <c r="S145" s="21" t="str">
        <f aca="false">IF(A145="","",COUNTIF('Metric to Product'!$B:$B,A145))</f>
        <v/>
      </c>
      <c r="T145" s="21" t="str">
        <f aca="false">IF(A145="","",COUNTIFS('Product inputs'!$B:$B,A145,'Product inputs'!$E:$E,"Manual spreadsheet"))</f>
        <v/>
      </c>
      <c r="U145" s="20"/>
      <c r="V145" s="20"/>
      <c r="W145" s="20"/>
      <c r="X145" s="20"/>
      <c r="Y145" s="20"/>
      <c r="Z145" s="20"/>
      <c r="AA145" s="20"/>
    </row>
    <row r="146" customFormat="false" ht="15" hidden="false" customHeight="false" outlineLevel="0" collapsed="false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0"/>
      <c r="L146" s="18"/>
      <c r="M146" s="20"/>
      <c r="N146" s="18"/>
      <c r="O146" s="20"/>
      <c r="P146" s="20"/>
      <c r="Q146" s="20"/>
      <c r="R146" s="20"/>
      <c r="S146" s="21" t="str">
        <f aca="false">IF(A146="","",COUNTIF('Metric to Product'!$B:$B,A146))</f>
        <v/>
      </c>
      <c r="T146" s="21" t="str">
        <f aca="false">IF(A146="","",COUNTIFS('Product inputs'!$B:$B,A146,'Product inputs'!$E:$E,"Manual spreadsheet"))</f>
        <v/>
      </c>
      <c r="U146" s="20"/>
      <c r="V146" s="20"/>
      <c r="W146" s="20"/>
      <c r="X146" s="20"/>
      <c r="Y146" s="20"/>
      <c r="Z146" s="20"/>
      <c r="AA146" s="20"/>
    </row>
    <row r="147" customFormat="false" ht="15" hidden="false" customHeight="false" outlineLevel="0" collapsed="false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0"/>
      <c r="L147" s="18"/>
      <c r="M147" s="20"/>
      <c r="N147" s="18"/>
      <c r="O147" s="20"/>
      <c r="P147" s="20"/>
      <c r="Q147" s="20"/>
      <c r="R147" s="20"/>
      <c r="S147" s="21" t="str">
        <f aca="false">IF(A147="","",COUNTIF('Metric to Product'!$B:$B,A147))</f>
        <v/>
      </c>
      <c r="T147" s="21" t="str">
        <f aca="false">IF(A147="","",COUNTIFS('Product inputs'!$B:$B,A147,'Product inputs'!$E:$E,"Manual spreadsheet"))</f>
        <v/>
      </c>
      <c r="U147" s="20"/>
      <c r="V147" s="20"/>
      <c r="W147" s="20"/>
      <c r="X147" s="20"/>
      <c r="Y147" s="20"/>
      <c r="Z147" s="20"/>
      <c r="AA147" s="20"/>
    </row>
    <row r="148" customFormat="false" ht="15" hidden="false" customHeight="false" outlineLevel="0" collapsed="false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0"/>
      <c r="L148" s="18"/>
      <c r="M148" s="20"/>
      <c r="N148" s="18"/>
      <c r="O148" s="20"/>
      <c r="P148" s="20"/>
      <c r="Q148" s="20"/>
      <c r="R148" s="20"/>
      <c r="S148" s="21" t="str">
        <f aca="false">IF(A148="","",COUNTIF('Metric to Product'!$B:$B,A148))</f>
        <v/>
      </c>
      <c r="T148" s="21" t="str">
        <f aca="false">IF(A148="","",COUNTIFS('Product inputs'!$B:$B,A148,'Product inputs'!$E:$E,"Manual spreadsheet"))</f>
        <v/>
      </c>
      <c r="U148" s="20"/>
      <c r="V148" s="20"/>
      <c r="W148" s="20"/>
      <c r="X148" s="20"/>
      <c r="Y148" s="20"/>
      <c r="Z148" s="20"/>
      <c r="AA148" s="20"/>
    </row>
    <row r="149" customFormat="false" ht="15" hidden="false" customHeight="false" outlineLevel="0" collapsed="false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0"/>
      <c r="L149" s="18"/>
      <c r="M149" s="20"/>
      <c r="N149" s="18"/>
      <c r="O149" s="20"/>
      <c r="P149" s="20"/>
      <c r="Q149" s="20"/>
      <c r="R149" s="20"/>
      <c r="S149" s="21" t="str">
        <f aca="false">IF(A149="","",COUNTIF('Metric to Product'!$B:$B,A149))</f>
        <v/>
      </c>
      <c r="T149" s="21" t="str">
        <f aca="false">IF(A149="","",COUNTIFS('Product inputs'!$B:$B,A149,'Product inputs'!$E:$E,"Manual spreadsheet"))</f>
        <v/>
      </c>
      <c r="U149" s="20"/>
      <c r="V149" s="20"/>
      <c r="W149" s="20"/>
      <c r="X149" s="20"/>
      <c r="Y149" s="20"/>
      <c r="Z149" s="20"/>
      <c r="AA149" s="20"/>
    </row>
    <row r="150" customFormat="false" ht="15" hidden="false" customHeight="false" outlineLevel="0" collapsed="false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0"/>
      <c r="L150" s="18"/>
      <c r="M150" s="20"/>
      <c r="N150" s="18"/>
      <c r="O150" s="20"/>
      <c r="P150" s="20"/>
      <c r="Q150" s="20"/>
      <c r="R150" s="20"/>
      <c r="S150" s="21" t="str">
        <f aca="false">IF(A150="","",COUNTIF('Metric to Product'!$B:$B,A150))</f>
        <v/>
      </c>
      <c r="T150" s="21" t="str">
        <f aca="false">IF(A150="","",COUNTIFS('Product inputs'!$B:$B,A150,'Product inputs'!$E:$E,"Manual spreadsheet"))</f>
        <v/>
      </c>
      <c r="U150" s="20"/>
      <c r="V150" s="20"/>
      <c r="W150" s="20"/>
      <c r="X150" s="20"/>
      <c r="Y150" s="20"/>
      <c r="Z150" s="20"/>
      <c r="AA150" s="20"/>
    </row>
    <row r="151" customFormat="false" ht="15" hidden="false" customHeight="false" outlineLevel="0" collapsed="false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0"/>
      <c r="L151" s="18"/>
      <c r="M151" s="20"/>
      <c r="N151" s="18"/>
      <c r="O151" s="20"/>
      <c r="P151" s="20"/>
      <c r="Q151" s="20"/>
      <c r="R151" s="20"/>
      <c r="S151" s="21" t="str">
        <f aca="false">IF(A151="","",COUNTIF('Metric to Product'!$B:$B,A151))</f>
        <v/>
      </c>
      <c r="T151" s="21" t="str">
        <f aca="false">IF(A151="","",COUNTIFS('Product inputs'!$B:$B,A151,'Product inputs'!$E:$E,"Manual spreadsheet"))</f>
        <v/>
      </c>
      <c r="U151" s="20"/>
      <c r="V151" s="20"/>
      <c r="W151" s="20"/>
      <c r="X151" s="20"/>
      <c r="Y151" s="20"/>
      <c r="Z151" s="20"/>
      <c r="AA151" s="20"/>
    </row>
    <row r="152" customFormat="false" ht="15" hidden="false" customHeight="false" outlineLevel="0" collapsed="false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0"/>
      <c r="L152" s="18"/>
      <c r="M152" s="20"/>
      <c r="N152" s="18"/>
      <c r="O152" s="20"/>
      <c r="P152" s="20"/>
      <c r="Q152" s="20"/>
      <c r="R152" s="20"/>
      <c r="S152" s="21" t="str">
        <f aca="false">IF(A152="","",COUNTIF('Metric to Product'!$B:$B,A152))</f>
        <v/>
      </c>
      <c r="T152" s="21" t="str">
        <f aca="false">IF(A152="","",COUNTIFS('Product inputs'!$B:$B,A152,'Product inputs'!$E:$E,"Manual spreadsheet"))</f>
        <v/>
      </c>
      <c r="U152" s="20"/>
      <c r="V152" s="20"/>
      <c r="W152" s="20"/>
      <c r="X152" s="20"/>
      <c r="Y152" s="20"/>
      <c r="Z152" s="20"/>
      <c r="AA152" s="20"/>
    </row>
    <row r="153" customFormat="false" ht="15" hidden="false" customHeight="false" outlineLevel="0" collapsed="false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0"/>
      <c r="L153" s="18"/>
      <c r="M153" s="20"/>
      <c r="N153" s="18"/>
      <c r="O153" s="20"/>
      <c r="P153" s="20"/>
      <c r="Q153" s="20"/>
      <c r="R153" s="20"/>
      <c r="S153" s="21" t="str">
        <f aca="false">IF(A153="","",COUNTIF('Metric to Product'!$B:$B,A153))</f>
        <v/>
      </c>
      <c r="T153" s="21" t="str">
        <f aca="false">IF(A153="","",COUNTIFS('Product inputs'!$B:$B,A153,'Product inputs'!$E:$E,"Manual spreadsheet"))</f>
        <v/>
      </c>
      <c r="U153" s="20"/>
      <c r="V153" s="20"/>
      <c r="W153" s="20"/>
      <c r="X153" s="20"/>
      <c r="Y153" s="20"/>
      <c r="Z153" s="20"/>
      <c r="AA153" s="20"/>
    </row>
    <row r="154" customFormat="false" ht="15" hidden="false" customHeight="false" outlineLevel="0" collapsed="false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0"/>
      <c r="L154" s="18"/>
      <c r="M154" s="20"/>
      <c r="N154" s="18"/>
      <c r="O154" s="20"/>
      <c r="P154" s="20"/>
      <c r="Q154" s="20"/>
      <c r="R154" s="20"/>
      <c r="S154" s="21" t="str">
        <f aca="false">IF(A154="","",COUNTIF('Metric to Product'!$B:$B,A154))</f>
        <v/>
      </c>
      <c r="T154" s="21" t="str">
        <f aca="false">IF(A154="","",COUNTIFS('Product inputs'!$B:$B,A154,'Product inputs'!$E:$E,"Manual spreadsheet"))</f>
        <v/>
      </c>
      <c r="U154" s="20"/>
      <c r="V154" s="20"/>
      <c r="W154" s="20"/>
      <c r="X154" s="20"/>
      <c r="Y154" s="20"/>
      <c r="Z154" s="20"/>
      <c r="AA154" s="20"/>
    </row>
  </sheetData>
  <autoFilter ref="A4:AA154"/>
  <conditionalFormatting sqref="P5:P154">
    <cfRule type="cellIs" priority="2" operator="equal" aboveAverage="0" equalAverage="0" bottom="0" percent="0" rank="0" text="" dxfId="9">
      <formula>"Manual"</formula>
    </cfRule>
    <cfRule type="cellIs" priority="3" operator="equal" aboveAverage="0" equalAverage="0" bottom="0" percent="0" rank="0" text="" dxfId="10">
      <formula>"Partly manual"</formula>
    </cfRule>
    <cfRule type="cellIs" priority="4" operator="equal" aboveAverage="0" equalAverage="0" bottom="0" percent="0" rank="0" text="" dxfId="11">
      <formula>"Automated"</formula>
    </cfRule>
  </conditionalFormatting>
  <conditionalFormatting sqref="O5:O154">
    <cfRule type="cellIs" priority="5" operator="equal" aboveAverage="0" equalAverage="0" bottom="0" percent="0" rank="0" text="" dxfId="9">
      <formula>"Pasted by hand"</formula>
    </cfRule>
  </conditionalFormatting>
  <conditionalFormatting sqref="W5:W154">
    <cfRule type="cellIs" priority="6" operator="equal" aboveAverage="0" equalAverage="0" bottom="0" percent="0" rank="0" text="" dxfId="10">
      <formula>"Proposed"</formula>
    </cfRule>
  </conditionalFormatting>
  <dataValidations count="8">
    <dataValidation allowBlank="true" errorStyle="stop" operator="between" showDropDown="false" showErrorMessage="false" showInputMessage="false" sqref="D5:D154" type="list">
      <formula1>"Scorecard,Dashboard,Sent report,Data pull,Table,Other"</formula1>
      <formula2>0</formula2>
    </dataValidation>
    <dataValidation allowBlank="true" errorStyle="stop" operator="between" showDropDown="false" showErrorMessage="false" showInputMessage="false" sqref="E5:E154" type="list">
      <formula1>"Excel,Tableau,QuickSight,Snowflake,Slides,Other"</formula1>
      <formula2>0</formula2>
    </dataValidation>
    <dataValidation allowBlank="true" errorStyle="stop" operator="between" showDropDown="false" showErrorMessage="false" showInputMessage="false" sqref="I5:I154" type="list">
      <formula1>"Real time,Daily,Weekly,Monthly,Quarterly,On request,Unknown"</formula1>
      <formula2>0</formula2>
    </dataValidation>
    <dataValidation allowBlank="true" errorStyle="stop" operator="between" showDropDown="false" showErrorMessage="false" showInputMessage="false" sqref="O5:O154" type="list">
      <formula1>"Scripted,Pasted by hand,Live connection,Unknown"</formula1>
      <formula2>0</formula2>
    </dataValidation>
    <dataValidation allowBlank="true" errorStyle="stop" operator="between" showDropDown="false" showErrorMessage="false" showInputMessage="false" sqref="P5:P154" type="list">
      <formula1>"Automated,Partly manual,Manual,Unknown"</formula1>
      <formula2>0</formula2>
    </dataValidation>
    <dataValidation allowBlank="true" errorStyle="stop" operator="between" showDropDown="false" showErrorMessage="false" showInputMessage="false" sqref="U5:U154" type="list">
      <formula1>"Phase 1,Later,Not traced,Out of scope"</formula1>
      <formula2>0</formula2>
    </dataValidation>
    <dataValidation allowBlank="true" errorStyle="stop" operator="between" showDropDown="false" showErrorMessage="false" showInputMessage="false" sqref="W5:W154" type="list">
      <formula1>"Proposed,Accepted,Corrected,Rejected"</formula1>
      <formula2>0</formula2>
    </dataValidation>
    <dataValidation allowBlank="true" errorStyle="stop" operator="between" showDropDown="false" showErrorMessage="false" showInputMessage="false" sqref="Y5:Y154" type="list">
      <formula1>"Found,Inferred,Proposed,Human"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36"/>
    <col collapsed="false" customWidth="true" hidden="false" outlineLevel="0" max="9" min="9" style="0" width="11"/>
    <col collapsed="false" customWidth="true" hidden="false" outlineLevel="0" max="10" min="10" style="0" width="26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2" t="s">
        <v>454</v>
      </c>
    </row>
    <row r="4" customFormat="false" ht="33.75" hidden="false" customHeight="true" outlineLevel="0" collapsed="false">
      <c r="A4" s="17" t="s">
        <v>168</v>
      </c>
      <c r="B4" s="16" t="s">
        <v>455</v>
      </c>
      <c r="C4" s="17" t="s">
        <v>170</v>
      </c>
      <c r="D4" s="16" t="s">
        <v>456</v>
      </c>
      <c r="E4" s="17" t="s">
        <v>173</v>
      </c>
      <c r="F4" s="17" t="s">
        <v>176</v>
      </c>
      <c r="G4" s="17" t="s">
        <v>178</v>
      </c>
      <c r="H4" s="17" t="s">
        <v>75</v>
      </c>
      <c r="I4" s="17" t="s">
        <v>153</v>
      </c>
      <c r="J4" s="17" t="s">
        <v>156</v>
      </c>
      <c r="K4" s="17" t="s">
        <v>159</v>
      </c>
    </row>
    <row r="5" customFormat="false" ht="15" hidden="false" customHeight="false" outlineLevel="0" collapsed="false">
      <c r="A5" s="20"/>
      <c r="B5" s="18" t="str">
        <f aca="false">IF(A5="","",IFERROR(INDEX(Products!$A:$A,MATCH(A5,Products!$B:$B,0)),"Not found"))</f>
        <v/>
      </c>
      <c r="C5" s="20"/>
      <c r="D5" s="18" t="str">
        <f aca="false">IF(C5="","",IFERROR(INDEX(Tables!$A:$A,MATCH(C5,Tables!$B:$B,0)),"Not found"))</f>
        <v/>
      </c>
      <c r="E5" s="21" t="str">
        <f aca="false">IF(D5="","",IFERROR(INDEX(Tables!$D:$D,MATCH(D5,Tables!$A:$A,0)),""))</f>
        <v/>
      </c>
      <c r="F5" s="20"/>
      <c r="G5" s="20"/>
      <c r="H5" s="20"/>
      <c r="I5" s="20"/>
      <c r="J5" s="20"/>
      <c r="K5" s="20"/>
    </row>
    <row r="6" customFormat="false" ht="15" hidden="false" customHeight="false" outlineLevel="0" collapsed="false">
      <c r="A6" s="20"/>
      <c r="B6" s="18" t="str">
        <f aca="false">IF(A6="","",IFERROR(INDEX(Products!$A:$A,MATCH(A6,Products!$B:$B,0)),"Not found"))</f>
        <v/>
      </c>
      <c r="C6" s="20"/>
      <c r="D6" s="18" t="str">
        <f aca="false">IF(C6="","",IFERROR(INDEX(Tables!$A:$A,MATCH(C6,Tables!$B:$B,0)),"Not found"))</f>
        <v/>
      </c>
      <c r="E6" s="21" t="str">
        <f aca="false">IF(D6="","",IFERROR(INDEX(Tables!$D:$D,MATCH(D6,Tables!$A:$A,0)),""))</f>
        <v/>
      </c>
      <c r="F6" s="20"/>
      <c r="G6" s="20"/>
      <c r="H6" s="20"/>
      <c r="I6" s="20"/>
      <c r="J6" s="20"/>
      <c r="K6" s="20"/>
    </row>
    <row r="7" customFormat="false" ht="15" hidden="false" customHeight="false" outlineLevel="0" collapsed="false">
      <c r="A7" s="20"/>
      <c r="B7" s="18" t="str">
        <f aca="false">IF(A7="","",IFERROR(INDEX(Products!$A:$A,MATCH(A7,Products!$B:$B,0)),"Not found"))</f>
        <v/>
      </c>
      <c r="C7" s="20"/>
      <c r="D7" s="18" t="str">
        <f aca="false">IF(C7="","",IFERROR(INDEX(Tables!$A:$A,MATCH(C7,Tables!$B:$B,0)),"Not found"))</f>
        <v/>
      </c>
      <c r="E7" s="21" t="str">
        <f aca="false">IF(D7="","",IFERROR(INDEX(Tables!$D:$D,MATCH(D7,Tables!$A:$A,0)),""))</f>
        <v/>
      </c>
      <c r="F7" s="20"/>
      <c r="G7" s="20"/>
      <c r="H7" s="20"/>
      <c r="I7" s="20"/>
      <c r="J7" s="20"/>
      <c r="K7" s="20"/>
    </row>
    <row r="8" customFormat="false" ht="15" hidden="false" customHeight="false" outlineLevel="0" collapsed="false">
      <c r="A8" s="20"/>
      <c r="B8" s="18" t="str">
        <f aca="false">IF(A8="","",IFERROR(INDEX(Products!$A:$A,MATCH(A8,Products!$B:$B,0)),"Not found"))</f>
        <v/>
      </c>
      <c r="C8" s="20"/>
      <c r="D8" s="18" t="str">
        <f aca="false">IF(C8="","",IFERROR(INDEX(Tables!$A:$A,MATCH(C8,Tables!$B:$B,0)),"Not found"))</f>
        <v/>
      </c>
      <c r="E8" s="21" t="str">
        <f aca="false">IF(D8="","",IFERROR(INDEX(Tables!$D:$D,MATCH(D8,Tables!$A:$A,0)),""))</f>
        <v/>
      </c>
      <c r="F8" s="20"/>
      <c r="G8" s="20"/>
      <c r="H8" s="20"/>
      <c r="I8" s="20"/>
      <c r="J8" s="20"/>
      <c r="K8" s="20"/>
    </row>
    <row r="9" customFormat="false" ht="15" hidden="false" customHeight="false" outlineLevel="0" collapsed="false">
      <c r="A9" s="20"/>
      <c r="B9" s="18" t="str">
        <f aca="false">IF(A9="","",IFERROR(INDEX(Products!$A:$A,MATCH(A9,Products!$B:$B,0)),"Not found"))</f>
        <v/>
      </c>
      <c r="C9" s="20"/>
      <c r="D9" s="18" t="str">
        <f aca="false">IF(C9="","",IFERROR(INDEX(Tables!$A:$A,MATCH(C9,Tables!$B:$B,0)),"Not found"))</f>
        <v/>
      </c>
      <c r="E9" s="21" t="str">
        <f aca="false">IF(D9="","",IFERROR(INDEX(Tables!$D:$D,MATCH(D9,Tables!$A:$A,0)),""))</f>
        <v/>
      </c>
      <c r="F9" s="20"/>
      <c r="G9" s="20"/>
      <c r="H9" s="20"/>
      <c r="I9" s="20"/>
      <c r="J9" s="20"/>
      <c r="K9" s="20"/>
    </row>
    <row r="10" customFormat="false" ht="15" hidden="false" customHeight="false" outlineLevel="0" collapsed="false">
      <c r="A10" s="20"/>
      <c r="B10" s="18" t="str">
        <f aca="false">IF(A10="","",IFERROR(INDEX(Products!$A:$A,MATCH(A10,Products!$B:$B,0)),"Not found"))</f>
        <v/>
      </c>
      <c r="C10" s="20"/>
      <c r="D10" s="18" t="str">
        <f aca="false">IF(C10="","",IFERROR(INDEX(Tables!$A:$A,MATCH(C10,Tables!$B:$B,0)),"Not found"))</f>
        <v/>
      </c>
      <c r="E10" s="21" t="str">
        <f aca="false">IF(D10="","",IFERROR(INDEX(Tables!$D:$D,MATCH(D10,Tables!$A:$A,0)),""))</f>
        <v/>
      </c>
      <c r="F10" s="20"/>
      <c r="G10" s="20"/>
      <c r="H10" s="20"/>
      <c r="I10" s="20"/>
      <c r="J10" s="20"/>
      <c r="K10" s="20"/>
    </row>
    <row r="11" customFormat="false" ht="15" hidden="false" customHeight="false" outlineLevel="0" collapsed="false">
      <c r="A11" s="20"/>
      <c r="B11" s="18" t="str">
        <f aca="false">IF(A11="","",IFERROR(INDEX(Products!$A:$A,MATCH(A11,Products!$B:$B,0)),"Not found"))</f>
        <v/>
      </c>
      <c r="C11" s="20"/>
      <c r="D11" s="18" t="str">
        <f aca="false">IF(C11="","",IFERROR(INDEX(Tables!$A:$A,MATCH(C11,Tables!$B:$B,0)),"Not found"))</f>
        <v/>
      </c>
      <c r="E11" s="21" t="str">
        <f aca="false">IF(D11="","",IFERROR(INDEX(Tables!$D:$D,MATCH(D11,Tables!$A:$A,0)),""))</f>
        <v/>
      </c>
      <c r="F11" s="20"/>
      <c r="G11" s="20"/>
      <c r="H11" s="20"/>
      <c r="I11" s="20"/>
      <c r="J11" s="20"/>
      <c r="K11" s="20"/>
    </row>
    <row r="12" customFormat="false" ht="15" hidden="false" customHeight="false" outlineLevel="0" collapsed="false">
      <c r="A12" s="20"/>
      <c r="B12" s="18" t="str">
        <f aca="false">IF(A12="","",IFERROR(INDEX(Products!$A:$A,MATCH(A12,Products!$B:$B,0)),"Not found"))</f>
        <v/>
      </c>
      <c r="C12" s="20"/>
      <c r="D12" s="18" t="str">
        <f aca="false">IF(C12="","",IFERROR(INDEX(Tables!$A:$A,MATCH(C12,Tables!$B:$B,0)),"Not found"))</f>
        <v/>
      </c>
      <c r="E12" s="21" t="str">
        <f aca="false">IF(D12="","",IFERROR(INDEX(Tables!$D:$D,MATCH(D12,Tables!$A:$A,0)),""))</f>
        <v/>
      </c>
      <c r="F12" s="20"/>
      <c r="G12" s="20"/>
      <c r="H12" s="20"/>
      <c r="I12" s="20"/>
      <c r="J12" s="20"/>
      <c r="K12" s="20"/>
    </row>
    <row r="13" customFormat="false" ht="15" hidden="false" customHeight="false" outlineLevel="0" collapsed="false">
      <c r="A13" s="20"/>
      <c r="B13" s="18" t="str">
        <f aca="false">IF(A13="","",IFERROR(INDEX(Products!$A:$A,MATCH(A13,Products!$B:$B,0)),"Not found"))</f>
        <v/>
      </c>
      <c r="C13" s="20"/>
      <c r="D13" s="18" t="str">
        <f aca="false">IF(C13="","",IFERROR(INDEX(Tables!$A:$A,MATCH(C13,Tables!$B:$B,0)),"Not found"))</f>
        <v/>
      </c>
      <c r="E13" s="21" t="str">
        <f aca="false">IF(D13="","",IFERROR(INDEX(Tables!$D:$D,MATCH(D13,Tables!$A:$A,0)),""))</f>
        <v/>
      </c>
      <c r="F13" s="20"/>
      <c r="G13" s="20"/>
      <c r="H13" s="20"/>
      <c r="I13" s="20"/>
      <c r="J13" s="20"/>
      <c r="K13" s="20"/>
    </row>
    <row r="14" customFormat="false" ht="15" hidden="false" customHeight="false" outlineLevel="0" collapsed="false">
      <c r="A14" s="20"/>
      <c r="B14" s="18" t="str">
        <f aca="false">IF(A14="","",IFERROR(INDEX(Products!$A:$A,MATCH(A14,Products!$B:$B,0)),"Not found"))</f>
        <v/>
      </c>
      <c r="C14" s="20"/>
      <c r="D14" s="18" t="str">
        <f aca="false">IF(C14="","",IFERROR(INDEX(Tables!$A:$A,MATCH(C14,Tables!$B:$B,0)),"Not found"))</f>
        <v/>
      </c>
      <c r="E14" s="21" t="str">
        <f aca="false">IF(D14="","",IFERROR(INDEX(Tables!$D:$D,MATCH(D14,Tables!$A:$A,0)),""))</f>
        <v/>
      </c>
      <c r="F14" s="20"/>
      <c r="G14" s="20"/>
      <c r="H14" s="20"/>
      <c r="I14" s="20"/>
      <c r="J14" s="20"/>
      <c r="K14" s="20"/>
    </row>
    <row r="15" customFormat="false" ht="15" hidden="false" customHeight="false" outlineLevel="0" collapsed="false">
      <c r="A15" s="20"/>
      <c r="B15" s="18" t="str">
        <f aca="false">IF(A15="","",IFERROR(INDEX(Products!$A:$A,MATCH(A15,Products!$B:$B,0)),"Not found"))</f>
        <v/>
      </c>
      <c r="C15" s="20"/>
      <c r="D15" s="18" t="str">
        <f aca="false">IF(C15="","",IFERROR(INDEX(Tables!$A:$A,MATCH(C15,Tables!$B:$B,0)),"Not found"))</f>
        <v/>
      </c>
      <c r="E15" s="21" t="str">
        <f aca="false">IF(D15="","",IFERROR(INDEX(Tables!$D:$D,MATCH(D15,Tables!$A:$A,0)),""))</f>
        <v/>
      </c>
      <c r="F15" s="20"/>
      <c r="G15" s="20"/>
      <c r="H15" s="20"/>
      <c r="I15" s="20"/>
      <c r="J15" s="20"/>
      <c r="K15" s="20"/>
    </row>
    <row r="16" customFormat="false" ht="15" hidden="false" customHeight="false" outlineLevel="0" collapsed="false">
      <c r="A16" s="20"/>
      <c r="B16" s="18" t="str">
        <f aca="false">IF(A16="","",IFERROR(INDEX(Products!$A:$A,MATCH(A16,Products!$B:$B,0)),"Not found"))</f>
        <v/>
      </c>
      <c r="C16" s="20"/>
      <c r="D16" s="18" t="str">
        <f aca="false">IF(C16="","",IFERROR(INDEX(Tables!$A:$A,MATCH(C16,Tables!$B:$B,0)),"Not found"))</f>
        <v/>
      </c>
      <c r="E16" s="21" t="str">
        <f aca="false">IF(D16="","",IFERROR(INDEX(Tables!$D:$D,MATCH(D16,Tables!$A:$A,0)),""))</f>
        <v/>
      </c>
      <c r="F16" s="20"/>
      <c r="G16" s="20"/>
      <c r="H16" s="20"/>
      <c r="I16" s="20"/>
      <c r="J16" s="20"/>
      <c r="K16" s="20"/>
    </row>
    <row r="17" customFormat="false" ht="15" hidden="false" customHeight="false" outlineLevel="0" collapsed="false">
      <c r="A17" s="20"/>
      <c r="B17" s="18" t="str">
        <f aca="false">IF(A17="","",IFERROR(INDEX(Products!$A:$A,MATCH(A17,Products!$B:$B,0)),"Not found"))</f>
        <v/>
      </c>
      <c r="C17" s="20"/>
      <c r="D17" s="18" t="str">
        <f aca="false">IF(C17="","",IFERROR(INDEX(Tables!$A:$A,MATCH(C17,Tables!$B:$B,0)),"Not found"))</f>
        <v/>
      </c>
      <c r="E17" s="21" t="str">
        <f aca="false">IF(D17="","",IFERROR(INDEX(Tables!$D:$D,MATCH(D17,Tables!$A:$A,0)),""))</f>
        <v/>
      </c>
      <c r="F17" s="20"/>
      <c r="G17" s="20"/>
      <c r="H17" s="20"/>
      <c r="I17" s="20"/>
      <c r="J17" s="20"/>
      <c r="K17" s="20"/>
    </row>
    <row r="18" customFormat="false" ht="15" hidden="false" customHeight="false" outlineLevel="0" collapsed="false">
      <c r="A18" s="20"/>
      <c r="B18" s="18" t="str">
        <f aca="false">IF(A18="","",IFERROR(INDEX(Products!$A:$A,MATCH(A18,Products!$B:$B,0)),"Not found"))</f>
        <v/>
      </c>
      <c r="C18" s="20"/>
      <c r="D18" s="18" t="str">
        <f aca="false">IF(C18="","",IFERROR(INDEX(Tables!$A:$A,MATCH(C18,Tables!$B:$B,0)),"Not found"))</f>
        <v/>
      </c>
      <c r="E18" s="21" t="str">
        <f aca="false">IF(D18="","",IFERROR(INDEX(Tables!$D:$D,MATCH(D18,Tables!$A:$A,0)),""))</f>
        <v/>
      </c>
      <c r="F18" s="20"/>
      <c r="G18" s="20"/>
      <c r="H18" s="20"/>
      <c r="I18" s="20"/>
      <c r="J18" s="20"/>
      <c r="K18" s="20"/>
    </row>
    <row r="19" customFormat="false" ht="15" hidden="false" customHeight="false" outlineLevel="0" collapsed="false">
      <c r="A19" s="20"/>
      <c r="B19" s="18" t="str">
        <f aca="false">IF(A19="","",IFERROR(INDEX(Products!$A:$A,MATCH(A19,Products!$B:$B,0)),"Not found"))</f>
        <v/>
      </c>
      <c r="C19" s="20"/>
      <c r="D19" s="18" t="str">
        <f aca="false">IF(C19="","",IFERROR(INDEX(Tables!$A:$A,MATCH(C19,Tables!$B:$B,0)),"Not found"))</f>
        <v/>
      </c>
      <c r="E19" s="21" t="str">
        <f aca="false">IF(D19="","",IFERROR(INDEX(Tables!$D:$D,MATCH(D19,Tables!$A:$A,0)),""))</f>
        <v/>
      </c>
      <c r="F19" s="20"/>
      <c r="G19" s="20"/>
      <c r="H19" s="20"/>
      <c r="I19" s="20"/>
      <c r="J19" s="20"/>
      <c r="K19" s="20"/>
    </row>
    <row r="20" customFormat="false" ht="15" hidden="false" customHeight="false" outlineLevel="0" collapsed="false">
      <c r="A20" s="20"/>
      <c r="B20" s="18" t="str">
        <f aca="false">IF(A20="","",IFERROR(INDEX(Products!$A:$A,MATCH(A20,Products!$B:$B,0)),"Not found"))</f>
        <v/>
      </c>
      <c r="C20" s="20"/>
      <c r="D20" s="18" t="str">
        <f aca="false">IF(C20="","",IFERROR(INDEX(Tables!$A:$A,MATCH(C20,Tables!$B:$B,0)),"Not found"))</f>
        <v/>
      </c>
      <c r="E20" s="21" t="str">
        <f aca="false">IF(D20="","",IFERROR(INDEX(Tables!$D:$D,MATCH(D20,Tables!$A:$A,0)),""))</f>
        <v/>
      </c>
      <c r="F20" s="20"/>
      <c r="G20" s="20"/>
      <c r="H20" s="20"/>
      <c r="I20" s="20"/>
      <c r="J20" s="20"/>
      <c r="K20" s="20"/>
    </row>
    <row r="21" customFormat="false" ht="15" hidden="false" customHeight="false" outlineLevel="0" collapsed="false">
      <c r="A21" s="20"/>
      <c r="B21" s="18" t="str">
        <f aca="false">IF(A21="","",IFERROR(INDEX(Products!$A:$A,MATCH(A21,Products!$B:$B,0)),"Not found"))</f>
        <v/>
      </c>
      <c r="C21" s="20"/>
      <c r="D21" s="18" t="str">
        <f aca="false">IF(C21="","",IFERROR(INDEX(Tables!$A:$A,MATCH(C21,Tables!$B:$B,0)),"Not found"))</f>
        <v/>
      </c>
      <c r="E21" s="21" t="str">
        <f aca="false">IF(D21="","",IFERROR(INDEX(Tables!$D:$D,MATCH(D21,Tables!$A:$A,0)),""))</f>
        <v/>
      </c>
      <c r="F21" s="20"/>
      <c r="G21" s="20"/>
      <c r="H21" s="20"/>
      <c r="I21" s="20"/>
      <c r="J21" s="20"/>
      <c r="K21" s="20"/>
    </row>
    <row r="22" customFormat="false" ht="15" hidden="false" customHeight="false" outlineLevel="0" collapsed="false">
      <c r="A22" s="20"/>
      <c r="B22" s="18" t="str">
        <f aca="false">IF(A22="","",IFERROR(INDEX(Products!$A:$A,MATCH(A22,Products!$B:$B,0)),"Not found"))</f>
        <v/>
      </c>
      <c r="C22" s="20"/>
      <c r="D22" s="18" t="str">
        <f aca="false">IF(C22="","",IFERROR(INDEX(Tables!$A:$A,MATCH(C22,Tables!$B:$B,0)),"Not found"))</f>
        <v/>
      </c>
      <c r="E22" s="21" t="str">
        <f aca="false">IF(D22="","",IFERROR(INDEX(Tables!$D:$D,MATCH(D22,Tables!$A:$A,0)),""))</f>
        <v/>
      </c>
      <c r="F22" s="20"/>
      <c r="G22" s="20"/>
      <c r="H22" s="20"/>
      <c r="I22" s="20"/>
      <c r="J22" s="20"/>
      <c r="K22" s="20"/>
    </row>
    <row r="23" customFormat="false" ht="15" hidden="false" customHeight="false" outlineLevel="0" collapsed="false">
      <c r="A23" s="20"/>
      <c r="B23" s="18" t="str">
        <f aca="false">IF(A23="","",IFERROR(INDEX(Products!$A:$A,MATCH(A23,Products!$B:$B,0)),"Not found"))</f>
        <v/>
      </c>
      <c r="C23" s="20"/>
      <c r="D23" s="18" t="str">
        <f aca="false">IF(C23="","",IFERROR(INDEX(Tables!$A:$A,MATCH(C23,Tables!$B:$B,0)),"Not found"))</f>
        <v/>
      </c>
      <c r="E23" s="21" t="str">
        <f aca="false">IF(D23="","",IFERROR(INDEX(Tables!$D:$D,MATCH(D23,Tables!$A:$A,0)),""))</f>
        <v/>
      </c>
      <c r="F23" s="20"/>
      <c r="G23" s="20"/>
      <c r="H23" s="20"/>
      <c r="I23" s="20"/>
      <c r="J23" s="20"/>
      <c r="K23" s="20"/>
    </row>
    <row r="24" customFormat="false" ht="15" hidden="false" customHeight="false" outlineLevel="0" collapsed="false">
      <c r="A24" s="20"/>
      <c r="B24" s="18" t="str">
        <f aca="false">IF(A24="","",IFERROR(INDEX(Products!$A:$A,MATCH(A24,Products!$B:$B,0)),"Not found"))</f>
        <v/>
      </c>
      <c r="C24" s="20"/>
      <c r="D24" s="18" t="str">
        <f aca="false">IF(C24="","",IFERROR(INDEX(Tables!$A:$A,MATCH(C24,Tables!$B:$B,0)),"Not found"))</f>
        <v/>
      </c>
      <c r="E24" s="21" t="str">
        <f aca="false">IF(D24="","",IFERROR(INDEX(Tables!$D:$D,MATCH(D24,Tables!$A:$A,0)),""))</f>
        <v/>
      </c>
      <c r="F24" s="20"/>
      <c r="G24" s="20"/>
      <c r="H24" s="20"/>
      <c r="I24" s="20"/>
      <c r="J24" s="20"/>
      <c r="K24" s="20"/>
    </row>
    <row r="25" customFormat="false" ht="15" hidden="false" customHeight="false" outlineLevel="0" collapsed="false">
      <c r="A25" s="20"/>
      <c r="B25" s="18" t="str">
        <f aca="false">IF(A25="","",IFERROR(INDEX(Products!$A:$A,MATCH(A25,Products!$B:$B,0)),"Not found"))</f>
        <v/>
      </c>
      <c r="C25" s="20"/>
      <c r="D25" s="18" t="str">
        <f aca="false">IF(C25="","",IFERROR(INDEX(Tables!$A:$A,MATCH(C25,Tables!$B:$B,0)),"Not found"))</f>
        <v/>
      </c>
      <c r="E25" s="21" t="str">
        <f aca="false">IF(D25="","",IFERROR(INDEX(Tables!$D:$D,MATCH(D25,Tables!$A:$A,0)),""))</f>
        <v/>
      </c>
      <c r="F25" s="20"/>
      <c r="G25" s="20"/>
      <c r="H25" s="20"/>
      <c r="I25" s="20"/>
      <c r="J25" s="20"/>
      <c r="K25" s="20"/>
    </row>
    <row r="26" customFormat="false" ht="15" hidden="false" customHeight="false" outlineLevel="0" collapsed="false">
      <c r="A26" s="20"/>
      <c r="B26" s="18" t="str">
        <f aca="false">IF(A26="","",IFERROR(INDEX(Products!$A:$A,MATCH(A26,Products!$B:$B,0)),"Not found"))</f>
        <v/>
      </c>
      <c r="C26" s="20"/>
      <c r="D26" s="18" t="str">
        <f aca="false">IF(C26="","",IFERROR(INDEX(Tables!$A:$A,MATCH(C26,Tables!$B:$B,0)),"Not found"))</f>
        <v/>
      </c>
      <c r="E26" s="21" t="str">
        <f aca="false">IF(D26="","",IFERROR(INDEX(Tables!$D:$D,MATCH(D26,Tables!$A:$A,0)),""))</f>
        <v/>
      </c>
      <c r="F26" s="20"/>
      <c r="G26" s="20"/>
      <c r="H26" s="20"/>
      <c r="I26" s="20"/>
      <c r="J26" s="20"/>
      <c r="K26" s="20"/>
    </row>
    <row r="27" customFormat="false" ht="15" hidden="false" customHeight="false" outlineLevel="0" collapsed="false">
      <c r="A27" s="20"/>
      <c r="B27" s="18" t="str">
        <f aca="false">IF(A27="","",IFERROR(INDEX(Products!$A:$A,MATCH(A27,Products!$B:$B,0)),"Not found"))</f>
        <v/>
      </c>
      <c r="C27" s="20"/>
      <c r="D27" s="18" t="str">
        <f aca="false">IF(C27="","",IFERROR(INDEX(Tables!$A:$A,MATCH(C27,Tables!$B:$B,0)),"Not found"))</f>
        <v/>
      </c>
      <c r="E27" s="21" t="str">
        <f aca="false">IF(D27="","",IFERROR(INDEX(Tables!$D:$D,MATCH(D27,Tables!$A:$A,0)),""))</f>
        <v/>
      </c>
      <c r="F27" s="20"/>
      <c r="G27" s="20"/>
      <c r="H27" s="20"/>
      <c r="I27" s="20"/>
      <c r="J27" s="20"/>
      <c r="K27" s="20"/>
    </row>
    <row r="28" customFormat="false" ht="15" hidden="false" customHeight="false" outlineLevel="0" collapsed="false">
      <c r="A28" s="20"/>
      <c r="B28" s="18" t="str">
        <f aca="false">IF(A28="","",IFERROR(INDEX(Products!$A:$A,MATCH(A28,Products!$B:$B,0)),"Not found"))</f>
        <v/>
      </c>
      <c r="C28" s="20"/>
      <c r="D28" s="18" t="str">
        <f aca="false">IF(C28="","",IFERROR(INDEX(Tables!$A:$A,MATCH(C28,Tables!$B:$B,0)),"Not found"))</f>
        <v/>
      </c>
      <c r="E28" s="21" t="str">
        <f aca="false">IF(D28="","",IFERROR(INDEX(Tables!$D:$D,MATCH(D28,Tables!$A:$A,0)),""))</f>
        <v/>
      </c>
      <c r="F28" s="20"/>
      <c r="G28" s="20"/>
      <c r="H28" s="20"/>
      <c r="I28" s="20"/>
      <c r="J28" s="20"/>
      <c r="K28" s="20"/>
    </row>
    <row r="29" customFormat="false" ht="15" hidden="false" customHeight="false" outlineLevel="0" collapsed="false">
      <c r="A29" s="20"/>
      <c r="B29" s="18" t="str">
        <f aca="false">IF(A29="","",IFERROR(INDEX(Products!$A:$A,MATCH(A29,Products!$B:$B,0)),"Not found"))</f>
        <v/>
      </c>
      <c r="C29" s="20"/>
      <c r="D29" s="18" t="str">
        <f aca="false">IF(C29="","",IFERROR(INDEX(Tables!$A:$A,MATCH(C29,Tables!$B:$B,0)),"Not found"))</f>
        <v/>
      </c>
      <c r="E29" s="21" t="str">
        <f aca="false">IF(D29="","",IFERROR(INDEX(Tables!$D:$D,MATCH(D29,Tables!$A:$A,0)),""))</f>
        <v/>
      </c>
      <c r="F29" s="20"/>
      <c r="G29" s="20"/>
      <c r="H29" s="20"/>
      <c r="I29" s="20"/>
      <c r="J29" s="20"/>
      <c r="K29" s="20"/>
    </row>
    <row r="30" customFormat="false" ht="15" hidden="false" customHeight="false" outlineLevel="0" collapsed="false">
      <c r="A30" s="20"/>
      <c r="B30" s="18" t="str">
        <f aca="false">IF(A30="","",IFERROR(INDEX(Products!$A:$A,MATCH(A30,Products!$B:$B,0)),"Not found"))</f>
        <v/>
      </c>
      <c r="C30" s="20"/>
      <c r="D30" s="18" t="str">
        <f aca="false">IF(C30="","",IFERROR(INDEX(Tables!$A:$A,MATCH(C30,Tables!$B:$B,0)),"Not found"))</f>
        <v/>
      </c>
      <c r="E30" s="21" t="str">
        <f aca="false">IF(D30="","",IFERROR(INDEX(Tables!$D:$D,MATCH(D30,Tables!$A:$A,0)),""))</f>
        <v/>
      </c>
      <c r="F30" s="20"/>
      <c r="G30" s="20"/>
      <c r="H30" s="20"/>
      <c r="I30" s="20"/>
      <c r="J30" s="20"/>
      <c r="K30" s="20"/>
    </row>
    <row r="31" customFormat="false" ht="15" hidden="false" customHeight="false" outlineLevel="0" collapsed="false">
      <c r="A31" s="20"/>
      <c r="B31" s="18" t="str">
        <f aca="false">IF(A31="","",IFERROR(INDEX(Products!$A:$A,MATCH(A31,Products!$B:$B,0)),"Not found"))</f>
        <v/>
      </c>
      <c r="C31" s="20"/>
      <c r="D31" s="18" t="str">
        <f aca="false">IF(C31="","",IFERROR(INDEX(Tables!$A:$A,MATCH(C31,Tables!$B:$B,0)),"Not found"))</f>
        <v/>
      </c>
      <c r="E31" s="21" t="str">
        <f aca="false">IF(D31="","",IFERROR(INDEX(Tables!$D:$D,MATCH(D31,Tables!$A:$A,0)),""))</f>
        <v/>
      </c>
      <c r="F31" s="20"/>
      <c r="G31" s="20"/>
      <c r="H31" s="20"/>
      <c r="I31" s="20"/>
      <c r="J31" s="20"/>
      <c r="K31" s="20"/>
    </row>
    <row r="32" customFormat="false" ht="15" hidden="false" customHeight="false" outlineLevel="0" collapsed="false">
      <c r="A32" s="20"/>
      <c r="B32" s="18" t="str">
        <f aca="false">IF(A32="","",IFERROR(INDEX(Products!$A:$A,MATCH(A32,Products!$B:$B,0)),"Not found"))</f>
        <v/>
      </c>
      <c r="C32" s="20"/>
      <c r="D32" s="18" t="str">
        <f aca="false">IF(C32="","",IFERROR(INDEX(Tables!$A:$A,MATCH(C32,Tables!$B:$B,0)),"Not found"))</f>
        <v/>
      </c>
      <c r="E32" s="21" t="str">
        <f aca="false">IF(D32="","",IFERROR(INDEX(Tables!$D:$D,MATCH(D32,Tables!$A:$A,0)),""))</f>
        <v/>
      </c>
      <c r="F32" s="20"/>
      <c r="G32" s="20"/>
      <c r="H32" s="20"/>
      <c r="I32" s="20"/>
      <c r="J32" s="20"/>
      <c r="K32" s="20"/>
    </row>
    <row r="33" customFormat="false" ht="15" hidden="false" customHeight="false" outlineLevel="0" collapsed="false">
      <c r="A33" s="20"/>
      <c r="B33" s="18" t="str">
        <f aca="false">IF(A33="","",IFERROR(INDEX(Products!$A:$A,MATCH(A33,Products!$B:$B,0)),"Not found"))</f>
        <v/>
      </c>
      <c r="C33" s="20"/>
      <c r="D33" s="18" t="str">
        <f aca="false">IF(C33="","",IFERROR(INDEX(Tables!$A:$A,MATCH(C33,Tables!$B:$B,0)),"Not found"))</f>
        <v/>
      </c>
      <c r="E33" s="21" t="str">
        <f aca="false">IF(D33="","",IFERROR(INDEX(Tables!$D:$D,MATCH(D33,Tables!$A:$A,0)),""))</f>
        <v/>
      </c>
      <c r="F33" s="20"/>
      <c r="G33" s="20"/>
      <c r="H33" s="20"/>
      <c r="I33" s="20"/>
      <c r="J33" s="20"/>
      <c r="K33" s="20"/>
    </row>
    <row r="34" customFormat="false" ht="15" hidden="false" customHeight="false" outlineLevel="0" collapsed="false">
      <c r="A34" s="20"/>
      <c r="B34" s="18" t="str">
        <f aca="false">IF(A34="","",IFERROR(INDEX(Products!$A:$A,MATCH(A34,Products!$B:$B,0)),"Not found"))</f>
        <v/>
      </c>
      <c r="C34" s="20"/>
      <c r="D34" s="18" t="str">
        <f aca="false">IF(C34="","",IFERROR(INDEX(Tables!$A:$A,MATCH(C34,Tables!$B:$B,0)),"Not found"))</f>
        <v/>
      </c>
      <c r="E34" s="21" t="str">
        <f aca="false">IF(D34="","",IFERROR(INDEX(Tables!$D:$D,MATCH(D34,Tables!$A:$A,0)),""))</f>
        <v/>
      </c>
      <c r="F34" s="20"/>
      <c r="G34" s="20"/>
      <c r="H34" s="20"/>
      <c r="I34" s="20"/>
      <c r="J34" s="20"/>
      <c r="K34" s="20"/>
    </row>
    <row r="35" customFormat="false" ht="15" hidden="false" customHeight="false" outlineLevel="0" collapsed="false">
      <c r="A35" s="20"/>
      <c r="B35" s="18" t="str">
        <f aca="false">IF(A35="","",IFERROR(INDEX(Products!$A:$A,MATCH(A35,Products!$B:$B,0)),"Not found"))</f>
        <v/>
      </c>
      <c r="C35" s="20"/>
      <c r="D35" s="18" t="str">
        <f aca="false">IF(C35="","",IFERROR(INDEX(Tables!$A:$A,MATCH(C35,Tables!$B:$B,0)),"Not found"))</f>
        <v/>
      </c>
      <c r="E35" s="21" t="str">
        <f aca="false">IF(D35="","",IFERROR(INDEX(Tables!$D:$D,MATCH(D35,Tables!$A:$A,0)),""))</f>
        <v/>
      </c>
      <c r="F35" s="20"/>
      <c r="G35" s="20"/>
      <c r="H35" s="20"/>
      <c r="I35" s="20"/>
      <c r="J35" s="20"/>
      <c r="K35" s="20"/>
    </row>
    <row r="36" customFormat="false" ht="15" hidden="false" customHeight="false" outlineLevel="0" collapsed="false">
      <c r="A36" s="20"/>
      <c r="B36" s="18" t="str">
        <f aca="false">IF(A36="","",IFERROR(INDEX(Products!$A:$A,MATCH(A36,Products!$B:$B,0)),"Not found"))</f>
        <v/>
      </c>
      <c r="C36" s="20"/>
      <c r="D36" s="18" t="str">
        <f aca="false">IF(C36="","",IFERROR(INDEX(Tables!$A:$A,MATCH(C36,Tables!$B:$B,0)),"Not found"))</f>
        <v/>
      </c>
      <c r="E36" s="21" t="str">
        <f aca="false">IF(D36="","",IFERROR(INDEX(Tables!$D:$D,MATCH(D36,Tables!$A:$A,0)),""))</f>
        <v/>
      </c>
      <c r="F36" s="20"/>
      <c r="G36" s="20"/>
      <c r="H36" s="20"/>
      <c r="I36" s="20"/>
      <c r="J36" s="20"/>
      <c r="K36" s="20"/>
    </row>
    <row r="37" customFormat="false" ht="15" hidden="false" customHeight="false" outlineLevel="0" collapsed="false">
      <c r="A37" s="20"/>
      <c r="B37" s="18" t="str">
        <f aca="false">IF(A37="","",IFERROR(INDEX(Products!$A:$A,MATCH(A37,Products!$B:$B,0)),"Not found"))</f>
        <v/>
      </c>
      <c r="C37" s="20"/>
      <c r="D37" s="18" t="str">
        <f aca="false">IF(C37="","",IFERROR(INDEX(Tables!$A:$A,MATCH(C37,Tables!$B:$B,0)),"Not found"))</f>
        <v/>
      </c>
      <c r="E37" s="21" t="str">
        <f aca="false">IF(D37="","",IFERROR(INDEX(Tables!$D:$D,MATCH(D37,Tables!$A:$A,0)),""))</f>
        <v/>
      </c>
      <c r="F37" s="20"/>
      <c r="G37" s="20"/>
      <c r="H37" s="20"/>
      <c r="I37" s="20"/>
      <c r="J37" s="20"/>
      <c r="K37" s="20"/>
    </row>
    <row r="38" customFormat="false" ht="15" hidden="false" customHeight="false" outlineLevel="0" collapsed="false">
      <c r="A38" s="20"/>
      <c r="B38" s="18" t="str">
        <f aca="false">IF(A38="","",IFERROR(INDEX(Products!$A:$A,MATCH(A38,Products!$B:$B,0)),"Not found"))</f>
        <v/>
      </c>
      <c r="C38" s="20"/>
      <c r="D38" s="18" t="str">
        <f aca="false">IF(C38="","",IFERROR(INDEX(Tables!$A:$A,MATCH(C38,Tables!$B:$B,0)),"Not found"))</f>
        <v/>
      </c>
      <c r="E38" s="21" t="str">
        <f aca="false">IF(D38="","",IFERROR(INDEX(Tables!$D:$D,MATCH(D38,Tables!$A:$A,0)),""))</f>
        <v/>
      </c>
      <c r="F38" s="20"/>
      <c r="G38" s="20"/>
      <c r="H38" s="20"/>
      <c r="I38" s="20"/>
      <c r="J38" s="20"/>
      <c r="K38" s="20"/>
    </row>
    <row r="39" customFormat="false" ht="15" hidden="false" customHeight="false" outlineLevel="0" collapsed="false">
      <c r="A39" s="20"/>
      <c r="B39" s="18" t="str">
        <f aca="false">IF(A39="","",IFERROR(INDEX(Products!$A:$A,MATCH(A39,Products!$B:$B,0)),"Not found"))</f>
        <v/>
      </c>
      <c r="C39" s="20"/>
      <c r="D39" s="18" t="str">
        <f aca="false">IF(C39="","",IFERROR(INDEX(Tables!$A:$A,MATCH(C39,Tables!$B:$B,0)),"Not found"))</f>
        <v/>
      </c>
      <c r="E39" s="21" t="str">
        <f aca="false">IF(D39="","",IFERROR(INDEX(Tables!$D:$D,MATCH(D39,Tables!$A:$A,0)),""))</f>
        <v/>
      </c>
      <c r="F39" s="20"/>
      <c r="G39" s="20"/>
      <c r="H39" s="20"/>
      <c r="I39" s="20"/>
      <c r="J39" s="20"/>
      <c r="K39" s="20"/>
    </row>
    <row r="40" customFormat="false" ht="15" hidden="false" customHeight="false" outlineLevel="0" collapsed="false">
      <c r="A40" s="20"/>
      <c r="B40" s="18" t="str">
        <f aca="false">IF(A40="","",IFERROR(INDEX(Products!$A:$A,MATCH(A40,Products!$B:$B,0)),"Not found"))</f>
        <v/>
      </c>
      <c r="C40" s="20"/>
      <c r="D40" s="18" t="str">
        <f aca="false">IF(C40="","",IFERROR(INDEX(Tables!$A:$A,MATCH(C40,Tables!$B:$B,0)),"Not found"))</f>
        <v/>
      </c>
      <c r="E40" s="21" t="str">
        <f aca="false">IF(D40="","",IFERROR(INDEX(Tables!$D:$D,MATCH(D40,Tables!$A:$A,0)),""))</f>
        <v/>
      </c>
      <c r="F40" s="20"/>
      <c r="G40" s="20"/>
      <c r="H40" s="20"/>
      <c r="I40" s="20"/>
      <c r="J40" s="20"/>
      <c r="K40" s="20"/>
    </row>
    <row r="41" customFormat="false" ht="15" hidden="false" customHeight="false" outlineLevel="0" collapsed="false">
      <c r="A41" s="20"/>
      <c r="B41" s="18" t="str">
        <f aca="false">IF(A41="","",IFERROR(INDEX(Products!$A:$A,MATCH(A41,Products!$B:$B,0)),"Not found"))</f>
        <v/>
      </c>
      <c r="C41" s="20"/>
      <c r="D41" s="18" t="str">
        <f aca="false">IF(C41="","",IFERROR(INDEX(Tables!$A:$A,MATCH(C41,Tables!$B:$B,0)),"Not found"))</f>
        <v/>
      </c>
      <c r="E41" s="21" t="str">
        <f aca="false">IF(D41="","",IFERROR(INDEX(Tables!$D:$D,MATCH(D41,Tables!$A:$A,0)),""))</f>
        <v/>
      </c>
      <c r="F41" s="20"/>
      <c r="G41" s="20"/>
      <c r="H41" s="20"/>
      <c r="I41" s="20"/>
      <c r="J41" s="20"/>
      <c r="K41" s="20"/>
    </row>
    <row r="42" customFormat="false" ht="15" hidden="false" customHeight="false" outlineLevel="0" collapsed="false">
      <c r="A42" s="20"/>
      <c r="B42" s="18" t="str">
        <f aca="false">IF(A42="","",IFERROR(INDEX(Products!$A:$A,MATCH(A42,Products!$B:$B,0)),"Not found"))</f>
        <v/>
      </c>
      <c r="C42" s="20"/>
      <c r="D42" s="18" t="str">
        <f aca="false">IF(C42="","",IFERROR(INDEX(Tables!$A:$A,MATCH(C42,Tables!$B:$B,0)),"Not found"))</f>
        <v/>
      </c>
      <c r="E42" s="21" t="str">
        <f aca="false">IF(D42="","",IFERROR(INDEX(Tables!$D:$D,MATCH(D42,Tables!$A:$A,0)),""))</f>
        <v/>
      </c>
      <c r="F42" s="20"/>
      <c r="G42" s="20"/>
      <c r="H42" s="20"/>
      <c r="I42" s="20"/>
      <c r="J42" s="20"/>
      <c r="K42" s="20"/>
    </row>
    <row r="43" customFormat="false" ht="15" hidden="false" customHeight="false" outlineLevel="0" collapsed="false">
      <c r="A43" s="20"/>
      <c r="B43" s="18" t="str">
        <f aca="false">IF(A43="","",IFERROR(INDEX(Products!$A:$A,MATCH(A43,Products!$B:$B,0)),"Not found"))</f>
        <v/>
      </c>
      <c r="C43" s="20"/>
      <c r="D43" s="18" t="str">
        <f aca="false">IF(C43="","",IFERROR(INDEX(Tables!$A:$A,MATCH(C43,Tables!$B:$B,0)),"Not found"))</f>
        <v/>
      </c>
      <c r="E43" s="21" t="str">
        <f aca="false">IF(D43="","",IFERROR(INDEX(Tables!$D:$D,MATCH(D43,Tables!$A:$A,0)),""))</f>
        <v/>
      </c>
      <c r="F43" s="20"/>
      <c r="G43" s="20"/>
      <c r="H43" s="20"/>
      <c r="I43" s="20"/>
      <c r="J43" s="20"/>
      <c r="K43" s="20"/>
    </row>
    <row r="44" customFormat="false" ht="15" hidden="false" customHeight="false" outlineLevel="0" collapsed="false">
      <c r="A44" s="20"/>
      <c r="B44" s="18" t="str">
        <f aca="false">IF(A44="","",IFERROR(INDEX(Products!$A:$A,MATCH(A44,Products!$B:$B,0)),"Not found"))</f>
        <v/>
      </c>
      <c r="C44" s="20"/>
      <c r="D44" s="18" t="str">
        <f aca="false">IF(C44="","",IFERROR(INDEX(Tables!$A:$A,MATCH(C44,Tables!$B:$B,0)),"Not found"))</f>
        <v/>
      </c>
      <c r="E44" s="21" t="str">
        <f aca="false">IF(D44="","",IFERROR(INDEX(Tables!$D:$D,MATCH(D44,Tables!$A:$A,0)),""))</f>
        <v/>
      </c>
      <c r="F44" s="20"/>
      <c r="G44" s="20"/>
      <c r="H44" s="20"/>
      <c r="I44" s="20"/>
      <c r="J44" s="20"/>
      <c r="K44" s="20"/>
    </row>
    <row r="45" customFormat="false" ht="15" hidden="false" customHeight="false" outlineLevel="0" collapsed="false">
      <c r="A45" s="20"/>
      <c r="B45" s="18" t="str">
        <f aca="false">IF(A45="","",IFERROR(INDEX(Products!$A:$A,MATCH(A45,Products!$B:$B,0)),"Not found"))</f>
        <v/>
      </c>
      <c r="C45" s="20"/>
      <c r="D45" s="18" t="str">
        <f aca="false">IF(C45="","",IFERROR(INDEX(Tables!$A:$A,MATCH(C45,Tables!$B:$B,0)),"Not found"))</f>
        <v/>
      </c>
      <c r="E45" s="21" t="str">
        <f aca="false">IF(D45="","",IFERROR(INDEX(Tables!$D:$D,MATCH(D45,Tables!$A:$A,0)),""))</f>
        <v/>
      </c>
      <c r="F45" s="20"/>
      <c r="G45" s="20"/>
      <c r="H45" s="20"/>
      <c r="I45" s="20"/>
      <c r="J45" s="20"/>
      <c r="K45" s="20"/>
    </row>
    <row r="46" customFormat="false" ht="15" hidden="false" customHeight="false" outlineLevel="0" collapsed="false">
      <c r="A46" s="20"/>
      <c r="B46" s="18" t="str">
        <f aca="false">IF(A46="","",IFERROR(INDEX(Products!$A:$A,MATCH(A46,Products!$B:$B,0)),"Not found"))</f>
        <v/>
      </c>
      <c r="C46" s="20"/>
      <c r="D46" s="18" t="str">
        <f aca="false">IF(C46="","",IFERROR(INDEX(Tables!$A:$A,MATCH(C46,Tables!$B:$B,0)),"Not found"))</f>
        <v/>
      </c>
      <c r="E46" s="21" t="str">
        <f aca="false">IF(D46="","",IFERROR(INDEX(Tables!$D:$D,MATCH(D46,Tables!$A:$A,0)),""))</f>
        <v/>
      </c>
      <c r="F46" s="20"/>
      <c r="G46" s="20"/>
      <c r="H46" s="20"/>
      <c r="I46" s="20"/>
      <c r="J46" s="20"/>
      <c r="K46" s="20"/>
    </row>
    <row r="47" customFormat="false" ht="15" hidden="false" customHeight="false" outlineLevel="0" collapsed="false">
      <c r="A47" s="20"/>
      <c r="B47" s="18" t="str">
        <f aca="false">IF(A47="","",IFERROR(INDEX(Products!$A:$A,MATCH(A47,Products!$B:$B,0)),"Not found"))</f>
        <v/>
      </c>
      <c r="C47" s="20"/>
      <c r="D47" s="18" t="str">
        <f aca="false">IF(C47="","",IFERROR(INDEX(Tables!$A:$A,MATCH(C47,Tables!$B:$B,0)),"Not found"))</f>
        <v/>
      </c>
      <c r="E47" s="21" t="str">
        <f aca="false">IF(D47="","",IFERROR(INDEX(Tables!$D:$D,MATCH(D47,Tables!$A:$A,0)),""))</f>
        <v/>
      </c>
      <c r="F47" s="20"/>
      <c r="G47" s="20"/>
      <c r="H47" s="20"/>
      <c r="I47" s="20"/>
      <c r="J47" s="20"/>
      <c r="K47" s="20"/>
    </row>
    <row r="48" customFormat="false" ht="15" hidden="false" customHeight="false" outlineLevel="0" collapsed="false">
      <c r="A48" s="20"/>
      <c r="B48" s="18" t="str">
        <f aca="false">IF(A48="","",IFERROR(INDEX(Products!$A:$A,MATCH(A48,Products!$B:$B,0)),"Not found"))</f>
        <v/>
      </c>
      <c r="C48" s="20"/>
      <c r="D48" s="18" t="str">
        <f aca="false">IF(C48="","",IFERROR(INDEX(Tables!$A:$A,MATCH(C48,Tables!$B:$B,0)),"Not found"))</f>
        <v/>
      </c>
      <c r="E48" s="21" t="str">
        <f aca="false">IF(D48="","",IFERROR(INDEX(Tables!$D:$D,MATCH(D48,Tables!$A:$A,0)),""))</f>
        <v/>
      </c>
      <c r="F48" s="20"/>
      <c r="G48" s="20"/>
      <c r="H48" s="20"/>
      <c r="I48" s="20"/>
      <c r="J48" s="20"/>
      <c r="K48" s="20"/>
    </row>
    <row r="49" customFormat="false" ht="15" hidden="false" customHeight="false" outlineLevel="0" collapsed="false">
      <c r="A49" s="20"/>
      <c r="B49" s="18" t="str">
        <f aca="false">IF(A49="","",IFERROR(INDEX(Products!$A:$A,MATCH(A49,Products!$B:$B,0)),"Not found"))</f>
        <v/>
      </c>
      <c r="C49" s="20"/>
      <c r="D49" s="18" t="str">
        <f aca="false">IF(C49="","",IFERROR(INDEX(Tables!$A:$A,MATCH(C49,Tables!$B:$B,0)),"Not found"))</f>
        <v/>
      </c>
      <c r="E49" s="21" t="str">
        <f aca="false">IF(D49="","",IFERROR(INDEX(Tables!$D:$D,MATCH(D49,Tables!$A:$A,0)),""))</f>
        <v/>
      </c>
      <c r="F49" s="20"/>
      <c r="G49" s="20"/>
      <c r="H49" s="20"/>
      <c r="I49" s="20"/>
      <c r="J49" s="20"/>
      <c r="K49" s="20"/>
    </row>
    <row r="50" customFormat="false" ht="15" hidden="false" customHeight="false" outlineLevel="0" collapsed="false">
      <c r="A50" s="20"/>
      <c r="B50" s="18" t="str">
        <f aca="false">IF(A50="","",IFERROR(INDEX(Products!$A:$A,MATCH(A50,Products!$B:$B,0)),"Not found"))</f>
        <v/>
      </c>
      <c r="C50" s="20"/>
      <c r="D50" s="18" t="str">
        <f aca="false">IF(C50="","",IFERROR(INDEX(Tables!$A:$A,MATCH(C50,Tables!$B:$B,0)),"Not found"))</f>
        <v/>
      </c>
      <c r="E50" s="21" t="str">
        <f aca="false">IF(D50="","",IFERROR(INDEX(Tables!$D:$D,MATCH(D50,Tables!$A:$A,0)),""))</f>
        <v/>
      </c>
      <c r="F50" s="20"/>
      <c r="G50" s="20"/>
      <c r="H50" s="20"/>
      <c r="I50" s="20"/>
      <c r="J50" s="20"/>
      <c r="K50" s="20"/>
    </row>
    <row r="51" customFormat="false" ht="15" hidden="false" customHeight="false" outlineLevel="0" collapsed="false">
      <c r="A51" s="20"/>
      <c r="B51" s="18" t="str">
        <f aca="false">IF(A51="","",IFERROR(INDEX(Products!$A:$A,MATCH(A51,Products!$B:$B,0)),"Not found"))</f>
        <v/>
      </c>
      <c r="C51" s="20"/>
      <c r="D51" s="18" t="str">
        <f aca="false">IF(C51="","",IFERROR(INDEX(Tables!$A:$A,MATCH(C51,Tables!$B:$B,0)),"Not found"))</f>
        <v/>
      </c>
      <c r="E51" s="21" t="str">
        <f aca="false">IF(D51="","",IFERROR(INDEX(Tables!$D:$D,MATCH(D51,Tables!$A:$A,0)),""))</f>
        <v/>
      </c>
      <c r="F51" s="20"/>
      <c r="G51" s="20"/>
      <c r="H51" s="20"/>
      <c r="I51" s="20"/>
      <c r="J51" s="20"/>
      <c r="K51" s="20"/>
    </row>
    <row r="52" customFormat="false" ht="15" hidden="false" customHeight="false" outlineLevel="0" collapsed="false">
      <c r="A52" s="20"/>
      <c r="B52" s="18" t="str">
        <f aca="false">IF(A52="","",IFERROR(INDEX(Products!$A:$A,MATCH(A52,Products!$B:$B,0)),"Not found"))</f>
        <v/>
      </c>
      <c r="C52" s="20"/>
      <c r="D52" s="18" t="str">
        <f aca="false">IF(C52="","",IFERROR(INDEX(Tables!$A:$A,MATCH(C52,Tables!$B:$B,0)),"Not found"))</f>
        <v/>
      </c>
      <c r="E52" s="21" t="str">
        <f aca="false">IF(D52="","",IFERROR(INDEX(Tables!$D:$D,MATCH(D52,Tables!$A:$A,0)),""))</f>
        <v/>
      </c>
      <c r="F52" s="20"/>
      <c r="G52" s="20"/>
      <c r="H52" s="20"/>
      <c r="I52" s="20"/>
      <c r="J52" s="20"/>
      <c r="K52" s="20"/>
    </row>
    <row r="53" customFormat="false" ht="15" hidden="false" customHeight="false" outlineLevel="0" collapsed="false">
      <c r="A53" s="20"/>
      <c r="B53" s="18" t="str">
        <f aca="false">IF(A53="","",IFERROR(INDEX(Products!$A:$A,MATCH(A53,Products!$B:$B,0)),"Not found"))</f>
        <v/>
      </c>
      <c r="C53" s="20"/>
      <c r="D53" s="18" t="str">
        <f aca="false">IF(C53="","",IFERROR(INDEX(Tables!$A:$A,MATCH(C53,Tables!$B:$B,0)),"Not found"))</f>
        <v/>
      </c>
      <c r="E53" s="21" t="str">
        <f aca="false">IF(D53="","",IFERROR(INDEX(Tables!$D:$D,MATCH(D53,Tables!$A:$A,0)),""))</f>
        <v/>
      </c>
      <c r="F53" s="20"/>
      <c r="G53" s="20"/>
      <c r="H53" s="20"/>
      <c r="I53" s="20"/>
      <c r="J53" s="20"/>
      <c r="K53" s="20"/>
    </row>
    <row r="54" customFormat="false" ht="15" hidden="false" customHeight="false" outlineLevel="0" collapsed="false">
      <c r="A54" s="20"/>
      <c r="B54" s="18" t="str">
        <f aca="false">IF(A54="","",IFERROR(INDEX(Products!$A:$A,MATCH(A54,Products!$B:$B,0)),"Not found"))</f>
        <v/>
      </c>
      <c r="C54" s="20"/>
      <c r="D54" s="18" t="str">
        <f aca="false">IF(C54="","",IFERROR(INDEX(Tables!$A:$A,MATCH(C54,Tables!$B:$B,0)),"Not found"))</f>
        <v/>
      </c>
      <c r="E54" s="21" t="str">
        <f aca="false">IF(D54="","",IFERROR(INDEX(Tables!$D:$D,MATCH(D54,Tables!$A:$A,0)),""))</f>
        <v/>
      </c>
      <c r="F54" s="20"/>
      <c r="G54" s="20"/>
      <c r="H54" s="20"/>
      <c r="I54" s="20"/>
      <c r="J54" s="20"/>
      <c r="K54" s="20"/>
    </row>
    <row r="55" customFormat="false" ht="15" hidden="false" customHeight="false" outlineLevel="0" collapsed="false">
      <c r="A55" s="20"/>
      <c r="B55" s="18" t="str">
        <f aca="false">IF(A55="","",IFERROR(INDEX(Products!$A:$A,MATCH(A55,Products!$B:$B,0)),"Not found"))</f>
        <v/>
      </c>
      <c r="C55" s="20"/>
      <c r="D55" s="18" t="str">
        <f aca="false">IF(C55="","",IFERROR(INDEX(Tables!$A:$A,MATCH(C55,Tables!$B:$B,0)),"Not found"))</f>
        <v/>
      </c>
      <c r="E55" s="21" t="str">
        <f aca="false">IF(D55="","",IFERROR(INDEX(Tables!$D:$D,MATCH(D55,Tables!$A:$A,0)),""))</f>
        <v/>
      </c>
      <c r="F55" s="20"/>
      <c r="G55" s="20"/>
      <c r="H55" s="20"/>
      <c r="I55" s="20"/>
      <c r="J55" s="20"/>
      <c r="K55" s="20"/>
    </row>
    <row r="56" customFormat="false" ht="15" hidden="false" customHeight="false" outlineLevel="0" collapsed="false">
      <c r="A56" s="20"/>
      <c r="B56" s="18" t="str">
        <f aca="false">IF(A56="","",IFERROR(INDEX(Products!$A:$A,MATCH(A56,Products!$B:$B,0)),"Not found"))</f>
        <v/>
      </c>
      <c r="C56" s="20"/>
      <c r="D56" s="18" t="str">
        <f aca="false">IF(C56="","",IFERROR(INDEX(Tables!$A:$A,MATCH(C56,Tables!$B:$B,0)),"Not found"))</f>
        <v/>
      </c>
      <c r="E56" s="21" t="str">
        <f aca="false">IF(D56="","",IFERROR(INDEX(Tables!$D:$D,MATCH(D56,Tables!$A:$A,0)),""))</f>
        <v/>
      </c>
      <c r="F56" s="20"/>
      <c r="G56" s="20"/>
      <c r="H56" s="20"/>
      <c r="I56" s="20"/>
      <c r="J56" s="20"/>
      <c r="K56" s="20"/>
    </row>
    <row r="57" customFormat="false" ht="15" hidden="false" customHeight="false" outlineLevel="0" collapsed="false">
      <c r="A57" s="20"/>
      <c r="B57" s="18" t="str">
        <f aca="false">IF(A57="","",IFERROR(INDEX(Products!$A:$A,MATCH(A57,Products!$B:$B,0)),"Not found"))</f>
        <v/>
      </c>
      <c r="C57" s="20"/>
      <c r="D57" s="18" t="str">
        <f aca="false">IF(C57="","",IFERROR(INDEX(Tables!$A:$A,MATCH(C57,Tables!$B:$B,0)),"Not found"))</f>
        <v/>
      </c>
      <c r="E57" s="21" t="str">
        <f aca="false">IF(D57="","",IFERROR(INDEX(Tables!$D:$D,MATCH(D57,Tables!$A:$A,0)),""))</f>
        <v/>
      </c>
      <c r="F57" s="20"/>
      <c r="G57" s="20"/>
      <c r="H57" s="20"/>
      <c r="I57" s="20"/>
      <c r="J57" s="20"/>
      <c r="K57" s="20"/>
    </row>
    <row r="58" customFormat="false" ht="15" hidden="false" customHeight="false" outlineLevel="0" collapsed="false">
      <c r="A58" s="20"/>
      <c r="B58" s="18" t="str">
        <f aca="false">IF(A58="","",IFERROR(INDEX(Products!$A:$A,MATCH(A58,Products!$B:$B,0)),"Not found"))</f>
        <v/>
      </c>
      <c r="C58" s="20"/>
      <c r="D58" s="18" t="str">
        <f aca="false">IF(C58="","",IFERROR(INDEX(Tables!$A:$A,MATCH(C58,Tables!$B:$B,0)),"Not found"))</f>
        <v/>
      </c>
      <c r="E58" s="21" t="str">
        <f aca="false">IF(D58="","",IFERROR(INDEX(Tables!$D:$D,MATCH(D58,Tables!$A:$A,0)),""))</f>
        <v/>
      </c>
      <c r="F58" s="20"/>
      <c r="G58" s="20"/>
      <c r="H58" s="20"/>
      <c r="I58" s="20"/>
      <c r="J58" s="20"/>
      <c r="K58" s="20"/>
    </row>
    <row r="59" customFormat="false" ht="15" hidden="false" customHeight="false" outlineLevel="0" collapsed="false">
      <c r="A59" s="20"/>
      <c r="B59" s="18" t="str">
        <f aca="false">IF(A59="","",IFERROR(INDEX(Products!$A:$A,MATCH(A59,Products!$B:$B,0)),"Not found"))</f>
        <v/>
      </c>
      <c r="C59" s="20"/>
      <c r="D59" s="18" t="str">
        <f aca="false">IF(C59="","",IFERROR(INDEX(Tables!$A:$A,MATCH(C59,Tables!$B:$B,0)),"Not found"))</f>
        <v/>
      </c>
      <c r="E59" s="21" t="str">
        <f aca="false">IF(D59="","",IFERROR(INDEX(Tables!$D:$D,MATCH(D59,Tables!$A:$A,0)),""))</f>
        <v/>
      </c>
      <c r="F59" s="20"/>
      <c r="G59" s="20"/>
      <c r="H59" s="20"/>
      <c r="I59" s="20"/>
      <c r="J59" s="20"/>
      <c r="K59" s="20"/>
    </row>
    <row r="60" customFormat="false" ht="15" hidden="false" customHeight="false" outlineLevel="0" collapsed="false">
      <c r="A60" s="20"/>
      <c r="B60" s="18" t="str">
        <f aca="false">IF(A60="","",IFERROR(INDEX(Products!$A:$A,MATCH(A60,Products!$B:$B,0)),"Not found"))</f>
        <v/>
      </c>
      <c r="C60" s="20"/>
      <c r="D60" s="18" t="str">
        <f aca="false">IF(C60="","",IFERROR(INDEX(Tables!$A:$A,MATCH(C60,Tables!$B:$B,0)),"Not found"))</f>
        <v/>
      </c>
      <c r="E60" s="21" t="str">
        <f aca="false">IF(D60="","",IFERROR(INDEX(Tables!$D:$D,MATCH(D60,Tables!$A:$A,0)),""))</f>
        <v/>
      </c>
      <c r="F60" s="20"/>
      <c r="G60" s="20"/>
      <c r="H60" s="20"/>
      <c r="I60" s="20"/>
      <c r="J60" s="20"/>
      <c r="K60" s="20"/>
    </row>
    <row r="61" customFormat="false" ht="15" hidden="false" customHeight="false" outlineLevel="0" collapsed="false">
      <c r="A61" s="20"/>
      <c r="B61" s="18" t="str">
        <f aca="false">IF(A61="","",IFERROR(INDEX(Products!$A:$A,MATCH(A61,Products!$B:$B,0)),"Not found"))</f>
        <v/>
      </c>
      <c r="C61" s="20"/>
      <c r="D61" s="18" t="str">
        <f aca="false">IF(C61="","",IFERROR(INDEX(Tables!$A:$A,MATCH(C61,Tables!$B:$B,0)),"Not found"))</f>
        <v/>
      </c>
      <c r="E61" s="21" t="str">
        <f aca="false">IF(D61="","",IFERROR(INDEX(Tables!$D:$D,MATCH(D61,Tables!$A:$A,0)),""))</f>
        <v/>
      </c>
      <c r="F61" s="20"/>
      <c r="G61" s="20"/>
      <c r="H61" s="20"/>
      <c r="I61" s="20"/>
      <c r="J61" s="20"/>
      <c r="K61" s="20"/>
    </row>
    <row r="62" customFormat="false" ht="15" hidden="false" customHeight="false" outlineLevel="0" collapsed="false">
      <c r="A62" s="20"/>
      <c r="B62" s="18" t="str">
        <f aca="false">IF(A62="","",IFERROR(INDEX(Products!$A:$A,MATCH(A62,Products!$B:$B,0)),"Not found"))</f>
        <v/>
      </c>
      <c r="C62" s="20"/>
      <c r="D62" s="18" t="str">
        <f aca="false">IF(C62="","",IFERROR(INDEX(Tables!$A:$A,MATCH(C62,Tables!$B:$B,0)),"Not found"))</f>
        <v/>
      </c>
      <c r="E62" s="21" t="str">
        <f aca="false">IF(D62="","",IFERROR(INDEX(Tables!$D:$D,MATCH(D62,Tables!$A:$A,0)),""))</f>
        <v/>
      </c>
      <c r="F62" s="20"/>
      <c r="G62" s="20"/>
      <c r="H62" s="20"/>
      <c r="I62" s="20"/>
      <c r="J62" s="20"/>
      <c r="K62" s="20"/>
    </row>
    <row r="63" customFormat="false" ht="15" hidden="false" customHeight="false" outlineLevel="0" collapsed="false">
      <c r="A63" s="20"/>
      <c r="B63" s="18" t="str">
        <f aca="false">IF(A63="","",IFERROR(INDEX(Products!$A:$A,MATCH(A63,Products!$B:$B,0)),"Not found"))</f>
        <v/>
      </c>
      <c r="C63" s="20"/>
      <c r="D63" s="18" t="str">
        <f aca="false">IF(C63="","",IFERROR(INDEX(Tables!$A:$A,MATCH(C63,Tables!$B:$B,0)),"Not found"))</f>
        <v/>
      </c>
      <c r="E63" s="21" t="str">
        <f aca="false">IF(D63="","",IFERROR(INDEX(Tables!$D:$D,MATCH(D63,Tables!$A:$A,0)),""))</f>
        <v/>
      </c>
      <c r="F63" s="20"/>
      <c r="G63" s="20"/>
      <c r="H63" s="20"/>
      <c r="I63" s="20"/>
      <c r="J63" s="20"/>
      <c r="K63" s="20"/>
    </row>
    <row r="64" customFormat="false" ht="15" hidden="false" customHeight="false" outlineLevel="0" collapsed="false">
      <c r="A64" s="20"/>
      <c r="B64" s="18" t="str">
        <f aca="false">IF(A64="","",IFERROR(INDEX(Products!$A:$A,MATCH(A64,Products!$B:$B,0)),"Not found"))</f>
        <v/>
      </c>
      <c r="C64" s="20"/>
      <c r="D64" s="18" t="str">
        <f aca="false">IF(C64="","",IFERROR(INDEX(Tables!$A:$A,MATCH(C64,Tables!$B:$B,0)),"Not found"))</f>
        <v/>
      </c>
      <c r="E64" s="21" t="str">
        <f aca="false">IF(D64="","",IFERROR(INDEX(Tables!$D:$D,MATCH(D64,Tables!$A:$A,0)),""))</f>
        <v/>
      </c>
      <c r="F64" s="20"/>
      <c r="G64" s="20"/>
      <c r="H64" s="20"/>
      <c r="I64" s="20"/>
      <c r="J64" s="20"/>
      <c r="K64" s="20"/>
    </row>
    <row r="65" customFormat="false" ht="15" hidden="false" customHeight="false" outlineLevel="0" collapsed="false">
      <c r="A65" s="20"/>
      <c r="B65" s="18" t="str">
        <f aca="false">IF(A65="","",IFERROR(INDEX(Products!$A:$A,MATCH(A65,Products!$B:$B,0)),"Not found"))</f>
        <v/>
      </c>
      <c r="C65" s="20"/>
      <c r="D65" s="18" t="str">
        <f aca="false">IF(C65="","",IFERROR(INDEX(Tables!$A:$A,MATCH(C65,Tables!$B:$B,0)),"Not found"))</f>
        <v/>
      </c>
      <c r="E65" s="21" t="str">
        <f aca="false">IF(D65="","",IFERROR(INDEX(Tables!$D:$D,MATCH(D65,Tables!$A:$A,0)),""))</f>
        <v/>
      </c>
      <c r="F65" s="20"/>
      <c r="G65" s="20"/>
      <c r="H65" s="20"/>
      <c r="I65" s="20"/>
      <c r="J65" s="20"/>
      <c r="K65" s="20"/>
    </row>
    <row r="66" customFormat="false" ht="15" hidden="false" customHeight="false" outlineLevel="0" collapsed="false">
      <c r="A66" s="20"/>
      <c r="B66" s="18" t="str">
        <f aca="false">IF(A66="","",IFERROR(INDEX(Products!$A:$A,MATCH(A66,Products!$B:$B,0)),"Not found"))</f>
        <v/>
      </c>
      <c r="C66" s="20"/>
      <c r="D66" s="18" t="str">
        <f aca="false">IF(C66="","",IFERROR(INDEX(Tables!$A:$A,MATCH(C66,Tables!$B:$B,0)),"Not found"))</f>
        <v/>
      </c>
      <c r="E66" s="21" t="str">
        <f aca="false">IF(D66="","",IFERROR(INDEX(Tables!$D:$D,MATCH(D66,Tables!$A:$A,0)),""))</f>
        <v/>
      </c>
      <c r="F66" s="20"/>
      <c r="G66" s="20"/>
      <c r="H66" s="20"/>
      <c r="I66" s="20"/>
      <c r="J66" s="20"/>
      <c r="K66" s="20"/>
    </row>
    <row r="67" customFormat="false" ht="15" hidden="false" customHeight="false" outlineLevel="0" collapsed="false">
      <c r="A67" s="20"/>
      <c r="B67" s="18" t="str">
        <f aca="false">IF(A67="","",IFERROR(INDEX(Products!$A:$A,MATCH(A67,Products!$B:$B,0)),"Not found"))</f>
        <v/>
      </c>
      <c r="C67" s="20"/>
      <c r="D67" s="18" t="str">
        <f aca="false">IF(C67="","",IFERROR(INDEX(Tables!$A:$A,MATCH(C67,Tables!$B:$B,0)),"Not found"))</f>
        <v/>
      </c>
      <c r="E67" s="21" t="str">
        <f aca="false">IF(D67="","",IFERROR(INDEX(Tables!$D:$D,MATCH(D67,Tables!$A:$A,0)),""))</f>
        <v/>
      </c>
      <c r="F67" s="20"/>
      <c r="G67" s="20"/>
      <c r="H67" s="20"/>
      <c r="I67" s="20"/>
      <c r="J67" s="20"/>
      <c r="K67" s="20"/>
    </row>
    <row r="68" customFormat="false" ht="15" hidden="false" customHeight="false" outlineLevel="0" collapsed="false">
      <c r="A68" s="20"/>
      <c r="B68" s="18" t="str">
        <f aca="false">IF(A68="","",IFERROR(INDEX(Products!$A:$A,MATCH(A68,Products!$B:$B,0)),"Not found"))</f>
        <v/>
      </c>
      <c r="C68" s="20"/>
      <c r="D68" s="18" t="str">
        <f aca="false">IF(C68="","",IFERROR(INDEX(Tables!$A:$A,MATCH(C68,Tables!$B:$B,0)),"Not found"))</f>
        <v/>
      </c>
      <c r="E68" s="21" t="str">
        <f aca="false">IF(D68="","",IFERROR(INDEX(Tables!$D:$D,MATCH(D68,Tables!$A:$A,0)),""))</f>
        <v/>
      </c>
      <c r="F68" s="20"/>
      <c r="G68" s="20"/>
      <c r="H68" s="20"/>
      <c r="I68" s="20"/>
      <c r="J68" s="20"/>
      <c r="K68" s="20"/>
    </row>
    <row r="69" customFormat="false" ht="15" hidden="false" customHeight="false" outlineLevel="0" collapsed="false">
      <c r="A69" s="20"/>
      <c r="B69" s="18" t="str">
        <f aca="false">IF(A69="","",IFERROR(INDEX(Products!$A:$A,MATCH(A69,Products!$B:$B,0)),"Not found"))</f>
        <v/>
      </c>
      <c r="C69" s="20"/>
      <c r="D69" s="18" t="str">
        <f aca="false">IF(C69="","",IFERROR(INDEX(Tables!$A:$A,MATCH(C69,Tables!$B:$B,0)),"Not found"))</f>
        <v/>
      </c>
      <c r="E69" s="21" t="str">
        <f aca="false">IF(D69="","",IFERROR(INDEX(Tables!$D:$D,MATCH(D69,Tables!$A:$A,0)),""))</f>
        <v/>
      </c>
      <c r="F69" s="20"/>
      <c r="G69" s="20"/>
      <c r="H69" s="20"/>
      <c r="I69" s="20"/>
      <c r="J69" s="20"/>
      <c r="K69" s="20"/>
    </row>
    <row r="70" customFormat="false" ht="15" hidden="false" customHeight="false" outlineLevel="0" collapsed="false">
      <c r="A70" s="20"/>
      <c r="B70" s="18" t="str">
        <f aca="false">IF(A70="","",IFERROR(INDEX(Products!$A:$A,MATCH(A70,Products!$B:$B,0)),"Not found"))</f>
        <v/>
      </c>
      <c r="C70" s="20"/>
      <c r="D70" s="18" t="str">
        <f aca="false">IF(C70="","",IFERROR(INDEX(Tables!$A:$A,MATCH(C70,Tables!$B:$B,0)),"Not found"))</f>
        <v/>
      </c>
      <c r="E70" s="21" t="str">
        <f aca="false">IF(D70="","",IFERROR(INDEX(Tables!$D:$D,MATCH(D70,Tables!$A:$A,0)),""))</f>
        <v/>
      </c>
      <c r="F70" s="20"/>
      <c r="G70" s="20"/>
      <c r="H70" s="20"/>
      <c r="I70" s="20"/>
      <c r="J70" s="20"/>
      <c r="K70" s="20"/>
    </row>
    <row r="71" customFormat="false" ht="15" hidden="false" customHeight="false" outlineLevel="0" collapsed="false">
      <c r="A71" s="20"/>
      <c r="B71" s="18" t="str">
        <f aca="false">IF(A71="","",IFERROR(INDEX(Products!$A:$A,MATCH(A71,Products!$B:$B,0)),"Not found"))</f>
        <v/>
      </c>
      <c r="C71" s="20"/>
      <c r="D71" s="18" t="str">
        <f aca="false">IF(C71="","",IFERROR(INDEX(Tables!$A:$A,MATCH(C71,Tables!$B:$B,0)),"Not found"))</f>
        <v/>
      </c>
      <c r="E71" s="21" t="str">
        <f aca="false">IF(D71="","",IFERROR(INDEX(Tables!$D:$D,MATCH(D71,Tables!$A:$A,0)),""))</f>
        <v/>
      </c>
      <c r="F71" s="20"/>
      <c r="G71" s="20"/>
      <c r="H71" s="20"/>
      <c r="I71" s="20"/>
      <c r="J71" s="20"/>
      <c r="K71" s="20"/>
    </row>
    <row r="72" customFormat="false" ht="15" hidden="false" customHeight="false" outlineLevel="0" collapsed="false">
      <c r="A72" s="20"/>
      <c r="B72" s="18" t="str">
        <f aca="false">IF(A72="","",IFERROR(INDEX(Products!$A:$A,MATCH(A72,Products!$B:$B,0)),"Not found"))</f>
        <v/>
      </c>
      <c r="C72" s="20"/>
      <c r="D72" s="18" t="str">
        <f aca="false">IF(C72="","",IFERROR(INDEX(Tables!$A:$A,MATCH(C72,Tables!$B:$B,0)),"Not found"))</f>
        <v/>
      </c>
      <c r="E72" s="21" t="str">
        <f aca="false">IF(D72="","",IFERROR(INDEX(Tables!$D:$D,MATCH(D72,Tables!$A:$A,0)),""))</f>
        <v/>
      </c>
      <c r="F72" s="20"/>
      <c r="G72" s="20"/>
      <c r="H72" s="20"/>
      <c r="I72" s="20"/>
      <c r="J72" s="20"/>
      <c r="K72" s="20"/>
    </row>
    <row r="73" customFormat="false" ht="15" hidden="false" customHeight="false" outlineLevel="0" collapsed="false">
      <c r="A73" s="20"/>
      <c r="B73" s="18" t="str">
        <f aca="false">IF(A73="","",IFERROR(INDEX(Products!$A:$A,MATCH(A73,Products!$B:$B,0)),"Not found"))</f>
        <v/>
      </c>
      <c r="C73" s="20"/>
      <c r="D73" s="18" t="str">
        <f aca="false">IF(C73="","",IFERROR(INDEX(Tables!$A:$A,MATCH(C73,Tables!$B:$B,0)),"Not found"))</f>
        <v/>
      </c>
      <c r="E73" s="21" t="str">
        <f aca="false">IF(D73="","",IFERROR(INDEX(Tables!$D:$D,MATCH(D73,Tables!$A:$A,0)),""))</f>
        <v/>
      </c>
      <c r="F73" s="20"/>
      <c r="G73" s="20"/>
      <c r="H73" s="20"/>
      <c r="I73" s="20"/>
      <c r="J73" s="20"/>
      <c r="K73" s="20"/>
    </row>
    <row r="74" customFormat="false" ht="15" hidden="false" customHeight="false" outlineLevel="0" collapsed="false">
      <c r="A74" s="20"/>
      <c r="B74" s="18" t="str">
        <f aca="false">IF(A74="","",IFERROR(INDEX(Products!$A:$A,MATCH(A74,Products!$B:$B,0)),"Not found"))</f>
        <v/>
      </c>
      <c r="C74" s="20"/>
      <c r="D74" s="18" t="str">
        <f aca="false">IF(C74="","",IFERROR(INDEX(Tables!$A:$A,MATCH(C74,Tables!$B:$B,0)),"Not found"))</f>
        <v/>
      </c>
      <c r="E74" s="21" t="str">
        <f aca="false">IF(D74="","",IFERROR(INDEX(Tables!$D:$D,MATCH(D74,Tables!$A:$A,0)),""))</f>
        <v/>
      </c>
      <c r="F74" s="20"/>
      <c r="G74" s="20"/>
      <c r="H74" s="20"/>
      <c r="I74" s="20"/>
      <c r="J74" s="20"/>
      <c r="K74" s="20"/>
    </row>
    <row r="75" customFormat="false" ht="15" hidden="false" customHeight="false" outlineLevel="0" collapsed="false">
      <c r="A75" s="20"/>
      <c r="B75" s="18" t="str">
        <f aca="false">IF(A75="","",IFERROR(INDEX(Products!$A:$A,MATCH(A75,Products!$B:$B,0)),"Not found"))</f>
        <v/>
      </c>
      <c r="C75" s="20"/>
      <c r="D75" s="18" t="str">
        <f aca="false">IF(C75="","",IFERROR(INDEX(Tables!$A:$A,MATCH(C75,Tables!$B:$B,0)),"Not found"))</f>
        <v/>
      </c>
      <c r="E75" s="21" t="str">
        <f aca="false">IF(D75="","",IFERROR(INDEX(Tables!$D:$D,MATCH(D75,Tables!$A:$A,0)),""))</f>
        <v/>
      </c>
      <c r="F75" s="20"/>
      <c r="G75" s="20"/>
      <c r="H75" s="20"/>
      <c r="I75" s="20"/>
      <c r="J75" s="20"/>
      <c r="K75" s="20"/>
    </row>
    <row r="76" customFormat="false" ht="15" hidden="false" customHeight="false" outlineLevel="0" collapsed="false">
      <c r="A76" s="20"/>
      <c r="B76" s="18" t="str">
        <f aca="false">IF(A76="","",IFERROR(INDEX(Products!$A:$A,MATCH(A76,Products!$B:$B,0)),"Not found"))</f>
        <v/>
      </c>
      <c r="C76" s="20"/>
      <c r="D76" s="18" t="str">
        <f aca="false">IF(C76="","",IFERROR(INDEX(Tables!$A:$A,MATCH(C76,Tables!$B:$B,0)),"Not found"))</f>
        <v/>
      </c>
      <c r="E76" s="21" t="str">
        <f aca="false">IF(D76="","",IFERROR(INDEX(Tables!$D:$D,MATCH(D76,Tables!$A:$A,0)),""))</f>
        <v/>
      </c>
      <c r="F76" s="20"/>
      <c r="G76" s="20"/>
      <c r="H76" s="20"/>
      <c r="I76" s="20"/>
      <c r="J76" s="20"/>
      <c r="K76" s="20"/>
    </row>
    <row r="77" customFormat="false" ht="15" hidden="false" customHeight="false" outlineLevel="0" collapsed="false">
      <c r="A77" s="20"/>
      <c r="B77" s="18" t="str">
        <f aca="false">IF(A77="","",IFERROR(INDEX(Products!$A:$A,MATCH(A77,Products!$B:$B,0)),"Not found"))</f>
        <v/>
      </c>
      <c r="C77" s="20"/>
      <c r="D77" s="18" t="str">
        <f aca="false">IF(C77="","",IFERROR(INDEX(Tables!$A:$A,MATCH(C77,Tables!$B:$B,0)),"Not found"))</f>
        <v/>
      </c>
      <c r="E77" s="21" t="str">
        <f aca="false">IF(D77="","",IFERROR(INDEX(Tables!$D:$D,MATCH(D77,Tables!$A:$A,0)),""))</f>
        <v/>
      </c>
      <c r="F77" s="20"/>
      <c r="G77" s="20"/>
      <c r="H77" s="20"/>
      <c r="I77" s="20"/>
      <c r="J77" s="20"/>
      <c r="K77" s="20"/>
    </row>
    <row r="78" customFormat="false" ht="15" hidden="false" customHeight="false" outlineLevel="0" collapsed="false">
      <c r="A78" s="20"/>
      <c r="B78" s="18" t="str">
        <f aca="false">IF(A78="","",IFERROR(INDEX(Products!$A:$A,MATCH(A78,Products!$B:$B,0)),"Not found"))</f>
        <v/>
      </c>
      <c r="C78" s="20"/>
      <c r="D78" s="18" t="str">
        <f aca="false">IF(C78="","",IFERROR(INDEX(Tables!$A:$A,MATCH(C78,Tables!$B:$B,0)),"Not found"))</f>
        <v/>
      </c>
      <c r="E78" s="21" t="str">
        <f aca="false">IF(D78="","",IFERROR(INDEX(Tables!$D:$D,MATCH(D78,Tables!$A:$A,0)),""))</f>
        <v/>
      </c>
      <c r="F78" s="20"/>
      <c r="G78" s="20"/>
      <c r="H78" s="20"/>
      <c r="I78" s="20"/>
      <c r="J78" s="20"/>
      <c r="K78" s="20"/>
    </row>
    <row r="79" customFormat="false" ht="15" hidden="false" customHeight="false" outlineLevel="0" collapsed="false">
      <c r="A79" s="20"/>
      <c r="B79" s="18" t="str">
        <f aca="false">IF(A79="","",IFERROR(INDEX(Products!$A:$A,MATCH(A79,Products!$B:$B,0)),"Not found"))</f>
        <v/>
      </c>
      <c r="C79" s="20"/>
      <c r="D79" s="18" t="str">
        <f aca="false">IF(C79="","",IFERROR(INDEX(Tables!$A:$A,MATCH(C79,Tables!$B:$B,0)),"Not found"))</f>
        <v/>
      </c>
      <c r="E79" s="21" t="str">
        <f aca="false">IF(D79="","",IFERROR(INDEX(Tables!$D:$D,MATCH(D79,Tables!$A:$A,0)),""))</f>
        <v/>
      </c>
      <c r="F79" s="20"/>
      <c r="G79" s="20"/>
      <c r="H79" s="20"/>
      <c r="I79" s="20"/>
      <c r="J79" s="20"/>
      <c r="K79" s="20"/>
    </row>
    <row r="80" customFormat="false" ht="15" hidden="false" customHeight="false" outlineLevel="0" collapsed="false">
      <c r="A80" s="20"/>
      <c r="B80" s="18" t="str">
        <f aca="false">IF(A80="","",IFERROR(INDEX(Products!$A:$A,MATCH(A80,Products!$B:$B,0)),"Not found"))</f>
        <v/>
      </c>
      <c r="C80" s="20"/>
      <c r="D80" s="18" t="str">
        <f aca="false">IF(C80="","",IFERROR(INDEX(Tables!$A:$A,MATCH(C80,Tables!$B:$B,0)),"Not found"))</f>
        <v/>
      </c>
      <c r="E80" s="21" t="str">
        <f aca="false">IF(D80="","",IFERROR(INDEX(Tables!$D:$D,MATCH(D80,Tables!$A:$A,0)),""))</f>
        <v/>
      </c>
      <c r="F80" s="20"/>
      <c r="G80" s="20"/>
      <c r="H80" s="20"/>
      <c r="I80" s="20"/>
      <c r="J80" s="20"/>
      <c r="K80" s="20"/>
    </row>
    <row r="81" customFormat="false" ht="15" hidden="false" customHeight="false" outlineLevel="0" collapsed="false">
      <c r="A81" s="20"/>
      <c r="B81" s="18" t="str">
        <f aca="false">IF(A81="","",IFERROR(INDEX(Products!$A:$A,MATCH(A81,Products!$B:$B,0)),"Not found"))</f>
        <v/>
      </c>
      <c r="C81" s="20"/>
      <c r="D81" s="18" t="str">
        <f aca="false">IF(C81="","",IFERROR(INDEX(Tables!$A:$A,MATCH(C81,Tables!$B:$B,0)),"Not found"))</f>
        <v/>
      </c>
      <c r="E81" s="21" t="str">
        <f aca="false">IF(D81="","",IFERROR(INDEX(Tables!$D:$D,MATCH(D81,Tables!$A:$A,0)),""))</f>
        <v/>
      </c>
      <c r="F81" s="20"/>
      <c r="G81" s="20"/>
      <c r="H81" s="20"/>
      <c r="I81" s="20"/>
      <c r="J81" s="20"/>
      <c r="K81" s="20"/>
    </row>
    <row r="82" customFormat="false" ht="15" hidden="false" customHeight="false" outlineLevel="0" collapsed="false">
      <c r="A82" s="20"/>
      <c r="B82" s="18" t="str">
        <f aca="false">IF(A82="","",IFERROR(INDEX(Products!$A:$A,MATCH(A82,Products!$B:$B,0)),"Not found"))</f>
        <v/>
      </c>
      <c r="C82" s="20"/>
      <c r="D82" s="18" t="str">
        <f aca="false">IF(C82="","",IFERROR(INDEX(Tables!$A:$A,MATCH(C82,Tables!$B:$B,0)),"Not found"))</f>
        <v/>
      </c>
      <c r="E82" s="21" t="str">
        <f aca="false">IF(D82="","",IFERROR(INDEX(Tables!$D:$D,MATCH(D82,Tables!$A:$A,0)),""))</f>
        <v/>
      </c>
      <c r="F82" s="20"/>
      <c r="G82" s="20"/>
      <c r="H82" s="20"/>
      <c r="I82" s="20"/>
      <c r="J82" s="20"/>
      <c r="K82" s="20"/>
    </row>
    <row r="83" customFormat="false" ht="15" hidden="false" customHeight="false" outlineLevel="0" collapsed="false">
      <c r="A83" s="20"/>
      <c r="B83" s="18" t="str">
        <f aca="false">IF(A83="","",IFERROR(INDEX(Products!$A:$A,MATCH(A83,Products!$B:$B,0)),"Not found"))</f>
        <v/>
      </c>
      <c r="C83" s="20"/>
      <c r="D83" s="18" t="str">
        <f aca="false">IF(C83="","",IFERROR(INDEX(Tables!$A:$A,MATCH(C83,Tables!$B:$B,0)),"Not found"))</f>
        <v/>
      </c>
      <c r="E83" s="21" t="str">
        <f aca="false">IF(D83="","",IFERROR(INDEX(Tables!$D:$D,MATCH(D83,Tables!$A:$A,0)),""))</f>
        <v/>
      </c>
      <c r="F83" s="20"/>
      <c r="G83" s="20"/>
      <c r="H83" s="20"/>
      <c r="I83" s="20"/>
      <c r="J83" s="20"/>
      <c r="K83" s="20"/>
    </row>
    <row r="84" customFormat="false" ht="15" hidden="false" customHeight="false" outlineLevel="0" collapsed="false">
      <c r="A84" s="20"/>
      <c r="B84" s="18" t="str">
        <f aca="false">IF(A84="","",IFERROR(INDEX(Products!$A:$A,MATCH(A84,Products!$B:$B,0)),"Not found"))</f>
        <v/>
      </c>
      <c r="C84" s="20"/>
      <c r="D84" s="18" t="str">
        <f aca="false">IF(C84="","",IFERROR(INDEX(Tables!$A:$A,MATCH(C84,Tables!$B:$B,0)),"Not found"))</f>
        <v/>
      </c>
      <c r="E84" s="21" t="str">
        <f aca="false">IF(D84="","",IFERROR(INDEX(Tables!$D:$D,MATCH(D84,Tables!$A:$A,0)),""))</f>
        <v/>
      </c>
      <c r="F84" s="20"/>
      <c r="G84" s="20"/>
      <c r="H84" s="20"/>
      <c r="I84" s="20"/>
      <c r="J84" s="20"/>
      <c r="K84" s="20"/>
    </row>
    <row r="85" customFormat="false" ht="15" hidden="false" customHeight="false" outlineLevel="0" collapsed="false">
      <c r="A85" s="20"/>
      <c r="B85" s="18" t="str">
        <f aca="false">IF(A85="","",IFERROR(INDEX(Products!$A:$A,MATCH(A85,Products!$B:$B,0)),"Not found"))</f>
        <v/>
      </c>
      <c r="C85" s="20"/>
      <c r="D85" s="18" t="str">
        <f aca="false">IF(C85="","",IFERROR(INDEX(Tables!$A:$A,MATCH(C85,Tables!$B:$B,0)),"Not found"))</f>
        <v/>
      </c>
      <c r="E85" s="21" t="str">
        <f aca="false">IF(D85="","",IFERROR(INDEX(Tables!$D:$D,MATCH(D85,Tables!$A:$A,0)),""))</f>
        <v/>
      </c>
      <c r="F85" s="20"/>
      <c r="G85" s="20"/>
      <c r="H85" s="20"/>
      <c r="I85" s="20"/>
      <c r="J85" s="20"/>
      <c r="K85" s="20"/>
    </row>
    <row r="86" customFormat="false" ht="15" hidden="false" customHeight="false" outlineLevel="0" collapsed="false">
      <c r="A86" s="20"/>
      <c r="B86" s="18" t="str">
        <f aca="false">IF(A86="","",IFERROR(INDEX(Products!$A:$A,MATCH(A86,Products!$B:$B,0)),"Not found"))</f>
        <v/>
      </c>
      <c r="C86" s="20"/>
      <c r="D86" s="18" t="str">
        <f aca="false">IF(C86="","",IFERROR(INDEX(Tables!$A:$A,MATCH(C86,Tables!$B:$B,0)),"Not found"))</f>
        <v/>
      </c>
      <c r="E86" s="21" t="str">
        <f aca="false">IF(D86="","",IFERROR(INDEX(Tables!$D:$D,MATCH(D86,Tables!$A:$A,0)),""))</f>
        <v/>
      </c>
      <c r="F86" s="20"/>
      <c r="G86" s="20"/>
      <c r="H86" s="20"/>
      <c r="I86" s="20"/>
      <c r="J86" s="20"/>
      <c r="K86" s="20"/>
    </row>
    <row r="87" customFormat="false" ht="15" hidden="false" customHeight="false" outlineLevel="0" collapsed="false">
      <c r="A87" s="20"/>
      <c r="B87" s="18" t="str">
        <f aca="false">IF(A87="","",IFERROR(INDEX(Products!$A:$A,MATCH(A87,Products!$B:$B,0)),"Not found"))</f>
        <v/>
      </c>
      <c r="C87" s="20"/>
      <c r="D87" s="18" t="str">
        <f aca="false">IF(C87="","",IFERROR(INDEX(Tables!$A:$A,MATCH(C87,Tables!$B:$B,0)),"Not found"))</f>
        <v/>
      </c>
      <c r="E87" s="21" t="str">
        <f aca="false">IF(D87="","",IFERROR(INDEX(Tables!$D:$D,MATCH(D87,Tables!$A:$A,0)),""))</f>
        <v/>
      </c>
      <c r="F87" s="20"/>
      <c r="G87" s="20"/>
      <c r="H87" s="20"/>
      <c r="I87" s="20"/>
      <c r="J87" s="20"/>
      <c r="K87" s="20"/>
    </row>
    <row r="88" customFormat="false" ht="15" hidden="false" customHeight="false" outlineLevel="0" collapsed="false">
      <c r="A88" s="20"/>
      <c r="B88" s="18" t="str">
        <f aca="false">IF(A88="","",IFERROR(INDEX(Products!$A:$A,MATCH(A88,Products!$B:$B,0)),"Not found"))</f>
        <v/>
      </c>
      <c r="C88" s="20"/>
      <c r="D88" s="18" t="str">
        <f aca="false">IF(C88="","",IFERROR(INDEX(Tables!$A:$A,MATCH(C88,Tables!$B:$B,0)),"Not found"))</f>
        <v/>
      </c>
      <c r="E88" s="21" t="str">
        <f aca="false">IF(D88="","",IFERROR(INDEX(Tables!$D:$D,MATCH(D88,Tables!$A:$A,0)),""))</f>
        <v/>
      </c>
      <c r="F88" s="20"/>
      <c r="G88" s="20"/>
      <c r="H88" s="20"/>
      <c r="I88" s="20"/>
      <c r="J88" s="20"/>
      <c r="K88" s="20"/>
    </row>
    <row r="89" customFormat="false" ht="15" hidden="false" customHeight="false" outlineLevel="0" collapsed="false">
      <c r="A89" s="20"/>
      <c r="B89" s="18" t="str">
        <f aca="false">IF(A89="","",IFERROR(INDEX(Products!$A:$A,MATCH(A89,Products!$B:$B,0)),"Not found"))</f>
        <v/>
      </c>
      <c r="C89" s="20"/>
      <c r="D89" s="18" t="str">
        <f aca="false">IF(C89="","",IFERROR(INDEX(Tables!$A:$A,MATCH(C89,Tables!$B:$B,0)),"Not found"))</f>
        <v/>
      </c>
      <c r="E89" s="21" t="str">
        <f aca="false">IF(D89="","",IFERROR(INDEX(Tables!$D:$D,MATCH(D89,Tables!$A:$A,0)),""))</f>
        <v/>
      </c>
      <c r="F89" s="20"/>
      <c r="G89" s="20"/>
      <c r="H89" s="20"/>
      <c r="I89" s="20"/>
      <c r="J89" s="20"/>
      <c r="K89" s="20"/>
    </row>
    <row r="90" customFormat="false" ht="15" hidden="false" customHeight="false" outlineLevel="0" collapsed="false">
      <c r="A90" s="20"/>
      <c r="B90" s="18" t="str">
        <f aca="false">IF(A90="","",IFERROR(INDEX(Products!$A:$A,MATCH(A90,Products!$B:$B,0)),"Not found"))</f>
        <v/>
      </c>
      <c r="C90" s="20"/>
      <c r="D90" s="18" t="str">
        <f aca="false">IF(C90="","",IFERROR(INDEX(Tables!$A:$A,MATCH(C90,Tables!$B:$B,0)),"Not found"))</f>
        <v/>
      </c>
      <c r="E90" s="21" t="str">
        <f aca="false">IF(D90="","",IFERROR(INDEX(Tables!$D:$D,MATCH(D90,Tables!$A:$A,0)),""))</f>
        <v/>
      </c>
      <c r="F90" s="20"/>
      <c r="G90" s="20"/>
      <c r="H90" s="20"/>
      <c r="I90" s="20"/>
      <c r="J90" s="20"/>
      <c r="K90" s="20"/>
    </row>
    <row r="91" customFormat="false" ht="15" hidden="false" customHeight="false" outlineLevel="0" collapsed="false">
      <c r="A91" s="20"/>
      <c r="B91" s="18" t="str">
        <f aca="false">IF(A91="","",IFERROR(INDEX(Products!$A:$A,MATCH(A91,Products!$B:$B,0)),"Not found"))</f>
        <v/>
      </c>
      <c r="C91" s="20"/>
      <c r="D91" s="18" t="str">
        <f aca="false">IF(C91="","",IFERROR(INDEX(Tables!$A:$A,MATCH(C91,Tables!$B:$B,0)),"Not found"))</f>
        <v/>
      </c>
      <c r="E91" s="21" t="str">
        <f aca="false">IF(D91="","",IFERROR(INDEX(Tables!$D:$D,MATCH(D91,Tables!$A:$A,0)),""))</f>
        <v/>
      </c>
      <c r="F91" s="20"/>
      <c r="G91" s="20"/>
      <c r="H91" s="20"/>
      <c r="I91" s="20"/>
      <c r="J91" s="20"/>
      <c r="K91" s="20"/>
    </row>
    <row r="92" customFormat="false" ht="15" hidden="false" customHeight="false" outlineLevel="0" collapsed="false">
      <c r="A92" s="20"/>
      <c r="B92" s="18" t="str">
        <f aca="false">IF(A92="","",IFERROR(INDEX(Products!$A:$A,MATCH(A92,Products!$B:$B,0)),"Not found"))</f>
        <v/>
      </c>
      <c r="C92" s="20"/>
      <c r="D92" s="18" t="str">
        <f aca="false">IF(C92="","",IFERROR(INDEX(Tables!$A:$A,MATCH(C92,Tables!$B:$B,0)),"Not found"))</f>
        <v/>
      </c>
      <c r="E92" s="21" t="str">
        <f aca="false">IF(D92="","",IFERROR(INDEX(Tables!$D:$D,MATCH(D92,Tables!$A:$A,0)),""))</f>
        <v/>
      </c>
      <c r="F92" s="20"/>
      <c r="G92" s="20"/>
      <c r="H92" s="20"/>
      <c r="I92" s="20"/>
      <c r="J92" s="20"/>
      <c r="K92" s="20"/>
    </row>
    <row r="93" customFormat="false" ht="15" hidden="false" customHeight="false" outlineLevel="0" collapsed="false">
      <c r="A93" s="20"/>
      <c r="B93" s="18" t="str">
        <f aca="false">IF(A93="","",IFERROR(INDEX(Products!$A:$A,MATCH(A93,Products!$B:$B,0)),"Not found"))</f>
        <v/>
      </c>
      <c r="C93" s="20"/>
      <c r="D93" s="18" t="str">
        <f aca="false">IF(C93="","",IFERROR(INDEX(Tables!$A:$A,MATCH(C93,Tables!$B:$B,0)),"Not found"))</f>
        <v/>
      </c>
      <c r="E93" s="21" t="str">
        <f aca="false">IF(D93="","",IFERROR(INDEX(Tables!$D:$D,MATCH(D93,Tables!$A:$A,0)),""))</f>
        <v/>
      </c>
      <c r="F93" s="20"/>
      <c r="G93" s="20"/>
      <c r="H93" s="20"/>
      <c r="I93" s="20"/>
      <c r="J93" s="20"/>
      <c r="K93" s="20"/>
    </row>
    <row r="94" customFormat="false" ht="15" hidden="false" customHeight="false" outlineLevel="0" collapsed="false">
      <c r="A94" s="20"/>
      <c r="B94" s="18" t="str">
        <f aca="false">IF(A94="","",IFERROR(INDEX(Products!$A:$A,MATCH(A94,Products!$B:$B,0)),"Not found"))</f>
        <v/>
      </c>
      <c r="C94" s="20"/>
      <c r="D94" s="18" t="str">
        <f aca="false">IF(C94="","",IFERROR(INDEX(Tables!$A:$A,MATCH(C94,Tables!$B:$B,0)),"Not found"))</f>
        <v/>
      </c>
      <c r="E94" s="21" t="str">
        <f aca="false">IF(D94="","",IFERROR(INDEX(Tables!$D:$D,MATCH(D94,Tables!$A:$A,0)),""))</f>
        <v/>
      </c>
      <c r="F94" s="20"/>
      <c r="G94" s="20"/>
      <c r="H94" s="20"/>
      <c r="I94" s="20"/>
      <c r="J94" s="20"/>
      <c r="K94" s="20"/>
    </row>
    <row r="95" customFormat="false" ht="15" hidden="false" customHeight="false" outlineLevel="0" collapsed="false">
      <c r="A95" s="20"/>
      <c r="B95" s="18" t="str">
        <f aca="false">IF(A95="","",IFERROR(INDEX(Products!$A:$A,MATCH(A95,Products!$B:$B,0)),"Not found"))</f>
        <v/>
      </c>
      <c r="C95" s="20"/>
      <c r="D95" s="18" t="str">
        <f aca="false">IF(C95="","",IFERROR(INDEX(Tables!$A:$A,MATCH(C95,Tables!$B:$B,0)),"Not found"))</f>
        <v/>
      </c>
      <c r="E95" s="21" t="str">
        <f aca="false">IF(D95="","",IFERROR(INDEX(Tables!$D:$D,MATCH(D95,Tables!$A:$A,0)),""))</f>
        <v/>
      </c>
      <c r="F95" s="20"/>
      <c r="G95" s="20"/>
      <c r="H95" s="20"/>
      <c r="I95" s="20"/>
      <c r="J95" s="20"/>
      <c r="K95" s="20"/>
    </row>
    <row r="96" customFormat="false" ht="15" hidden="false" customHeight="false" outlineLevel="0" collapsed="false">
      <c r="A96" s="20"/>
      <c r="B96" s="18" t="str">
        <f aca="false">IF(A96="","",IFERROR(INDEX(Products!$A:$A,MATCH(A96,Products!$B:$B,0)),"Not found"))</f>
        <v/>
      </c>
      <c r="C96" s="20"/>
      <c r="D96" s="18" t="str">
        <f aca="false">IF(C96="","",IFERROR(INDEX(Tables!$A:$A,MATCH(C96,Tables!$B:$B,0)),"Not found"))</f>
        <v/>
      </c>
      <c r="E96" s="21" t="str">
        <f aca="false">IF(D96="","",IFERROR(INDEX(Tables!$D:$D,MATCH(D96,Tables!$A:$A,0)),""))</f>
        <v/>
      </c>
      <c r="F96" s="20"/>
      <c r="G96" s="20"/>
      <c r="H96" s="20"/>
      <c r="I96" s="20"/>
      <c r="J96" s="20"/>
      <c r="K96" s="20"/>
    </row>
    <row r="97" customFormat="false" ht="15" hidden="false" customHeight="false" outlineLevel="0" collapsed="false">
      <c r="A97" s="20"/>
      <c r="B97" s="18" t="str">
        <f aca="false">IF(A97="","",IFERROR(INDEX(Products!$A:$A,MATCH(A97,Products!$B:$B,0)),"Not found"))</f>
        <v/>
      </c>
      <c r="C97" s="20"/>
      <c r="D97" s="18" t="str">
        <f aca="false">IF(C97="","",IFERROR(INDEX(Tables!$A:$A,MATCH(C97,Tables!$B:$B,0)),"Not found"))</f>
        <v/>
      </c>
      <c r="E97" s="21" t="str">
        <f aca="false">IF(D97="","",IFERROR(INDEX(Tables!$D:$D,MATCH(D97,Tables!$A:$A,0)),""))</f>
        <v/>
      </c>
      <c r="F97" s="20"/>
      <c r="G97" s="20"/>
      <c r="H97" s="20"/>
      <c r="I97" s="20"/>
      <c r="J97" s="20"/>
      <c r="K97" s="20"/>
    </row>
    <row r="98" customFormat="false" ht="15" hidden="false" customHeight="false" outlineLevel="0" collapsed="false">
      <c r="A98" s="20"/>
      <c r="B98" s="18" t="str">
        <f aca="false">IF(A98="","",IFERROR(INDEX(Products!$A:$A,MATCH(A98,Products!$B:$B,0)),"Not found"))</f>
        <v/>
      </c>
      <c r="C98" s="20"/>
      <c r="D98" s="18" t="str">
        <f aca="false">IF(C98="","",IFERROR(INDEX(Tables!$A:$A,MATCH(C98,Tables!$B:$B,0)),"Not found"))</f>
        <v/>
      </c>
      <c r="E98" s="21" t="str">
        <f aca="false">IF(D98="","",IFERROR(INDEX(Tables!$D:$D,MATCH(D98,Tables!$A:$A,0)),""))</f>
        <v/>
      </c>
      <c r="F98" s="20"/>
      <c r="G98" s="20"/>
      <c r="H98" s="20"/>
      <c r="I98" s="20"/>
      <c r="J98" s="20"/>
      <c r="K98" s="20"/>
    </row>
    <row r="99" customFormat="false" ht="15" hidden="false" customHeight="false" outlineLevel="0" collapsed="false">
      <c r="A99" s="20"/>
      <c r="B99" s="18" t="str">
        <f aca="false">IF(A99="","",IFERROR(INDEX(Products!$A:$A,MATCH(A99,Products!$B:$B,0)),"Not found"))</f>
        <v/>
      </c>
      <c r="C99" s="20"/>
      <c r="D99" s="18" t="str">
        <f aca="false">IF(C99="","",IFERROR(INDEX(Tables!$A:$A,MATCH(C99,Tables!$B:$B,0)),"Not found"))</f>
        <v/>
      </c>
      <c r="E99" s="21" t="str">
        <f aca="false">IF(D99="","",IFERROR(INDEX(Tables!$D:$D,MATCH(D99,Tables!$A:$A,0)),""))</f>
        <v/>
      </c>
      <c r="F99" s="20"/>
      <c r="G99" s="20"/>
      <c r="H99" s="20"/>
      <c r="I99" s="20"/>
      <c r="J99" s="20"/>
      <c r="K99" s="20"/>
    </row>
    <row r="100" customFormat="false" ht="15" hidden="false" customHeight="false" outlineLevel="0" collapsed="false">
      <c r="A100" s="20"/>
      <c r="B100" s="18" t="str">
        <f aca="false">IF(A100="","",IFERROR(INDEX(Products!$A:$A,MATCH(A100,Products!$B:$B,0)),"Not found"))</f>
        <v/>
      </c>
      <c r="C100" s="20"/>
      <c r="D100" s="18" t="str">
        <f aca="false">IF(C100="","",IFERROR(INDEX(Tables!$A:$A,MATCH(C100,Tables!$B:$B,0)),"Not found"))</f>
        <v/>
      </c>
      <c r="E100" s="21" t="str">
        <f aca="false">IF(D100="","",IFERROR(INDEX(Tables!$D:$D,MATCH(D100,Tables!$A:$A,0)),""))</f>
        <v/>
      </c>
      <c r="F100" s="20"/>
      <c r="G100" s="20"/>
      <c r="H100" s="20"/>
      <c r="I100" s="20"/>
      <c r="J100" s="20"/>
      <c r="K100" s="20"/>
    </row>
    <row r="101" customFormat="false" ht="15" hidden="false" customHeight="false" outlineLevel="0" collapsed="false">
      <c r="A101" s="20"/>
      <c r="B101" s="18" t="str">
        <f aca="false">IF(A101="","",IFERROR(INDEX(Products!$A:$A,MATCH(A101,Products!$B:$B,0)),"Not found"))</f>
        <v/>
      </c>
      <c r="C101" s="20"/>
      <c r="D101" s="18" t="str">
        <f aca="false">IF(C101="","",IFERROR(INDEX(Tables!$A:$A,MATCH(C101,Tables!$B:$B,0)),"Not found"))</f>
        <v/>
      </c>
      <c r="E101" s="21" t="str">
        <f aca="false">IF(D101="","",IFERROR(INDEX(Tables!$D:$D,MATCH(D101,Tables!$A:$A,0)),""))</f>
        <v/>
      </c>
      <c r="F101" s="20"/>
      <c r="G101" s="20"/>
      <c r="H101" s="20"/>
      <c r="I101" s="20"/>
      <c r="J101" s="20"/>
      <c r="K101" s="20"/>
    </row>
    <row r="102" customFormat="false" ht="15" hidden="false" customHeight="false" outlineLevel="0" collapsed="false">
      <c r="A102" s="20"/>
      <c r="B102" s="18" t="str">
        <f aca="false">IF(A102="","",IFERROR(INDEX(Products!$A:$A,MATCH(A102,Products!$B:$B,0)),"Not found"))</f>
        <v/>
      </c>
      <c r="C102" s="20"/>
      <c r="D102" s="18" t="str">
        <f aca="false">IF(C102="","",IFERROR(INDEX(Tables!$A:$A,MATCH(C102,Tables!$B:$B,0)),"Not found"))</f>
        <v/>
      </c>
      <c r="E102" s="21" t="str">
        <f aca="false">IF(D102="","",IFERROR(INDEX(Tables!$D:$D,MATCH(D102,Tables!$A:$A,0)),""))</f>
        <v/>
      </c>
      <c r="F102" s="20"/>
      <c r="G102" s="20"/>
      <c r="H102" s="20"/>
      <c r="I102" s="20"/>
      <c r="J102" s="20"/>
      <c r="K102" s="20"/>
    </row>
    <row r="103" customFormat="false" ht="15" hidden="false" customHeight="false" outlineLevel="0" collapsed="false">
      <c r="A103" s="20"/>
      <c r="B103" s="18" t="str">
        <f aca="false">IF(A103="","",IFERROR(INDEX(Products!$A:$A,MATCH(A103,Products!$B:$B,0)),"Not found"))</f>
        <v/>
      </c>
      <c r="C103" s="20"/>
      <c r="D103" s="18" t="str">
        <f aca="false">IF(C103="","",IFERROR(INDEX(Tables!$A:$A,MATCH(C103,Tables!$B:$B,0)),"Not found"))</f>
        <v/>
      </c>
      <c r="E103" s="21" t="str">
        <f aca="false">IF(D103="","",IFERROR(INDEX(Tables!$D:$D,MATCH(D103,Tables!$A:$A,0)),""))</f>
        <v/>
      </c>
      <c r="F103" s="20"/>
      <c r="G103" s="20"/>
      <c r="H103" s="20"/>
      <c r="I103" s="20"/>
      <c r="J103" s="20"/>
      <c r="K103" s="20"/>
    </row>
    <row r="104" customFormat="false" ht="15" hidden="false" customHeight="false" outlineLevel="0" collapsed="false">
      <c r="A104" s="20"/>
      <c r="B104" s="18" t="str">
        <f aca="false">IF(A104="","",IFERROR(INDEX(Products!$A:$A,MATCH(A104,Products!$B:$B,0)),"Not found"))</f>
        <v/>
      </c>
      <c r="C104" s="20"/>
      <c r="D104" s="18" t="str">
        <f aca="false">IF(C104="","",IFERROR(INDEX(Tables!$A:$A,MATCH(C104,Tables!$B:$B,0)),"Not found"))</f>
        <v/>
      </c>
      <c r="E104" s="21" t="str">
        <f aca="false">IF(D104="","",IFERROR(INDEX(Tables!$D:$D,MATCH(D104,Tables!$A:$A,0)),""))</f>
        <v/>
      </c>
      <c r="F104" s="20"/>
      <c r="G104" s="20"/>
      <c r="H104" s="20"/>
      <c r="I104" s="20"/>
      <c r="J104" s="20"/>
      <c r="K104" s="20"/>
    </row>
    <row r="105" customFormat="false" ht="15" hidden="false" customHeight="false" outlineLevel="0" collapsed="false">
      <c r="A105" s="20"/>
      <c r="B105" s="18" t="str">
        <f aca="false">IF(A105="","",IFERROR(INDEX(Products!$A:$A,MATCH(A105,Products!$B:$B,0)),"Not found"))</f>
        <v/>
      </c>
      <c r="C105" s="20"/>
      <c r="D105" s="18" t="str">
        <f aca="false">IF(C105="","",IFERROR(INDEX(Tables!$A:$A,MATCH(C105,Tables!$B:$B,0)),"Not found"))</f>
        <v/>
      </c>
      <c r="E105" s="21" t="str">
        <f aca="false">IF(D105="","",IFERROR(INDEX(Tables!$D:$D,MATCH(D105,Tables!$A:$A,0)),""))</f>
        <v/>
      </c>
      <c r="F105" s="20"/>
      <c r="G105" s="20"/>
      <c r="H105" s="20"/>
      <c r="I105" s="20"/>
      <c r="J105" s="20"/>
      <c r="K105" s="20"/>
    </row>
    <row r="106" customFormat="false" ht="15" hidden="false" customHeight="false" outlineLevel="0" collapsed="false">
      <c r="A106" s="20"/>
      <c r="B106" s="18" t="str">
        <f aca="false">IF(A106="","",IFERROR(INDEX(Products!$A:$A,MATCH(A106,Products!$B:$B,0)),"Not found"))</f>
        <v/>
      </c>
      <c r="C106" s="20"/>
      <c r="D106" s="18" t="str">
        <f aca="false">IF(C106="","",IFERROR(INDEX(Tables!$A:$A,MATCH(C106,Tables!$B:$B,0)),"Not found"))</f>
        <v/>
      </c>
      <c r="E106" s="21" t="str">
        <f aca="false">IF(D106="","",IFERROR(INDEX(Tables!$D:$D,MATCH(D106,Tables!$A:$A,0)),""))</f>
        <v/>
      </c>
      <c r="F106" s="20"/>
      <c r="G106" s="20"/>
      <c r="H106" s="20"/>
      <c r="I106" s="20"/>
      <c r="J106" s="20"/>
      <c r="K106" s="20"/>
    </row>
    <row r="107" customFormat="false" ht="15" hidden="false" customHeight="false" outlineLevel="0" collapsed="false">
      <c r="A107" s="20"/>
      <c r="B107" s="18" t="str">
        <f aca="false">IF(A107="","",IFERROR(INDEX(Products!$A:$A,MATCH(A107,Products!$B:$B,0)),"Not found"))</f>
        <v/>
      </c>
      <c r="C107" s="20"/>
      <c r="D107" s="18" t="str">
        <f aca="false">IF(C107="","",IFERROR(INDEX(Tables!$A:$A,MATCH(C107,Tables!$B:$B,0)),"Not found"))</f>
        <v/>
      </c>
      <c r="E107" s="21" t="str">
        <f aca="false">IF(D107="","",IFERROR(INDEX(Tables!$D:$D,MATCH(D107,Tables!$A:$A,0)),""))</f>
        <v/>
      </c>
      <c r="F107" s="20"/>
      <c r="G107" s="20"/>
      <c r="H107" s="20"/>
      <c r="I107" s="20"/>
      <c r="J107" s="20"/>
      <c r="K107" s="20"/>
    </row>
    <row r="108" customFormat="false" ht="15" hidden="false" customHeight="false" outlineLevel="0" collapsed="false">
      <c r="A108" s="20"/>
      <c r="B108" s="18" t="str">
        <f aca="false">IF(A108="","",IFERROR(INDEX(Products!$A:$A,MATCH(A108,Products!$B:$B,0)),"Not found"))</f>
        <v/>
      </c>
      <c r="C108" s="20"/>
      <c r="D108" s="18" t="str">
        <f aca="false">IF(C108="","",IFERROR(INDEX(Tables!$A:$A,MATCH(C108,Tables!$B:$B,0)),"Not found"))</f>
        <v/>
      </c>
      <c r="E108" s="21" t="str">
        <f aca="false">IF(D108="","",IFERROR(INDEX(Tables!$D:$D,MATCH(D108,Tables!$A:$A,0)),""))</f>
        <v/>
      </c>
      <c r="F108" s="20"/>
      <c r="G108" s="20"/>
      <c r="H108" s="20"/>
      <c r="I108" s="20"/>
      <c r="J108" s="20"/>
      <c r="K108" s="20"/>
    </row>
    <row r="109" customFormat="false" ht="15" hidden="false" customHeight="false" outlineLevel="0" collapsed="false">
      <c r="A109" s="20"/>
      <c r="B109" s="18" t="str">
        <f aca="false">IF(A109="","",IFERROR(INDEX(Products!$A:$A,MATCH(A109,Products!$B:$B,0)),"Not found"))</f>
        <v/>
      </c>
      <c r="C109" s="20"/>
      <c r="D109" s="18" t="str">
        <f aca="false">IF(C109="","",IFERROR(INDEX(Tables!$A:$A,MATCH(C109,Tables!$B:$B,0)),"Not found"))</f>
        <v/>
      </c>
      <c r="E109" s="21" t="str">
        <f aca="false">IF(D109="","",IFERROR(INDEX(Tables!$D:$D,MATCH(D109,Tables!$A:$A,0)),""))</f>
        <v/>
      </c>
      <c r="F109" s="20"/>
      <c r="G109" s="20"/>
      <c r="H109" s="20"/>
      <c r="I109" s="20"/>
      <c r="J109" s="20"/>
      <c r="K109" s="20"/>
    </row>
    <row r="110" customFormat="false" ht="15" hidden="false" customHeight="false" outlineLevel="0" collapsed="false">
      <c r="A110" s="20"/>
      <c r="B110" s="18" t="str">
        <f aca="false">IF(A110="","",IFERROR(INDEX(Products!$A:$A,MATCH(A110,Products!$B:$B,0)),"Not found"))</f>
        <v/>
      </c>
      <c r="C110" s="20"/>
      <c r="D110" s="18" t="str">
        <f aca="false">IF(C110="","",IFERROR(INDEX(Tables!$A:$A,MATCH(C110,Tables!$B:$B,0)),"Not found"))</f>
        <v/>
      </c>
      <c r="E110" s="21" t="str">
        <f aca="false">IF(D110="","",IFERROR(INDEX(Tables!$D:$D,MATCH(D110,Tables!$A:$A,0)),""))</f>
        <v/>
      </c>
      <c r="F110" s="20"/>
      <c r="G110" s="20"/>
      <c r="H110" s="20"/>
      <c r="I110" s="20"/>
      <c r="J110" s="20"/>
      <c r="K110" s="20"/>
    </row>
    <row r="111" customFormat="false" ht="15" hidden="false" customHeight="false" outlineLevel="0" collapsed="false">
      <c r="A111" s="20"/>
      <c r="B111" s="18" t="str">
        <f aca="false">IF(A111="","",IFERROR(INDEX(Products!$A:$A,MATCH(A111,Products!$B:$B,0)),"Not found"))</f>
        <v/>
      </c>
      <c r="C111" s="20"/>
      <c r="D111" s="18" t="str">
        <f aca="false">IF(C111="","",IFERROR(INDEX(Tables!$A:$A,MATCH(C111,Tables!$B:$B,0)),"Not found"))</f>
        <v/>
      </c>
      <c r="E111" s="21" t="str">
        <f aca="false">IF(D111="","",IFERROR(INDEX(Tables!$D:$D,MATCH(D111,Tables!$A:$A,0)),""))</f>
        <v/>
      </c>
      <c r="F111" s="20"/>
      <c r="G111" s="20"/>
      <c r="H111" s="20"/>
      <c r="I111" s="20"/>
      <c r="J111" s="20"/>
      <c r="K111" s="20"/>
    </row>
    <row r="112" customFormat="false" ht="15" hidden="false" customHeight="false" outlineLevel="0" collapsed="false">
      <c r="A112" s="20"/>
      <c r="B112" s="18" t="str">
        <f aca="false">IF(A112="","",IFERROR(INDEX(Products!$A:$A,MATCH(A112,Products!$B:$B,0)),"Not found"))</f>
        <v/>
      </c>
      <c r="C112" s="20"/>
      <c r="D112" s="18" t="str">
        <f aca="false">IF(C112="","",IFERROR(INDEX(Tables!$A:$A,MATCH(C112,Tables!$B:$B,0)),"Not found"))</f>
        <v/>
      </c>
      <c r="E112" s="21" t="str">
        <f aca="false">IF(D112="","",IFERROR(INDEX(Tables!$D:$D,MATCH(D112,Tables!$A:$A,0)),""))</f>
        <v/>
      </c>
      <c r="F112" s="20"/>
      <c r="G112" s="20"/>
      <c r="H112" s="20"/>
      <c r="I112" s="20"/>
      <c r="J112" s="20"/>
      <c r="K112" s="20"/>
    </row>
    <row r="113" customFormat="false" ht="15" hidden="false" customHeight="false" outlineLevel="0" collapsed="false">
      <c r="A113" s="20"/>
      <c r="B113" s="18" t="str">
        <f aca="false">IF(A113="","",IFERROR(INDEX(Products!$A:$A,MATCH(A113,Products!$B:$B,0)),"Not found"))</f>
        <v/>
      </c>
      <c r="C113" s="20"/>
      <c r="D113" s="18" t="str">
        <f aca="false">IF(C113="","",IFERROR(INDEX(Tables!$A:$A,MATCH(C113,Tables!$B:$B,0)),"Not found"))</f>
        <v/>
      </c>
      <c r="E113" s="21" t="str">
        <f aca="false">IF(D113="","",IFERROR(INDEX(Tables!$D:$D,MATCH(D113,Tables!$A:$A,0)),""))</f>
        <v/>
      </c>
      <c r="F113" s="20"/>
      <c r="G113" s="20"/>
      <c r="H113" s="20"/>
      <c r="I113" s="20"/>
      <c r="J113" s="20"/>
      <c r="K113" s="20"/>
    </row>
    <row r="114" customFormat="false" ht="15" hidden="false" customHeight="false" outlineLevel="0" collapsed="false">
      <c r="A114" s="20"/>
      <c r="B114" s="18" t="str">
        <f aca="false">IF(A114="","",IFERROR(INDEX(Products!$A:$A,MATCH(A114,Products!$B:$B,0)),"Not found"))</f>
        <v/>
      </c>
      <c r="C114" s="20"/>
      <c r="D114" s="18" t="str">
        <f aca="false">IF(C114="","",IFERROR(INDEX(Tables!$A:$A,MATCH(C114,Tables!$B:$B,0)),"Not found"))</f>
        <v/>
      </c>
      <c r="E114" s="21" t="str">
        <f aca="false">IF(D114="","",IFERROR(INDEX(Tables!$D:$D,MATCH(D114,Tables!$A:$A,0)),""))</f>
        <v/>
      </c>
      <c r="F114" s="20"/>
      <c r="G114" s="20"/>
      <c r="H114" s="20"/>
      <c r="I114" s="20"/>
      <c r="J114" s="20"/>
      <c r="K114" s="20"/>
    </row>
    <row r="115" customFormat="false" ht="15" hidden="false" customHeight="false" outlineLevel="0" collapsed="false">
      <c r="A115" s="20"/>
      <c r="B115" s="18" t="str">
        <f aca="false">IF(A115="","",IFERROR(INDEX(Products!$A:$A,MATCH(A115,Products!$B:$B,0)),"Not found"))</f>
        <v/>
      </c>
      <c r="C115" s="20"/>
      <c r="D115" s="18" t="str">
        <f aca="false">IF(C115="","",IFERROR(INDEX(Tables!$A:$A,MATCH(C115,Tables!$B:$B,0)),"Not found"))</f>
        <v/>
      </c>
      <c r="E115" s="21" t="str">
        <f aca="false">IF(D115="","",IFERROR(INDEX(Tables!$D:$D,MATCH(D115,Tables!$A:$A,0)),""))</f>
        <v/>
      </c>
      <c r="F115" s="20"/>
      <c r="G115" s="20"/>
      <c r="H115" s="20"/>
      <c r="I115" s="20"/>
      <c r="J115" s="20"/>
      <c r="K115" s="20"/>
    </row>
    <row r="116" customFormat="false" ht="15" hidden="false" customHeight="false" outlineLevel="0" collapsed="false">
      <c r="A116" s="20"/>
      <c r="B116" s="18" t="str">
        <f aca="false">IF(A116="","",IFERROR(INDEX(Products!$A:$A,MATCH(A116,Products!$B:$B,0)),"Not found"))</f>
        <v/>
      </c>
      <c r="C116" s="20"/>
      <c r="D116" s="18" t="str">
        <f aca="false">IF(C116="","",IFERROR(INDEX(Tables!$A:$A,MATCH(C116,Tables!$B:$B,0)),"Not found"))</f>
        <v/>
      </c>
      <c r="E116" s="21" t="str">
        <f aca="false">IF(D116="","",IFERROR(INDEX(Tables!$D:$D,MATCH(D116,Tables!$A:$A,0)),""))</f>
        <v/>
      </c>
      <c r="F116" s="20"/>
      <c r="G116" s="20"/>
      <c r="H116" s="20"/>
      <c r="I116" s="20"/>
      <c r="J116" s="20"/>
      <c r="K116" s="20"/>
    </row>
    <row r="117" customFormat="false" ht="15" hidden="false" customHeight="false" outlineLevel="0" collapsed="false">
      <c r="A117" s="20"/>
      <c r="B117" s="18" t="str">
        <f aca="false">IF(A117="","",IFERROR(INDEX(Products!$A:$A,MATCH(A117,Products!$B:$B,0)),"Not found"))</f>
        <v/>
      </c>
      <c r="C117" s="20"/>
      <c r="D117" s="18" t="str">
        <f aca="false">IF(C117="","",IFERROR(INDEX(Tables!$A:$A,MATCH(C117,Tables!$B:$B,0)),"Not found"))</f>
        <v/>
      </c>
      <c r="E117" s="21" t="str">
        <f aca="false">IF(D117="","",IFERROR(INDEX(Tables!$D:$D,MATCH(D117,Tables!$A:$A,0)),""))</f>
        <v/>
      </c>
      <c r="F117" s="20"/>
      <c r="G117" s="20"/>
      <c r="H117" s="20"/>
      <c r="I117" s="20"/>
      <c r="J117" s="20"/>
      <c r="K117" s="20"/>
    </row>
    <row r="118" customFormat="false" ht="15" hidden="false" customHeight="false" outlineLevel="0" collapsed="false">
      <c r="A118" s="20"/>
      <c r="B118" s="18" t="str">
        <f aca="false">IF(A118="","",IFERROR(INDEX(Products!$A:$A,MATCH(A118,Products!$B:$B,0)),"Not found"))</f>
        <v/>
      </c>
      <c r="C118" s="20"/>
      <c r="D118" s="18" t="str">
        <f aca="false">IF(C118="","",IFERROR(INDEX(Tables!$A:$A,MATCH(C118,Tables!$B:$B,0)),"Not found"))</f>
        <v/>
      </c>
      <c r="E118" s="21" t="str">
        <f aca="false">IF(D118="","",IFERROR(INDEX(Tables!$D:$D,MATCH(D118,Tables!$A:$A,0)),""))</f>
        <v/>
      </c>
      <c r="F118" s="20"/>
      <c r="G118" s="20"/>
      <c r="H118" s="20"/>
      <c r="I118" s="20"/>
      <c r="J118" s="20"/>
      <c r="K118" s="20"/>
    </row>
    <row r="119" customFormat="false" ht="15" hidden="false" customHeight="false" outlineLevel="0" collapsed="false">
      <c r="A119" s="20"/>
      <c r="B119" s="18" t="str">
        <f aca="false">IF(A119="","",IFERROR(INDEX(Products!$A:$A,MATCH(A119,Products!$B:$B,0)),"Not found"))</f>
        <v/>
      </c>
      <c r="C119" s="20"/>
      <c r="D119" s="18" t="str">
        <f aca="false">IF(C119="","",IFERROR(INDEX(Tables!$A:$A,MATCH(C119,Tables!$B:$B,0)),"Not found"))</f>
        <v/>
      </c>
      <c r="E119" s="21" t="str">
        <f aca="false">IF(D119="","",IFERROR(INDEX(Tables!$D:$D,MATCH(D119,Tables!$A:$A,0)),""))</f>
        <v/>
      </c>
      <c r="F119" s="20"/>
      <c r="G119" s="20"/>
      <c r="H119" s="20"/>
      <c r="I119" s="20"/>
      <c r="J119" s="20"/>
      <c r="K119" s="20"/>
    </row>
    <row r="120" customFormat="false" ht="15" hidden="false" customHeight="false" outlineLevel="0" collapsed="false">
      <c r="A120" s="20"/>
      <c r="B120" s="18" t="str">
        <f aca="false">IF(A120="","",IFERROR(INDEX(Products!$A:$A,MATCH(A120,Products!$B:$B,0)),"Not found"))</f>
        <v/>
      </c>
      <c r="C120" s="20"/>
      <c r="D120" s="18" t="str">
        <f aca="false">IF(C120="","",IFERROR(INDEX(Tables!$A:$A,MATCH(C120,Tables!$B:$B,0)),"Not found"))</f>
        <v/>
      </c>
      <c r="E120" s="21" t="str">
        <f aca="false">IF(D120="","",IFERROR(INDEX(Tables!$D:$D,MATCH(D120,Tables!$A:$A,0)),""))</f>
        <v/>
      </c>
      <c r="F120" s="20"/>
      <c r="G120" s="20"/>
      <c r="H120" s="20"/>
      <c r="I120" s="20"/>
      <c r="J120" s="20"/>
      <c r="K120" s="20"/>
    </row>
    <row r="121" customFormat="false" ht="15" hidden="false" customHeight="false" outlineLevel="0" collapsed="false">
      <c r="A121" s="20"/>
      <c r="B121" s="18" t="str">
        <f aca="false">IF(A121="","",IFERROR(INDEX(Products!$A:$A,MATCH(A121,Products!$B:$B,0)),"Not found"))</f>
        <v/>
      </c>
      <c r="C121" s="20"/>
      <c r="D121" s="18" t="str">
        <f aca="false">IF(C121="","",IFERROR(INDEX(Tables!$A:$A,MATCH(C121,Tables!$B:$B,0)),"Not found"))</f>
        <v/>
      </c>
      <c r="E121" s="21" t="str">
        <f aca="false">IF(D121="","",IFERROR(INDEX(Tables!$D:$D,MATCH(D121,Tables!$A:$A,0)),""))</f>
        <v/>
      </c>
      <c r="F121" s="20"/>
      <c r="G121" s="20"/>
      <c r="H121" s="20"/>
      <c r="I121" s="20"/>
      <c r="J121" s="20"/>
      <c r="K121" s="20"/>
    </row>
    <row r="122" customFormat="false" ht="15" hidden="false" customHeight="false" outlineLevel="0" collapsed="false">
      <c r="A122" s="20"/>
      <c r="B122" s="18" t="str">
        <f aca="false">IF(A122="","",IFERROR(INDEX(Products!$A:$A,MATCH(A122,Products!$B:$B,0)),"Not found"))</f>
        <v/>
      </c>
      <c r="C122" s="20"/>
      <c r="D122" s="18" t="str">
        <f aca="false">IF(C122="","",IFERROR(INDEX(Tables!$A:$A,MATCH(C122,Tables!$B:$B,0)),"Not found"))</f>
        <v/>
      </c>
      <c r="E122" s="21" t="str">
        <f aca="false">IF(D122="","",IFERROR(INDEX(Tables!$D:$D,MATCH(D122,Tables!$A:$A,0)),""))</f>
        <v/>
      </c>
      <c r="F122" s="20"/>
      <c r="G122" s="20"/>
      <c r="H122" s="20"/>
      <c r="I122" s="20"/>
      <c r="J122" s="20"/>
      <c r="K122" s="20"/>
    </row>
    <row r="123" customFormat="false" ht="15" hidden="false" customHeight="false" outlineLevel="0" collapsed="false">
      <c r="A123" s="20"/>
      <c r="B123" s="18" t="str">
        <f aca="false">IF(A123="","",IFERROR(INDEX(Products!$A:$A,MATCH(A123,Products!$B:$B,0)),"Not found"))</f>
        <v/>
      </c>
      <c r="C123" s="20"/>
      <c r="D123" s="18" t="str">
        <f aca="false">IF(C123="","",IFERROR(INDEX(Tables!$A:$A,MATCH(C123,Tables!$B:$B,0)),"Not found"))</f>
        <v/>
      </c>
      <c r="E123" s="21" t="str">
        <f aca="false">IF(D123="","",IFERROR(INDEX(Tables!$D:$D,MATCH(D123,Tables!$A:$A,0)),""))</f>
        <v/>
      </c>
      <c r="F123" s="20"/>
      <c r="G123" s="20"/>
      <c r="H123" s="20"/>
      <c r="I123" s="20"/>
      <c r="J123" s="20"/>
      <c r="K123" s="20"/>
    </row>
    <row r="124" customFormat="false" ht="15" hidden="false" customHeight="false" outlineLevel="0" collapsed="false">
      <c r="A124" s="20"/>
      <c r="B124" s="18" t="str">
        <f aca="false">IF(A124="","",IFERROR(INDEX(Products!$A:$A,MATCH(A124,Products!$B:$B,0)),"Not found"))</f>
        <v/>
      </c>
      <c r="C124" s="20"/>
      <c r="D124" s="18" t="str">
        <f aca="false">IF(C124="","",IFERROR(INDEX(Tables!$A:$A,MATCH(C124,Tables!$B:$B,0)),"Not found"))</f>
        <v/>
      </c>
      <c r="E124" s="21" t="str">
        <f aca="false">IF(D124="","",IFERROR(INDEX(Tables!$D:$D,MATCH(D124,Tables!$A:$A,0)),""))</f>
        <v/>
      </c>
      <c r="F124" s="20"/>
      <c r="G124" s="20"/>
      <c r="H124" s="20"/>
      <c r="I124" s="20"/>
      <c r="J124" s="20"/>
      <c r="K124" s="20"/>
    </row>
    <row r="125" customFormat="false" ht="15" hidden="false" customHeight="false" outlineLevel="0" collapsed="false">
      <c r="A125" s="20"/>
      <c r="B125" s="18" t="str">
        <f aca="false">IF(A125="","",IFERROR(INDEX(Products!$A:$A,MATCH(A125,Products!$B:$B,0)),"Not found"))</f>
        <v/>
      </c>
      <c r="C125" s="20"/>
      <c r="D125" s="18" t="str">
        <f aca="false">IF(C125="","",IFERROR(INDEX(Tables!$A:$A,MATCH(C125,Tables!$B:$B,0)),"Not found"))</f>
        <v/>
      </c>
      <c r="E125" s="21" t="str">
        <f aca="false">IF(D125="","",IFERROR(INDEX(Tables!$D:$D,MATCH(D125,Tables!$A:$A,0)),""))</f>
        <v/>
      </c>
      <c r="F125" s="20"/>
      <c r="G125" s="20"/>
      <c r="H125" s="20"/>
      <c r="I125" s="20"/>
      <c r="J125" s="20"/>
      <c r="K125" s="20"/>
    </row>
    <row r="126" customFormat="false" ht="15" hidden="false" customHeight="false" outlineLevel="0" collapsed="false">
      <c r="A126" s="20"/>
      <c r="B126" s="18" t="str">
        <f aca="false">IF(A126="","",IFERROR(INDEX(Products!$A:$A,MATCH(A126,Products!$B:$B,0)),"Not found"))</f>
        <v/>
      </c>
      <c r="C126" s="20"/>
      <c r="D126" s="18" t="str">
        <f aca="false">IF(C126="","",IFERROR(INDEX(Tables!$A:$A,MATCH(C126,Tables!$B:$B,0)),"Not found"))</f>
        <v/>
      </c>
      <c r="E126" s="21" t="str">
        <f aca="false">IF(D126="","",IFERROR(INDEX(Tables!$D:$D,MATCH(D126,Tables!$A:$A,0)),""))</f>
        <v/>
      </c>
      <c r="F126" s="20"/>
      <c r="G126" s="20"/>
      <c r="H126" s="20"/>
      <c r="I126" s="20"/>
      <c r="J126" s="20"/>
      <c r="K126" s="20"/>
    </row>
    <row r="127" customFormat="false" ht="15" hidden="false" customHeight="false" outlineLevel="0" collapsed="false">
      <c r="A127" s="20"/>
      <c r="B127" s="18" t="str">
        <f aca="false">IF(A127="","",IFERROR(INDEX(Products!$A:$A,MATCH(A127,Products!$B:$B,0)),"Not found"))</f>
        <v/>
      </c>
      <c r="C127" s="20"/>
      <c r="D127" s="18" t="str">
        <f aca="false">IF(C127="","",IFERROR(INDEX(Tables!$A:$A,MATCH(C127,Tables!$B:$B,0)),"Not found"))</f>
        <v/>
      </c>
      <c r="E127" s="21" t="str">
        <f aca="false">IF(D127="","",IFERROR(INDEX(Tables!$D:$D,MATCH(D127,Tables!$A:$A,0)),""))</f>
        <v/>
      </c>
      <c r="F127" s="20"/>
      <c r="G127" s="20"/>
      <c r="H127" s="20"/>
      <c r="I127" s="20"/>
      <c r="J127" s="20"/>
      <c r="K127" s="20"/>
    </row>
    <row r="128" customFormat="false" ht="15" hidden="false" customHeight="false" outlineLevel="0" collapsed="false">
      <c r="A128" s="20"/>
      <c r="B128" s="18" t="str">
        <f aca="false">IF(A128="","",IFERROR(INDEX(Products!$A:$A,MATCH(A128,Products!$B:$B,0)),"Not found"))</f>
        <v/>
      </c>
      <c r="C128" s="20"/>
      <c r="D128" s="18" t="str">
        <f aca="false">IF(C128="","",IFERROR(INDEX(Tables!$A:$A,MATCH(C128,Tables!$B:$B,0)),"Not found"))</f>
        <v/>
      </c>
      <c r="E128" s="21" t="str">
        <f aca="false">IF(D128="","",IFERROR(INDEX(Tables!$D:$D,MATCH(D128,Tables!$A:$A,0)),""))</f>
        <v/>
      </c>
      <c r="F128" s="20"/>
      <c r="G128" s="20"/>
      <c r="H128" s="20"/>
      <c r="I128" s="20"/>
      <c r="J128" s="20"/>
      <c r="K128" s="20"/>
    </row>
    <row r="129" customFormat="false" ht="15" hidden="false" customHeight="false" outlineLevel="0" collapsed="false">
      <c r="A129" s="20"/>
      <c r="B129" s="18" t="str">
        <f aca="false">IF(A129="","",IFERROR(INDEX(Products!$A:$A,MATCH(A129,Products!$B:$B,0)),"Not found"))</f>
        <v/>
      </c>
      <c r="C129" s="20"/>
      <c r="D129" s="18" t="str">
        <f aca="false">IF(C129="","",IFERROR(INDEX(Tables!$A:$A,MATCH(C129,Tables!$B:$B,0)),"Not found"))</f>
        <v/>
      </c>
      <c r="E129" s="21" t="str">
        <f aca="false">IF(D129="","",IFERROR(INDEX(Tables!$D:$D,MATCH(D129,Tables!$A:$A,0)),""))</f>
        <v/>
      </c>
      <c r="F129" s="20"/>
      <c r="G129" s="20"/>
      <c r="H129" s="20"/>
      <c r="I129" s="20"/>
      <c r="J129" s="20"/>
      <c r="K129" s="20"/>
    </row>
    <row r="130" customFormat="false" ht="15" hidden="false" customHeight="false" outlineLevel="0" collapsed="false">
      <c r="A130" s="20"/>
      <c r="B130" s="18" t="str">
        <f aca="false">IF(A130="","",IFERROR(INDEX(Products!$A:$A,MATCH(A130,Products!$B:$B,0)),"Not found"))</f>
        <v/>
      </c>
      <c r="C130" s="20"/>
      <c r="D130" s="18" t="str">
        <f aca="false">IF(C130="","",IFERROR(INDEX(Tables!$A:$A,MATCH(C130,Tables!$B:$B,0)),"Not found"))</f>
        <v/>
      </c>
      <c r="E130" s="21" t="str">
        <f aca="false">IF(D130="","",IFERROR(INDEX(Tables!$D:$D,MATCH(D130,Tables!$A:$A,0)),""))</f>
        <v/>
      </c>
      <c r="F130" s="20"/>
      <c r="G130" s="20"/>
      <c r="H130" s="20"/>
      <c r="I130" s="20"/>
      <c r="J130" s="20"/>
      <c r="K130" s="20"/>
    </row>
    <row r="131" customFormat="false" ht="15" hidden="false" customHeight="false" outlineLevel="0" collapsed="false">
      <c r="A131" s="20"/>
      <c r="B131" s="18" t="str">
        <f aca="false">IF(A131="","",IFERROR(INDEX(Products!$A:$A,MATCH(A131,Products!$B:$B,0)),"Not found"))</f>
        <v/>
      </c>
      <c r="C131" s="20"/>
      <c r="D131" s="18" t="str">
        <f aca="false">IF(C131="","",IFERROR(INDEX(Tables!$A:$A,MATCH(C131,Tables!$B:$B,0)),"Not found"))</f>
        <v/>
      </c>
      <c r="E131" s="21" t="str">
        <f aca="false">IF(D131="","",IFERROR(INDEX(Tables!$D:$D,MATCH(D131,Tables!$A:$A,0)),""))</f>
        <v/>
      </c>
      <c r="F131" s="20"/>
      <c r="G131" s="20"/>
      <c r="H131" s="20"/>
      <c r="I131" s="20"/>
      <c r="J131" s="20"/>
      <c r="K131" s="20"/>
    </row>
    <row r="132" customFormat="false" ht="15" hidden="false" customHeight="false" outlineLevel="0" collapsed="false">
      <c r="A132" s="20"/>
      <c r="B132" s="18" t="str">
        <f aca="false">IF(A132="","",IFERROR(INDEX(Products!$A:$A,MATCH(A132,Products!$B:$B,0)),"Not found"))</f>
        <v/>
      </c>
      <c r="C132" s="20"/>
      <c r="D132" s="18" t="str">
        <f aca="false">IF(C132="","",IFERROR(INDEX(Tables!$A:$A,MATCH(C132,Tables!$B:$B,0)),"Not found"))</f>
        <v/>
      </c>
      <c r="E132" s="21" t="str">
        <f aca="false">IF(D132="","",IFERROR(INDEX(Tables!$D:$D,MATCH(D132,Tables!$A:$A,0)),""))</f>
        <v/>
      </c>
      <c r="F132" s="20"/>
      <c r="G132" s="20"/>
      <c r="H132" s="20"/>
      <c r="I132" s="20"/>
      <c r="J132" s="20"/>
      <c r="K132" s="20"/>
    </row>
    <row r="133" customFormat="false" ht="15" hidden="false" customHeight="false" outlineLevel="0" collapsed="false">
      <c r="A133" s="20"/>
      <c r="B133" s="18" t="str">
        <f aca="false">IF(A133="","",IFERROR(INDEX(Products!$A:$A,MATCH(A133,Products!$B:$B,0)),"Not found"))</f>
        <v/>
      </c>
      <c r="C133" s="20"/>
      <c r="D133" s="18" t="str">
        <f aca="false">IF(C133="","",IFERROR(INDEX(Tables!$A:$A,MATCH(C133,Tables!$B:$B,0)),"Not found"))</f>
        <v/>
      </c>
      <c r="E133" s="21" t="str">
        <f aca="false">IF(D133="","",IFERROR(INDEX(Tables!$D:$D,MATCH(D133,Tables!$A:$A,0)),""))</f>
        <v/>
      </c>
      <c r="F133" s="20"/>
      <c r="G133" s="20"/>
      <c r="H133" s="20"/>
      <c r="I133" s="20"/>
      <c r="J133" s="20"/>
      <c r="K133" s="20"/>
    </row>
    <row r="134" customFormat="false" ht="15" hidden="false" customHeight="false" outlineLevel="0" collapsed="false">
      <c r="A134" s="20"/>
      <c r="B134" s="18" t="str">
        <f aca="false">IF(A134="","",IFERROR(INDEX(Products!$A:$A,MATCH(A134,Products!$B:$B,0)),"Not found"))</f>
        <v/>
      </c>
      <c r="C134" s="20"/>
      <c r="D134" s="18" t="str">
        <f aca="false">IF(C134="","",IFERROR(INDEX(Tables!$A:$A,MATCH(C134,Tables!$B:$B,0)),"Not found"))</f>
        <v/>
      </c>
      <c r="E134" s="21" t="str">
        <f aca="false">IF(D134="","",IFERROR(INDEX(Tables!$D:$D,MATCH(D134,Tables!$A:$A,0)),""))</f>
        <v/>
      </c>
      <c r="F134" s="20"/>
      <c r="G134" s="20"/>
      <c r="H134" s="20"/>
      <c r="I134" s="20"/>
      <c r="J134" s="20"/>
      <c r="K134" s="20"/>
    </row>
    <row r="135" customFormat="false" ht="15" hidden="false" customHeight="false" outlineLevel="0" collapsed="false">
      <c r="A135" s="20"/>
      <c r="B135" s="18" t="str">
        <f aca="false">IF(A135="","",IFERROR(INDEX(Products!$A:$A,MATCH(A135,Products!$B:$B,0)),"Not found"))</f>
        <v/>
      </c>
      <c r="C135" s="20"/>
      <c r="D135" s="18" t="str">
        <f aca="false">IF(C135="","",IFERROR(INDEX(Tables!$A:$A,MATCH(C135,Tables!$B:$B,0)),"Not found"))</f>
        <v/>
      </c>
      <c r="E135" s="21" t="str">
        <f aca="false">IF(D135="","",IFERROR(INDEX(Tables!$D:$D,MATCH(D135,Tables!$A:$A,0)),""))</f>
        <v/>
      </c>
      <c r="F135" s="20"/>
      <c r="G135" s="20"/>
      <c r="H135" s="20"/>
      <c r="I135" s="20"/>
      <c r="J135" s="20"/>
      <c r="K135" s="20"/>
    </row>
    <row r="136" customFormat="false" ht="15" hidden="false" customHeight="false" outlineLevel="0" collapsed="false">
      <c r="A136" s="20"/>
      <c r="B136" s="18" t="str">
        <f aca="false">IF(A136="","",IFERROR(INDEX(Products!$A:$A,MATCH(A136,Products!$B:$B,0)),"Not found"))</f>
        <v/>
      </c>
      <c r="C136" s="20"/>
      <c r="D136" s="18" t="str">
        <f aca="false">IF(C136="","",IFERROR(INDEX(Tables!$A:$A,MATCH(C136,Tables!$B:$B,0)),"Not found"))</f>
        <v/>
      </c>
      <c r="E136" s="21" t="str">
        <f aca="false">IF(D136="","",IFERROR(INDEX(Tables!$D:$D,MATCH(D136,Tables!$A:$A,0)),""))</f>
        <v/>
      </c>
      <c r="F136" s="20"/>
      <c r="G136" s="20"/>
      <c r="H136" s="20"/>
      <c r="I136" s="20"/>
      <c r="J136" s="20"/>
      <c r="K136" s="20"/>
    </row>
    <row r="137" customFormat="false" ht="15" hidden="false" customHeight="false" outlineLevel="0" collapsed="false">
      <c r="A137" s="20"/>
      <c r="B137" s="18" t="str">
        <f aca="false">IF(A137="","",IFERROR(INDEX(Products!$A:$A,MATCH(A137,Products!$B:$B,0)),"Not found"))</f>
        <v/>
      </c>
      <c r="C137" s="20"/>
      <c r="D137" s="18" t="str">
        <f aca="false">IF(C137="","",IFERROR(INDEX(Tables!$A:$A,MATCH(C137,Tables!$B:$B,0)),"Not found"))</f>
        <v/>
      </c>
      <c r="E137" s="21" t="str">
        <f aca="false">IF(D137="","",IFERROR(INDEX(Tables!$D:$D,MATCH(D137,Tables!$A:$A,0)),""))</f>
        <v/>
      </c>
      <c r="F137" s="20"/>
      <c r="G137" s="20"/>
      <c r="H137" s="20"/>
      <c r="I137" s="20"/>
      <c r="J137" s="20"/>
      <c r="K137" s="20"/>
    </row>
    <row r="138" customFormat="false" ht="15" hidden="false" customHeight="false" outlineLevel="0" collapsed="false">
      <c r="A138" s="20"/>
      <c r="B138" s="18" t="str">
        <f aca="false">IF(A138="","",IFERROR(INDEX(Products!$A:$A,MATCH(A138,Products!$B:$B,0)),"Not found"))</f>
        <v/>
      </c>
      <c r="C138" s="20"/>
      <c r="D138" s="18" t="str">
        <f aca="false">IF(C138="","",IFERROR(INDEX(Tables!$A:$A,MATCH(C138,Tables!$B:$B,0)),"Not found"))</f>
        <v/>
      </c>
      <c r="E138" s="21" t="str">
        <f aca="false">IF(D138="","",IFERROR(INDEX(Tables!$D:$D,MATCH(D138,Tables!$A:$A,0)),""))</f>
        <v/>
      </c>
      <c r="F138" s="20"/>
      <c r="G138" s="20"/>
      <c r="H138" s="20"/>
      <c r="I138" s="20"/>
      <c r="J138" s="20"/>
      <c r="K138" s="20"/>
    </row>
    <row r="139" customFormat="false" ht="15" hidden="false" customHeight="false" outlineLevel="0" collapsed="false">
      <c r="A139" s="20"/>
      <c r="B139" s="18" t="str">
        <f aca="false">IF(A139="","",IFERROR(INDEX(Products!$A:$A,MATCH(A139,Products!$B:$B,0)),"Not found"))</f>
        <v/>
      </c>
      <c r="C139" s="20"/>
      <c r="D139" s="18" t="str">
        <f aca="false">IF(C139="","",IFERROR(INDEX(Tables!$A:$A,MATCH(C139,Tables!$B:$B,0)),"Not found"))</f>
        <v/>
      </c>
      <c r="E139" s="21" t="str">
        <f aca="false">IF(D139="","",IFERROR(INDEX(Tables!$D:$D,MATCH(D139,Tables!$A:$A,0)),""))</f>
        <v/>
      </c>
      <c r="F139" s="20"/>
      <c r="G139" s="20"/>
      <c r="H139" s="20"/>
      <c r="I139" s="20"/>
      <c r="J139" s="20"/>
      <c r="K139" s="20"/>
    </row>
    <row r="140" customFormat="false" ht="15" hidden="false" customHeight="false" outlineLevel="0" collapsed="false">
      <c r="A140" s="20"/>
      <c r="B140" s="18" t="str">
        <f aca="false">IF(A140="","",IFERROR(INDEX(Products!$A:$A,MATCH(A140,Products!$B:$B,0)),"Not found"))</f>
        <v/>
      </c>
      <c r="C140" s="20"/>
      <c r="D140" s="18" t="str">
        <f aca="false">IF(C140="","",IFERROR(INDEX(Tables!$A:$A,MATCH(C140,Tables!$B:$B,0)),"Not found"))</f>
        <v/>
      </c>
      <c r="E140" s="21" t="str">
        <f aca="false">IF(D140="","",IFERROR(INDEX(Tables!$D:$D,MATCH(D140,Tables!$A:$A,0)),""))</f>
        <v/>
      </c>
      <c r="F140" s="20"/>
      <c r="G140" s="20"/>
      <c r="H140" s="20"/>
      <c r="I140" s="20"/>
      <c r="J140" s="20"/>
      <c r="K140" s="20"/>
    </row>
    <row r="141" customFormat="false" ht="15" hidden="false" customHeight="false" outlineLevel="0" collapsed="false">
      <c r="A141" s="20"/>
      <c r="B141" s="18" t="str">
        <f aca="false">IF(A141="","",IFERROR(INDEX(Products!$A:$A,MATCH(A141,Products!$B:$B,0)),"Not found"))</f>
        <v/>
      </c>
      <c r="C141" s="20"/>
      <c r="D141" s="18" t="str">
        <f aca="false">IF(C141="","",IFERROR(INDEX(Tables!$A:$A,MATCH(C141,Tables!$B:$B,0)),"Not found"))</f>
        <v/>
      </c>
      <c r="E141" s="21" t="str">
        <f aca="false">IF(D141="","",IFERROR(INDEX(Tables!$D:$D,MATCH(D141,Tables!$A:$A,0)),""))</f>
        <v/>
      </c>
      <c r="F141" s="20"/>
      <c r="G141" s="20"/>
      <c r="H141" s="20"/>
      <c r="I141" s="20"/>
      <c r="J141" s="20"/>
      <c r="K141" s="20"/>
    </row>
    <row r="142" customFormat="false" ht="15" hidden="false" customHeight="false" outlineLevel="0" collapsed="false">
      <c r="A142" s="20"/>
      <c r="B142" s="18" t="str">
        <f aca="false">IF(A142="","",IFERROR(INDEX(Products!$A:$A,MATCH(A142,Products!$B:$B,0)),"Not found"))</f>
        <v/>
      </c>
      <c r="C142" s="20"/>
      <c r="D142" s="18" t="str">
        <f aca="false">IF(C142="","",IFERROR(INDEX(Tables!$A:$A,MATCH(C142,Tables!$B:$B,0)),"Not found"))</f>
        <v/>
      </c>
      <c r="E142" s="21" t="str">
        <f aca="false">IF(D142="","",IFERROR(INDEX(Tables!$D:$D,MATCH(D142,Tables!$A:$A,0)),""))</f>
        <v/>
      </c>
      <c r="F142" s="20"/>
      <c r="G142" s="20"/>
      <c r="H142" s="20"/>
      <c r="I142" s="20"/>
      <c r="J142" s="20"/>
      <c r="K142" s="20"/>
    </row>
    <row r="143" customFormat="false" ht="15" hidden="false" customHeight="false" outlineLevel="0" collapsed="false">
      <c r="A143" s="20"/>
      <c r="B143" s="18" t="str">
        <f aca="false">IF(A143="","",IFERROR(INDEX(Products!$A:$A,MATCH(A143,Products!$B:$B,0)),"Not found"))</f>
        <v/>
      </c>
      <c r="C143" s="20"/>
      <c r="D143" s="18" t="str">
        <f aca="false">IF(C143="","",IFERROR(INDEX(Tables!$A:$A,MATCH(C143,Tables!$B:$B,0)),"Not found"))</f>
        <v/>
      </c>
      <c r="E143" s="21" t="str">
        <f aca="false">IF(D143="","",IFERROR(INDEX(Tables!$D:$D,MATCH(D143,Tables!$A:$A,0)),""))</f>
        <v/>
      </c>
      <c r="F143" s="20"/>
      <c r="G143" s="20"/>
      <c r="H143" s="20"/>
      <c r="I143" s="20"/>
      <c r="J143" s="20"/>
      <c r="K143" s="20"/>
    </row>
    <row r="144" customFormat="false" ht="15" hidden="false" customHeight="false" outlineLevel="0" collapsed="false">
      <c r="A144" s="20"/>
      <c r="B144" s="18" t="str">
        <f aca="false">IF(A144="","",IFERROR(INDEX(Products!$A:$A,MATCH(A144,Products!$B:$B,0)),"Not found"))</f>
        <v/>
      </c>
      <c r="C144" s="20"/>
      <c r="D144" s="18" t="str">
        <f aca="false">IF(C144="","",IFERROR(INDEX(Tables!$A:$A,MATCH(C144,Tables!$B:$B,0)),"Not found"))</f>
        <v/>
      </c>
      <c r="E144" s="21" t="str">
        <f aca="false">IF(D144="","",IFERROR(INDEX(Tables!$D:$D,MATCH(D144,Tables!$A:$A,0)),""))</f>
        <v/>
      </c>
      <c r="F144" s="20"/>
      <c r="G144" s="20"/>
      <c r="H144" s="20"/>
      <c r="I144" s="20"/>
      <c r="J144" s="20"/>
      <c r="K144" s="20"/>
    </row>
    <row r="145" customFormat="false" ht="15" hidden="false" customHeight="false" outlineLevel="0" collapsed="false">
      <c r="A145" s="20"/>
      <c r="B145" s="18" t="str">
        <f aca="false">IF(A145="","",IFERROR(INDEX(Products!$A:$A,MATCH(A145,Products!$B:$B,0)),"Not found"))</f>
        <v/>
      </c>
      <c r="C145" s="20"/>
      <c r="D145" s="18" t="str">
        <f aca="false">IF(C145="","",IFERROR(INDEX(Tables!$A:$A,MATCH(C145,Tables!$B:$B,0)),"Not found"))</f>
        <v/>
      </c>
      <c r="E145" s="21" t="str">
        <f aca="false">IF(D145="","",IFERROR(INDEX(Tables!$D:$D,MATCH(D145,Tables!$A:$A,0)),""))</f>
        <v/>
      </c>
      <c r="F145" s="20"/>
      <c r="G145" s="20"/>
      <c r="H145" s="20"/>
      <c r="I145" s="20"/>
      <c r="J145" s="20"/>
      <c r="K145" s="20"/>
    </row>
    <row r="146" customFormat="false" ht="15" hidden="false" customHeight="false" outlineLevel="0" collapsed="false">
      <c r="A146" s="20"/>
      <c r="B146" s="18" t="str">
        <f aca="false">IF(A146="","",IFERROR(INDEX(Products!$A:$A,MATCH(A146,Products!$B:$B,0)),"Not found"))</f>
        <v/>
      </c>
      <c r="C146" s="20"/>
      <c r="D146" s="18" t="str">
        <f aca="false">IF(C146="","",IFERROR(INDEX(Tables!$A:$A,MATCH(C146,Tables!$B:$B,0)),"Not found"))</f>
        <v/>
      </c>
      <c r="E146" s="21" t="str">
        <f aca="false">IF(D146="","",IFERROR(INDEX(Tables!$D:$D,MATCH(D146,Tables!$A:$A,0)),""))</f>
        <v/>
      </c>
      <c r="F146" s="20"/>
      <c r="G146" s="20"/>
      <c r="H146" s="20"/>
      <c r="I146" s="20"/>
      <c r="J146" s="20"/>
      <c r="K146" s="20"/>
    </row>
    <row r="147" customFormat="false" ht="15" hidden="false" customHeight="false" outlineLevel="0" collapsed="false">
      <c r="A147" s="20"/>
      <c r="B147" s="18" t="str">
        <f aca="false">IF(A147="","",IFERROR(INDEX(Products!$A:$A,MATCH(A147,Products!$B:$B,0)),"Not found"))</f>
        <v/>
      </c>
      <c r="C147" s="20"/>
      <c r="D147" s="18" t="str">
        <f aca="false">IF(C147="","",IFERROR(INDEX(Tables!$A:$A,MATCH(C147,Tables!$B:$B,0)),"Not found"))</f>
        <v/>
      </c>
      <c r="E147" s="21" t="str">
        <f aca="false">IF(D147="","",IFERROR(INDEX(Tables!$D:$D,MATCH(D147,Tables!$A:$A,0)),""))</f>
        <v/>
      </c>
      <c r="F147" s="20"/>
      <c r="G147" s="20"/>
      <c r="H147" s="20"/>
      <c r="I147" s="20"/>
      <c r="J147" s="20"/>
      <c r="K147" s="20"/>
    </row>
    <row r="148" customFormat="false" ht="15" hidden="false" customHeight="false" outlineLevel="0" collapsed="false">
      <c r="A148" s="20"/>
      <c r="B148" s="18" t="str">
        <f aca="false">IF(A148="","",IFERROR(INDEX(Products!$A:$A,MATCH(A148,Products!$B:$B,0)),"Not found"))</f>
        <v/>
      </c>
      <c r="C148" s="20"/>
      <c r="D148" s="18" t="str">
        <f aca="false">IF(C148="","",IFERROR(INDEX(Tables!$A:$A,MATCH(C148,Tables!$B:$B,0)),"Not found"))</f>
        <v/>
      </c>
      <c r="E148" s="21" t="str">
        <f aca="false">IF(D148="","",IFERROR(INDEX(Tables!$D:$D,MATCH(D148,Tables!$A:$A,0)),""))</f>
        <v/>
      </c>
      <c r="F148" s="20"/>
      <c r="G148" s="20"/>
      <c r="H148" s="20"/>
      <c r="I148" s="20"/>
      <c r="J148" s="20"/>
      <c r="K148" s="20"/>
    </row>
    <row r="149" customFormat="false" ht="15" hidden="false" customHeight="false" outlineLevel="0" collapsed="false">
      <c r="A149" s="20"/>
      <c r="B149" s="18" t="str">
        <f aca="false">IF(A149="","",IFERROR(INDEX(Products!$A:$A,MATCH(A149,Products!$B:$B,0)),"Not found"))</f>
        <v/>
      </c>
      <c r="C149" s="20"/>
      <c r="D149" s="18" t="str">
        <f aca="false">IF(C149="","",IFERROR(INDEX(Tables!$A:$A,MATCH(C149,Tables!$B:$B,0)),"Not found"))</f>
        <v/>
      </c>
      <c r="E149" s="21" t="str">
        <f aca="false">IF(D149="","",IFERROR(INDEX(Tables!$D:$D,MATCH(D149,Tables!$A:$A,0)),""))</f>
        <v/>
      </c>
      <c r="F149" s="20"/>
      <c r="G149" s="20"/>
      <c r="H149" s="20"/>
      <c r="I149" s="20"/>
      <c r="J149" s="20"/>
      <c r="K149" s="20"/>
    </row>
    <row r="150" customFormat="false" ht="15" hidden="false" customHeight="false" outlineLevel="0" collapsed="false">
      <c r="A150" s="20"/>
      <c r="B150" s="18" t="str">
        <f aca="false">IF(A150="","",IFERROR(INDEX(Products!$A:$A,MATCH(A150,Products!$B:$B,0)),"Not found"))</f>
        <v/>
      </c>
      <c r="C150" s="20"/>
      <c r="D150" s="18" t="str">
        <f aca="false">IF(C150="","",IFERROR(INDEX(Tables!$A:$A,MATCH(C150,Tables!$B:$B,0)),"Not found"))</f>
        <v/>
      </c>
      <c r="E150" s="21" t="str">
        <f aca="false">IF(D150="","",IFERROR(INDEX(Tables!$D:$D,MATCH(D150,Tables!$A:$A,0)),""))</f>
        <v/>
      </c>
      <c r="F150" s="20"/>
      <c r="G150" s="20"/>
      <c r="H150" s="20"/>
      <c r="I150" s="20"/>
      <c r="J150" s="20"/>
      <c r="K150" s="20"/>
    </row>
    <row r="151" customFormat="false" ht="15" hidden="false" customHeight="false" outlineLevel="0" collapsed="false">
      <c r="A151" s="20"/>
      <c r="B151" s="18" t="str">
        <f aca="false">IF(A151="","",IFERROR(INDEX(Products!$A:$A,MATCH(A151,Products!$B:$B,0)),"Not found"))</f>
        <v/>
      </c>
      <c r="C151" s="20"/>
      <c r="D151" s="18" t="str">
        <f aca="false">IF(C151="","",IFERROR(INDEX(Tables!$A:$A,MATCH(C151,Tables!$B:$B,0)),"Not found"))</f>
        <v/>
      </c>
      <c r="E151" s="21" t="str">
        <f aca="false">IF(D151="","",IFERROR(INDEX(Tables!$D:$D,MATCH(D151,Tables!$A:$A,0)),""))</f>
        <v/>
      </c>
      <c r="F151" s="20"/>
      <c r="G151" s="20"/>
      <c r="H151" s="20"/>
      <c r="I151" s="20"/>
      <c r="J151" s="20"/>
      <c r="K151" s="20"/>
    </row>
    <row r="152" customFormat="false" ht="15" hidden="false" customHeight="false" outlineLevel="0" collapsed="false">
      <c r="A152" s="20"/>
      <c r="B152" s="18" t="str">
        <f aca="false">IF(A152="","",IFERROR(INDEX(Products!$A:$A,MATCH(A152,Products!$B:$B,0)),"Not found"))</f>
        <v/>
      </c>
      <c r="C152" s="20"/>
      <c r="D152" s="18" t="str">
        <f aca="false">IF(C152="","",IFERROR(INDEX(Tables!$A:$A,MATCH(C152,Tables!$B:$B,0)),"Not found"))</f>
        <v/>
      </c>
      <c r="E152" s="21" t="str">
        <f aca="false">IF(D152="","",IFERROR(INDEX(Tables!$D:$D,MATCH(D152,Tables!$A:$A,0)),""))</f>
        <v/>
      </c>
      <c r="F152" s="20"/>
      <c r="G152" s="20"/>
      <c r="H152" s="20"/>
      <c r="I152" s="20"/>
      <c r="J152" s="20"/>
      <c r="K152" s="20"/>
    </row>
    <row r="153" customFormat="false" ht="15" hidden="false" customHeight="false" outlineLevel="0" collapsed="false">
      <c r="A153" s="20"/>
      <c r="B153" s="18" t="str">
        <f aca="false">IF(A153="","",IFERROR(INDEX(Products!$A:$A,MATCH(A153,Products!$B:$B,0)),"Not found"))</f>
        <v/>
      </c>
      <c r="C153" s="20"/>
      <c r="D153" s="18" t="str">
        <f aca="false">IF(C153="","",IFERROR(INDEX(Tables!$A:$A,MATCH(C153,Tables!$B:$B,0)),"Not found"))</f>
        <v/>
      </c>
      <c r="E153" s="21" t="str">
        <f aca="false">IF(D153="","",IFERROR(INDEX(Tables!$D:$D,MATCH(D153,Tables!$A:$A,0)),""))</f>
        <v/>
      </c>
      <c r="F153" s="20"/>
      <c r="G153" s="20"/>
      <c r="H153" s="20"/>
      <c r="I153" s="20"/>
      <c r="J153" s="20"/>
      <c r="K153" s="20"/>
    </row>
    <row r="154" customFormat="false" ht="15" hidden="false" customHeight="false" outlineLevel="0" collapsed="false">
      <c r="A154" s="20"/>
      <c r="B154" s="18" t="str">
        <f aca="false">IF(A154="","",IFERROR(INDEX(Products!$A:$A,MATCH(A154,Products!$B:$B,0)),"Not found"))</f>
        <v/>
      </c>
      <c r="C154" s="20"/>
      <c r="D154" s="18" t="str">
        <f aca="false">IF(C154="","",IFERROR(INDEX(Tables!$A:$A,MATCH(C154,Tables!$B:$B,0)),"Not found"))</f>
        <v/>
      </c>
      <c r="E154" s="21" t="str">
        <f aca="false">IF(D154="","",IFERROR(INDEX(Tables!$D:$D,MATCH(D154,Tables!$A:$A,0)),""))</f>
        <v/>
      </c>
      <c r="F154" s="20"/>
      <c r="G154" s="20"/>
      <c r="H154" s="20"/>
      <c r="I154" s="20"/>
      <c r="J154" s="20"/>
      <c r="K154" s="20"/>
    </row>
    <row r="155" customFormat="false" ht="15" hidden="false" customHeight="false" outlineLevel="0" collapsed="false">
      <c r="A155" s="20"/>
      <c r="B155" s="18" t="str">
        <f aca="false">IF(A155="","",IFERROR(INDEX(Products!$A:$A,MATCH(A155,Products!$B:$B,0)),"Not found"))</f>
        <v/>
      </c>
      <c r="C155" s="20"/>
      <c r="D155" s="18" t="str">
        <f aca="false">IF(C155="","",IFERROR(INDEX(Tables!$A:$A,MATCH(C155,Tables!$B:$B,0)),"Not found"))</f>
        <v/>
      </c>
      <c r="E155" s="21" t="str">
        <f aca="false">IF(D155="","",IFERROR(INDEX(Tables!$D:$D,MATCH(D155,Tables!$A:$A,0)),""))</f>
        <v/>
      </c>
      <c r="F155" s="20"/>
      <c r="G155" s="20"/>
      <c r="H155" s="20"/>
      <c r="I155" s="20"/>
      <c r="J155" s="20"/>
      <c r="K155" s="20"/>
    </row>
    <row r="156" customFormat="false" ht="15" hidden="false" customHeight="false" outlineLevel="0" collapsed="false">
      <c r="A156" s="20"/>
      <c r="B156" s="18" t="str">
        <f aca="false">IF(A156="","",IFERROR(INDEX(Products!$A:$A,MATCH(A156,Products!$B:$B,0)),"Not found"))</f>
        <v/>
      </c>
      <c r="C156" s="20"/>
      <c r="D156" s="18" t="str">
        <f aca="false">IF(C156="","",IFERROR(INDEX(Tables!$A:$A,MATCH(C156,Tables!$B:$B,0)),"Not found"))</f>
        <v/>
      </c>
      <c r="E156" s="21" t="str">
        <f aca="false">IF(D156="","",IFERROR(INDEX(Tables!$D:$D,MATCH(D156,Tables!$A:$A,0)),""))</f>
        <v/>
      </c>
      <c r="F156" s="20"/>
      <c r="G156" s="20"/>
      <c r="H156" s="20"/>
      <c r="I156" s="20"/>
      <c r="J156" s="20"/>
      <c r="K156" s="20"/>
    </row>
    <row r="157" customFormat="false" ht="15" hidden="false" customHeight="false" outlineLevel="0" collapsed="false">
      <c r="A157" s="20"/>
      <c r="B157" s="18" t="str">
        <f aca="false">IF(A157="","",IFERROR(INDEX(Products!$A:$A,MATCH(A157,Products!$B:$B,0)),"Not found"))</f>
        <v/>
      </c>
      <c r="C157" s="20"/>
      <c r="D157" s="18" t="str">
        <f aca="false">IF(C157="","",IFERROR(INDEX(Tables!$A:$A,MATCH(C157,Tables!$B:$B,0)),"Not found"))</f>
        <v/>
      </c>
      <c r="E157" s="21" t="str">
        <f aca="false">IF(D157="","",IFERROR(INDEX(Tables!$D:$D,MATCH(D157,Tables!$A:$A,0)),""))</f>
        <v/>
      </c>
      <c r="F157" s="20"/>
      <c r="G157" s="20"/>
      <c r="H157" s="20"/>
      <c r="I157" s="20"/>
      <c r="J157" s="20"/>
      <c r="K157" s="20"/>
    </row>
    <row r="158" customFormat="false" ht="15" hidden="false" customHeight="false" outlineLevel="0" collapsed="false">
      <c r="A158" s="20"/>
      <c r="B158" s="18" t="str">
        <f aca="false">IF(A158="","",IFERROR(INDEX(Products!$A:$A,MATCH(A158,Products!$B:$B,0)),"Not found"))</f>
        <v/>
      </c>
      <c r="C158" s="20"/>
      <c r="D158" s="18" t="str">
        <f aca="false">IF(C158="","",IFERROR(INDEX(Tables!$A:$A,MATCH(C158,Tables!$B:$B,0)),"Not found"))</f>
        <v/>
      </c>
      <c r="E158" s="21" t="str">
        <f aca="false">IF(D158="","",IFERROR(INDEX(Tables!$D:$D,MATCH(D158,Tables!$A:$A,0)),""))</f>
        <v/>
      </c>
      <c r="F158" s="20"/>
      <c r="G158" s="20"/>
      <c r="H158" s="20"/>
      <c r="I158" s="20"/>
      <c r="J158" s="20"/>
      <c r="K158" s="20"/>
    </row>
    <row r="159" customFormat="false" ht="15" hidden="false" customHeight="false" outlineLevel="0" collapsed="false">
      <c r="A159" s="20"/>
      <c r="B159" s="18" t="str">
        <f aca="false">IF(A159="","",IFERROR(INDEX(Products!$A:$A,MATCH(A159,Products!$B:$B,0)),"Not found"))</f>
        <v/>
      </c>
      <c r="C159" s="20"/>
      <c r="D159" s="18" t="str">
        <f aca="false">IF(C159="","",IFERROR(INDEX(Tables!$A:$A,MATCH(C159,Tables!$B:$B,0)),"Not found"))</f>
        <v/>
      </c>
      <c r="E159" s="21" t="str">
        <f aca="false">IF(D159="","",IFERROR(INDEX(Tables!$D:$D,MATCH(D159,Tables!$A:$A,0)),""))</f>
        <v/>
      </c>
      <c r="F159" s="20"/>
      <c r="G159" s="20"/>
      <c r="H159" s="20"/>
      <c r="I159" s="20"/>
      <c r="J159" s="20"/>
      <c r="K159" s="20"/>
    </row>
    <row r="160" customFormat="false" ht="15" hidden="false" customHeight="false" outlineLevel="0" collapsed="false">
      <c r="A160" s="20"/>
      <c r="B160" s="18" t="str">
        <f aca="false">IF(A160="","",IFERROR(INDEX(Products!$A:$A,MATCH(A160,Products!$B:$B,0)),"Not found"))</f>
        <v/>
      </c>
      <c r="C160" s="20"/>
      <c r="D160" s="18" t="str">
        <f aca="false">IF(C160="","",IFERROR(INDEX(Tables!$A:$A,MATCH(C160,Tables!$B:$B,0)),"Not found"))</f>
        <v/>
      </c>
      <c r="E160" s="21" t="str">
        <f aca="false">IF(D160="","",IFERROR(INDEX(Tables!$D:$D,MATCH(D160,Tables!$A:$A,0)),""))</f>
        <v/>
      </c>
      <c r="F160" s="20"/>
      <c r="G160" s="20"/>
      <c r="H160" s="20"/>
      <c r="I160" s="20"/>
      <c r="J160" s="20"/>
      <c r="K160" s="20"/>
    </row>
    <row r="161" customFormat="false" ht="15" hidden="false" customHeight="false" outlineLevel="0" collapsed="false">
      <c r="A161" s="20"/>
      <c r="B161" s="18" t="str">
        <f aca="false">IF(A161="","",IFERROR(INDEX(Products!$A:$A,MATCH(A161,Products!$B:$B,0)),"Not found"))</f>
        <v/>
      </c>
      <c r="C161" s="20"/>
      <c r="D161" s="18" t="str">
        <f aca="false">IF(C161="","",IFERROR(INDEX(Tables!$A:$A,MATCH(C161,Tables!$B:$B,0)),"Not found"))</f>
        <v/>
      </c>
      <c r="E161" s="21" t="str">
        <f aca="false">IF(D161="","",IFERROR(INDEX(Tables!$D:$D,MATCH(D161,Tables!$A:$A,0)),""))</f>
        <v/>
      </c>
      <c r="F161" s="20"/>
      <c r="G161" s="20"/>
      <c r="H161" s="20"/>
      <c r="I161" s="20"/>
      <c r="J161" s="20"/>
      <c r="K161" s="20"/>
    </row>
    <row r="162" customFormat="false" ht="15" hidden="false" customHeight="false" outlineLevel="0" collapsed="false">
      <c r="A162" s="20"/>
      <c r="B162" s="18" t="str">
        <f aca="false">IF(A162="","",IFERROR(INDEX(Products!$A:$A,MATCH(A162,Products!$B:$B,0)),"Not found"))</f>
        <v/>
      </c>
      <c r="C162" s="20"/>
      <c r="D162" s="18" t="str">
        <f aca="false">IF(C162="","",IFERROR(INDEX(Tables!$A:$A,MATCH(C162,Tables!$B:$B,0)),"Not found"))</f>
        <v/>
      </c>
      <c r="E162" s="21" t="str">
        <f aca="false">IF(D162="","",IFERROR(INDEX(Tables!$D:$D,MATCH(D162,Tables!$A:$A,0)),""))</f>
        <v/>
      </c>
      <c r="F162" s="20"/>
      <c r="G162" s="20"/>
      <c r="H162" s="20"/>
      <c r="I162" s="20"/>
      <c r="J162" s="20"/>
      <c r="K162" s="20"/>
    </row>
    <row r="163" customFormat="false" ht="15" hidden="false" customHeight="false" outlineLevel="0" collapsed="false">
      <c r="A163" s="20"/>
      <c r="B163" s="18" t="str">
        <f aca="false">IF(A163="","",IFERROR(INDEX(Products!$A:$A,MATCH(A163,Products!$B:$B,0)),"Not found"))</f>
        <v/>
      </c>
      <c r="C163" s="20"/>
      <c r="D163" s="18" t="str">
        <f aca="false">IF(C163="","",IFERROR(INDEX(Tables!$A:$A,MATCH(C163,Tables!$B:$B,0)),"Not found"))</f>
        <v/>
      </c>
      <c r="E163" s="21" t="str">
        <f aca="false">IF(D163="","",IFERROR(INDEX(Tables!$D:$D,MATCH(D163,Tables!$A:$A,0)),""))</f>
        <v/>
      </c>
      <c r="F163" s="20"/>
      <c r="G163" s="20"/>
      <c r="H163" s="20"/>
      <c r="I163" s="20"/>
      <c r="J163" s="20"/>
      <c r="K163" s="20"/>
    </row>
    <row r="164" customFormat="false" ht="15" hidden="false" customHeight="false" outlineLevel="0" collapsed="false">
      <c r="A164" s="20"/>
      <c r="B164" s="18" t="str">
        <f aca="false">IF(A164="","",IFERROR(INDEX(Products!$A:$A,MATCH(A164,Products!$B:$B,0)),"Not found"))</f>
        <v/>
      </c>
      <c r="C164" s="20"/>
      <c r="D164" s="18" t="str">
        <f aca="false">IF(C164="","",IFERROR(INDEX(Tables!$A:$A,MATCH(C164,Tables!$B:$B,0)),"Not found"))</f>
        <v/>
      </c>
      <c r="E164" s="21" t="str">
        <f aca="false">IF(D164="","",IFERROR(INDEX(Tables!$D:$D,MATCH(D164,Tables!$A:$A,0)),""))</f>
        <v/>
      </c>
      <c r="F164" s="20"/>
      <c r="G164" s="20"/>
      <c r="H164" s="20"/>
      <c r="I164" s="20"/>
      <c r="J164" s="20"/>
      <c r="K164" s="20"/>
    </row>
    <row r="165" customFormat="false" ht="15" hidden="false" customHeight="false" outlineLevel="0" collapsed="false">
      <c r="A165" s="20"/>
      <c r="B165" s="18" t="str">
        <f aca="false">IF(A165="","",IFERROR(INDEX(Products!$A:$A,MATCH(A165,Products!$B:$B,0)),"Not found"))</f>
        <v/>
      </c>
      <c r="C165" s="20"/>
      <c r="D165" s="18" t="str">
        <f aca="false">IF(C165="","",IFERROR(INDEX(Tables!$A:$A,MATCH(C165,Tables!$B:$B,0)),"Not found"))</f>
        <v/>
      </c>
      <c r="E165" s="21" t="str">
        <f aca="false">IF(D165="","",IFERROR(INDEX(Tables!$D:$D,MATCH(D165,Tables!$A:$A,0)),""))</f>
        <v/>
      </c>
      <c r="F165" s="20"/>
      <c r="G165" s="20"/>
      <c r="H165" s="20"/>
      <c r="I165" s="20"/>
      <c r="J165" s="20"/>
      <c r="K165" s="20"/>
    </row>
    <row r="166" customFormat="false" ht="15" hidden="false" customHeight="false" outlineLevel="0" collapsed="false">
      <c r="A166" s="20"/>
      <c r="B166" s="18" t="str">
        <f aca="false">IF(A166="","",IFERROR(INDEX(Products!$A:$A,MATCH(A166,Products!$B:$B,0)),"Not found"))</f>
        <v/>
      </c>
      <c r="C166" s="20"/>
      <c r="D166" s="18" t="str">
        <f aca="false">IF(C166="","",IFERROR(INDEX(Tables!$A:$A,MATCH(C166,Tables!$B:$B,0)),"Not found"))</f>
        <v/>
      </c>
      <c r="E166" s="21" t="str">
        <f aca="false">IF(D166="","",IFERROR(INDEX(Tables!$D:$D,MATCH(D166,Tables!$A:$A,0)),""))</f>
        <v/>
      </c>
      <c r="F166" s="20"/>
      <c r="G166" s="20"/>
      <c r="H166" s="20"/>
      <c r="I166" s="20"/>
      <c r="J166" s="20"/>
      <c r="K166" s="20"/>
    </row>
    <row r="167" customFormat="false" ht="15" hidden="false" customHeight="false" outlineLevel="0" collapsed="false">
      <c r="A167" s="20"/>
      <c r="B167" s="18" t="str">
        <f aca="false">IF(A167="","",IFERROR(INDEX(Products!$A:$A,MATCH(A167,Products!$B:$B,0)),"Not found"))</f>
        <v/>
      </c>
      <c r="C167" s="20"/>
      <c r="D167" s="18" t="str">
        <f aca="false">IF(C167="","",IFERROR(INDEX(Tables!$A:$A,MATCH(C167,Tables!$B:$B,0)),"Not found"))</f>
        <v/>
      </c>
      <c r="E167" s="21" t="str">
        <f aca="false">IF(D167="","",IFERROR(INDEX(Tables!$D:$D,MATCH(D167,Tables!$A:$A,0)),""))</f>
        <v/>
      </c>
      <c r="F167" s="20"/>
      <c r="G167" s="20"/>
      <c r="H167" s="20"/>
      <c r="I167" s="20"/>
      <c r="J167" s="20"/>
      <c r="K167" s="20"/>
    </row>
    <row r="168" customFormat="false" ht="15" hidden="false" customHeight="false" outlineLevel="0" collapsed="false">
      <c r="A168" s="20"/>
      <c r="B168" s="18" t="str">
        <f aca="false">IF(A168="","",IFERROR(INDEX(Products!$A:$A,MATCH(A168,Products!$B:$B,0)),"Not found"))</f>
        <v/>
      </c>
      <c r="C168" s="20"/>
      <c r="D168" s="18" t="str">
        <f aca="false">IF(C168="","",IFERROR(INDEX(Tables!$A:$A,MATCH(C168,Tables!$B:$B,0)),"Not found"))</f>
        <v/>
      </c>
      <c r="E168" s="21" t="str">
        <f aca="false">IF(D168="","",IFERROR(INDEX(Tables!$D:$D,MATCH(D168,Tables!$A:$A,0)),""))</f>
        <v/>
      </c>
      <c r="F168" s="20"/>
      <c r="G168" s="20"/>
      <c r="H168" s="20"/>
      <c r="I168" s="20"/>
      <c r="J168" s="20"/>
      <c r="K168" s="20"/>
    </row>
    <row r="169" customFormat="false" ht="15" hidden="false" customHeight="false" outlineLevel="0" collapsed="false">
      <c r="A169" s="20"/>
      <c r="B169" s="18" t="str">
        <f aca="false">IF(A169="","",IFERROR(INDEX(Products!$A:$A,MATCH(A169,Products!$B:$B,0)),"Not found"))</f>
        <v/>
      </c>
      <c r="C169" s="20"/>
      <c r="D169" s="18" t="str">
        <f aca="false">IF(C169="","",IFERROR(INDEX(Tables!$A:$A,MATCH(C169,Tables!$B:$B,0)),"Not found"))</f>
        <v/>
      </c>
      <c r="E169" s="21" t="str">
        <f aca="false">IF(D169="","",IFERROR(INDEX(Tables!$D:$D,MATCH(D169,Tables!$A:$A,0)),""))</f>
        <v/>
      </c>
      <c r="F169" s="20"/>
      <c r="G169" s="20"/>
      <c r="H169" s="20"/>
      <c r="I169" s="20"/>
      <c r="J169" s="20"/>
      <c r="K169" s="20"/>
    </row>
    <row r="170" customFormat="false" ht="15" hidden="false" customHeight="false" outlineLevel="0" collapsed="false">
      <c r="A170" s="20"/>
      <c r="B170" s="18" t="str">
        <f aca="false">IF(A170="","",IFERROR(INDEX(Products!$A:$A,MATCH(A170,Products!$B:$B,0)),"Not found"))</f>
        <v/>
      </c>
      <c r="C170" s="20"/>
      <c r="D170" s="18" t="str">
        <f aca="false">IF(C170="","",IFERROR(INDEX(Tables!$A:$A,MATCH(C170,Tables!$B:$B,0)),"Not found"))</f>
        <v/>
      </c>
      <c r="E170" s="21" t="str">
        <f aca="false">IF(D170="","",IFERROR(INDEX(Tables!$D:$D,MATCH(D170,Tables!$A:$A,0)),""))</f>
        <v/>
      </c>
      <c r="F170" s="20"/>
      <c r="G170" s="20"/>
      <c r="H170" s="20"/>
      <c r="I170" s="20"/>
      <c r="J170" s="20"/>
      <c r="K170" s="20"/>
    </row>
    <row r="171" customFormat="false" ht="15" hidden="false" customHeight="false" outlineLevel="0" collapsed="false">
      <c r="A171" s="20"/>
      <c r="B171" s="18" t="str">
        <f aca="false">IF(A171="","",IFERROR(INDEX(Products!$A:$A,MATCH(A171,Products!$B:$B,0)),"Not found"))</f>
        <v/>
      </c>
      <c r="C171" s="20"/>
      <c r="D171" s="18" t="str">
        <f aca="false">IF(C171="","",IFERROR(INDEX(Tables!$A:$A,MATCH(C171,Tables!$B:$B,0)),"Not found"))</f>
        <v/>
      </c>
      <c r="E171" s="21" t="str">
        <f aca="false">IF(D171="","",IFERROR(INDEX(Tables!$D:$D,MATCH(D171,Tables!$A:$A,0)),""))</f>
        <v/>
      </c>
      <c r="F171" s="20"/>
      <c r="G171" s="20"/>
      <c r="H171" s="20"/>
      <c r="I171" s="20"/>
      <c r="J171" s="20"/>
      <c r="K171" s="20"/>
    </row>
    <row r="172" customFormat="false" ht="15" hidden="false" customHeight="false" outlineLevel="0" collapsed="false">
      <c r="A172" s="20"/>
      <c r="B172" s="18" t="str">
        <f aca="false">IF(A172="","",IFERROR(INDEX(Products!$A:$A,MATCH(A172,Products!$B:$B,0)),"Not found"))</f>
        <v/>
      </c>
      <c r="C172" s="20"/>
      <c r="D172" s="18" t="str">
        <f aca="false">IF(C172="","",IFERROR(INDEX(Tables!$A:$A,MATCH(C172,Tables!$B:$B,0)),"Not found"))</f>
        <v/>
      </c>
      <c r="E172" s="21" t="str">
        <f aca="false">IF(D172="","",IFERROR(INDEX(Tables!$D:$D,MATCH(D172,Tables!$A:$A,0)),""))</f>
        <v/>
      </c>
      <c r="F172" s="20"/>
      <c r="G172" s="20"/>
      <c r="H172" s="20"/>
      <c r="I172" s="20"/>
      <c r="J172" s="20"/>
      <c r="K172" s="20"/>
    </row>
    <row r="173" customFormat="false" ht="15" hidden="false" customHeight="false" outlineLevel="0" collapsed="false">
      <c r="A173" s="20"/>
      <c r="B173" s="18" t="str">
        <f aca="false">IF(A173="","",IFERROR(INDEX(Products!$A:$A,MATCH(A173,Products!$B:$B,0)),"Not found"))</f>
        <v/>
      </c>
      <c r="C173" s="20"/>
      <c r="D173" s="18" t="str">
        <f aca="false">IF(C173="","",IFERROR(INDEX(Tables!$A:$A,MATCH(C173,Tables!$B:$B,0)),"Not found"))</f>
        <v/>
      </c>
      <c r="E173" s="21" t="str">
        <f aca="false">IF(D173="","",IFERROR(INDEX(Tables!$D:$D,MATCH(D173,Tables!$A:$A,0)),""))</f>
        <v/>
      </c>
      <c r="F173" s="20"/>
      <c r="G173" s="20"/>
      <c r="H173" s="20"/>
      <c r="I173" s="20"/>
      <c r="J173" s="20"/>
      <c r="K173" s="20"/>
    </row>
    <row r="174" customFormat="false" ht="15" hidden="false" customHeight="false" outlineLevel="0" collapsed="false">
      <c r="A174" s="20"/>
      <c r="B174" s="18" t="str">
        <f aca="false">IF(A174="","",IFERROR(INDEX(Products!$A:$A,MATCH(A174,Products!$B:$B,0)),"Not found"))</f>
        <v/>
      </c>
      <c r="C174" s="20"/>
      <c r="D174" s="18" t="str">
        <f aca="false">IF(C174="","",IFERROR(INDEX(Tables!$A:$A,MATCH(C174,Tables!$B:$B,0)),"Not found"))</f>
        <v/>
      </c>
      <c r="E174" s="21" t="str">
        <f aca="false">IF(D174="","",IFERROR(INDEX(Tables!$D:$D,MATCH(D174,Tables!$A:$A,0)),""))</f>
        <v/>
      </c>
      <c r="F174" s="20"/>
      <c r="G174" s="20"/>
      <c r="H174" s="20"/>
      <c r="I174" s="20"/>
      <c r="J174" s="20"/>
      <c r="K174" s="20"/>
    </row>
    <row r="175" customFormat="false" ht="15" hidden="false" customHeight="false" outlineLevel="0" collapsed="false">
      <c r="A175" s="20"/>
      <c r="B175" s="18" t="str">
        <f aca="false">IF(A175="","",IFERROR(INDEX(Products!$A:$A,MATCH(A175,Products!$B:$B,0)),"Not found"))</f>
        <v/>
      </c>
      <c r="C175" s="20"/>
      <c r="D175" s="18" t="str">
        <f aca="false">IF(C175="","",IFERROR(INDEX(Tables!$A:$A,MATCH(C175,Tables!$B:$B,0)),"Not found"))</f>
        <v/>
      </c>
      <c r="E175" s="21" t="str">
        <f aca="false">IF(D175="","",IFERROR(INDEX(Tables!$D:$D,MATCH(D175,Tables!$A:$A,0)),""))</f>
        <v/>
      </c>
      <c r="F175" s="20"/>
      <c r="G175" s="20"/>
      <c r="H175" s="20"/>
      <c r="I175" s="20"/>
      <c r="J175" s="20"/>
      <c r="K175" s="20"/>
    </row>
    <row r="176" customFormat="false" ht="15" hidden="false" customHeight="false" outlineLevel="0" collapsed="false">
      <c r="A176" s="20"/>
      <c r="B176" s="18" t="str">
        <f aca="false">IF(A176="","",IFERROR(INDEX(Products!$A:$A,MATCH(A176,Products!$B:$B,0)),"Not found"))</f>
        <v/>
      </c>
      <c r="C176" s="20"/>
      <c r="D176" s="18" t="str">
        <f aca="false">IF(C176="","",IFERROR(INDEX(Tables!$A:$A,MATCH(C176,Tables!$B:$B,0)),"Not found"))</f>
        <v/>
      </c>
      <c r="E176" s="21" t="str">
        <f aca="false">IF(D176="","",IFERROR(INDEX(Tables!$D:$D,MATCH(D176,Tables!$A:$A,0)),""))</f>
        <v/>
      </c>
      <c r="F176" s="20"/>
      <c r="G176" s="20"/>
      <c r="H176" s="20"/>
      <c r="I176" s="20"/>
      <c r="J176" s="20"/>
      <c r="K176" s="20"/>
    </row>
    <row r="177" customFormat="false" ht="15" hidden="false" customHeight="false" outlineLevel="0" collapsed="false">
      <c r="A177" s="20"/>
      <c r="B177" s="18" t="str">
        <f aca="false">IF(A177="","",IFERROR(INDEX(Products!$A:$A,MATCH(A177,Products!$B:$B,0)),"Not found"))</f>
        <v/>
      </c>
      <c r="C177" s="20"/>
      <c r="D177" s="18" t="str">
        <f aca="false">IF(C177="","",IFERROR(INDEX(Tables!$A:$A,MATCH(C177,Tables!$B:$B,0)),"Not found"))</f>
        <v/>
      </c>
      <c r="E177" s="21" t="str">
        <f aca="false">IF(D177="","",IFERROR(INDEX(Tables!$D:$D,MATCH(D177,Tables!$A:$A,0)),""))</f>
        <v/>
      </c>
      <c r="F177" s="20"/>
      <c r="G177" s="20"/>
      <c r="H177" s="20"/>
      <c r="I177" s="20"/>
      <c r="J177" s="20"/>
      <c r="K177" s="20"/>
    </row>
    <row r="178" customFormat="false" ht="15" hidden="false" customHeight="false" outlineLevel="0" collapsed="false">
      <c r="A178" s="20"/>
      <c r="B178" s="18" t="str">
        <f aca="false">IF(A178="","",IFERROR(INDEX(Products!$A:$A,MATCH(A178,Products!$B:$B,0)),"Not found"))</f>
        <v/>
      </c>
      <c r="C178" s="20"/>
      <c r="D178" s="18" t="str">
        <f aca="false">IF(C178="","",IFERROR(INDEX(Tables!$A:$A,MATCH(C178,Tables!$B:$B,0)),"Not found"))</f>
        <v/>
      </c>
      <c r="E178" s="21" t="str">
        <f aca="false">IF(D178="","",IFERROR(INDEX(Tables!$D:$D,MATCH(D178,Tables!$A:$A,0)),""))</f>
        <v/>
      </c>
      <c r="F178" s="20"/>
      <c r="G178" s="20"/>
      <c r="H178" s="20"/>
      <c r="I178" s="20"/>
      <c r="J178" s="20"/>
      <c r="K178" s="20"/>
    </row>
    <row r="179" customFormat="false" ht="15" hidden="false" customHeight="false" outlineLevel="0" collapsed="false">
      <c r="A179" s="20"/>
      <c r="B179" s="18" t="str">
        <f aca="false">IF(A179="","",IFERROR(INDEX(Products!$A:$A,MATCH(A179,Products!$B:$B,0)),"Not found"))</f>
        <v/>
      </c>
      <c r="C179" s="20"/>
      <c r="D179" s="18" t="str">
        <f aca="false">IF(C179="","",IFERROR(INDEX(Tables!$A:$A,MATCH(C179,Tables!$B:$B,0)),"Not found"))</f>
        <v/>
      </c>
      <c r="E179" s="21" t="str">
        <f aca="false">IF(D179="","",IFERROR(INDEX(Tables!$D:$D,MATCH(D179,Tables!$A:$A,0)),""))</f>
        <v/>
      </c>
      <c r="F179" s="20"/>
      <c r="G179" s="20"/>
      <c r="H179" s="20"/>
      <c r="I179" s="20"/>
      <c r="J179" s="20"/>
      <c r="K179" s="20"/>
    </row>
    <row r="180" customFormat="false" ht="15" hidden="false" customHeight="false" outlineLevel="0" collapsed="false">
      <c r="A180" s="20"/>
      <c r="B180" s="18" t="str">
        <f aca="false">IF(A180="","",IFERROR(INDEX(Products!$A:$A,MATCH(A180,Products!$B:$B,0)),"Not found"))</f>
        <v/>
      </c>
      <c r="C180" s="20"/>
      <c r="D180" s="18" t="str">
        <f aca="false">IF(C180="","",IFERROR(INDEX(Tables!$A:$A,MATCH(C180,Tables!$B:$B,0)),"Not found"))</f>
        <v/>
      </c>
      <c r="E180" s="21" t="str">
        <f aca="false">IF(D180="","",IFERROR(INDEX(Tables!$D:$D,MATCH(D180,Tables!$A:$A,0)),""))</f>
        <v/>
      </c>
      <c r="F180" s="20"/>
      <c r="G180" s="20"/>
      <c r="H180" s="20"/>
      <c r="I180" s="20"/>
      <c r="J180" s="20"/>
      <c r="K180" s="20"/>
    </row>
    <row r="181" customFormat="false" ht="15" hidden="false" customHeight="false" outlineLevel="0" collapsed="false">
      <c r="A181" s="20"/>
      <c r="B181" s="18" t="str">
        <f aca="false">IF(A181="","",IFERROR(INDEX(Products!$A:$A,MATCH(A181,Products!$B:$B,0)),"Not found"))</f>
        <v/>
      </c>
      <c r="C181" s="20"/>
      <c r="D181" s="18" t="str">
        <f aca="false">IF(C181="","",IFERROR(INDEX(Tables!$A:$A,MATCH(C181,Tables!$B:$B,0)),"Not found"))</f>
        <v/>
      </c>
      <c r="E181" s="21" t="str">
        <f aca="false">IF(D181="","",IFERROR(INDEX(Tables!$D:$D,MATCH(D181,Tables!$A:$A,0)),""))</f>
        <v/>
      </c>
      <c r="F181" s="20"/>
      <c r="G181" s="20"/>
      <c r="H181" s="20"/>
      <c r="I181" s="20"/>
      <c r="J181" s="20"/>
      <c r="K181" s="20"/>
    </row>
    <row r="182" customFormat="false" ht="15" hidden="false" customHeight="false" outlineLevel="0" collapsed="false">
      <c r="A182" s="20"/>
      <c r="B182" s="18" t="str">
        <f aca="false">IF(A182="","",IFERROR(INDEX(Products!$A:$A,MATCH(A182,Products!$B:$B,0)),"Not found"))</f>
        <v/>
      </c>
      <c r="C182" s="20"/>
      <c r="D182" s="18" t="str">
        <f aca="false">IF(C182="","",IFERROR(INDEX(Tables!$A:$A,MATCH(C182,Tables!$B:$B,0)),"Not found"))</f>
        <v/>
      </c>
      <c r="E182" s="21" t="str">
        <f aca="false">IF(D182="","",IFERROR(INDEX(Tables!$D:$D,MATCH(D182,Tables!$A:$A,0)),""))</f>
        <v/>
      </c>
      <c r="F182" s="20"/>
      <c r="G182" s="20"/>
      <c r="H182" s="20"/>
      <c r="I182" s="20"/>
      <c r="J182" s="20"/>
      <c r="K182" s="20"/>
    </row>
    <row r="183" customFormat="false" ht="15" hidden="false" customHeight="false" outlineLevel="0" collapsed="false">
      <c r="A183" s="20"/>
      <c r="B183" s="18" t="str">
        <f aca="false">IF(A183="","",IFERROR(INDEX(Products!$A:$A,MATCH(A183,Products!$B:$B,0)),"Not found"))</f>
        <v/>
      </c>
      <c r="C183" s="20"/>
      <c r="D183" s="18" t="str">
        <f aca="false">IF(C183="","",IFERROR(INDEX(Tables!$A:$A,MATCH(C183,Tables!$B:$B,0)),"Not found"))</f>
        <v/>
      </c>
      <c r="E183" s="21" t="str">
        <f aca="false">IF(D183="","",IFERROR(INDEX(Tables!$D:$D,MATCH(D183,Tables!$A:$A,0)),""))</f>
        <v/>
      </c>
      <c r="F183" s="20"/>
      <c r="G183" s="20"/>
      <c r="H183" s="20"/>
      <c r="I183" s="20"/>
      <c r="J183" s="20"/>
      <c r="K183" s="20"/>
    </row>
    <row r="184" customFormat="false" ht="15" hidden="false" customHeight="false" outlineLevel="0" collapsed="false">
      <c r="A184" s="20"/>
      <c r="B184" s="18" t="str">
        <f aca="false">IF(A184="","",IFERROR(INDEX(Products!$A:$A,MATCH(A184,Products!$B:$B,0)),"Not found"))</f>
        <v/>
      </c>
      <c r="C184" s="20"/>
      <c r="D184" s="18" t="str">
        <f aca="false">IF(C184="","",IFERROR(INDEX(Tables!$A:$A,MATCH(C184,Tables!$B:$B,0)),"Not found"))</f>
        <v/>
      </c>
      <c r="E184" s="21" t="str">
        <f aca="false">IF(D184="","",IFERROR(INDEX(Tables!$D:$D,MATCH(D184,Tables!$A:$A,0)),""))</f>
        <v/>
      </c>
      <c r="F184" s="20"/>
      <c r="G184" s="20"/>
      <c r="H184" s="20"/>
      <c r="I184" s="20"/>
      <c r="J184" s="20"/>
      <c r="K184" s="20"/>
    </row>
    <row r="185" customFormat="false" ht="15" hidden="false" customHeight="false" outlineLevel="0" collapsed="false">
      <c r="A185" s="20"/>
      <c r="B185" s="18" t="str">
        <f aca="false">IF(A185="","",IFERROR(INDEX(Products!$A:$A,MATCH(A185,Products!$B:$B,0)),"Not found"))</f>
        <v/>
      </c>
      <c r="C185" s="20"/>
      <c r="D185" s="18" t="str">
        <f aca="false">IF(C185="","",IFERROR(INDEX(Tables!$A:$A,MATCH(C185,Tables!$B:$B,0)),"Not found"))</f>
        <v/>
      </c>
      <c r="E185" s="21" t="str">
        <f aca="false">IF(D185="","",IFERROR(INDEX(Tables!$D:$D,MATCH(D185,Tables!$A:$A,0)),""))</f>
        <v/>
      </c>
      <c r="F185" s="20"/>
      <c r="G185" s="20"/>
      <c r="H185" s="20"/>
      <c r="I185" s="20"/>
      <c r="J185" s="20"/>
      <c r="K185" s="20"/>
    </row>
    <row r="186" customFormat="false" ht="15" hidden="false" customHeight="false" outlineLevel="0" collapsed="false">
      <c r="A186" s="20"/>
      <c r="B186" s="18" t="str">
        <f aca="false">IF(A186="","",IFERROR(INDEX(Products!$A:$A,MATCH(A186,Products!$B:$B,0)),"Not found"))</f>
        <v/>
      </c>
      <c r="C186" s="20"/>
      <c r="D186" s="18" t="str">
        <f aca="false">IF(C186="","",IFERROR(INDEX(Tables!$A:$A,MATCH(C186,Tables!$B:$B,0)),"Not found"))</f>
        <v/>
      </c>
      <c r="E186" s="21" t="str">
        <f aca="false">IF(D186="","",IFERROR(INDEX(Tables!$D:$D,MATCH(D186,Tables!$A:$A,0)),""))</f>
        <v/>
      </c>
      <c r="F186" s="20"/>
      <c r="G186" s="20"/>
      <c r="H186" s="20"/>
      <c r="I186" s="20"/>
      <c r="J186" s="20"/>
      <c r="K186" s="20"/>
    </row>
    <row r="187" customFormat="false" ht="15" hidden="false" customHeight="false" outlineLevel="0" collapsed="false">
      <c r="A187" s="20"/>
      <c r="B187" s="18" t="str">
        <f aca="false">IF(A187="","",IFERROR(INDEX(Products!$A:$A,MATCH(A187,Products!$B:$B,0)),"Not found"))</f>
        <v/>
      </c>
      <c r="C187" s="20"/>
      <c r="D187" s="18" t="str">
        <f aca="false">IF(C187="","",IFERROR(INDEX(Tables!$A:$A,MATCH(C187,Tables!$B:$B,0)),"Not found"))</f>
        <v/>
      </c>
      <c r="E187" s="21" t="str">
        <f aca="false">IF(D187="","",IFERROR(INDEX(Tables!$D:$D,MATCH(D187,Tables!$A:$A,0)),""))</f>
        <v/>
      </c>
      <c r="F187" s="20"/>
      <c r="G187" s="20"/>
      <c r="H187" s="20"/>
      <c r="I187" s="20"/>
      <c r="J187" s="20"/>
      <c r="K187" s="20"/>
    </row>
    <row r="188" customFormat="false" ht="15" hidden="false" customHeight="false" outlineLevel="0" collapsed="false">
      <c r="A188" s="20"/>
      <c r="B188" s="18" t="str">
        <f aca="false">IF(A188="","",IFERROR(INDEX(Products!$A:$A,MATCH(A188,Products!$B:$B,0)),"Not found"))</f>
        <v/>
      </c>
      <c r="C188" s="20"/>
      <c r="D188" s="18" t="str">
        <f aca="false">IF(C188="","",IFERROR(INDEX(Tables!$A:$A,MATCH(C188,Tables!$B:$B,0)),"Not found"))</f>
        <v/>
      </c>
      <c r="E188" s="21" t="str">
        <f aca="false">IF(D188="","",IFERROR(INDEX(Tables!$D:$D,MATCH(D188,Tables!$A:$A,0)),""))</f>
        <v/>
      </c>
      <c r="F188" s="20"/>
      <c r="G188" s="20"/>
      <c r="H188" s="20"/>
      <c r="I188" s="20"/>
      <c r="J188" s="20"/>
      <c r="K188" s="20"/>
    </row>
    <row r="189" customFormat="false" ht="15" hidden="false" customHeight="false" outlineLevel="0" collapsed="false">
      <c r="A189" s="20"/>
      <c r="B189" s="18" t="str">
        <f aca="false">IF(A189="","",IFERROR(INDEX(Products!$A:$A,MATCH(A189,Products!$B:$B,0)),"Not found"))</f>
        <v/>
      </c>
      <c r="C189" s="20"/>
      <c r="D189" s="18" t="str">
        <f aca="false">IF(C189="","",IFERROR(INDEX(Tables!$A:$A,MATCH(C189,Tables!$B:$B,0)),"Not found"))</f>
        <v/>
      </c>
      <c r="E189" s="21" t="str">
        <f aca="false">IF(D189="","",IFERROR(INDEX(Tables!$D:$D,MATCH(D189,Tables!$A:$A,0)),""))</f>
        <v/>
      </c>
      <c r="F189" s="20"/>
      <c r="G189" s="20"/>
      <c r="H189" s="20"/>
      <c r="I189" s="20"/>
      <c r="J189" s="20"/>
      <c r="K189" s="20"/>
    </row>
    <row r="190" customFormat="false" ht="15" hidden="false" customHeight="false" outlineLevel="0" collapsed="false">
      <c r="A190" s="20"/>
      <c r="B190" s="18" t="str">
        <f aca="false">IF(A190="","",IFERROR(INDEX(Products!$A:$A,MATCH(A190,Products!$B:$B,0)),"Not found"))</f>
        <v/>
      </c>
      <c r="C190" s="20"/>
      <c r="D190" s="18" t="str">
        <f aca="false">IF(C190="","",IFERROR(INDEX(Tables!$A:$A,MATCH(C190,Tables!$B:$B,0)),"Not found"))</f>
        <v/>
      </c>
      <c r="E190" s="21" t="str">
        <f aca="false">IF(D190="","",IFERROR(INDEX(Tables!$D:$D,MATCH(D190,Tables!$A:$A,0)),""))</f>
        <v/>
      </c>
      <c r="F190" s="20"/>
      <c r="G190" s="20"/>
      <c r="H190" s="20"/>
      <c r="I190" s="20"/>
      <c r="J190" s="20"/>
      <c r="K190" s="20"/>
    </row>
    <row r="191" customFormat="false" ht="15" hidden="false" customHeight="false" outlineLevel="0" collapsed="false">
      <c r="A191" s="20"/>
      <c r="B191" s="18" t="str">
        <f aca="false">IF(A191="","",IFERROR(INDEX(Products!$A:$A,MATCH(A191,Products!$B:$B,0)),"Not found"))</f>
        <v/>
      </c>
      <c r="C191" s="20"/>
      <c r="D191" s="18" t="str">
        <f aca="false">IF(C191="","",IFERROR(INDEX(Tables!$A:$A,MATCH(C191,Tables!$B:$B,0)),"Not found"))</f>
        <v/>
      </c>
      <c r="E191" s="21" t="str">
        <f aca="false">IF(D191="","",IFERROR(INDEX(Tables!$D:$D,MATCH(D191,Tables!$A:$A,0)),""))</f>
        <v/>
      </c>
      <c r="F191" s="20"/>
      <c r="G191" s="20"/>
      <c r="H191" s="20"/>
      <c r="I191" s="20"/>
      <c r="J191" s="20"/>
      <c r="K191" s="20"/>
    </row>
    <row r="192" customFormat="false" ht="15" hidden="false" customHeight="false" outlineLevel="0" collapsed="false">
      <c r="A192" s="20"/>
      <c r="B192" s="18" t="str">
        <f aca="false">IF(A192="","",IFERROR(INDEX(Products!$A:$A,MATCH(A192,Products!$B:$B,0)),"Not found"))</f>
        <v/>
      </c>
      <c r="C192" s="20"/>
      <c r="D192" s="18" t="str">
        <f aca="false">IF(C192="","",IFERROR(INDEX(Tables!$A:$A,MATCH(C192,Tables!$B:$B,0)),"Not found"))</f>
        <v/>
      </c>
      <c r="E192" s="21" t="str">
        <f aca="false">IF(D192="","",IFERROR(INDEX(Tables!$D:$D,MATCH(D192,Tables!$A:$A,0)),""))</f>
        <v/>
      </c>
      <c r="F192" s="20"/>
      <c r="G192" s="20"/>
      <c r="H192" s="20"/>
      <c r="I192" s="20"/>
      <c r="J192" s="20"/>
      <c r="K192" s="20"/>
    </row>
    <row r="193" customFormat="false" ht="15" hidden="false" customHeight="false" outlineLevel="0" collapsed="false">
      <c r="A193" s="20"/>
      <c r="B193" s="18" t="str">
        <f aca="false">IF(A193="","",IFERROR(INDEX(Products!$A:$A,MATCH(A193,Products!$B:$B,0)),"Not found"))</f>
        <v/>
      </c>
      <c r="C193" s="20"/>
      <c r="D193" s="18" t="str">
        <f aca="false">IF(C193="","",IFERROR(INDEX(Tables!$A:$A,MATCH(C193,Tables!$B:$B,0)),"Not found"))</f>
        <v/>
      </c>
      <c r="E193" s="21" t="str">
        <f aca="false">IF(D193="","",IFERROR(INDEX(Tables!$D:$D,MATCH(D193,Tables!$A:$A,0)),""))</f>
        <v/>
      </c>
      <c r="F193" s="20"/>
      <c r="G193" s="20"/>
      <c r="H193" s="20"/>
      <c r="I193" s="20"/>
      <c r="J193" s="20"/>
      <c r="K193" s="20"/>
    </row>
    <row r="194" customFormat="false" ht="15" hidden="false" customHeight="false" outlineLevel="0" collapsed="false">
      <c r="A194" s="20"/>
      <c r="B194" s="18" t="str">
        <f aca="false">IF(A194="","",IFERROR(INDEX(Products!$A:$A,MATCH(A194,Products!$B:$B,0)),"Not found"))</f>
        <v/>
      </c>
      <c r="C194" s="20"/>
      <c r="D194" s="18" t="str">
        <f aca="false">IF(C194="","",IFERROR(INDEX(Tables!$A:$A,MATCH(C194,Tables!$B:$B,0)),"Not found"))</f>
        <v/>
      </c>
      <c r="E194" s="21" t="str">
        <f aca="false">IF(D194="","",IFERROR(INDEX(Tables!$D:$D,MATCH(D194,Tables!$A:$A,0)),""))</f>
        <v/>
      </c>
      <c r="F194" s="20"/>
      <c r="G194" s="20"/>
      <c r="H194" s="20"/>
      <c r="I194" s="20"/>
      <c r="J194" s="20"/>
      <c r="K194" s="20"/>
    </row>
    <row r="195" customFormat="false" ht="15" hidden="false" customHeight="false" outlineLevel="0" collapsed="false">
      <c r="A195" s="20"/>
      <c r="B195" s="18" t="str">
        <f aca="false">IF(A195="","",IFERROR(INDEX(Products!$A:$A,MATCH(A195,Products!$B:$B,0)),"Not found"))</f>
        <v/>
      </c>
      <c r="C195" s="20"/>
      <c r="D195" s="18" t="str">
        <f aca="false">IF(C195="","",IFERROR(INDEX(Tables!$A:$A,MATCH(C195,Tables!$B:$B,0)),"Not found"))</f>
        <v/>
      </c>
      <c r="E195" s="21" t="str">
        <f aca="false">IF(D195="","",IFERROR(INDEX(Tables!$D:$D,MATCH(D195,Tables!$A:$A,0)),""))</f>
        <v/>
      </c>
      <c r="F195" s="20"/>
      <c r="G195" s="20"/>
      <c r="H195" s="20"/>
      <c r="I195" s="20"/>
      <c r="J195" s="20"/>
      <c r="K195" s="20"/>
    </row>
    <row r="196" customFormat="false" ht="15" hidden="false" customHeight="false" outlineLevel="0" collapsed="false">
      <c r="A196" s="20"/>
      <c r="B196" s="18" t="str">
        <f aca="false">IF(A196="","",IFERROR(INDEX(Products!$A:$A,MATCH(A196,Products!$B:$B,0)),"Not found"))</f>
        <v/>
      </c>
      <c r="C196" s="20"/>
      <c r="D196" s="18" t="str">
        <f aca="false">IF(C196="","",IFERROR(INDEX(Tables!$A:$A,MATCH(C196,Tables!$B:$B,0)),"Not found"))</f>
        <v/>
      </c>
      <c r="E196" s="21" t="str">
        <f aca="false">IF(D196="","",IFERROR(INDEX(Tables!$D:$D,MATCH(D196,Tables!$A:$A,0)),""))</f>
        <v/>
      </c>
      <c r="F196" s="20"/>
      <c r="G196" s="20"/>
      <c r="H196" s="20"/>
      <c r="I196" s="20"/>
      <c r="J196" s="20"/>
      <c r="K196" s="20"/>
    </row>
    <row r="197" customFormat="false" ht="15" hidden="false" customHeight="false" outlineLevel="0" collapsed="false">
      <c r="A197" s="20"/>
      <c r="B197" s="18" t="str">
        <f aca="false">IF(A197="","",IFERROR(INDEX(Products!$A:$A,MATCH(A197,Products!$B:$B,0)),"Not found"))</f>
        <v/>
      </c>
      <c r="C197" s="20"/>
      <c r="D197" s="18" t="str">
        <f aca="false">IF(C197="","",IFERROR(INDEX(Tables!$A:$A,MATCH(C197,Tables!$B:$B,0)),"Not found"))</f>
        <v/>
      </c>
      <c r="E197" s="21" t="str">
        <f aca="false">IF(D197="","",IFERROR(INDEX(Tables!$D:$D,MATCH(D197,Tables!$A:$A,0)),""))</f>
        <v/>
      </c>
      <c r="F197" s="20"/>
      <c r="G197" s="20"/>
      <c r="H197" s="20"/>
      <c r="I197" s="20"/>
      <c r="J197" s="20"/>
      <c r="K197" s="20"/>
    </row>
    <row r="198" customFormat="false" ht="15" hidden="false" customHeight="false" outlineLevel="0" collapsed="false">
      <c r="A198" s="20"/>
      <c r="B198" s="18" t="str">
        <f aca="false">IF(A198="","",IFERROR(INDEX(Products!$A:$A,MATCH(A198,Products!$B:$B,0)),"Not found"))</f>
        <v/>
      </c>
      <c r="C198" s="20"/>
      <c r="D198" s="18" t="str">
        <f aca="false">IF(C198="","",IFERROR(INDEX(Tables!$A:$A,MATCH(C198,Tables!$B:$B,0)),"Not found"))</f>
        <v/>
      </c>
      <c r="E198" s="21" t="str">
        <f aca="false">IF(D198="","",IFERROR(INDEX(Tables!$D:$D,MATCH(D198,Tables!$A:$A,0)),""))</f>
        <v/>
      </c>
      <c r="F198" s="20"/>
      <c r="G198" s="20"/>
      <c r="H198" s="20"/>
      <c r="I198" s="20"/>
      <c r="J198" s="20"/>
      <c r="K198" s="20"/>
    </row>
    <row r="199" customFormat="false" ht="15" hidden="false" customHeight="false" outlineLevel="0" collapsed="false">
      <c r="A199" s="20"/>
      <c r="B199" s="18" t="str">
        <f aca="false">IF(A199="","",IFERROR(INDEX(Products!$A:$A,MATCH(A199,Products!$B:$B,0)),"Not found"))</f>
        <v/>
      </c>
      <c r="C199" s="20"/>
      <c r="D199" s="18" t="str">
        <f aca="false">IF(C199="","",IFERROR(INDEX(Tables!$A:$A,MATCH(C199,Tables!$B:$B,0)),"Not found"))</f>
        <v/>
      </c>
      <c r="E199" s="21" t="str">
        <f aca="false">IF(D199="","",IFERROR(INDEX(Tables!$D:$D,MATCH(D199,Tables!$A:$A,0)),""))</f>
        <v/>
      </c>
      <c r="F199" s="20"/>
      <c r="G199" s="20"/>
      <c r="H199" s="20"/>
      <c r="I199" s="20"/>
      <c r="J199" s="20"/>
      <c r="K199" s="20"/>
    </row>
    <row r="200" customFormat="false" ht="15" hidden="false" customHeight="false" outlineLevel="0" collapsed="false">
      <c r="A200" s="20"/>
      <c r="B200" s="18" t="str">
        <f aca="false">IF(A200="","",IFERROR(INDEX(Products!$A:$A,MATCH(A200,Products!$B:$B,0)),"Not found"))</f>
        <v/>
      </c>
      <c r="C200" s="20"/>
      <c r="D200" s="18" t="str">
        <f aca="false">IF(C200="","",IFERROR(INDEX(Tables!$A:$A,MATCH(C200,Tables!$B:$B,0)),"Not found"))</f>
        <v/>
      </c>
      <c r="E200" s="21" t="str">
        <f aca="false">IF(D200="","",IFERROR(INDEX(Tables!$D:$D,MATCH(D200,Tables!$A:$A,0)),""))</f>
        <v/>
      </c>
      <c r="F200" s="20"/>
      <c r="G200" s="20"/>
      <c r="H200" s="20"/>
      <c r="I200" s="20"/>
      <c r="J200" s="20"/>
      <c r="K200" s="20"/>
    </row>
    <row r="201" customFormat="false" ht="15" hidden="false" customHeight="false" outlineLevel="0" collapsed="false">
      <c r="A201" s="20"/>
      <c r="B201" s="18" t="str">
        <f aca="false">IF(A201="","",IFERROR(INDEX(Products!$A:$A,MATCH(A201,Products!$B:$B,0)),"Not found"))</f>
        <v/>
      </c>
      <c r="C201" s="20"/>
      <c r="D201" s="18" t="str">
        <f aca="false">IF(C201="","",IFERROR(INDEX(Tables!$A:$A,MATCH(C201,Tables!$B:$B,0)),"Not found"))</f>
        <v/>
      </c>
      <c r="E201" s="21" t="str">
        <f aca="false">IF(D201="","",IFERROR(INDEX(Tables!$D:$D,MATCH(D201,Tables!$A:$A,0)),""))</f>
        <v/>
      </c>
      <c r="F201" s="20"/>
      <c r="G201" s="20"/>
      <c r="H201" s="20"/>
      <c r="I201" s="20"/>
      <c r="J201" s="20"/>
      <c r="K201" s="20"/>
    </row>
    <row r="202" customFormat="false" ht="15" hidden="false" customHeight="false" outlineLevel="0" collapsed="false">
      <c r="A202" s="20"/>
      <c r="B202" s="18" t="str">
        <f aca="false">IF(A202="","",IFERROR(INDEX(Products!$A:$A,MATCH(A202,Products!$B:$B,0)),"Not found"))</f>
        <v/>
      </c>
      <c r="C202" s="20"/>
      <c r="D202" s="18" t="str">
        <f aca="false">IF(C202="","",IFERROR(INDEX(Tables!$A:$A,MATCH(C202,Tables!$B:$B,0)),"Not found"))</f>
        <v/>
      </c>
      <c r="E202" s="21" t="str">
        <f aca="false">IF(D202="","",IFERROR(INDEX(Tables!$D:$D,MATCH(D202,Tables!$A:$A,0)),""))</f>
        <v/>
      </c>
      <c r="F202" s="20"/>
      <c r="G202" s="20"/>
      <c r="H202" s="20"/>
      <c r="I202" s="20"/>
      <c r="J202" s="20"/>
      <c r="K202" s="20"/>
    </row>
    <row r="203" customFormat="false" ht="15" hidden="false" customHeight="false" outlineLevel="0" collapsed="false">
      <c r="A203" s="20"/>
      <c r="B203" s="18" t="str">
        <f aca="false">IF(A203="","",IFERROR(INDEX(Products!$A:$A,MATCH(A203,Products!$B:$B,0)),"Not found"))</f>
        <v/>
      </c>
      <c r="C203" s="20"/>
      <c r="D203" s="18" t="str">
        <f aca="false">IF(C203="","",IFERROR(INDEX(Tables!$A:$A,MATCH(C203,Tables!$B:$B,0)),"Not found"))</f>
        <v/>
      </c>
      <c r="E203" s="21" t="str">
        <f aca="false">IF(D203="","",IFERROR(INDEX(Tables!$D:$D,MATCH(D203,Tables!$A:$A,0)),""))</f>
        <v/>
      </c>
      <c r="F203" s="20"/>
      <c r="G203" s="20"/>
      <c r="H203" s="20"/>
      <c r="I203" s="20"/>
      <c r="J203" s="20"/>
      <c r="K203" s="20"/>
    </row>
    <row r="204" customFormat="false" ht="15" hidden="false" customHeight="false" outlineLevel="0" collapsed="false">
      <c r="A204" s="20"/>
      <c r="B204" s="18" t="str">
        <f aca="false">IF(A204="","",IFERROR(INDEX(Products!$A:$A,MATCH(A204,Products!$B:$B,0)),"Not found"))</f>
        <v/>
      </c>
      <c r="C204" s="20"/>
      <c r="D204" s="18" t="str">
        <f aca="false">IF(C204="","",IFERROR(INDEX(Tables!$A:$A,MATCH(C204,Tables!$B:$B,0)),"Not found"))</f>
        <v/>
      </c>
      <c r="E204" s="21" t="str">
        <f aca="false">IF(D204="","",IFERROR(INDEX(Tables!$D:$D,MATCH(D204,Tables!$A:$A,0)),""))</f>
        <v/>
      </c>
      <c r="F204" s="20"/>
      <c r="G204" s="20"/>
      <c r="H204" s="20"/>
      <c r="I204" s="20"/>
      <c r="J204" s="20"/>
      <c r="K204" s="20"/>
    </row>
    <row r="205" customFormat="false" ht="15" hidden="false" customHeight="false" outlineLevel="0" collapsed="false">
      <c r="A205" s="20"/>
      <c r="B205" s="18" t="str">
        <f aca="false">IF(A205="","",IFERROR(INDEX(Products!$A:$A,MATCH(A205,Products!$B:$B,0)),"Not found"))</f>
        <v/>
      </c>
      <c r="C205" s="20"/>
      <c r="D205" s="18" t="str">
        <f aca="false">IF(C205="","",IFERROR(INDEX(Tables!$A:$A,MATCH(C205,Tables!$B:$B,0)),"Not found"))</f>
        <v/>
      </c>
      <c r="E205" s="21" t="str">
        <f aca="false">IF(D205="","",IFERROR(INDEX(Tables!$D:$D,MATCH(D205,Tables!$A:$A,0)),""))</f>
        <v/>
      </c>
      <c r="F205" s="20"/>
      <c r="G205" s="20"/>
      <c r="H205" s="20"/>
      <c r="I205" s="20"/>
      <c r="J205" s="20"/>
      <c r="K205" s="20"/>
    </row>
    <row r="206" customFormat="false" ht="15" hidden="false" customHeight="false" outlineLevel="0" collapsed="false">
      <c r="A206" s="20"/>
      <c r="B206" s="18" t="str">
        <f aca="false">IF(A206="","",IFERROR(INDEX(Products!$A:$A,MATCH(A206,Products!$B:$B,0)),"Not found"))</f>
        <v/>
      </c>
      <c r="C206" s="20"/>
      <c r="D206" s="18" t="str">
        <f aca="false">IF(C206="","",IFERROR(INDEX(Tables!$A:$A,MATCH(C206,Tables!$B:$B,0)),"Not found"))</f>
        <v/>
      </c>
      <c r="E206" s="21" t="str">
        <f aca="false">IF(D206="","",IFERROR(INDEX(Tables!$D:$D,MATCH(D206,Tables!$A:$A,0)),""))</f>
        <v/>
      </c>
      <c r="F206" s="20"/>
      <c r="G206" s="20"/>
      <c r="H206" s="20"/>
      <c r="I206" s="20"/>
      <c r="J206" s="20"/>
      <c r="K206" s="20"/>
    </row>
    <row r="207" customFormat="false" ht="15" hidden="false" customHeight="false" outlineLevel="0" collapsed="false">
      <c r="A207" s="20"/>
      <c r="B207" s="18" t="str">
        <f aca="false">IF(A207="","",IFERROR(INDEX(Products!$A:$A,MATCH(A207,Products!$B:$B,0)),"Not found"))</f>
        <v/>
      </c>
      <c r="C207" s="20"/>
      <c r="D207" s="18" t="str">
        <f aca="false">IF(C207="","",IFERROR(INDEX(Tables!$A:$A,MATCH(C207,Tables!$B:$B,0)),"Not found"))</f>
        <v/>
      </c>
      <c r="E207" s="21" t="str">
        <f aca="false">IF(D207="","",IFERROR(INDEX(Tables!$D:$D,MATCH(D207,Tables!$A:$A,0)),""))</f>
        <v/>
      </c>
      <c r="F207" s="20"/>
      <c r="G207" s="20"/>
      <c r="H207" s="20"/>
      <c r="I207" s="20"/>
      <c r="J207" s="20"/>
      <c r="K207" s="20"/>
    </row>
    <row r="208" customFormat="false" ht="15" hidden="false" customHeight="false" outlineLevel="0" collapsed="false">
      <c r="A208" s="20"/>
      <c r="B208" s="18" t="str">
        <f aca="false">IF(A208="","",IFERROR(INDEX(Products!$A:$A,MATCH(A208,Products!$B:$B,0)),"Not found"))</f>
        <v/>
      </c>
      <c r="C208" s="20"/>
      <c r="D208" s="18" t="str">
        <f aca="false">IF(C208="","",IFERROR(INDEX(Tables!$A:$A,MATCH(C208,Tables!$B:$B,0)),"Not found"))</f>
        <v/>
      </c>
      <c r="E208" s="21" t="str">
        <f aca="false">IF(D208="","",IFERROR(INDEX(Tables!$D:$D,MATCH(D208,Tables!$A:$A,0)),""))</f>
        <v/>
      </c>
      <c r="F208" s="20"/>
      <c r="G208" s="20"/>
      <c r="H208" s="20"/>
      <c r="I208" s="20"/>
      <c r="J208" s="20"/>
      <c r="K208" s="20"/>
    </row>
    <row r="209" customFormat="false" ht="15" hidden="false" customHeight="false" outlineLevel="0" collapsed="false">
      <c r="A209" s="20"/>
      <c r="B209" s="18" t="str">
        <f aca="false">IF(A209="","",IFERROR(INDEX(Products!$A:$A,MATCH(A209,Products!$B:$B,0)),"Not found"))</f>
        <v/>
      </c>
      <c r="C209" s="20"/>
      <c r="D209" s="18" t="str">
        <f aca="false">IF(C209="","",IFERROR(INDEX(Tables!$A:$A,MATCH(C209,Tables!$B:$B,0)),"Not found"))</f>
        <v/>
      </c>
      <c r="E209" s="21" t="str">
        <f aca="false">IF(D209="","",IFERROR(INDEX(Tables!$D:$D,MATCH(D209,Tables!$A:$A,0)),""))</f>
        <v/>
      </c>
      <c r="F209" s="20"/>
      <c r="G209" s="20"/>
      <c r="H209" s="20"/>
      <c r="I209" s="20"/>
      <c r="J209" s="20"/>
      <c r="K209" s="20"/>
    </row>
    <row r="210" customFormat="false" ht="15" hidden="false" customHeight="false" outlineLevel="0" collapsed="false">
      <c r="A210" s="20"/>
      <c r="B210" s="18" t="str">
        <f aca="false">IF(A210="","",IFERROR(INDEX(Products!$A:$A,MATCH(A210,Products!$B:$B,0)),"Not found"))</f>
        <v/>
      </c>
      <c r="C210" s="20"/>
      <c r="D210" s="18" t="str">
        <f aca="false">IF(C210="","",IFERROR(INDEX(Tables!$A:$A,MATCH(C210,Tables!$B:$B,0)),"Not found"))</f>
        <v/>
      </c>
      <c r="E210" s="21" t="str">
        <f aca="false">IF(D210="","",IFERROR(INDEX(Tables!$D:$D,MATCH(D210,Tables!$A:$A,0)),""))</f>
        <v/>
      </c>
      <c r="F210" s="20"/>
      <c r="G210" s="20"/>
      <c r="H210" s="20"/>
      <c r="I210" s="20"/>
      <c r="J210" s="20"/>
      <c r="K210" s="20"/>
    </row>
    <row r="211" customFormat="false" ht="15" hidden="false" customHeight="false" outlineLevel="0" collapsed="false">
      <c r="A211" s="20"/>
      <c r="B211" s="18" t="str">
        <f aca="false">IF(A211="","",IFERROR(INDEX(Products!$A:$A,MATCH(A211,Products!$B:$B,0)),"Not found"))</f>
        <v/>
      </c>
      <c r="C211" s="20"/>
      <c r="D211" s="18" t="str">
        <f aca="false">IF(C211="","",IFERROR(INDEX(Tables!$A:$A,MATCH(C211,Tables!$B:$B,0)),"Not found"))</f>
        <v/>
      </c>
      <c r="E211" s="21" t="str">
        <f aca="false">IF(D211="","",IFERROR(INDEX(Tables!$D:$D,MATCH(D211,Tables!$A:$A,0)),""))</f>
        <v/>
      </c>
      <c r="F211" s="20"/>
      <c r="G211" s="20"/>
      <c r="H211" s="20"/>
      <c r="I211" s="20"/>
      <c r="J211" s="20"/>
      <c r="K211" s="20"/>
    </row>
    <row r="212" customFormat="false" ht="15" hidden="false" customHeight="false" outlineLevel="0" collapsed="false">
      <c r="A212" s="20"/>
      <c r="B212" s="18" t="str">
        <f aca="false">IF(A212="","",IFERROR(INDEX(Products!$A:$A,MATCH(A212,Products!$B:$B,0)),"Not found"))</f>
        <v/>
      </c>
      <c r="C212" s="20"/>
      <c r="D212" s="18" t="str">
        <f aca="false">IF(C212="","",IFERROR(INDEX(Tables!$A:$A,MATCH(C212,Tables!$B:$B,0)),"Not found"))</f>
        <v/>
      </c>
      <c r="E212" s="21" t="str">
        <f aca="false">IF(D212="","",IFERROR(INDEX(Tables!$D:$D,MATCH(D212,Tables!$A:$A,0)),""))</f>
        <v/>
      </c>
      <c r="F212" s="20"/>
      <c r="G212" s="20"/>
      <c r="H212" s="20"/>
      <c r="I212" s="20"/>
      <c r="J212" s="20"/>
      <c r="K212" s="20"/>
    </row>
    <row r="213" customFormat="false" ht="15" hidden="false" customHeight="false" outlineLevel="0" collapsed="false">
      <c r="A213" s="20"/>
      <c r="B213" s="18" t="str">
        <f aca="false">IF(A213="","",IFERROR(INDEX(Products!$A:$A,MATCH(A213,Products!$B:$B,0)),"Not found"))</f>
        <v/>
      </c>
      <c r="C213" s="20"/>
      <c r="D213" s="18" t="str">
        <f aca="false">IF(C213="","",IFERROR(INDEX(Tables!$A:$A,MATCH(C213,Tables!$B:$B,0)),"Not found"))</f>
        <v/>
      </c>
      <c r="E213" s="21" t="str">
        <f aca="false">IF(D213="","",IFERROR(INDEX(Tables!$D:$D,MATCH(D213,Tables!$A:$A,0)),""))</f>
        <v/>
      </c>
      <c r="F213" s="20"/>
      <c r="G213" s="20"/>
      <c r="H213" s="20"/>
      <c r="I213" s="20"/>
      <c r="J213" s="20"/>
      <c r="K213" s="20"/>
    </row>
    <row r="214" customFormat="false" ht="15" hidden="false" customHeight="false" outlineLevel="0" collapsed="false">
      <c r="A214" s="20"/>
      <c r="B214" s="18" t="str">
        <f aca="false">IF(A214="","",IFERROR(INDEX(Products!$A:$A,MATCH(A214,Products!$B:$B,0)),"Not found"))</f>
        <v/>
      </c>
      <c r="C214" s="20"/>
      <c r="D214" s="18" t="str">
        <f aca="false">IF(C214="","",IFERROR(INDEX(Tables!$A:$A,MATCH(C214,Tables!$B:$B,0)),"Not found"))</f>
        <v/>
      </c>
      <c r="E214" s="21" t="str">
        <f aca="false">IF(D214="","",IFERROR(INDEX(Tables!$D:$D,MATCH(D214,Tables!$A:$A,0)),""))</f>
        <v/>
      </c>
      <c r="F214" s="20"/>
      <c r="G214" s="20"/>
      <c r="H214" s="20"/>
      <c r="I214" s="20"/>
      <c r="J214" s="20"/>
      <c r="K214" s="20"/>
    </row>
    <row r="215" customFormat="false" ht="15" hidden="false" customHeight="false" outlineLevel="0" collapsed="false">
      <c r="A215" s="20"/>
      <c r="B215" s="18" t="str">
        <f aca="false">IF(A215="","",IFERROR(INDEX(Products!$A:$A,MATCH(A215,Products!$B:$B,0)),"Not found"))</f>
        <v/>
      </c>
      <c r="C215" s="20"/>
      <c r="D215" s="18" t="str">
        <f aca="false">IF(C215="","",IFERROR(INDEX(Tables!$A:$A,MATCH(C215,Tables!$B:$B,0)),"Not found"))</f>
        <v/>
      </c>
      <c r="E215" s="21" t="str">
        <f aca="false">IF(D215="","",IFERROR(INDEX(Tables!$D:$D,MATCH(D215,Tables!$A:$A,0)),""))</f>
        <v/>
      </c>
      <c r="F215" s="20"/>
      <c r="G215" s="20"/>
      <c r="H215" s="20"/>
      <c r="I215" s="20"/>
      <c r="J215" s="20"/>
      <c r="K215" s="20"/>
    </row>
    <row r="216" customFormat="false" ht="15" hidden="false" customHeight="false" outlineLevel="0" collapsed="false">
      <c r="A216" s="20"/>
      <c r="B216" s="18" t="str">
        <f aca="false">IF(A216="","",IFERROR(INDEX(Products!$A:$A,MATCH(A216,Products!$B:$B,0)),"Not found"))</f>
        <v/>
      </c>
      <c r="C216" s="20"/>
      <c r="D216" s="18" t="str">
        <f aca="false">IF(C216="","",IFERROR(INDEX(Tables!$A:$A,MATCH(C216,Tables!$B:$B,0)),"Not found"))</f>
        <v/>
      </c>
      <c r="E216" s="21" t="str">
        <f aca="false">IF(D216="","",IFERROR(INDEX(Tables!$D:$D,MATCH(D216,Tables!$A:$A,0)),""))</f>
        <v/>
      </c>
      <c r="F216" s="20"/>
      <c r="G216" s="20"/>
      <c r="H216" s="20"/>
      <c r="I216" s="20"/>
      <c r="J216" s="20"/>
      <c r="K216" s="20"/>
    </row>
    <row r="217" customFormat="false" ht="15" hidden="false" customHeight="false" outlineLevel="0" collapsed="false">
      <c r="A217" s="20"/>
      <c r="B217" s="18" t="str">
        <f aca="false">IF(A217="","",IFERROR(INDEX(Products!$A:$A,MATCH(A217,Products!$B:$B,0)),"Not found"))</f>
        <v/>
      </c>
      <c r="C217" s="20"/>
      <c r="D217" s="18" t="str">
        <f aca="false">IF(C217="","",IFERROR(INDEX(Tables!$A:$A,MATCH(C217,Tables!$B:$B,0)),"Not found"))</f>
        <v/>
      </c>
      <c r="E217" s="21" t="str">
        <f aca="false">IF(D217="","",IFERROR(INDEX(Tables!$D:$D,MATCH(D217,Tables!$A:$A,0)),""))</f>
        <v/>
      </c>
      <c r="F217" s="20"/>
      <c r="G217" s="20"/>
      <c r="H217" s="20"/>
      <c r="I217" s="20"/>
      <c r="J217" s="20"/>
      <c r="K217" s="20"/>
    </row>
    <row r="218" customFormat="false" ht="15" hidden="false" customHeight="false" outlineLevel="0" collapsed="false">
      <c r="A218" s="20"/>
      <c r="B218" s="18" t="str">
        <f aca="false">IF(A218="","",IFERROR(INDEX(Products!$A:$A,MATCH(A218,Products!$B:$B,0)),"Not found"))</f>
        <v/>
      </c>
      <c r="C218" s="20"/>
      <c r="D218" s="18" t="str">
        <f aca="false">IF(C218="","",IFERROR(INDEX(Tables!$A:$A,MATCH(C218,Tables!$B:$B,0)),"Not found"))</f>
        <v/>
      </c>
      <c r="E218" s="21" t="str">
        <f aca="false">IF(D218="","",IFERROR(INDEX(Tables!$D:$D,MATCH(D218,Tables!$A:$A,0)),""))</f>
        <v/>
      </c>
      <c r="F218" s="20"/>
      <c r="G218" s="20"/>
      <c r="H218" s="20"/>
      <c r="I218" s="20"/>
      <c r="J218" s="20"/>
      <c r="K218" s="20"/>
    </row>
    <row r="219" customFormat="false" ht="15" hidden="false" customHeight="false" outlineLevel="0" collapsed="false">
      <c r="A219" s="20"/>
      <c r="B219" s="18" t="str">
        <f aca="false">IF(A219="","",IFERROR(INDEX(Products!$A:$A,MATCH(A219,Products!$B:$B,0)),"Not found"))</f>
        <v/>
      </c>
      <c r="C219" s="20"/>
      <c r="D219" s="18" t="str">
        <f aca="false">IF(C219="","",IFERROR(INDEX(Tables!$A:$A,MATCH(C219,Tables!$B:$B,0)),"Not found"))</f>
        <v/>
      </c>
      <c r="E219" s="21" t="str">
        <f aca="false">IF(D219="","",IFERROR(INDEX(Tables!$D:$D,MATCH(D219,Tables!$A:$A,0)),""))</f>
        <v/>
      </c>
      <c r="F219" s="20"/>
      <c r="G219" s="20"/>
      <c r="H219" s="20"/>
      <c r="I219" s="20"/>
      <c r="J219" s="20"/>
      <c r="K219" s="20"/>
    </row>
    <row r="220" customFormat="false" ht="15" hidden="false" customHeight="false" outlineLevel="0" collapsed="false">
      <c r="A220" s="20"/>
      <c r="B220" s="18" t="str">
        <f aca="false">IF(A220="","",IFERROR(INDEX(Products!$A:$A,MATCH(A220,Products!$B:$B,0)),"Not found"))</f>
        <v/>
      </c>
      <c r="C220" s="20"/>
      <c r="D220" s="18" t="str">
        <f aca="false">IF(C220="","",IFERROR(INDEX(Tables!$A:$A,MATCH(C220,Tables!$B:$B,0)),"Not found"))</f>
        <v/>
      </c>
      <c r="E220" s="21" t="str">
        <f aca="false">IF(D220="","",IFERROR(INDEX(Tables!$D:$D,MATCH(D220,Tables!$A:$A,0)),""))</f>
        <v/>
      </c>
      <c r="F220" s="20"/>
      <c r="G220" s="20"/>
      <c r="H220" s="20"/>
      <c r="I220" s="20"/>
      <c r="J220" s="20"/>
      <c r="K220" s="20"/>
    </row>
    <row r="221" customFormat="false" ht="15" hidden="false" customHeight="false" outlineLevel="0" collapsed="false">
      <c r="A221" s="20"/>
      <c r="B221" s="18" t="str">
        <f aca="false">IF(A221="","",IFERROR(INDEX(Products!$A:$A,MATCH(A221,Products!$B:$B,0)),"Not found"))</f>
        <v/>
      </c>
      <c r="C221" s="20"/>
      <c r="D221" s="18" t="str">
        <f aca="false">IF(C221="","",IFERROR(INDEX(Tables!$A:$A,MATCH(C221,Tables!$B:$B,0)),"Not found"))</f>
        <v/>
      </c>
      <c r="E221" s="21" t="str">
        <f aca="false">IF(D221="","",IFERROR(INDEX(Tables!$D:$D,MATCH(D221,Tables!$A:$A,0)),""))</f>
        <v/>
      </c>
      <c r="F221" s="20"/>
      <c r="G221" s="20"/>
      <c r="H221" s="20"/>
      <c r="I221" s="20"/>
      <c r="J221" s="20"/>
      <c r="K221" s="20"/>
    </row>
    <row r="222" customFormat="false" ht="15" hidden="false" customHeight="false" outlineLevel="0" collapsed="false">
      <c r="A222" s="20"/>
      <c r="B222" s="18" t="str">
        <f aca="false">IF(A222="","",IFERROR(INDEX(Products!$A:$A,MATCH(A222,Products!$B:$B,0)),"Not found"))</f>
        <v/>
      </c>
      <c r="C222" s="20"/>
      <c r="D222" s="18" t="str">
        <f aca="false">IF(C222="","",IFERROR(INDEX(Tables!$A:$A,MATCH(C222,Tables!$B:$B,0)),"Not found"))</f>
        <v/>
      </c>
      <c r="E222" s="21" t="str">
        <f aca="false">IF(D222="","",IFERROR(INDEX(Tables!$D:$D,MATCH(D222,Tables!$A:$A,0)),""))</f>
        <v/>
      </c>
      <c r="F222" s="20"/>
      <c r="G222" s="20"/>
      <c r="H222" s="20"/>
      <c r="I222" s="20"/>
      <c r="J222" s="20"/>
      <c r="K222" s="20"/>
    </row>
    <row r="223" customFormat="false" ht="15" hidden="false" customHeight="false" outlineLevel="0" collapsed="false">
      <c r="A223" s="20"/>
      <c r="B223" s="18" t="str">
        <f aca="false">IF(A223="","",IFERROR(INDEX(Products!$A:$A,MATCH(A223,Products!$B:$B,0)),"Not found"))</f>
        <v/>
      </c>
      <c r="C223" s="20"/>
      <c r="D223" s="18" t="str">
        <f aca="false">IF(C223="","",IFERROR(INDEX(Tables!$A:$A,MATCH(C223,Tables!$B:$B,0)),"Not found"))</f>
        <v/>
      </c>
      <c r="E223" s="21" t="str">
        <f aca="false">IF(D223="","",IFERROR(INDEX(Tables!$D:$D,MATCH(D223,Tables!$A:$A,0)),""))</f>
        <v/>
      </c>
      <c r="F223" s="20"/>
      <c r="G223" s="20"/>
      <c r="H223" s="20"/>
      <c r="I223" s="20"/>
      <c r="J223" s="20"/>
      <c r="K223" s="20"/>
    </row>
    <row r="224" customFormat="false" ht="15" hidden="false" customHeight="false" outlineLevel="0" collapsed="false">
      <c r="A224" s="20"/>
      <c r="B224" s="18" t="str">
        <f aca="false">IF(A224="","",IFERROR(INDEX(Products!$A:$A,MATCH(A224,Products!$B:$B,0)),"Not found"))</f>
        <v/>
      </c>
      <c r="C224" s="20"/>
      <c r="D224" s="18" t="str">
        <f aca="false">IF(C224="","",IFERROR(INDEX(Tables!$A:$A,MATCH(C224,Tables!$B:$B,0)),"Not found"))</f>
        <v/>
      </c>
      <c r="E224" s="21" t="str">
        <f aca="false">IF(D224="","",IFERROR(INDEX(Tables!$D:$D,MATCH(D224,Tables!$A:$A,0)),""))</f>
        <v/>
      </c>
      <c r="F224" s="20"/>
      <c r="G224" s="20"/>
      <c r="H224" s="20"/>
      <c r="I224" s="20"/>
      <c r="J224" s="20"/>
      <c r="K224" s="20"/>
    </row>
    <row r="225" customFormat="false" ht="15" hidden="false" customHeight="false" outlineLevel="0" collapsed="false">
      <c r="A225" s="20"/>
      <c r="B225" s="18" t="str">
        <f aca="false">IF(A225="","",IFERROR(INDEX(Products!$A:$A,MATCH(A225,Products!$B:$B,0)),"Not found"))</f>
        <v/>
      </c>
      <c r="C225" s="20"/>
      <c r="D225" s="18" t="str">
        <f aca="false">IF(C225="","",IFERROR(INDEX(Tables!$A:$A,MATCH(C225,Tables!$B:$B,0)),"Not found"))</f>
        <v/>
      </c>
      <c r="E225" s="21" t="str">
        <f aca="false">IF(D225="","",IFERROR(INDEX(Tables!$D:$D,MATCH(D225,Tables!$A:$A,0)),""))</f>
        <v/>
      </c>
      <c r="F225" s="20"/>
      <c r="G225" s="20"/>
      <c r="H225" s="20"/>
      <c r="I225" s="20"/>
      <c r="J225" s="20"/>
      <c r="K225" s="20"/>
    </row>
    <row r="226" customFormat="false" ht="15" hidden="false" customHeight="false" outlineLevel="0" collapsed="false">
      <c r="A226" s="20"/>
      <c r="B226" s="18" t="str">
        <f aca="false">IF(A226="","",IFERROR(INDEX(Products!$A:$A,MATCH(A226,Products!$B:$B,0)),"Not found"))</f>
        <v/>
      </c>
      <c r="C226" s="20"/>
      <c r="D226" s="18" t="str">
        <f aca="false">IF(C226="","",IFERROR(INDEX(Tables!$A:$A,MATCH(C226,Tables!$B:$B,0)),"Not found"))</f>
        <v/>
      </c>
      <c r="E226" s="21" t="str">
        <f aca="false">IF(D226="","",IFERROR(INDEX(Tables!$D:$D,MATCH(D226,Tables!$A:$A,0)),""))</f>
        <v/>
      </c>
      <c r="F226" s="20"/>
      <c r="G226" s="20"/>
      <c r="H226" s="20"/>
      <c r="I226" s="20"/>
      <c r="J226" s="20"/>
      <c r="K226" s="20"/>
    </row>
    <row r="227" customFormat="false" ht="15" hidden="false" customHeight="false" outlineLevel="0" collapsed="false">
      <c r="A227" s="20"/>
      <c r="B227" s="18" t="str">
        <f aca="false">IF(A227="","",IFERROR(INDEX(Products!$A:$A,MATCH(A227,Products!$B:$B,0)),"Not found"))</f>
        <v/>
      </c>
      <c r="C227" s="20"/>
      <c r="D227" s="18" t="str">
        <f aca="false">IF(C227="","",IFERROR(INDEX(Tables!$A:$A,MATCH(C227,Tables!$B:$B,0)),"Not found"))</f>
        <v/>
      </c>
      <c r="E227" s="21" t="str">
        <f aca="false">IF(D227="","",IFERROR(INDEX(Tables!$D:$D,MATCH(D227,Tables!$A:$A,0)),""))</f>
        <v/>
      </c>
      <c r="F227" s="20"/>
      <c r="G227" s="20"/>
      <c r="H227" s="20"/>
      <c r="I227" s="20"/>
      <c r="J227" s="20"/>
      <c r="K227" s="20"/>
    </row>
    <row r="228" customFormat="false" ht="15" hidden="false" customHeight="false" outlineLevel="0" collapsed="false">
      <c r="A228" s="20"/>
      <c r="B228" s="18" t="str">
        <f aca="false">IF(A228="","",IFERROR(INDEX(Products!$A:$A,MATCH(A228,Products!$B:$B,0)),"Not found"))</f>
        <v/>
      </c>
      <c r="C228" s="20"/>
      <c r="D228" s="18" t="str">
        <f aca="false">IF(C228="","",IFERROR(INDEX(Tables!$A:$A,MATCH(C228,Tables!$B:$B,0)),"Not found"))</f>
        <v/>
      </c>
      <c r="E228" s="21" t="str">
        <f aca="false">IF(D228="","",IFERROR(INDEX(Tables!$D:$D,MATCH(D228,Tables!$A:$A,0)),""))</f>
        <v/>
      </c>
      <c r="F228" s="20"/>
      <c r="G228" s="20"/>
      <c r="H228" s="20"/>
      <c r="I228" s="20"/>
      <c r="J228" s="20"/>
      <c r="K228" s="20"/>
    </row>
    <row r="229" customFormat="false" ht="15" hidden="false" customHeight="false" outlineLevel="0" collapsed="false">
      <c r="A229" s="20"/>
      <c r="B229" s="18" t="str">
        <f aca="false">IF(A229="","",IFERROR(INDEX(Products!$A:$A,MATCH(A229,Products!$B:$B,0)),"Not found"))</f>
        <v/>
      </c>
      <c r="C229" s="20"/>
      <c r="D229" s="18" t="str">
        <f aca="false">IF(C229="","",IFERROR(INDEX(Tables!$A:$A,MATCH(C229,Tables!$B:$B,0)),"Not found"))</f>
        <v/>
      </c>
      <c r="E229" s="21" t="str">
        <f aca="false">IF(D229="","",IFERROR(INDEX(Tables!$D:$D,MATCH(D229,Tables!$A:$A,0)),""))</f>
        <v/>
      </c>
      <c r="F229" s="20"/>
      <c r="G229" s="20"/>
      <c r="H229" s="20"/>
      <c r="I229" s="20"/>
      <c r="J229" s="20"/>
      <c r="K229" s="20"/>
    </row>
    <row r="230" customFormat="false" ht="15" hidden="false" customHeight="false" outlineLevel="0" collapsed="false">
      <c r="A230" s="20"/>
      <c r="B230" s="18" t="str">
        <f aca="false">IF(A230="","",IFERROR(INDEX(Products!$A:$A,MATCH(A230,Products!$B:$B,0)),"Not found"))</f>
        <v/>
      </c>
      <c r="C230" s="20"/>
      <c r="D230" s="18" t="str">
        <f aca="false">IF(C230="","",IFERROR(INDEX(Tables!$A:$A,MATCH(C230,Tables!$B:$B,0)),"Not found"))</f>
        <v/>
      </c>
      <c r="E230" s="21" t="str">
        <f aca="false">IF(D230="","",IFERROR(INDEX(Tables!$D:$D,MATCH(D230,Tables!$A:$A,0)),""))</f>
        <v/>
      </c>
      <c r="F230" s="20"/>
      <c r="G230" s="20"/>
      <c r="H230" s="20"/>
      <c r="I230" s="20"/>
      <c r="J230" s="20"/>
      <c r="K230" s="20"/>
    </row>
    <row r="231" customFormat="false" ht="15" hidden="false" customHeight="false" outlineLevel="0" collapsed="false">
      <c r="A231" s="20"/>
      <c r="B231" s="18" t="str">
        <f aca="false">IF(A231="","",IFERROR(INDEX(Products!$A:$A,MATCH(A231,Products!$B:$B,0)),"Not found"))</f>
        <v/>
      </c>
      <c r="C231" s="20"/>
      <c r="D231" s="18" t="str">
        <f aca="false">IF(C231="","",IFERROR(INDEX(Tables!$A:$A,MATCH(C231,Tables!$B:$B,0)),"Not found"))</f>
        <v/>
      </c>
      <c r="E231" s="21" t="str">
        <f aca="false">IF(D231="","",IFERROR(INDEX(Tables!$D:$D,MATCH(D231,Tables!$A:$A,0)),""))</f>
        <v/>
      </c>
      <c r="F231" s="20"/>
      <c r="G231" s="20"/>
      <c r="H231" s="20"/>
      <c r="I231" s="20"/>
      <c r="J231" s="20"/>
      <c r="K231" s="20"/>
    </row>
    <row r="232" customFormat="false" ht="15" hidden="false" customHeight="false" outlineLevel="0" collapsed="false">
      <c r="A232" s="20"/>
      <c r="B232" s="18" t="str">
        <f aca="false">IF(A232="","",IFERROR(INDEX(Products!$A:$A,MATCH(A232,Products!$B:$B,0)),"Not found"))</f>
        <v/>
      </c>
      <c r="C232" s="20"/>
      <c r="D232" s="18" t="str">
        <f aca="false">IF(C232="","",IFERROR(INDEX(Tables!$A:$A,MATCH(C232,Tables!$B:$B,0)),"Not found"))</f>
        <v/>
      </c>
      <c r="E232" s="21" t="str">
        <f aca="false">IF(D232="","",IFERROR(INDEX(Tables!$D:$D,MATCH(D232,Tables!$A:$A,0)),""))</f>
        <v/>
      </c>
      <c r="F232" s="20"/>
      <c r="G232" s="20"/>
      <c r="H232" s="20"/>
      <c r="I232" s="20"/>
      <c r="J232" s="20"/>
      <c r="K232" s="20"/>
    </row>
    <row r="233" customFormat="false" ht="15" hidden="false" customHeight="false" outlineLevel="0" collapsed="false">
      <c r="A233" s="20"/>
      <c r="B233" s="18" t="str">
        <f aca="false">IF(A233="","",IFERROR(INDEX(Products!$A:$A,MATCH(A233,Products!$B:$B,0)),"Not found"))</f>
        <v/>
      </c>
      <c r="C233" s="20"/>
      <c r="D233" s="18" t="str">
        <f aca="false">IF(C233="","",IFERROR(INDEX(Tables!$A:$A,MATCH(C233,Tables!$B:$B,0)),"Not found"))</f>
        <v/>
      </c>
      <c r="E233" s="21" t="str">
        <f aca="false">IF(D233="","",IFERROR(INDEX(Tables!$D:$D,MATCH(D233,Tables!$A:$A,0)),""))</f>
        <v/>
      </c>
      <c r="F233" s="20"/>
      <c r="G233" s="20"/>
      <c r="H233" s="20"/>
      <c r="I233" s="20"/>
      <c r="J233" s="20"/>
      <c r="K233" s="20"/>
    </row>
    <row r="234" customFormat="false" ht="15" hidden="false" customHeight="false" outlineLevel="0" collapsed="false">
      <c r="A234" s="20"/>
      <c r="B234" s="18" t="str">
        <f aca="false">IF(A234="","",IFERROR(INDEX(Products!$A:$A,MATCH(A234,Products!$B:$B,0)),"Not found"))</f>
        <v/>
      </c>
      <c r="C234" s="20"/>
      <c r="D234" s="18" t="str">
        <f aca="false">IF(C234="","",IFERROR(INDEX(Tables!$A:$A,MATCH(C234,Tables!$B:$B,0)),"Not found"))</f>
        <v/>
      </c>
      <c r="E234" s="21" t="str">
        <f aca="false">IF(D234="","",IFERROR(INDEX(Tables!$D:$D,MATCH(D234,Tables!$A:$A,0)),""))</f>
        <v/>
      </c>
      <c r="F234" s="20"/>
      <c r="G234" s="20"/>
      <c r="H234" s="20"/>
      <c r="I234" s="20"/>
      <c r="J234" s="20"/>
      <c r="K234" s="20"/>
    </row>
    <row r="235" customFormat="false" ht="15" hidden="false" customHeight="false" outlineLevel="0" collapsed="false">
      <c r="A235" s="20"/>
      <c r="B235" s="18" t="str">
        <f aca="false">IF(A235="","",IFERROR(INDEX(Products!$A:$A,MATCH(A235,Products!$B:$B,0)),"Not found"))</f>
        <v/>
      </c>
      <c r="C235" s="20"/>
      <c r="D235" s="18" t="str">
        <f aca="false">IF(C235="","",IFERROR(INDEX(Tables!$A:$A,MATCH(C235,Tables!$B:$B,0)),"Not found"))</f>
        <v/>
      </c>
      <c r="E235" s="21" t="str">
        <f aca="false">IF(D235="","",IFERROR(INDEX(Tables!$D:$D,MATCH(D235,Tables!$A:$A,0)),""))</f>
        <v/>
      </c>
      <c r="F235" s="20"/>
      <c r="G235" s="20"/>
      <c r="H235" s="20"/>
      <c r="I235" s="20"/>
      <c r="J235" s="20"/>
      <c r="K235" s="20"/>
    </row>
    <row r="236" customFormat="false" ht="15" hidden="false" customHeight="false" outlineLevel="0" collapsed="false">
      <c r="A236" s="20"/>
      <c r="B236" s="18" t="str">
        <f aca="false">IF(A236="","",IFERROR(INDEX(Products!$A:$A,MATCH(A236,Products!$B:$B,0)),"Not found"))</f>
        <v/>
      </c>
      <c r="C236" s="20"/>
      <c r="D236" s="18" t="str">
        <f aca="false">IF(C236="","",IFERROR(INDEX(Tables!$A:$A,MATCH(C236,Tables!$B:$B,0)),"Not found"))</f>
        <v/>
      </c>
      <c r="E236" s="21" t="str">
        <f aca="false">IF(D236="","",IFERROR(INDEX(Tables!$D:$D,MATCH(D236,Tables!$A:$A,0)),""))</f>
        <v/>
      </c>
      <c r="F236" s="20"/>
      <c r="G236" s="20"/>
      <c r="H236" s="20"/>
      <c r="I236" s="20"/>
      <c r="J236" s="20"/>
      <c r="K236" s="20"/>
    </row>
    <row r="237" customFormat="false" ht="15" hidden="false" customHeight="false" outlineLevel="0" collapsed="false">
      <c r="A237" s="20"/>
      <c r="B237" s="18" t="str">
        <f aca="false">IF(A237="","",IFERROR(INDEX(Products!$A:$A,MATCH(A237,Products!$B:$B,0)),"Not found"))</f>
        <v/>
      </c>
      <c r="C237" s="20"/>
      <c r="D237" s="18" t="str">
        <f aca="false">IF(C237="","",IFERROR(INDEX(Tables!$A:$A,MATCH(C237,Tables!$B:$B,0)),"Not found"))</f>
        <v/>
      </c>
      <c r="E237" s="21" t="str">
        <f aca="false">IF(D237="","",IFERROR(INDEX(Tables!$D:$D,MATCH(D237,Tables!$A:$A,0)),""))</f>
        <v/>
      </c>
      <c r="F237" s="20"/>
      <c r="G237" s="20"/>
      <c r="H237" s="20"/>
      <c r="I237" s="20"/>
      <c r="J237" s="20"/>
      <c r="K237" s="20"/>
    </row>
    <row r="238" customFormat="false" ht="15" hidden="false" customHeight="false" outlineLevel="0" collapsed="false">
      <c r="A238" s="20"/>
      <c r="B238" s="18" t="str">
        <f aca="false">IF(A238="","",IFERROR(INDEX(Products!$A:$A,MATCH(A238,Products!$B:$B,0)),"Not found"))</f>
        <v/>
      </c>
      <c r="C238" s="20"/>
      <c r="D238" s="18" t="str">
        <f aca="false">IF(C238="","",IFERROR(INDEX(Tables!$A:$A,MATCH(C238,Tables!$B:$B,0)),"Not found"))</f>
        <v/>
      </c>
      <c r="E238" s="21" t="str">
        <f aca="false">IF(D238="","",IFERROR(INDEX(Tables!$D:$D,MATCH(D238,Tables!$A:$A,0)),""))</f>
        <v/>
      </c>
      <c r="F238" s="20"/>
      <c r="G238" s="20"/>
      <c r="H238" s="20"/>
      <c r="I238" s="20"/>
      <c r="J238" s="20"/>
      <c r="K238" s="20"/>
    </row>
    <row r="239" customFormat="false" ht="15" hidden="false" customHeight="false" outlineLevel="0" collapsed="false">
      <c r="A239" s="20"/>
      <c r="B239" s="18" t="str">
        <f aca="false">IF(A239="","",IFERROR(INDEX(Products!$A:$A,MATCH(A239,Products!$B:$B,0)),"Not found"))</f>
        <v/>
      </c>
      <c r="C239" s="20"/>
      <c r="D239" s="18" t="str">
        <f aca="false">IF(C239="","",IFERROR(INDEX(Tables!$A:$A,MATCH(C239,Tables!$B:$B,0)),"Not found"))</f>
        <v/>
      </c>
      <c r="E239" s="21" t="str">
        <f aca="false">IF(D239="","",IFERROR(INDEX(Tables!$D:$D,MATCH(D239,Tables!$A:$A,0)),""))</f>
        <v/>
      </c>
      <c r="F239" s="20"/>
      <c r="G239" s="20"/>
      <c r="H239" s="20"/>
      <c r="I239" s="20"/>
      <c r="J239" s="20"/>
      <c r="K239" s="20"/>
    </row>
    <row r="240" customFormat="false" ht="15" hidden="false" customHeight="false" outlineLevel="0" collapsed="false">
      <c r="A240" s="20"/>
      <c r="B240" s="18" t="str">
        <f aca="false">IF(A240="","",IFERROR(INDEX(Products!$A:$A,MATCH(A240,Products!$B:$B,0)),"Not found"))</f>
        <v/>
      </c>
      <c r="C240" s="20"/>
      <c r="D240" s="18" t="str">
        <f aca="false">IF(C240="","",IFERROR(INDEX(Tables!$A:$A,MATCH(C240,Tables!$B:$B,0)),"Not found"))</f>
        <v/>
      </c>
      <c r="E240" s="21" t="str">
        <f aca="false">IF(D240="","",IFERROR(INDEX(Tables!$D:$D,MATCH(D240,Tables!$A:$A,0)),""))</f>
        <v/>
      </c>
      <c r="F240" s="20"/>
      <c r="G240" s="20"/>
      <c r="H240" s="20"/>
      <c r="I240" s="20"/>
      <c r="J240" s="20"/>
      <c r="K240" s="20"/>
    </row>
    <row r="241" customFormat="false" ht="15" hidden="false" customHeight="false" outlineLevel="0" collapsed="false">
      <c r="A241" s="20"/>
      <c r="B241" s="18" t="str">
        <f aca="false">IF(A241="","",IFERROR(INDEX(Products!$A:$A,MATCH(A241,Products!$B:$B,0)),"Not found"))</f>
        <v/>
      </c>
      <c r="C241" s="20"/>
      <c r="D241" s="18" t="str">
        <f aca="false">IF(C241="","",IFERROR(INDEX(Tables!$A:$A,MATCH(C241,Tables!$B:$B,0)),"Not found"))</f>
        <v/>
      </c>
      <c r="E241" s="21" t="str">
        <f aca="false">IF(D241="","",IFERROR(INDEX(Tables!$D:$D,MATCH(D241,Tables!$A:$A,0)),""))</f>
        <v/>
      </c>
      <c r="F241" s="20"/>
      <c r="G241" s="20"/>
      <c r="H241" s="20"/>
      <c r="I241" s="20"/>
      <c r="J241" s="20"/>
      <c r="K241" s="20"/>
    </row>
    <row r="242" customFormat="false" ht="15" hidden="false" customHeight="false" outlineLevel="0" collapsed="false">
      <c r="A242" s="20"/>
      <c r="B242" s="18" t="str">
        <f aca="false">IF(A242="","",IFERROR(INDEX(Products!$A:$A,MATCH(A242,Products!$B:$B,0)),"Not found"))</f>
        <v/>
      </c>
      <c r="C242" s="20"/>
      <c r="D242" s="18" t="str">
        <f aca="false">IF(C242="","",IFERROR(INDEX(Tables!$A:$A,MATCH(C242,Tables!$B:$B,0)),"Not found"))</f>
        <v/>
      </c>
      <c r="E242" s="21" t="str">
        <f aca="false">IF(D242="","",IFERROR(INDEX(Tables!$D:$D,MATCH(D242,Tables!$A:$A,0)),""))</f>
        <v/>
      </c>
      <c r="F242" s="20"/>
      <c r="G242" s="20"/>
      <c r="H242" s="20"/>
      <c r="I242" s="20"/>
      <c r="J242" s="20"/>
      <c r="K242" s="20"/>
    </row>
    <row r="243" customFormat="false" ht="15" hidden="false" customHeight="false" outlineLevel="0" collapsed="false">
      <c r="A243" s="20"/>
      <c r="B243" s="18" t="str">
        <f aca="false">IF(A243="","",IFERROR(INDEX(Products!$A:$A,MATCH(A243,Products!$B:$B,0)),"Not found"))</f>
        <v/>
      </c>
      <c r="C243" s="20"/>
      <c r="D243" s="18" t="str">
        <f aca="false">IF(C243="","",IFERROR(INDEX(Tables!$A:$A,MATCH(C243,Tables!$B:$B,0)),"Not found"))</f>
        <v/>
      </c>
      <c r="E243" s="21" t="str">
        <f aca="false">IF(D243="","",IFERROR(INDEX(Tables!$D:$D,MATCH(D243,Tables!$A:$A,0)),""))</f>
        <v/>
      </c>
      <c r="F243" s="20"/>
      <c r="G243" s="20"/>
      <c r="H243" s="20"/>
      <c r="I243" s="20"/>
      <c r="J243" s="20"/>
      <c r="K243" s="20"/>
    </row>
    <row r="244" customFormat="false" ht="15" hidden="false" customHeight="false" outlineLevel="0" collapsed="false">
      <c r="A244" s="20"/>
      <c r="B244" s="18" t="str">
        <f aca="false">IF(A244="","",IFERROR(INDEX(Products!$A:$A,MATCH(A244,Products!$B:$B,0)),"Not found"))</f>
        <v/>
      </c>
      <c r="C244" s="20"/>
      <c r="D244" s="18" t="str">
        <f aca="false">IF(C244="","",IFERROR(INDEX(Tables!$A:$A,MATCH(C244,Tables!$B:$B,0)),"Not found"))</f>
        <v/>
      </c>
      <c r="E244" s="21" t="str">
        <f aca="false">IF(D244="","",IFERROR(INDEX(Tables!$D:$D,MATCH(D244,Tables!$A:$A,0)),""))</f>
        <v/>
      </c>
      <c r="F244" s="20"/>
      <c r="G244" s="20"/>
      <c r="H244" s="20"/>
      <c r="I244" s="20"/>
      <c r="J244" s="20"/>
      <c r="K244" s="20"/>
    </row>
    <row r="245" customFormat="false" ht="15" hidden="false" customHeight="false" outlineLevel="0" collapsed="false">
      <c r="A245" s="20"/>
      <c r="B245" s="18" t="str">
        <f aca="false">IF(A245="","",IFERROR(INDEX(Products!$A:$A,MATCH(A245,Products!$B:$B,0)),"Not found"))</f>
        <v/>
      </c>
      <c r="C245" s="20"/>
      <c r="D245" s="18" t="str">
        <f aca="false">IF(C245="","",IFERROR(INDEX(Tables!$A:$A,MATCH(C245,Tables!$B:$B,0)),"Not found"))</f>
        <v/>
      </c>
      <c r="E245" s="21" t="str">
        <f aca="false">IF(D245="","",IFERROR(INDEX(Tables!$D:$D,MATCH(D245,Tables!$A:$A,0)),""))</f>
        <v/>
      </c>
      <c r="F245" s="20"/>
      <c r="G245" s="20"/>
      <c r="H245" s="20"/>
      <c r="I245" s="20"/>
      <c r="J245" s="20"/>
      <c r="K245" s="20"/>
    </row>
    <row r="246" customFormat="false" ht="15" hidden="false" customHeight="false" outlineLevel="0" collapsed="false">
      <c r="A246" s="20"/>
      <c r="B246" s="18" t="str">
        <f aca="false">IF(A246="","",IFERROR(INDEX(Products!$A:$A,MATCH(A246,Products!$B:$B,0)),"Not found"))</f>
        <v/>
      </c>
      <c r="C246" s="20"/>
      <c r="D246" s="18" t="str">
        <f aca="false">IF(C246="","",IFERROR(INDEX(Tables!$A:$A,MATCH(C246,Tables!$B:$B,0)),"Not found"))</f>
        <v/>
      </c>
      <c r="E246" s="21" t="str">
        <f aca="false">IF(D246="","",IFERROR(INDEX(Tables!$D:$D,MATCH(D246,Tables!$A:$A,0)),""))</f>
        <v/>
      </c>
      <c r="F246" s="20"/>
      <c r="G246" s="20"/>
      <c r="H246" s="20"/>
      <c r="I246" s="20"/>
      <c r="J246" s="20"/>
      <c r="K246" s="20"/>
    </row>
    <row r="247" customFormat="false" ht="15" hidden="false" customHeight="false" outlineLevel="0" collapsed="false">
      <c r="A247" s="20"/>
      <c r="B247" s="18" t="str">
        <f aca="false">IF(A247="","",IFERROR(INDEX(Products!$A:$A,MATCH(A247,Products!$B:$B,0)),"Not found"))</f>
        <v/>
      </c>
      <c r="C247" s="20"/>
      <c r="D247" s="18" t="str">
        <f aca="false">IF(C247="","",IFERROR(INDEX(Tables!$A:$A,MATCH(C247,Tables!$B:$B,0)),"Not found"))</f>
        <v/>
      </c>
      <c r="E247" s="21" t="str">
        <f aca="false">IF(D247="","",IFERROR(INDEX(Tables!$D:$D,MATCH(D247,Tables!$A:$A,0)),""))</f>
        <v/>
      </c>
      <c r="F247" s="20"/>
      <c r="G247" s="20"/>
      <c r="H247" s="20"/>
      <c r="I247" s="20"/>
      <c r="J247" s="20"/>
      <c r="K247" s="20"/>
    </row>
    <row r="248" customFormat="false" ht="15" hidden="false" customHeight="false" outlineLevel="0" collapsed="false">
      <c r="A248" s="20"/>
      <c r="B248" s="18" t="str">
        <f aca="false">IF(A248="","",IFERROR(INDEX(Products!$A:$A,MATCH(A248,Products!$B:$B,0)),"Not found"))</f>
        <v/>
      </c>
      <c r="C248" s="20"/>
      <c r="D248" s="18" t="str">
        <f aca="false">IF(C248="","",IFERROR(INDEX(Tables!$A:$A,MATCH(C248,Tables!$B:$B,0)),"Not found"))</f>
        <v/>
      </c>
      <c r="E248" s="21" t="str">
        <f aca="false">IF(D248="","",IFERROR(INDEX(Tables!$D:$D,MATCH(D248,Tables!$A:$A,0)),""))</f>
        <v/>
      </c>
      <c r="F248" s="20"/>
      <c r="G248" s="20"/>
      <c r="H248" s="20"/>
      <c r="I248" s="20"/>
      <c r="J248" s="20"/>
      <c r="K248" s="20"/>
    </row>
    <row r="249" customFormat="false" ht="15" hidden="false" customHeight="false" outlineLevel="0" collapsed="false">
      <c r="A249" s="20"/>
      <c r="B249" s="18" t="str">
        <f aca="false">IF(A249="","",IFERROR(INDEX(Products!$A:$A,MATCH(A249,Products!$B:$B,0)),"Not found"))</f>
        <v/>
      </c>
      <c r="C249" s="20"/>
      <c r="D249" s="18" t="str">
        <f aca="false">IF(C249="","",IFERROR(INDEX(Tables!$A:$A,MATCH(C249,Tables!$B:$B,0)),"Not found"))</f>
        <v/>
      </c>
      <c r="E249" s="21" t="str">
        <f aca="false">IF(D249="","",IFERROR(INDEX(Tables!$D:$D,MATCH(D249,Tables!$A:$A,0)),""))</f>
        <v/>
      </c>
      <c r="F249" s="20"/>
      <c r="G249" s="20"/>
      <c r="H249" s="20"/>
      <c r="I249" s="20"/>
      <c r="J249" s="20"/>
      <c r="K249" s="20"/>
    </row>
    <row r="250" customFormat="false" ht="15" hidden="false" customHeight="false" outlineLevel="0" collapsed="false">
      <c r="A250" s="20"/>
      <c r="B250" s="18" t="str">
        <f aca="false">IF(A250="","",IFERROR(INDEX(Products!$A:$A,MATCH(A250,Products!$B:$B,0)),"Not found"))</f>
        <v/>
      </c>
      <c r="C250" s="20"/>
      <c r="D250" s="18" t="str">
        <f aca="false">IF(C250="","",IFERROR(INDEX(Tables!$A:$A,MATCH(C250,Tables!$B:$B,0)),"Not found"))</f>
        <v/>
      </c>
      <c r="E250" s="21" t="str">
        <f aca="false">IF(D250="","",IFERROR(INDEX(Tables!$D:$D,MATCH(D250,Tables!$A:$A,0)),""))</f>
        <v/>
      </c>
      <c r="F250" s="20"/>
      <c r="G250" s="20"/>
      <c r="H250" s="20"/>
      <c r="I250" s="20"/>
      <c r="J250" s="20"/>
      <c r="K250" s="20"/>
    </row>
    <row r="251" customFormat="false" ht="15" hidden="false" customHeight="false" outlineLevel="0" collapsed="false">
      <c r="A251" s="20"/>
      <c r="B251" s="18" t="str">
        <f aca="false">IF(A251="","",IFERROR(INDEX(Products!$A:$A,MATCH(A251,Products!$B:$B,0)),"Not found"))</f>
        <v/>
      </c>
      <c r="C251" s="20"/>
      <c r="D251" s="18" t="str">
        <f aca="false">IF(C251="","",IFERROR(INDEX(Tables!$A:$A,MATCH(C251,Tables!$B:$B,0)),"Not found"))</f>
        <v/>
      </c>
      <c r="E251" s="21" t="str">
        <f aca="false">IF(D251="","",IFERROR(INDEX(Tables!$D:$D,MATCH(D251,Tables!$A:$A,0)),""))</f>
        <v/>
      </c>
      <c r="F251" s="20"/>
      <c r="G251" s="20"/>
      <c r="H251" s="20"/>
      <c r="I251" s="20"/>
      <c r="J251" s="20"/>
      <c r="K251" s="20"/>
    </row>
    <row r="252" customFormat="false" ht="15" hidden="false" customHeight="false" outlineLevel="0" collapsed="false">
      <c r="A252" s="20"/>
      <c r="B252" s="18" t="str">
        <f aca="false">IF(A252="","",IFERROR(INDEX(Products!$A:$A,MATCH(A252,Products!$B:$B,0)),"Not found"))</f>
        <v/>
      </c>
      <c r="C252" s="20"/>
      <c r="D252" s="18" t="str">
        <f aca="false">IF(C252="","",IFERROR(INDEX(Tables!$A:$A,MATCH(C252,Tables!$B:$B,0)),"Not found"))</f>
        <v/>
      </c>
      <c r="E252" s="21" t="str">
        <f aca="false">IF(D252="","",IFERROR(INDEX(Tables!$D:$D,MATCH(D252,Tables!$A:$A,0)),""))</f>
        <v/>
      </c>
      <c r="F252" s="20"/>
      <c r="G252" s="20"/>
      <c r="H252" s="20"/>
      <c r="I252" s="20"/>
      <c r="J252" s="20"/>
      <c r="K252" s="20"/>
    </row>
    <row r="253" customFormat="false" ht="15" hidden="false" customHeight="false" outlineLevel="0" collapsed="false">
      <c r="A253" s="20"/>
      <c r="B253" s="18" t="str">
        <f aca="false">IF(A253="","",IFERROR(INDEX(Products!$A:$A,MATCH(A253,Products!$B:$B,0)),"Not found"))</f>
        <v/>
      </c>
      <c r="C253" s="20"/>
      <c r="D253" s="18" t="str">
        <f aca="false">IF(C253="","",IFERROR(INDEX(Tables!$A:$A,MATCH(C253,Tables!$B:$B,0)),"Not found"))</f>
        <v/>
      </c>
      <c r="E253" s="21" t="str">
        <f aca="false">IF(D253="","",IFERROR(INDEX(Tables!$D:$D,MATCH(D253,Tables!$A:$A,0)),""))</f>
        <v/>
      </c>
      <c r="F253" s="20"/>
      <c r="G253" s="20"/>
      <c r="H253" s="20"/>
      <c r="I253" s="20"/>
      <c r="J253" s="20"/>
      <c r="K253" s="20"/>
    </row>
    <row r="254" customFormat="false" ht="15" hidden="false" customHeight="false" outlineLevel="0" collapsed="false">
      <c r="A254" s="20"/>
      <c r="B254" s="18" t="str">
        <f aca="false">IF(A254="","",IFERROR(INDEX(Products!$A:$A,MATCH(A254,Products!$B:$B,0)),"Not found"))</f>
        <v/>
      </c>
      <c r="C254" s="20"/>
      <c r="D254" s="18" t="str">
        <f aca="false">IF(C254="","",IFERROR(INDEX(Tables!$A:$A,MATCH(C254,Tables!$B:$B,0)),"Not found"))</f>
        <v/>
      </c>
      <c r="E254" s="21" t="str">
        <f aca="false">IF(D254="","",IFERROR(INDEX(Tables!$D:$D,MATCH(D254,Tables!$A:$A,0)),""))</f>
        <v/>
      </c>
      <c r="F254" s="20"/>
      <c r="G254" s="20"/>
      <c r="H254" s="20"/>
      <c r="I254" s="20"/>
      <c r="J254" s="20"/>
      <c r="K254" s="20"/>
    </row>
    <row r="255" customFormat="false" ht="15" hidden="false" customHeight="false" outlineLevel="0" collapsed="false">
      <c r="A255" s="20"/>
      <c r="B255" s="18" t="str">
        <f aca="false">IF(A255="","",IFERROR(INDEX(Products!$A:$A,MATCH(A255,Products!$B:$B,0)),"Not found"))</f>
        <v/>
      </c>
      <c r="C255" s="20"/>
      <c r="D255" s="18" t="str">
        <f aca="false">IF(C255="","",IFERROR(INDEX(Tables!$A:$A,MATCH(C255,Tables!$B:$B,0)),"Not found"))</f>
        <v/>
      </c>
      <c r="E255" s="21" t="str">
        <f aca="false">IF(D255="","",IFERROR(INDEX(Tables!$D:$D,MATCH(D255,Tables!$A:$A,0)),""))</f>
        <v/>
      </c>
      <c r="F255" s="20"/>
      <c r="G255" s="20"/>
      <c r="H255" s="20"/>
      <c r="I255" s="20"/>
      <c r="J255" s="20"/>
      <c r="K255" s="20"/>
    </row>
    <row r="256" customFormat="false" ht="15" hidden="false" customHeight="false" outlineLevel="0" collapsed="false">
      <c r="A256" s="20"/>
      <c r="B256" s="18" t="str">
        <f aca="false">IF(A256="","",IFERROR(INDEX(Products!$A:$A,MATCH(A256,Products!$B:$B,0)),"Not found"))</f>
        <v/>
      </c>
      <c r="C256" s="20"/>
      <c r="D256" s="18" t="str">
        <f aca="false">IF(C256="","",IFERROR(INDEX(Tables!$A:$A,MATCH(C256,Tables!$B:$B,0)),"Not found"))</f>
        <v/>
      </c>
      <c r="E256" s="21" t="str">
        <f aca="false">IF(D256="","",IFERROR(INDEX(Tables!$D:$D,MATCH(D256,Tables!$A:$A,0)),""))</f>
        <v/>
      </c>
      <c r="F256" s="20"/>
      <c r="G256" s="20"/>
      <c r="H256" s="20"/>
      <c r="I256" s="20"/>
      <c r="J256" s="20"/>
      <c r="K256" s="20"/>
    </row>
    <row r="257" customFormat="false" ht="15" hidden="false" customHeight="false" outlineLevel="0" collapsed="false">
      <c r="A257" s="20"/>
      <c r="B257" s="18" t="str">
        <f aca="false">IF(A257="","",IFERROR(INDEX(Products!$A:$A,MATCH(A257,Products!$B:$B,0)),"Not found"))</f>
        <v/>
      </c>
      <c r="C257" s="20"/>
      <c r="D257" s="18" t="str">
        <f aca="false">IF(C257="","",IFERROR(INDEX(Tables!$A:$A,MATCH(C257,Tables!$B:$B,0)),"Not found"))</f>
        <v/>
      </c>
      <c r="E257" s="21" t="str">
        <f aca="false">IF(D257="","",IFERROR(INDEX(Tables!$D:$D,MATCH(D257,Tables!$A:$A,0)),""))</f>
        <v/>
      </c>
      <c r="F257" s="20"/>
      <c r="G257" s="20"/>
      <c r="H257" s="20"/>
      <c r="I257" s="20"/>
      <c r="J257" s="20"/>
      <c r="K257" s="20"/>
    </row>
    <row r="258" customFormat="false" ht="15" hidden="false" customHeight="false" outlineLevel="0" collapsed="false">
      <c r="A258" s="20"/>
      <c r="B258" s="18" t="str">
        <f aca="false">IF(A258="","",IFERROR(INDEX(Products!$A:$A,MATCH(A258,Products!$B:$B,0)),"Not found"))</f>
        <v/>
      </c>
      <c r="C258" s="20"/>
      <c r="D258" s="18" t="str">
        <f aca="false">IF(C258="","",IFERROR(INDEX(Tables!$A:$A,MATCH(C258,Tables!$B:$B,0)),"Not found"))</f>
        <v/>
      </c>
      <c r="E258" s="21" t="str">
        <f aca="false">IF(D258="","",IFERROR(INDEX(Tables!$D:$D,MATCH(D258,Tables!$A:$A,0)),""))</f>
        <v/>
      </c>
      <c r="F258" s="20"/>
      <c r="G258" s="20"/>
      <c r="H258" s="20"/>
      <c r="I258" s="20"/>
      <c r="J258" s="20"/>
      <c r="K258" s="20"/>
    </row>
    <row r="259" customFormat="false" ht="15" hidden="false" customHeight="false" outlineLevel="0" collapsed="false">
      <c r="A259" s="20"/>
      <c r="B259" s="18" t="str">
        <f aca="false">IF(A259="","",IFERROR(INDEX(Products!$A:$A,MATCH(A259,Products!$B:$B,0)),"Not found"))</f>
        <v/>
      </c>
      <c r="C259" s="20"/>
      <c r="D259" s="18" t="str">
        <f aca="false">IF(C259="","",IFERROR(INDEX(Tables!$A:$A,MATCH(C259,Tables!$B:$B,0)),"Not found"))</f>
        <v/>
      </c>
      <c r="E259" s="21" t="str">
        <f aca="false">IF(D259="","",IFERROR(INDEX(Tables!$D:$D,MATCH(D259,Tables!$A:$A,0)),""))</f>
        <v/>
      </c>
      <c r="F259" s="20"/>
      <c r="G259" s="20"/>
      <c r="H259" s="20"/>
      <c r="I259" s="20"/>
      <c r="J259" s="20"/>
      <c r="K259" s="20"/>
    </row>
    <row r="260" customFormat="false" ht="15" hidden="false" customHeight="false" outlineLevel="0" collapsed="false">
      <c r="A260" s="20"/>
      <c r="B260" s="18" t="str">
        <f aca="false">IF(A260="","",IFERROR(INDEX(Products!$A:$A,MATCH(A260,Products!$B:$B,0)),"Not found"))</f>
        <v/>
      </c>
      <c r="C260" s="20"/>
      <c r="D260" s="18" t="str">
        <f aca="false">IF(C260="","",IFERROR(INDEX(Tables!$A:$A,MATCH(C260,Tables!$B:$B,0)),"Not found"))</f>
        <v/>
      </c>
      <c r="E260" s="21" t="str">
        <f aca="false">IF(D260="","",IFERROR(INDEX(Tables!$D:$D,MATCH(D260,Tables!$A:$A,0)),""))</f>
        <v/>
      </c>
      <c r="F260" s="20"/>
      <c r="G260" s="20"/>
      <c r="H260" s="20"/>
      <c r="I260" s="20"/>
      <c r="J260" s="20"/>
      <c r="K260" s="20"/>
    </row>
    <row r="261" customFormat="false" ht="15" hidden="false" customHeight="false" outlineLevel="0" collapsed="false">
      <c r="A261" s="20"/>
      <c r="B261" s="18" t="str">
        <f aca="false">IF(A261="","",IFERROR(INDEX(Products!$A:$A,MATCH(A261,Products!$B:$B,0)),"Not found"))</f>
        <v/>
      </c>
      <c r="C261" s="20"/>
      <c r="D261" s="18" t="str">
        <f aca="false">IF(C261="","",IFERROR(INDEX(Tables!$A:$A,MATCH(C261,Tables!$B:$B,0)),"Not found"))</f>
        <v/>
      </c>
      <c r="E261" s="21" t="str">
        <f aca="false">IF(D261="","",IFERROR(INDEX(Tables!$D:$D,MATCH(D261,Tables!$A:$A,0)),""))</f>
        <v/>
      </c>
      <c r="F261" s="20"/>
      <c r="G261" s="20"/>
      <c r="H261" s="20"/>
      <c r="I261" s="20"/>
      <c r="J261" s="20"/>
      <c r="K261" s="20"/>
    </row>
    <row r="262" customFormat="false" ht="15" hidden="false" customHeight="false" outlineLevel="0" collapsed="false">
      <c r="A262" s="20"/>
      <c r="B262" s="18" t="str">
        <f aca="false">IF(A262="","",IFERROR(INDEX(Products!$A:$A,MATCH(A262,Products!$B:$B,0)),"Not found"))</f>
        <v/>
      </c>
      <c r="C262" s="20"/>
      <c r="D262" s="18" t="str">
        <f aca="false">IF(C262="","",IFERROR(INDEX(Tables!$A:$A,MATCH(C262,Tables!$B:$B,0)),"Not found"))</f>
        <v/>
      </c>
      <c r="E262" s="21" t="str">
        <f aca="false">IF(D262="","",IFERROR(INDEX(Tables!$D:$D,MATCH(D262,Tables!$A:$A,0)),""))</f>
        <v/>
      </c>
      <c r="F262" s="20"/>
      <c r="G262" s="20"/>
      <c r="H262" s="20"/>
      <c r="I262" s="20"/>
      <c r="J262" s="20"/>
      <c r="K262" s="20"/>
    </row>
    <row r="263" customFormat="false" ht="15" hidden="false" customHeight="false" outlineLevel="0" collapsed="false">
      <c r="A263" s="20"/>
      <c r="B263" s="18" t="str">
        <f aca="false">IF(A263="","",IFERROR(INDEX(Products!$A:$A,MATCH(A263,Products!$B:$B,0)),"Not found"))</f>
        <v/>
      </c>
      <c r="C263" s="20"/>
      <c r="D263" s="18" t="str">
        <f aca="false">IF(C263="","",IFERROR(INDEX(Tables!$A:$A,MATCH(C263,Tables!$B:$B,0)),"Not found"))</f>
        <v/>
      </c>
      <c r="E263" s="21" t="str">
        <f aca="false">IF(D263="","",IFERROR(INDEX(Tables!$D:$D,MATCH(D263,Tables!$A:$A,0)),""))</f>
        <v/>
      </c>
      <c r="F263" s="20"/>
      <c r="G263" s="20"/>
      <c r="H263" s="20"/>
      <c r="I263" s="20"/>
      <c r="J263" s="20"/>
      <c r="K263" s="20"/>
    </row>
    <row r="264" customFormat="false" ht="15" hidden="false" customHeight="false" outlineLevel="0" collapsed="false">
      <c r="A264" s="20"/>
      <c r="B264" s="18" t="str">
        <f aca="false">IF(A264="","",IFERROR(INDEX(Products!$A:$A,MATCH(A264,Products!$B:$B,0)),"Not found"))</f>
        <v/>
      </c>
      <c r="C264" s="20"/>
      <c r="D264" s="18" t="str">
        <f aca="false">IF(C264="","",IFERROR(INDEX(Tables!$A:$A,MATCH(C264,Tables!$B:$B,0)),"Not found"))</f>
        <v/>
      </c>
      <c r="E264" s="21" t="str">
        <f aca="false">IF(D264="","",IFERROR(INDEX(Tables!$D:$D,MATCH(D264,Tables!$A:$A,0)),""))</f>
        <v/>
      </c>
      <c r="F264" s="20"/>
      <c r="G264" s="20"/>
      <c r="H264" s="20"/>
      <c r="I264" s="20"/>
      <c r="J264" s="20"/>
      <c r="K264" s="20"/>
    </row>
    <row r="265" customFormat="false" ht="15" hidden="false" customHeight="false" outlineLevel="0" collapsed="false">
      <c r="A265" s="20"/>
      <c r="B265" s="18" t="str">
        <f aca="false">IF(A265="","",IFERROR(INDEX(Products!$A:$A,MATCH(A265,Products!$B:$B,0)),"Not found"))</f>
        <v/>
      </c>
      <c r="C265" s="20"/>
      <c r="D265" s="18" t="str">
        <f aca="false">IF(C265="","",IFERROR(INDEX(Tables!$A:$A,MATCH(C265,Tables!$B:$B,0)),"Not found"))</f>
        <v/>
      </c>
      <c r="E265" s="21" t="str">
        <f aca="false">IF(D265="","",IFERROR(INDEX(Tables!$D:$D,MATCH(D265,Tables!$A:$A,0)),""))</f>
        <v/>
      </c>
      <c r="F265" s="20"/>
      <c r="G265" s="20"/>
      <c r="H265" s="20"/>
      <c r="I265" s="20"/>
      <c r="J265" s="20"/>
      <c r="K265" s="20"/>
    </row>
    <row r="266" customFormat="false" ht="15" hidden="false" customHeight="false" outlineLevel="0" collapsed="false">
      <c r="A266" s="20"/>
      <c r="B266" s="18" t="str">
        <f aca="false">IF(A266="","",IFERROR(INDEX(Products!$A:$A,MATCH(A266,Products!$B:$B,0)),"Not found"))</f>
        <v/>
      </c>
      <c r="C266" s="20"/>
      <c r="D266" s="18" t="str">
        <f aca="false">IF(C266="","",IFERROR(INDEX(Tables!$A:$A,MATCH(C266,Tables!$B:$B,0)),"Not found"))</f>
        <v/>
      </c>
      <c r="E266" s="21" t="str">
        <f aca="false">IF(D266="","",IFERROR(INDEX(Tables!$D:$D,MATCH(D266,Tables!$A:$A,0)),""))</f>
        <v/>
      </c>
      <c r="F266" s="20"/>
      <c r="G266" s="20"/>
      <c r="H266" s="20"/>
      <c r="I266" s="20"/>
      <c r="J266" s="20"/>
      <c r="K266" s="20"/>
    </row>
    <row r="267" customFormat="false" ht="15" hidden="false" customHeight="false" outlineLevel="0" collapsed="false">
      <c r="A267" s="20"/>
      <c r="B267" s="18" t="str">
        <f aca="false">IF(A267="","",IFERROR(INDEX(Products!$A:$A,MATCH(A267,Products!$B:$B,0)),"Not found"))</f>
        <v/>
      </c>
      <c r="C267" s="20"/>
      <c r="D267" s="18" t="str">
        <f aca="false">IF(C267="","",IFERROR(INDEX(Tables!$A:$A,MATCH(C267,Tables!$B:$B,0)),"Not found"))</f>
        <v/>
      </c>
      <c r="E267" s="21" t="str">
        <f aca="false">IF(D267="","",IFERROR(INDEX(Tables!$D:$D,MATCH(D267,Tables!$A:$A,0)),""))</f>
        <v/>
      </c>
      <c r="F267" s="20"/>
      <c r="G267" s="20"/>
      <c r="H267" s="20"/>
      <c r="I267" s="20"/>
      <c r="J267" s="20"/>
      <c r="K267" s="20"/>
    </row>
    <row r="268" customFormat="false" ht="15" hidden="false" customHeight="false" outlineLevel="0" collapsed="false">
      <c r="A268" s="20"/>
      <c r="B268" s="18" t="str">
        <f aca="false">IF(A268="","",IFERROR(INDEX(Products!$A:$A,MATCH(A268,Products!$B:$B,0)),"Not found"))</f>
        <v/>
      </c>
      <c r="C268" s="20"/>
      <c r="D268" s="18" t="str">
        <f aca="false">IF(C268="","",IFERROR(INDEX(Tables!$A:$A,MATCH(C268,Tables!$B:$B,0)),"Not found"))</f>
        <v/>
      </c>
      <c r="E268" s="21" t="str">
        <f aca="false">IF(D268="","",IFERROR(INDEX(Tables!$D:$D,MATCH(D268,Tables!$A:$A,0)),""))</f>
        <v/>
      </c>
      <c r="F268" s="20"/>
      <c r="G268" s="20"/>
      <c r="H268" s="20"/>
      <c r="I268" s="20"/>
      <c r="J268" s="20"/>
      <c r="K268" s="20"/>
    </row>
    <row r="269" customFormat="false" ht="15" hidden="false" customHeight="false" outlineLevel="0" collapsed="false">
      <c r="A269" s="20"/>
      <c r="B269" s="18" t="str">
        <f aca="false">IF(A269="","",IFERROR(INDEX(Products!$A:$A,MATCH(A269,Products!$B:$B,0)),"Not found"))</f>
        <v/>
      </c>
      <c r="C269" s="20"/>
      <c r="D269" s="18" t="str">
        <f aca="false">IF(C269="","",IFERROR(INDEX(Tables!$A:$A,MATCH(C269,Tables!$B:$B,0)),"Not found"))</f>
        <v/>
      </c>
      <c r="E269" s="21" t="str">
        <f aca="false">IF(D269="","",IFERROR(INDEX(Tables!$D:$D,MATCH(D269,Tables!$A:$A,0)),""))</f>
        <v/>
      </c>
      <c r="F269" s="20"/>
      <c r="G269" s="20"/>
      <c r="H269" s="20"/>
      <c r="I269" s="20"/>
      <c r="J269" s="20"/>
      <c r="K269" s="20"/>
    </row>
    <row r="270" customFormat="false" ht="15" hidden="false" customHeight="false" outlineLevel="0" collapsed="false">
      <c r="A270" s="20"/>
      <c r="B270" s="18" t="str">
        <f aca="false">IF(A270="","",IFERROR(INDEX(Products!$A:$A,MATCH(A270,Products!$B:$B,0)),"Not found"))</f>
        <v/>
      </c>
      <c r="C270" s="20"/>
      <c r="D270" s="18" t="str">
        <f aca="false">IF(C270="","",IFERROR(INDEX(Tables!$A:$A,MATCH(C270,Tables!$B:$B,0)),"Not found"))</f>
        <v/>
      </c>
      <c r="E270" s="21" t="str">
        <f aca="false">IF(D270="","",IFERROR(INDEX(Tables!$D:$D,MATCH(D270,Tables!$A:$A,0)),""))</f>
        <v/>
      </c>
      <c r="F270" s="20"/>
      <c r="G270" s="20"/>
      <c r="H270" s="20"/>
      <c r="I270" s="20"/>
      <c r="J270" s="20"/>
      <c r="K270" s="20"/>
    </row>
    <row r="271" customFormat="false" ht="15" hidden="false" customHeight="false" outlineLevel="0" collapsed="false">
      <c r="A271" s="20"/>
      <c r="B271" s="18" t="str">
        <f aca="false">IF(A271="","",IFERROR(INDEX(Products!$A:$A,MATCH(A271,Products!$B:$B,0)),"Not found"))</f>
        <v/>
      </c>
      <c r="C271" s="20"/>
      <c r="D271" s="18" t="str">
        <f aca="false">IF(C271="","",IFERROR(INDEX(Tables!$A:$A,MATCH(C271,Tables!$B:$B,0)),"Not found"))</f>
        <v/>
      </c>
      <c r="E271" s="21" t="str">
        <f aca="false">IF(D271="","",IFERROR(INDEX(Tables!$D:$D,MATCH(D271,Tables!$A:$A,0)),""))</f>
        <v/>
      </c>
      <c r="F271" s="20"/>
      <c r="G271" s="20"/>
      <c r="H271" s="20"/>
      <c r="I271" s="20"/>
      <c r="J271" s="20"/>
      <c r="K271" s="20"/>
    </row>
    <row r="272" customFormat="false" ht="15" hidden="false" customHeight="false" outlineLevel="0" collapsed="false">
      <c r="A272" s="20"/>
      <c r="B272" s="18" t="str">
        <f aca="false">IF(A272="","",IFERROR(INDEX(Products!$A:$A,MATCH(A272,Products!$B:$B,0)),"Not found"))</f>
        <v/>
      </c>
      <c r="C272" s="20"/>
      <c r="D272" s="18" t="str">
        <f aca="false">IF(C272="","",IFERROR(INDEX(Tables!$A:$A,MATCH(C272,Tables!$B:$B,0)),"Not found"))</f>
        <v/>
      </c>
      <c r="E272" s="21" t="str">
        <f aca="false">IF(D272="","",IFERROR(INDEX(Tables!$D:$D,MATCH(D272,Tables!$A:$A,0)),""))</f>
        <v/>
      </c>
      <c r="F272" s="20"/>
      <c r="G272" s="20"/>
      <c r="H272" s="20"/>
      <c r="I272" s="20"/>
      <c r="J272" s="20"/>
      <c r="K272" s="20"/>
    </row>
    <row r="273" customFormat="false" ht="15" hidden="false" customHeight="false" outlineLevel="0" collapsed="false">
      <c r="A273" s="20"/>
      <c r="B273" s="18" t="str">
        <f aca="false">IF(A273="","",IFERROR(INDEX(Products!$A:$A,MATCH(A273,Products!$B:$B,0)),"Not found"))</f>
        <v/>
      </c>
      <c r="C273" s="20"/>
      <c r="D273" s="18" t="str">
        <f aca="false">IF(C273="","",IFERROR(INDEX(Tables!$A:$A,MATCH(C273,Tables!$B:$B,0)),"Not found"))</f>
        <v/>
      </c>
      <c r="E273" s="21" t="str">
        <f aca="false">IF(D273="","",IFERROR(INDEX(Tables!$D:$D,MATCH(D273,Tables!$A:$A,0)),""))</f>
        <v/>
      </c>
      <c r="F273" s="20"/>
      <c r="G273" s="20"/>
      <c r="H273" s="20"/>
      <c r="I273" s="20"/>
      <c r="J273" s="20"/>
      <c r="K273" s="20"/>
    </row>
    <row r="274" customFormat="false" ht="15" hidden="false" customHeight="false" outlineLevel="0" collapsed="false">
      <c r="A274" s="20"/>
      <c r="B274" s="18" t="str">
        <f aca="false">IF(A274="","",IFERROR(INDEX(Products!$A:$A,MATCH(A274,Products!$B:$B,0)),"Not found"))</f>
        <v/>
      </c>
      <c r="C274" s="20"/>
      <c r="D274" s="18" t="str">
        <f aca="false">IF(C274="","",IFERROR(INDEX(Tables!$A:$A,MATCH(C274,Tables!$B:$B,0)),"Not found"))</f>
        <v/>
      </c>
      <c r="E274" s="21" t="str">
        <f aca="false">IF(D274="","",IFERROR(INDEX(Tables!$D:$D,MATCH(D274,Tables!$A:$A,0)),""))</f>
        <v/>
      </c>
      <c r="F274" s="20"/>
      <c r="G274" s="20"/>
      <c r="H274" s="20"/>
      <c r="I274" s="20"/>
      <c r="J274" s="20"/>
      <c r="K274" s="20"/>
    </row>
    <row r="275" customFormat="false" ht="15" hidden="false" customHeight="false" outlineLevel="0" collapsed="false">
      <c r="A275" s="20"/>
      <c r="B275" s="18" t="str">
        <f aca="false">IF(A275="","",IFERROR(INDEX(Products!$A:$A,MATCH(A275,Products!$B:$B,0)),"Not found"))</f>
        <v/>
      </c>
      <c r="C275" s="20"/>
      <c r="D275" s="18" t="str">
        <f aca="false">IF(C275="","",IFERROR(INDEX(Tables!$A:$A,MATCH(C275,Tables!$B:$B,0)),"Not found"))</f>
        <v/>
      </c>
      <c r="E275" s="21" t="str">
        <f aca="false">IF(D275="","",IFERROR(INDEX(Tables!$D:$D,MATCH(D275,Tables!$A:$A,0)),""))</f>
        <v/>
      </c>
      <c r="F275" s="20"/>
      <c r="G275" s="20"/>
      <c r="H275" s="20"/>
      <c r="I275" s="20"/>
      <c r="J275" s="20"/>
      <c r="K275" s="20"/>
    </row>
    <row r="276" customFormat="false" ht="15" hidden="false" customHeight="false" outlineLevel="0" collapsed="false">
      <c r="A276" s="20"/>
      <c r="B276" s="18" t="str">
        <f aca="false">IF(A276="","",IFERROR(INDEX(Products!$A:$A,MATCH(A276,Products!$B:$B,0)),"Not found"))</f>
        <v/>
      </c>
      <c r="C276" s="20"/>
      <c r="D276" s="18" t="str">
        <f aca="false">IF(C276="","",IFERROR(INDEX(Tables!$A:$A,MATCH(C276,Tables!$B:$B,0)),"Not found"))</f>
        <v/>
      </c>
      <c r="E276" s="21" t="str">
        <f aca="false">IF(D276="","",IFERROR(INDEX(Tables!$D:$D,MATCH(D276,Tables!$A:$A,0)),""))</f>
        <v/>
      </c>
      <c r="F276" s="20"/>
      <c r="G276" s="20"/>
      <c r="H276" s="20"/>
      <c r="I276" s="20"/>
      <c r="J276" s="20"/>
      <c r="K276" s="20"/>
    </row>
    <row r="277" customFormat="false" ht="15" hidden="false" customHeight="false" outlineLevel="0" collapsed="false">
      <c r="A277" s="20"/>
      <c r="B277" s="18" t="str">
        <f aca="false">IF(A277="","",IFERROR(INDEX(Products!$A:$A,MATCH(A277,Products!$B:$B,0)),"Not found"))</f>
        <v/>
      </c>
      <c r="C277" s="20"/>
      <c r="D277" s="18" t="str">
        <f aca="false">IF(C277="","",IFERROR(INDEX(Tables!$A:$A,MATCH(C277,Tables!$B:$B,0)),"Not found"))</f>
        <v/>
      </c>
      <c r="E277" s="21" t="str">
        <f aca="false">IF(D277="","",IFERROR(INDEX(Tables!$D:$D,MATCH(D277,Tables!$A:$A,0)),""))</f>
        <v/>
      </c>
      <c r="F277" s="20"/>
      <c r="G277" s="20"/>
      <c r="H277" s="20"/>
      <c r="I277" s="20"/>
      <c r="J277" s="20"/>
      <c r="K277" s="20"/>
    </row>
    <row r="278" customFormat="false" ht="15" hidden="false" customHeight="false" outlineLevel="0" collapsed="false">
      <c r="A278" s="20"/>
      <c r="B278" s="18" t="str">
        <f aca="false">IF(A278="","",IFERROR(INDEX(Products!$A:$A,MATCH(A278,Products!$B:$B,0)),"Not found"))</f>
        <v/>
      </c>
      <c r="C278" s="20"/>
      <c r="D278" s="18" t="str">
        <f aca="false">IF(C278="","",IFERROR(INDEX(Tables!$A:$A,MATCH(C278,Tables!$B:$B,0)),"Not found"))</f>
        <v/>
      </c>
      <c r="E278" s="21" t="str">
        <f aca="false">IF(D278="","",IFERROR(INDEX(Tables!$D:$D,MATCH(D278,Tables!$A:$A,0)),""))</f>
        <v/>
      </c>
      <c r="F278" s="20"/>
      <c r="G278" s="20"/>
      <c r="H278" s="20"/>
      <c r="I278" s="20"/>
      <c r="J278" s="20"/>
      <c r="K278" s="20"/>
    </row>
    <row r="279" customFormat="false" ht="15" hidden="false" customHeight="false" outlineLevel="0" collapsed="false">
      <c r="A279" s="20"/>
      <c r="B279" s="18" t="str">
        <f aca="false">IF(A279="","",IFERROR(INDEX(Products!$A:$A,MATCH(A279,Products!$B:$B,0)),"Not found"))</f>
        <v/>
      </c>
      <c r="C279" s="20"/>
      <c r="D279" s="18" t="str">
        <f aca="false">IF(C279="","",IFERROR(INDEX(Tables!$A:$A,MATCH(C279,Tables!$B:$B,0)),"Not found"))</f>
        <v/>
      </c>
      <c r="E279" s="21" t="str">
        <f aca="false">IF(D279="","",IFERROR(INDEX(Tables!$D:$D,MATCH(D279,Tables!$A:$A,0)),""))</f>
        <v/>
      </c>
      <c r="F279" s="20"/>
      <c r="G279" s="20"/>
      <c r="H279" s="20"/>
      <c r="I279" s="20"/>
      <c r="J279" s="20"/>
      <c r="K279" s="20"/>
    </row>
    <row r="280" customFormat="false" ht="15" hidden="false" customHeight="false" outlineLevel="0" collapsed="false">
      <c r="A280" s="20"/>
      <c r="B280" s="18" t="str">
        <f aca="false">IF(A280="","",IFERROR(INDEX(Products!$A:$A,MATCH(A280,Products!$B:$B,0)),"Not found"))</f>
        <v/>
      </c>
      <c r="C280" s="20"/>
      <c r="D280" s="18" t="str">
        <f aca="false">IF(C280="","",IFERROR(INDEX(Tables!$A:$A,MATCH(C280,Tables!$B:$B,0)),"Not found"))</f>
        <v/>
      </c>
      <c r="E280" s="21" t="str">
        <f aca="false">IF(D280="","",IFERROR(INDEX(Tables!$D:$D,MATCH(D280,Tables!$A:$A,0)),""))</f>
        <v/>
      </c>
      <c r="F280" s="20"/>
      <c r="G280" s="20"/>
      <c r="H280" s="20"/>
      <c r="I280" s="20"/>
      <c r="J280" s="20"/>
      <c r="K280" s="20"/>
    </row>
    <row r="281" customFormat="false" ht="15" hidden="false" customHeight="false" outlineLevel="0" collapsed="false">
      <c r="A281" s="20"/>
      <c r="B281" s="18" t="str">
        <f aca="false">IF(A281="","",IFERROR(INDEX(Products!$A:$A,MATCH(A281,Products!$B:$B,0)),"Not found"))</f>
        <v/>
      </c>
      <c r="C281" s="20"/>
      <c r="D281" s="18" t="str">
        <f aca="false">IF(C281="","",IFERROR(INDEX(Tables!$A:$A,MATCH(C281,Tables!$B:$B,0)),"Not found"))</f>
        <v/>
      </c>
      <c r="E281" s="21" t="str">
        <f aca="false">IF(D281="","",IFERROR(INDEX(Tables!$D:$D,MATCH(D281,Tables!$A:$A,0)),""))</f>
        <v/>
      </c>
      <c r="F281" s="20"/>
      <c r="G281" s="20"/>
      <c r="H281" s="20"/>
      <c r="I281" s="20"/>
      <c r="J281" s="20"/>
      <c r="K281" s="20"/>
    </row>
    <row r="282" customFormat="false" ht="15" hidden="false" customHeight="false" outlineLevel="0" collapsed="false">
      <c r="A282" s="20"/>
      <c r="B282" s="18" t="str">
        <f aca="false">IF(A282="","",IFERROR(INDEX(Products!$A:$A,MATCH(A282,Products!$B:$B,0)),"Not found"))</f>
        <v/>
      </c>
      <c r="C282" s="20"/>
      <c r="D282" s="18" t="str">
        <f aca="false">IF(C282="","",IFERROR(INDEX(Tables!$A:$A,MATCH(C282,Tables!$B:$B,0)),"Not found"))</f>
        <v/>
      </c>
      <c r="E282" s="21" t="str">
        <f aca="false">IF(D282="","",IFERROR(INDEX(Tables!$D:$D,MATCH(D282,Tables!$A:$A,0)),""))</f>
        <v/>
      </c>
      <c r="F282" s="20"/>
      <c r="G282" s="20"/>
      <c r="H282" s="20"/>
      <c r="I282" s="20"/>
      <c r="J282" s="20"/>
      <c r="K282" s="20"/>
    </row>
    <row r="283" customFormat="false" ht="15" hidden="false" customHeight="false" outlineLevel="0" collapsed="false">
      <c r="A283" s="20"/>
      <c r="B283" s="18" t="str">
        <f aca="false">IF(A283="","",IFERROR(INDEX(Products!$A:$A,MATCH(A283,Products!$B:$B,0)),"Not found"))</f>
        <v/>
      </c>
      <c r="C283" s="20"/>
      <c r="D283" s="18" t="str">
        <f aca="false">IF(C283="","",IFERROR(INDEX(Tables!$A:$A,MATCH(C283,Tables!$B:$B,0)),"Not found"))</f>
        <v/>
      </c>
      <c r="E283" s="21" t="str">
        <f aca="false">IF(D283="","",IFERROR(INDEX(Tables!$D:$D,MATCH(D283,Tables!$A:$A,0)),""))</f>
        <v/>
      </c>
      <c r="F283" s="20"/>
      <c r="G283" s="20"/>
      <c r="H283" s="20"/>
      <c r="I283" s="20"/>
      <c r="J283" s="20"/>
      <c r="K283" s="20"/>
    </row>
    <row r="284" customFormat="false" ht="15" hidden="false" customHeight="false" outlineLevel="0" collapsed="false">
      <c r="A284" s="20"/>
      <c r="B284" s="18" t="str">
        <f aca="false">IF(A284="","",IFERROR(INDEX(Products!$A:$A,MATCH(A284,Products!$B:$B,0)),"Not found"))</f>
        <v/>
      </c>
      <c r="C284" s="20"/>
      <c r="D284" s="18" t="str">
        <f aca="false">IF(C284="","",IFERROR(INDEX(Tables!$A:$A,MATCH(C284,Tables!$B:$B,0)),"Not found"))</f>
        <v/>
      </c>
      <c r="E284" s="21" t="str">
        <f aca="false">IF(D284="","",IFERROR(INDEX(Tables!$D:$D,MATCH(D284,Tables!$A:$A,0)),""))</f>
        <v/>
      </c>
      <c r="F284" s="20"/>
      <c r="G284" s="20"/>
      <c r="H284" s="20"/>
      <c r="I284" s="20"/>
      <c r="J284" s="20"/>
      <c r="K284" s="20"/>
    </row>
    <row r="285" customFormat="false" ht="15" hidden="false" customHeight="false" outlineLevel="0" collapsed="false">
      <c r="A285" s="20"/>
      <c r="B285" s="18" t="str">
        <f aca="false">IF(A285="","",IFERROR(INDEX(Products!$A:$A,MATCH(A285,Products!$B:$B,0)),"Not found"))</f>
        <v/>
      </c>
      <c r="C285" s="20"/>
      <c r="D285" s="18" t="str">
        <f aca="false">IF(C285="","",IFERROR(INDEX(Tables!$A:$A,MATCH(C285,Tables!$B:$B,0)),"Not found"))</f>
        <v/>
      </c>
      <c r="E285" s="21" t="str">
        <f aca="false">IF(D285="","",IFERROR(INDEX(Tables!$D:$D,MATCH(D285,Tables!$A:$A,0)),""))</f>
        <v/>
      </c>
      <c r="F285" s="20"/>
      <c r="G285" s="20"/>
      <c r="H285" s="20"/>
      <c r="I285" s="20"/>
      <c r="J285" s="20"/>
      <c r="K285" s="20"/>
    </row>
    <row r="286" customFormat="false" ht="15" hidden="false" customHeight="false" outlineLevel="0" collapsed="false">
      <c r="A286" s="20"/>
      <c r="B286" s="18" t="str">
        <f aca="false">IF(A286="","",IFERROR(INDEX(Products!$A:$A,MATCH(A286,Products!$B:$B,0)),"Not found"))</f>
        <v/>
      </c>
      <c r="C286" s="20"/>
      <c r="D286" s="18" t="str">
        <f aca="false">IF(C286="","",IFERROR(INDEX(Tables!$A:$A,MATCH(C286,Tables!$B:$B,0)),"Not found"))</f>
        <v/>
      </c>
      <c r="E286" s="21" t="str">
        <f aca="false">IF(D286="","",IFERROR(INDEX(Tables!$D:$D,MATCH(D286,Tables!$A:$A,0)),""))</f>
        <v/>
      </c>
      <c r="F286" s="20"/>
      <c r="G286" s="20"/>
      <c r="H286" s="20"/>
      <c r="I286" s="20"/>
      <c r="J286" s="20"/>
      <c r="K286" s="20"/>
    </row>
    <row r="287" customFormat="false" ht="15" hidden="false" customHeight="false" outlineLevel="0" collapsed="false">
      <c r="A287" s="20"/>
      <c r="B287" s="18" t="str">
        <f aca="false">IF(A287="","",IFERROR(INDEX(Products!$A:$A,MATCH(A287,Products!$B:$B,0)),"Not found"))</f>
        <v/>
      </c>
      <c r="C287" s="20"/>
      <c r="D287" s="18" t="str">
        <f aca="false">IF(C287="","",IFERROR(INDEX(Tables!$A:$A,MATCH(C287,Tables!$B:$B,0)),"Not found"))</f>
        <v/>
      </c>
      <c r="E287" s="21" t="str">
        <f aca="false">IF(D287="","",IFERROR(INDEX(Tables!$D:$D,MATCH(D287,Tables!$A:$A,0)),""))</f>
        <v/>
      </c>
      <c r="F287" s="20"/>
      <c r="G287" s="20"/>
      <c r="H287" s="20"/>
      <c r="I287" s="20"/>
      <c r="J287" s="20"/>
      <c r="K287" s="20"/>
    </row>
    <row r="288" customFormat="false" ht="15" hidden="false" customHeight="false" outlineLevel="0" collapsed="false">
      <c r="A288" s="20"/>
      <c r="B288" s="18" t="str">
        <f aca="false">IF(A288="","",IFERROR(INDEX(Products!$A:$A,MATCH(A288,Products!$B:$B,0)),"Not found"))</f>
        <v/>
      </c>
      <c r="C288" s="20"/>
      <c r="D288" s="18" t="str">
        <f aca="false">IF(C288="","",IFERROR(INDEX(Tables!$A:$A,MATCH(C288,Tables!$B:$B,0)),"Not found"))</f>
        <v/>
      </c>
      <c r="E288" s="21" t="str">
        <f aca="false">IF(D288="","",IFERROR(INDEX(Tables!$D:$D,MATCH(D288,Tables!$A:$A,0)),""))</f>
        <v/>
      </c>
      <c r="F288" s="20"/>
      <c r="G288" s="20"/>
      <c r="H288" s="20"/>
      <c r="I288" s="20"/>
      <c r="J288" s="20"/>
      <c r="K288" s="20"/>
    </row>
    <row r="289" customFormat="false" ht="15" hidden="false" customHeight="false" outlineLevel="0" collapsed="false">
      <c r="A289" s="20"/>
      <c r="B289" s="18" t="str">
        <f aca="false">IF(A289="","",IFERROR(INDEX(Products!$A:$A,MATCH(A289,Products!$B:$B,0)),"Not found"))</f>
        <v/>
      </c>
      <c r="C289" s="20"/>
      <c r="D289" s="18" t="str">
        <f aca="false">IF(C289="","",IFERROR(INDEX(Tables!$A:$A,MATCH(C289,Tables!$B:$B,0)),"Not found"))</f>
        <v/>
      </c>
      <c r="E289" s="21" t="str">
        <f aca="false">IF(D289="","",IFERROR(INDEX(Tables!$D:$D,MATCH(D289,Tables!$A:$A,0)),""))</f>
        <v/>
      </c>
      <c r="F289" s="20"/>
      <c r="G289" s="20"/>
      <c r="H289" s="20"/>
      <c r="I289" s="20"/>
      <c r="J289" s="20"/>
      <c r="K289" s="20"/>
    </row>
    <row r="290" customFormat="false" ht="15" hidden="false" customHeight="false" outlineLevel="0" collapsed="false">
      <c r="A290" s="20"/>
      <c r="B290" s="18" t="str">
        <f aca="false">IF(A290="","",IFERROR(INDEX(Products!$A:$A,MATCH(A290,Products!$B:$B,0)),"Not found"))</f>
        <v/>
      </c>
      <c r="C290" s="20"/>
      <c r="D290" s="18" t="str">
        <f aca="false">IF(C290="","",IFERROR(INDEX(Tables!$A:$A,MATCH(C290,Tables!$B:$B,0)),"Not found"))</f>
        <v/>
      </c>
      <c r="E290" s="21" t="str">
        <f aca="false">IF(D290="","",IFERROR(INDEX(Tables!$D:$D,MATCH(D290,Tables!$A:$A,0)),""))</f>
        <v/>
      </c>
      <c r="F290" s="20"/>
      <c r="G290" s="20"/>
      <c r="H290" s="20"/>
      <c r="I290" s="20"/>
      <c r="J290" s="20"/>
      <c r="K290" s="20"/>
    </row>
    <row r="291" customFormat="false" ht="15" hidden="false" customHeight="false" outlineLevel="0" collapsed="false">
      <c r="A291" s="20"/>
      <c r="B291" s="18" t="str">
        <f aca="false">IF(A291="","",IFERROR(INDEX(Products!$A:$A,MATCH(A291,Products!$B:$B,0)),"Not found"))</f>
        <v/>
      </c>
      <c r="C291" s="20"/>
      <c r="D291" s="18" t="str">
        <f aca="false">IF(C291="","",IFERROR(INDEX(Tables!$A:$A,MATCH(C291,Tables!$B:$B,0)),"Not found"))</f>
        <v/>
      </c>
      <c r="E291" s="21" t="str">
        <f aca="false">IF(D291="","",IFERROR(INDEX(Tables!$D:$D,MATCH(D291,Tables!$A:$A,0)),""))</f>
        <v/>
      </c>
      <c r="F291" s="20"/>
      <c r="G291" s="20"/>
      <c r="H291" s="20"/>
      <c r="I291" s="20"/>
      <c r="J291" s="20"/>
      <c r="K291" s="20"/>
    </row>
    <row r="292" customFormat="false" ht="15" hidden="false" customHeight="false" outlineLevel="0" collapsed="false">
      <c r="A292" s="20"/>
      <c r="B292" s="18" t="str">
        <f aca="false">IF(A292="","",IFERROR(INDEX(Products!$A:$A,MATCH(A292,Products!$B:$B,0)),"Not found"))</f>
        <v/>
      </c>
      <c r="C292" s="20"/>
      <c r="D292" s="18" t="str">
        <f aca="false">IF(C292="","",IFERROR(INDEX(Tables!$A:$A,MATCH(C292,Tables!$B:$B,0)),"Not found"))</f>
        <v/>
      </c>
      <c r="E292" s="21" t="str">
        <f aca="false">IF(D292="","",IFERROR(INDEX(Tables!$D:$D,MATCH(D292,Tables!$A:$A,0)),""))</f>
        <v/>
      </c>
      <c r="F292" s="20"/>
      <c r="G292" s="20"/>
      <c r="H292" s="20"/>
      <c r="I292" s="20"/>
      <c r="J292" s="20"/>
      <c r="K292" s="20"/>
    </row>
    <row r="293" customFormat="false" ht="15" hidden="false" customHeight="false" outlineLevel="0" collapsed="false">
      <c r="A293" s="20"/>
      <c r="B293" s="18" t="str">
        <f aca="false">IF(A293="","",IFERROR(INDEX(Products!$A:$A,MATCH(A293,Products!$B:$B,0)),"Not found"))</f>
        <v/>
      </c>
      <c r="C293" s="20"/>
      <c r="D293" s="18" t="str">
        <f aca="false">IF(C293="","",IFERROR(INDEX(Tables!$A:$A,MATCH(C293,Tables!$B:$B,0)),"Not found"))</f>
        <v/>
      </c>
      <c r="E293" s="21" t="str">
        <f aca="false">IF(D293="","",IFERROR(INDEX(Tables!$D:$D,MATCH(D293,Tables!$A:$A,0)),""))</f>
        <v/>
      </c>
      <c r="F293" s="20"/>
      <c r="G293" s="20"/>
      <c r="H293" s="20"/>
      <c r="I293" s="20"/>
      <c r="J293" s="20"/>
      <c r="K293" s="20"/>
    </row>
    <row r="294" customFormat="false" ht="15" hidden="false" customHeight="false" outlineLevel="0" collapsed="false">
      <c r="A294" s="20"/>
      <c r="B294" s="18" t="str">
        <f aca="false">IF(A294="","",IFERROR(INDEX(Products!$A:$A,MATCH(A294,Products!$B:$B,0)),"Not found"))</f>
        <v/>
      </c>
      <c r="C294" s="20"/>
      <c r="D294" s="18" t="str">
        <f aca="false">IF(C294="","",IFERROR(INDEX(Tables!$A:$A,MATCH(C294,Tables!$B:$B,0)),"Not found"))</f>
        <v/>
      </c>
      <c r="E294" s="21" t="str">
        <f aca="false">IF(D294="","",IFERROR(INDEX(Tables!$D:$D,MATCH(D294,Tables!$A:$A,0)),""))</f>
        <v/>
      </c>
      <c r="F294" s="20"/>
      <c r="G294" s="20"/>
      <c r="H294" s="20"/>
      <c r="I294" s="20"/>
      <c r="J294" s="20"/>
      <c r="K294" s="20"/>
    </row>
    <row r="295" customFormat="false" ht="15" hidden="false" customHeight="false" outlineLevel="0" collapsed="false">
      <c r="A295" s="20"/>
      <c r="B295" s="18" t="str">
        <f aca="false">IF(A295="","",IFERROR(INDEX(Products!$A:$A,MATCH(A295,Products!$B:$B,0)),"Not found"))</f>
        <v/>
      </c>
      <c r="C295" s="20"/>
      <c r="D295" s="18" t="str">
        <f aca="false">IF(C295="","",IFERROR(INDEX(Tables!$A:$A,MATCH(C295,Tables!$B:$B,0)),"Not found"))</f>
        <v/>
      </c>
      <c r="E295" s="21" t="str">
        <f aca="false">IF(D295="","",IFERROR(INDEX(Tables!$D:$D,MATCH(D295,Tables!$A:$A,0)),""))</f>
        <v/>
      </c>
      <c r="F295" s="20"/>
      <c r="G295" s="20"/>
      <c r="H295" s="20"/>
      <c r="I295" s="20"/>
      <c r="J295" s="20"/>
      <c r="K295" s="20"/>
    </row>
    <row r="296" customFormat="false" ht="15" hidden="false" customHeight="false" outlineLevel="0" collapsed="false">
      <c r="A296" s="20"/>
      <c r="B296" s="18" t="str">
        <f aca="false">IF(A296="","",IFERROR(INDEX(Products!$A:$A,MATCH(A296,Products!$B:$B,0)),"Not found"))</f>
        <v/>
      </c>
      <c r="C296" s="20"/>
      <c r="D296" s="18" t="str">
        <f aca="false">IF(C296="","",IFERROR(INDEX(Tables!$A:$A,MATCH(C296,Tables!$B:$B,0)),"Not found"))</f>
        <v/>
      </c>
      <c r="E296" s="21" t="str">
        <f aca="false">IF(D296="","",IFERROR(INDEX(Tables!$D:$D,MATCH(D296,Tables!$A:$A,0)),""))</f>
        <v/>
      </c>
      <c r="F296" s="20"/>
      <c r="G296" s="20"/>
      <c r="H296" s="20"/>
      <c r="I296" s="20"/>
      <c r="J296" s="20"/>
      <c r="K296" s="20"/>
    </row>
    <row r="297" customFormat="false" ht="15" hidden="false" customHeight="false" outlineLevel="0" collapsed="false">
      <c r="A297" s="20"/>
      <c r="B297" s="18" t="str">
        <f aca="false">IF(A297="","",IFERROR(INDEX(Products!$A:$A,MATCH(A297,Products!$B:$B,0)),"Not found"))</f>
        <v/>
      </c>
      <c r="C297" s="20"/>
      <c r="D297" s="18" t="str">
        <f aca="false">IF(C297="","",IFERROR(INDEX(Tables!$A:$A,MATCH(C297,Tables!$B:$B,0)),"Not found"))</f>
        <v/>
      </c>
      <c r="E297" s="21" t="str">
        <f aca="false">IF(D297="","",IFERROR(INDEX(Tables!$D:$D,MATCH(D297,Tables!$A:$A,0)),""))</f>
        <v/>
      </c>
      <c r="F297" s="20"/>
      <c r="G297" s="20"/>
      <c r="H297" s="20"/>
      <c r="I297" s="20"/>
      <c r="J297" s="20"/>
      <c r="K297" s="20"/>
    </row>
    <row r="298" customFormat="false" ht="15" hidden="false" customHeight="false" outlineLevel="0" collapsed="false">
      <c r="A298" s="20"/>
      <c r="B298" s="18" t="str">
        <f aca="false">IF(A298="","",IFERROR(INDEX(Products!$A:$A,MATCH(A298,Products!$B:$B,0)),"Not found"))</f>
        <v/>
      </c>
      <c r="C298" s="20"/>
      <c r="D298" s="18" t="str">
        <f aca="false">IF(C298="","",IFERROR(INDEX(Tables!$A:$A,MATCH(C298,Tables!$B:$B,0)),"Not found"))</f>
        <v/>
      </c>
      <c r="E298" s="21" t="str">
        <f aca="false">IF(D298="","",IFERROR(INDEX(Tables!$D:$D,MATCH(D298,Tables!$A:$A,0)),""))</f>
        <v/>
      </c>
      <c r="F298" s="20"/>
      <c r="G298" s="20"/>
      <c r="H298" s="20"/>
      <c r="I298" s="20"/>
      <c r="J298" s="20"/>
      <c r="K298" s="20"/>
    </row>
    <row r="299" customFormat="false" ht="15" hidden="false" customHeight="false" outlineLevel="0" collapsed="false">
      <c r="A299" s="20"/>
      <c r="B299" s="18" t="str">
        <f aca="false">IF(A299="","",IFERROR(INDEX(Products!$A:$A,MATCH(A299,Products!$B:$B,0)),"Not found"))</f>
        <v/>
      </c>
      <c r="C299" s="20"/>
      <c r="D299" s="18" t="str">
        <f aca="false">IF(C299="","",IFERROR(INDEX(Tables!$A:$A,MATCH(C299,Tables!$B:$B,0)),"Not found"))</f>
        <v/>
      </c>
      <c r="E299" s="21" t="str">
        <f aca="false">IF(D299="","",IFERROR(INDEX(Tables!$D:$D,MATCH(D299,Tables!$A:$A,0)),""))</f>
        <v/>
      </c>
      <c r="F299" s="20"/>
      <c r="G299" s="20"/>
      <c r="H299" s="20"/>
      <c r="I299" s="20"/>
      <c r="J299" s="20"/>
      <c r="K299" s="20"/>
    </row>
    <row r="300" customFormat="false" ht="15" hidden="false" customHeight="false" outlineLevel="0" collapsed="false">
      <c r="A300" s="20"/>
      <c r="B300" s="18" t="str">
        <f aca="false">IF(A300="","",IFERROR(INDEX(Products!$A:$A,MATCH(A300,Products!$B:$B,0)),"Not found"))</f>
        <v/>
      </c>
      <c r="C300" s="20"/>
      <c r="D300" s="18" t="str">
        <f aca="false">IF(C300="","",IFERROR(INDEX(Tables!$A:$A,MATCH(C300,Tables!$B:$B,0)),"Not found"))</f>
        <v/>
      </c>
      <c r="E300" s="21" t="str">
        <f aca="false">IF(D300="","",IFERROR(INDEX(Tables!$D:$D,MATCH(D300,Tables!$A:$A,0)),""))</f>
        <v/>
      </c>
      <c r="F300" s="20"/>
      <c r="G300" s="20"/>
      <c r="H300" s="20"/>
      <c r="I300" s="20"/>
      <c r="J300" s="20"/>
      <c r="K300" s="20"/>
    </row>
    <row r="301" customFormat="false" ht="15" hidden="false" customHeight="false" outlineLevel="0" collapsed="false">
      <c r="A301" s="20"/>
      <c r="B301" s="18" t="str">
        <f aca="false">IF(A301="","",IFERROR(INDEX(Products!$A:$A,MATCH(A301,Products!$B:$B,0)),"Not found"))</f>
        <v/>
      </c>
      <c r="C301" s="20"/>
      <c r="D301" s="18" t="str">
        <f aca="false">IF(C301="","",IFERROR(INDEX(Tables!$A:$A,MATCH(C301,Tables!$B:$B,0)),"Not found"))</f>
        <v/>
      </c>
      <c r="E301" s="21" t="str">
        <f aca="false">IF(D301="","",IFERROR(INDEX(Tables!$D:$D,MATCH(D301,Tables!$A:$A,0)),""))</f>
        <v/>
      </c>
      <c r="F301" s="20"/>
      <c r="G301" s="20"/>
      <c r="H301" s="20"/>
      <c r="I301" s="20"/>
      <c r="J301" s="20"/>
      <c r="K301" s="20"/>
    </row>
    <row r="302" customFormat="false" ht="15" hidden="false" customHeight="false" outlineLevel="0" collapsed="false">
      <c r="A302" s="20"/>
      <c r="B302" s="18" t="str">
        <f aca="false">IF(A302="","",IFERROR(INDEX(Products!$A:$A,MATCH(A302,Products!$B:$B,0)),"Not found"))</f>
        <v/>
      </c>
      <c r="C302" s="20"/>
      <c r="D302" s="18" t="str">
        <f aca="false">IF(C302="","",IFERROR(INDEX(Tables!$A:$A,MATCH(C302,Tables!$B:$B,0)),"Not found"))</f>
        <v/>
      </c>
      <c r="E302" s="21" t="str">
        <f aca="false">IF(D302="","",IFERROR(INDEX(Tables!$D:$D,MATCH(D302,Tables!$A:$A,0)),""))</f>
        <v/>
      </c>
      <c r="F302" s="20"/>
      <c r="G302" s="20"/>
      <c r="H302" s="20"/>
      <c r="I302" s="20"/>
      <c r="J302" s="20"/>
      <c r="K302" s="20"/>
    </row>
    <row r="303" customFormat="false" ht="15" hidden="false" customHeight="false" outlineLevel="0" collapsed="false">
      <c r="A303" s="20"/>
      <c r="B303" s="18" t="str">
        <f aca="false">IF(A303="","",IFERROR(INDEX(Products!$A:$A,MATCH(A303,Products!$B:$B,0)),"Not found"))</f>
        <v/>
      </c>
      <c r="C303" s="20"/>
      <c r="D303" s="18" t="str">
        <f aca="false">IF(C303="","",IFERROR(INDEX(Tables!$A:$A,MATCH(C303,Tables!$B:$B,0)),"Not found"))</f>
        <v/>
      </c>
      <c r="E303" s="21" t="str">
        <f aca="false">IF(D303="","",IFERROR(INDEX(Tables!$D:$D,MATCH(D303,Tables!$A:$A,0)),""))</f>
        <v/>
      </c>
      <c r="F303" s="20"/>
      <c r="G303" s="20"/>
      <c r="H303" s="20"/>
      <c r="I303" s="20"/>
      <c r="J303" s="20"/>
      <c r="K303" s="20"/>
    </row>
    <row r="304" customFormat="false" ht="15" hidden="false" customHeight="false" outlineLevel="0" collapsed="false">
      <c r="A304" s="20"/>
      <c r="B304" s="18" t="str">
        <f aca="false">IF(A304="","",IFERROR(INDEX(Products!$A:$A,MATCH(A304,Products!$B:$B,0)),"Not found"))</f>
        <v/>
      </c>
      <c r="C304" s="20"/>
      <c r="D304" s="18" t="str">
        <f aca="false">IF(C304="","",IFERROR(INDEX(Tables!$A:$A,MATCH(C304,Tables!$B:$B,0)),"Not found"))</f>
        <v/>
      </c>
      <c r="E304" s="21" t="str">
        <f aca="false">IF(D304="","",IFERROR(INDEX(Tables!$D:$D,MATCH(D304,Tables!$A:$A,0)),""))</f>
        <v/>
      </c>
      <c r="F304" s="20"/>
      <c r="G304" s="20"/>
      <c r="H304" s="20"/>
      <c r="I304" s="20"/>
      <c r="J304" s="20"/>
      <c r="K304" s="20"/>
    </row>
    <row r="305" customFormat="false" ht="15" hidden="false" customHeight="false" outlineLevel="0" collapsed="false">
      <c r="A305" s="20"/>
      <c r="B305" s="18" t="str">
        <f aca="false">IF(A305="","",IFERROR(INDEX(Products!$A:$A,MATCH(A305,Products!$B:$B,0)),"Not found"))</f>
        <v/>
      </c>
      <c r="C305" s="20"/>
      <c r="D305" s="18" t="str">
        <f aca="false">IF(C305="","",IFERROR(INDEX(Tables!$A:$A,MATCH(C305,Tables!$B:$B,0)),"Not found"))</f>
        <v/>
      </c>
      <c r="E305" s="21" t="str">
        <f aca="false">IF(D305="","",IFERROR(INDEX(Tables!$D:$D,MATCH(D305,Tables!$A:$A,0)),""))</f>
        <v/>
      </c>
      <c r="F305" s="20"/>
      <c r="G305" s="20"/>
      <c r="H305" s="20"/>
      <c r="I305" s="20"/>
      <c r="J305" s="20"/>
      <c r="K305" s="20"/>
    </row>
    <row r="306" customFormat="false" ht="15" hidden="false" customHeight="false" outlineLevel="0" collapsed="false">
      <c r="A306" s="20"/>
      <c r="B306" s="18" t="str">
        <f aca="false">IF(A306="","",IFERROR(INDEX(Products!$A:$A,MATCH(A306,Products!$B:$B,0)),"Not found"))</f>
        <v/>
      </c>
      <c r="C306" s="20"/>
      <c r="D306" s="18" t="str">
        <f aca="false">IF(C306="","",IFERROR(INDEX(Tables!$A:$A,MATCH(C306,Tables!$B:$B,0)),"Not found"))</f>
        <v/>
      </c>
      <c r="E306" s="21" t="str">
        <f aca="false">IF(D306="","",IFERROR(INDEX(Tables!$D:$D,MATCH(D306,Tables!$A:$A,0)),""))</f>
        <v/>
      </c>
      <c r="F306" s="20"/>
      <c r="G306" s="20"/>
      <c r="H306" s="20"/>
      <c r="I306" s="20"/>
      <c r="J306" s="20"/>
      <c r="K306" s="20"/>
    </row>
    <row r="307" customFormat="false" ht="15" hidden="false" customHeight="false" outlineLevel="0" collapsed="false">
      <c r="A307" s="20"/>
      <c r="B307" s="18" t="str">
        <f aca="false">IF(A307="","",IFERROR(INDEX(Products!$A:$A,MATCH(A307,Products!$B:$B,0)),"Not found"))</f>
        <v/>
      </c>
      <c r="C307" s="20"/>
      <c r="D307" s="18" t="str">
        <f aca="false">IF(C307="","",IFERROR(INDEX(Tables!$A:$A,MATCH(C307,Tables!$B:$B,0)),"Not found"))</f>
        <v/>
      </c>
      <c r="E307" s="21" t="str">
        <f aca="false">IF(D307="","",IFERROR(INDEX(Tables!$D:$D,MATCH(D307,Tables!$A:$A,0)),""))</f>
        <v/>
      </c>
      <c r="F307" s="20"/>
      <c r="G307" s="20"/>
      <c r="H307" s="20"/>
      <c r="I307" s="20"/>
      <c r="J307" s="20"/>
      <c r="K307" s="20"/>
    </row>
    <row r="308" customFormat="false" ht="15" hidden="false" customHeight="false" outlineLevel="0" collapsed="false">
      <c r="A308" s="20"/>
      <c r="B308" s="18" t="str">
        <f aca="false">IF(A308="","",IFERROR(INDEX(Products!$A:$A,MATCH(A308,Products!$B:$B,0)),"Not found"))</f>
        <v/>
      </c>
      <c r="C308" s="20"/>
      <c r="D308" s="18" t="str">
        <f aca="false">IF(C308="","",IFERROR(INDEX(Tables!$A:$A,MATCH(C308,Tables!$B:$B,0)),"Not found"))</f>
        <v/>
      </c>
      <c r="E308" s="21" t="str">
        <f aca="false">IF(D308="","",IFERROR(INDEX(Tables!$D:$D,MATCH(D308,Tables!$A:$A,0)),""))</f>
        <v/>
      </c>
      <c r="F308" s="20"/>
      <c r="G308" s="20"/>
      <c r="H308" s="20"/>
      <c r="I308" s="20"/>
      <c r="J308" s="20"/>
      <c r="K308" s="20"/>
    </row>
    <row r="309" customFormat="false" ht="15" hidden="false" customHeight="false" outlineLevel="0" collapsed="false">
      <c r="A309" s="20"/>
      <c r="B309" s="18" t="str">
        <f aca="false">IF(A309="","",IFERROR(INDEX(Products!$A:$A,MATCH(A309,Products!$B:$B,0)),"Not found"))</f>
        <v/>
      </c>
      <c r="C309" s="20"/>
      <c r="D309" s="18" t="str">
        <f aca="false">IF(C309="","",IFERROR(INDEX(Tables!$A:$A,MATCH(C309,Tables!$B:$B,0)),"Not found"))</f>
        <v/>
      </c>
      <c r="E309" s="21" t="str">
        <f aca="false">IF(D309="","",IFERROR(INDEX(Tables!$D:$D,MATCH(D309,Tables!$A:$A,0)),""))</f>
        <v/>
      </c>
      <c r="F309" s="20"/>
      <c r="G309" s="20"/>
      <c r="H309" s="20"/>
      <c r="I309" s="20"/>
      <c r="J309" s="20"/>
      <c r="K309" s="20"/>
    </row>
    <row r="310" customFormat="false" ht="15" hidden="false" customHeight="false" outlineLevel="0" collapsed="false">
      <c r="A310" s="20"/>
      <c r="B310" s="18" t="str">
        <f aca="false">IF(A310="","",IFERROR(INDEX(Products!$A:$A,MATCH(A310,Products!$B:$B,0)),"Not found"))</f>
        <v/>
      </c>
      <c r="C310" s="20"/>
      <c r="D310" s="18" t="str">
        <f aca="false">IF(C310="","",IFERROR(INDEX(Tables!$A:$A,MATCH(C310,Tables!$B:$B,0)),"Not found"))</f>
        <v/>
      </c>
      <c r="E310" s="21" t="str">
        <f aca="false">IF(D310="","",IFERROR(INDEX(Tables!$D:$D,MATCH(D310,Tables!$A:$A,0)),""))</f>
        <v/>
      </c>
      <c r="F310" s="20"/>
      <c r="G310" s="20"/>
      <c r="H310" s="20"/>
      <c r="I310" s="20"/>
      <c r="J310" s="20"/>
      <c r="K310" s="20"/>
    </row>
    <row r="311" customFormat="false" ht="15" hidden="false" customHeight="false" outlineLevel="0" collapsed="false">
      <c r="A311" s="20"/>
      <c r="B311" s="18" t="str">
        <f aca="false">IF(A311="","",IFERROR(INDEX(Products!$A:$A,MATCH(A311,Products!$B:$B,0)),"Not found"))</f>
        <v/>
      </c>
      <c r="C311" s="20"/>
      <c r="D311" s="18" t="str">
        <f aca="false">IF(C311="","",IFERROR(INDEX(Tables!$A:$A,MATCH(C311,Tables!$B:$B,0)),"Not found"))</f>
        <v/>
      </c>
      <c r="E311" s="21" t="str">
        <f aca="false">IF(D311="","",IFERROR(INDEX(Tables!$D:$D,MATCH(D311,Tables!$A:$A,0)),""))</f>
        <v/>
      </c>
      <c r="F311" s="20"/>
      <c r="G311" s="20"/>
      <c r="H311" s="20"/>
      <c r="I311" s="20"/>
      <c r="J311" s="20"/>
      <c r="K311" s="20"/>
    </row>
    <row r="312" customFormat="false" ht="15" hidden="false" customHeight="false" outlineLevel="0" collapsed="false">
      <c r="A312" s="20"/>
      <c r="B312" s="18" t="str">
        <f aca="false">IF(A312="","",IFERROR(INDEX(Products!$A:$A,MATCH(A312,Products!$B:$B,0)),"Not found"))</f>
        <v/>
      </c>
      <c r="C312" s="20"/>
      <c r="D312" s="18" t="str">
        <f aca="false">IF(C312="","",IFERROR(INDEX(Tables!$A:$A,MATCH(C312,Tables!$B:$B,0)),"Not found"))</f>
        <v/>
      </c>
      <c r="E312" s="21" t="str">
        <f aca="false">IF(D312="","",IFERROR(INDEX(Tables!$D:$D,MATCH(D312,Tables!$A:$A,0)),""))</f>
        <v/>
      </c>
      <c r="F312" s="20"/>
      <c r="G312" s="20"/>
      <c r="H312" s="20"/>
      <c r="I312" s="20"/>
      <c r="J312" s="20"/>
      <c r="K312" s="20"/>
    </row>
    <row r="313" customFormat="false" ht="15" hidden="false" customHeight="false" outlineLevel="0" collapsed="false">
      <c r="A313" s="20"/>
      <c r="B313" s="18" t="str">
        <f aca="false">IF(A313="","",IFERROR(INDEX(Products!$A:$A,MATCH(A313,Products!$B:$B,0)),"Not found"))</f>
        <v/>
      </c>
      <c r="C313" s="20"/>
      <c r="D313" s="18" t="str">
        <f aca="false">IF(C313="","",IFERROR(INDEX(Tables!$A:$A,MATCH(C313,Tables!$B:$B,0)),"Not found"))</f>
        <v/>
      </c>
      <c r="E313" s="21" t="str">
        <f aca="false">IF(D313="","",IFERROR(INDEX(Tables!$D:$D,MATCH(D313,Tables!$A:$A,0)),""))</f>
        <v/>
      </c>
      <c r="F313" s="20"/>
      <c r="G313" s="20"/>
      <c r="H313" s="20"/>
      <c r="I313" s="20"/>
      <c r="J313" s="20"/>
      <c r="K313" s="20"/>
    </row>
    <row r="314" customFormat="false" ht="15" hidden="false" customHeight="false" outlineLevel="0" collapsed="false">
      <c r="A314" s="20"/>
      <c r="B314" s="18" t="str">
        <f aca="false">IF(A314="","",IFERROR(INDEX(Products!$A:$A,MATCH(A314,Products!$B:$B,0)),"Not found"))</f>
        <v/>
      </c>
      <c r="C314" s="20"/>
      <c r="D314" s="18" t="str">
        <f aca="false">IF(C314="","",IFERROR(INDEX(Tables!$A:$A,MATCH(C314,Tables!$B:$B,0)),"Not found"))</f>
        <v/>
      </c>
      <c r="E314" s="21" t="str">
        <f aca="false">IF(D314="","",IFERROR(INDEX(Tables!$D:$D,MATCH(D314,Tables!$A:$A,0)),""))</f>
        <v/>
      </c>
      <c r="F314" s="20"/>
      <c r="G314" s="20"/>
      <c r="H314" s="20"/>
      <c r="I314" s="20"/>
      <c r="J314" s="20"/>
      <c r="K314" s="20"/>
    </row>
    <row r="315" customFormat="false" ht="15" hidden="false" customHeight="false" outlineLevel="0" collapsed="false">
      <c r="A315" s="20"/>
      <c r="B315" s="18" t="str">
        <f aca="false">IF(A315="","",IFERROR(INDEX(Products!$A:$A,MATCH(A315,Products!$B:$B,0)),"Not found"))</f>
        <v/>
      </c>
      <c r="C315" s="20"/>
      <c r="D315" s="18" t="str">
        <f aca="false">IF(C315="","",IFERROR(INDEX(Tables!$A:$A,MATCH(C315,Tables!$B:$B,0)),"Not found"))</f>
        <v/>
      </c>
      <c r="E315" s="21" t="str">
        <f aca="false">IF(D315="","",IFERROR(INDEX(Tables!$D:$D,MATCH(D315,Tables!$A:$A,0)),""))</f>
        <v/>
      </c>
      <c r="F315" s="20"/>
      <c r="G315" s="20"/>
      <c r="H315" s="20"/>
      <c r="I315" s="20"/>
      <c r="J315" s="20"/>
      <c r="K315" s="20"/>
    </row>
    <row r="316" customFormat="false" ht="15" hidden="false" customHeight="false" outlineLevel="0" collapsed="false">
      <c r="A316" s="20"/>
      <c r="B316" s="18" t="str">
        <f aca="false">IF(A316="","",IFERROR(INDEX(Products!$A:$A,MATCH(A316,Products!$B:$B,0)),"Not found"))</f>
        <v/>
      </c>
      <c r="C316" s="20"/>
      <c r="D316" s="18" t="str">
        <f aca="false">IF(C316="","",IFERROR(INDEX(Tables!$A:$A,MATCH(C316,Tables!$B:$B,0)),"Not found"))</f>
        <v/>
      </c>
      <c r="E316" s="21" t="str">
        <f aca="false">IF(D316="","",IFERROR(INDEX(Tables!$D:$D,MATCH(D316,Tables!$A:$A,0)),""))</f>
        <v/>
      </c>
      <c r="F316" s="20"/>
      <c r="G316" s="20"/>
      <c r="H316" s="20"/>
      <c r="I316" s="20"/>
      <c r="J316" s="20"/>
      <c r="K316" s="20"/>
    </row>
    <row r="317" customFormat="false" ht="15" hidden="false" customHeight="false" outlineLevel="0" collapsed="false">
      <c r="A317" s="20"/>
      <c r="B317" s="18" t="str">
        <f aca="false">IF(A317="","",IFERROR(INDEX(Products!$A:$A,MATCH(A317,Products!$B:$B,0)),"Not found"))</f>
        <v/>
      </c>
      <c r="C317" s="20"/>
      <c r="D317" s="18" t="str">
        <f aca="false">IF(C317="","",IFERROR(INDEX(Tables!$A:$A,MATCH(C317,Tables!$B:$B,0)),"Not found"))</f>
        <v/>
      </c>
      <c r="E317" s="21" t="str">
        <f aca="false">IF(D317="","",IFERROR(INDEX(Tables!$D:$D,MATCH(D317,Tables!$A:$A,0)),""))</f>
        <v/>
      </c>
      <c r="F317" s="20"/>
      <c r="G317" s="20"/>
      <c r="H317" s="20"/>
      <c r="I317" s="20"/>
      <c r="J317" s="20"/>
      <c r="K317" s="20"/>
    </row>
    <row r="318" customFormat="false" ht="15" hidden="false" customHeight="false" outlineLevel="0" collapsed="false">
      <c r="A318" s="20"/>
      <c r="B318" s="18" t="str">
        <f aca="false">IF(A318="","",IFERROR(INDEX(Products!$A:$A,MATCH(A318,Products!$B:$B,0)),"Not found"))</f>
        <v/>
      </c>
      <c r="C318" s="20"/>
      <c r="D318" s="18" t="str">
        <f aca="false">IF(C318="","",IFERROR(INDEX(Tables!$A:$A,MATCH(C318,Tables!$B:$B,0)),"Not found"))</f>
        <v/>
      </c>
      <c r="E318" s="21" t="str">
        <f aca="false">IF(D318="","",IFERROR(INDEX(Tables!$D:$D,MATCH(D318,Tables!$A:$A,0)),""))</f>
        <v/>
      </c>
      <c r="F318" s="20"/>
      <c r="G318" s="20"/>
      <c r="H318" s="20"/>
      <c r="I318" s="20"/>
      <c r="J318" s="20"/>
      <c r="K318" s="20"/>
    </row>
    <row r="319" customFormat="false" ht="15" hidden="false" customHeight="false" outlineLevel="0" collapsed="false">
      <c r="A319" s="20"/>
      <c r="B319" s="18" t="str">
        <f aca="false">IF(A319="","",IFERROR(INDEX(Products!$A:$A,MATCH(A319,Products!$B:$B,0)),"Not found"))</f>
        <v/>
      </c>
      <c r="C319" s="20"/>
      <c r="D319" s="18" t="str">
        <f aca="false">IF(C319="","",IFERROR(INDEX(Tables!$A:$A,MATCH(C319,Tables!$B:$B,0)),"Not found"))</f>
        <v/>
      </c>
      <c r="E319" s="21" t="str">
        <f aca="false">IF(D319="","",IFERROR(INDEX(Tables!$D:$D,MATCH(D319,Tables!$A:$A,0)),""))</f>
        <v/>
      </c>
      <c r="F319" s="20"/>
      <c r="G319" s="20"/>
      <c r="H319" s="20"/>
      <c r="I319" s="20"/>
      <c r="J319" s="20"/>
      <c r="K319" s="20"/>
    </row>
    <row r="320" customFormat="false" ht="15" hidden="false" customHeight="false" outlineLevel="0" collapsed="false">
      <c r="A320" s="20"/>
      <c r="B320" s="18" t="str">
        <f aca="false">IF(A320="","",IFERROR(INDEX(Products!$A:$A,MATCH(A320,Products!$B:$B,0)),"Not found"))</f>
        <v/>
      </c>
      <c r="C320" s="20"/>
      <c r="D320" s="18" t="str">
        <f aca="false">IF(C320="","",IFERROR(INDEX(Tables!$A:$A,MATCH(C320,Tables!$B:$B,0)),"Not found"))</f>
        <v/>
      </c>
      <c r="E320" s="21" t="str">
        <f aca="false">IF(D320="","",IFERROR(INDEX(Tables!$D:$D,MATCH(D320,Tables!$A:$A,0)),""))</f>
        <v/>
      </c>
      <c r="F320" s="20"/>
      <c r="G320" s="20"/>
      <c r="H320" s="20"/>
      <c r="I320" s="20"/>
      <c r="J320" s="20"/>
      <c r="K320" s="20"/>
    </row>
    <row r="321" customFormat="false" ht="15" hidden="false" customHeight="false" outlineLevel="0" collapsed="false">
      <c r="A321" s="20"/>
      <c r="B321" s="18" t="str">
        <f aca="false">IF(A321="","",IFERROR(INDEX(Products!$A:$A,MATCH(A321,Products!$B:$B,0)),"Not found"))</f>
        <v/>
      </c>
      <c r="C321" s="20"/>
      <c r="D321" s="18" t="str">
        <f aca="false">IF(C321="","",IFERROR(INDEX(Tables!$A:$A,MATCH(C321,Tables!$B:$B,0)),"Not found"))</f>
        <v/>
      </c>
      <c r="E321" s="21" t="str">
        <f aca="false">IF(D321="","",IFERROR(INDEX(Tables!$D:$D,MATCH(D321,Tables!$A:$A,0)),""))</f>
        <v/>
      </c>
      <c r="F321" s="20"/>
      <c r="G321" s="20"/>
      <c r="H321" s="20"/>
      <c r="I321" s="20"/>
      <c r="J321" s="20"/>
      <c r="K321" s="20"/>
    </row>
    <row r="322" customFormat="false" ht="15" hidden="false" customHeight="false" outlineLevel="0" collapsed="false">
      <c r="A322" s="20"/>
      <c r="B322" s="18" t="str">
        <f aca="false">IF(A322="","",IFERROR(INDEX(Products!$A:$A,MATCH(A322,Products!$B:$B,0)),"Not found"))</f>
        <v/>
      </c>
      <c r="C322" s="20"/>
      <c r="D322" s="18" t="str">
        <f aca="false">IF(C322="","",IFERROR(INDEX(Tables!$A:$A,MATCH(C322,Tables!$B:$B,0)),"Not found"))</f>
        <v/>
      </c>
      <c r="E322" s="21" t="str">
        <f aca="false">IF(D322="","",IFERROR(INDEX(Tables!$D:$D,MATCH(D322,Tables!$A:$A,0)),""))</f>
        <v/>
      </c>
      <c r="F322" s="20"/>
      <c r="G322" s="20"/>
      <c r="H322" s="20"/>
      <c r="I322" s="20"/>
      <c r="J322" s="20"/>
      <c r="K322" s="20"/>
    </row>
    <row r="323" customFormat="false" ht="15" hidden="false" customHeight="false" outlineLevel="0" collapsed="false">
      <c r="A323" s="20"/>
      <c r="B323" s="18" t="str">
        <f aca="false">IF(A323="","",IFERROR(INDEX(Products!$A:$A,MATCH(A323,Products!$B:$B,0)),"Not found"))</f>
        <v/>
      </c>
      <c r="C323" s="20"/>
      <c r="D323" s="18" t="str">
        <f aca="false">IF(C323="","",IFERROR(INDEX(Tables!$A:$A,MATCH(C323,Tables!$B:$B,0)),"Not found"))</f>
        <v/>
      </c>
      <c r="E323" s="21" t="str">
        <f aca="false">IF(D323="","",IFERROR(INDEX(Tables!$D:$D,MATCH(D323,Tables!$A:$A,0)),""))</f>
        <v/>
      </c>
      <c r="F323" s="20"/>
      <c r="G323" s="20"/>
      <c r="H323" s="20"/>
      <c r="I323" s="20"/>
      <c r="J323" s="20"/>
      <c r="K323" s="20"/>
    </row>
    <row r="324" customFormat="false" ht="15" hidden="false" customHeight="false" outlineLevel="0" collapsed="false">
      <c r="A324" s="20"/>
      <c r="B324" s="18" t="str">
        <f aca="false">IF(A324="","",IFERROR(INDEX(Products!$A:$A,MATCH(A324,Products!$B:$B,0)),"Not found"))</f>
        <v/>
      </c>
      <c r="C324" s="20"/>
      <c r="D324" s="18" t="str">
        <f aca="false">IF(C324="","",IFERROR(INDEX(Tables!$A:$A,MATCH(C324,Tables!$B:$B,0)),"Not found"))</f>
        <v/>
      </c>
      <c r="E324" s="21" t="str">
        <f aca="false">IF(D324="","",IFERROR(INDEX(Tables!$D:$D,MATCH(D324,Tables!$A:$A,0)),""))</f>
        <v/>
      </c>
      <c r="F324" s="20"/>
      <c r="G324" s="20"/>
      <c r="H324" s="20"/>
      <c r="I324" s="20"/>
      <c r="J324" s="20"/>
      <c r="K324" s="20"/>
    </row>
    <row r="325" customFormat="false" ht="15" hidden="false" customHeight="false" outlineLevel="0" collapsed="false">
      <c r="A325" s="20"/>
      <c r="B325" s="18" t="str">
        <f aca="false">IF(A325="","",IFERROR(INDEX(Products!$A:$A,MATCH(A325,Products!$B:$B,0)),"Not found"))</f>
        <v/>
      </c>
      <c r="C325" s="20"/>
      <c r="D325" s="18" t="str">
        <f aca="false">IF(C325="","",IFERROR(INDEX(Tables!$A:$A,MATCH(C325,Tables!$B:$B,0)),"Not found"))</f>
        <v/>
      </c>
      <c r="E325" s="21" t="str">
        <f aca="false">IF(D325="","",IFERROR(INDEX(Tables!$D:$D,MATCH(D325,Tables!$A:$A,0)),""))</f>
        <v/>
      </c>
      <c r="F325" s="20"/>
      <c r="G325" s="20"/>
      <c r="H325" s="20"/>
      <c r="I325" s="20"/>
      <c r="J325" s="20"/>
      <c r="K325" s="20"/>
    </row>
    <row r="326" customFormat="false" ht="15" hidden="false" customHeight="false" outlineLevel="0" collapsed="false">
      <c r="A326" s="20"/>
      <c r="B326" s="18" t="str">
        <f aca="false">IF(A326="","",IFERROR(INDEX(Products!$A:$A,MATCH(A326,Products!$B:$B,0)),"Not found"))</f>
        <v/>
      </c>
      <c r="C326" s="20"/>
      <c r="D326" s="18" t="str">
        <f aca="false">IF(C326="","",IFERROR(INDEX(Tables!$A:$A,MATCH(C326,Tables!$B:$B,0)),"Not found"))</f>
        <v/>
      </c>
      <c r="E326" s="21" t="str">
        <f aca="false">IF(D326="","",IFERROR(INDEX(Tables!$D:$D,MATCH(D326,Tables!$A:$A,0)),""))</f>
        <v/>
      </c>
      <c r="F326" s="20"/>
      <c r="G326" s="20"/>
      <c r="H326" s="20"/>
      <c r="I326" s="20"/>
      <c r="J326" s="20"/>
      <c r="K326" s="20"/>
    </row>
    <row r="327" customFormat="false" ht="15" hidden="false" customHeight="false" outlineLevel="0" collapsed="false">
      <c r="A327" s="20"/>
      <c r="B327" s="18" t="str">
        <f aca="false">IF(A327="","",IFERROR(INDEX(Products!$A:$A,MATCH(A327,Products!$B:$B,0)),"Not found"))</f>
        <v/>
      </c>
      <c r="C327" s="20"/>
      <c r="D327" s="18" t="str">
        <f aca="false">IF(C327="","",IFERROR(INDEX(Tables!$A:$A,MATCH(C327,Tables!$B:$B,0)),"Not found"))</f>
        <v/>
      </c>
      <c r="E327" s="21" t="str">
        <f aca="false">IF(D327="","",IFERROR(INDEX(Tables!$D:$D,MATCH(D327,Tables!$A:$A,0)),""))</f>
        <v/>
      </c>
      <c r="F327" s="20"/>
      <c r="G327" s="20"/>
      <c r="H327" s="20"/>
      <c r="I327" s="20"/>
      <c r="J327" s="20"/>
      <c r="K327" s="20"/>
    </row>
    <row r="328" customFormat="false" ht="15" hidden="false" customHeight="false" outlineLevel="0" collapsed="false">
      <c r="A328" s="20"/>
      <c r="B328" s="18" t="str">
        <f aca="false">IF(A328="","",IFERROR(INDEX(Products!$A:$A,MATCH(A328,Products!$B:$B,0)),"Not found"))</f>
        <v/>
      </c>
      <c r="C328" s="20"/>
      <c r="D328" s="18" t="str">
        <f aca="false">IF(C328="","",IFERROR(INDEX(Tables!$A:$A,MATCH(C328,Tables!$B:$B,0)),"Not found"))</f>
        <v/>
      </c>
      <c r="E328" s="21" t="str">
        <f aca="false">IF(D328="","",IFERROR(INDEX(Tables!$D:$D,MATCH(D328,Tables!$A:$A,0)),""))</f>
        <v/>
      </c>
      <c r="F328" s="20"/>
      <c r="G328" s="20"/>
      <c r="H328" s="20"/>
      <c r="I328" s="20"/>
      <c r="J328" s="20"/>
      <c r="K328" s="20"/>
    </row>
    <row r="329" customFormat="false" ht="15" hidden="false" customHeight="false" outlineLevel="0" collapsed="false">
      <c r="A329" s="20"/>
      <c r="B329" s="18" t="str">
        <f aca="false">IF(A329="","",IFERROR(INDEX(Products!$A:$A,MATCH(A329,Products!$B:$B,0)),"Not found"))</f>
        <v/>
      </c>
      <c r="C329" s="20"/>
      <c r="D329" s="18" t="str">
        <f aca="false">IF(C329="","",IFERROR(INDEX(Tables!$A:$A,MATCH(C329,Tables!$B:$B,0)),"Not found"))</f>
        <v/>
      </c>
      <c r="E329" s="21" t="str">
        <f aca="false">IF(D329="","",IFERROR(INDEX(Tables!$D:$D,MATCH(D329,Tables!$A:$A,0)),""))</f>
        <v/>
      </c>
      <c r="F329" s="20"/>
      <c r="G329" s="20"/>
      <c r="H329" s="20"/>
      <c r="I329" s="20"/>
      <c r="J329" s="20"/>
      <c r="K329" s="20"/>
    </row>
    <row r="330" customFormat="false" ht="15" hidden="false" customHeight="false" outlineLevel="0" collapsed="false">
      <c r="A330" s="20"/>
      <c r="B330" s="18" t="str">
        <f aca="false">IF(A330="","",IFERROR(INDEX(Products!$A:$A,MATCH(A330,Products!$B:$B,0)),"Not found"))</f>
        <v/>
      </c>
      <c r="C330" s="20"/>
      <c r="D330" s="18" t="str">
        <f aca="false">IF(C330="","",IFERROR(INDEX(Tables!$A:$A,MATCH(C330,Tables!$B:$B,0)),"Not found"))</f>
        <v/>
      </c>
      <c r="E330" s="21" t="str">
        <f aca="false">IF(D330="","",IFERROR(INDEX(Tables!$D:$D,MATCH(D330,Tables!$A:$A,0)),""))</f>
        <v/>
      </c>
      <c r="F330" s="20"/>
      <c r="G330" s="20"/>
      <c r="H330" s="20"/>
      <c r="I330" s="20"/>
      <c r="J330" s="20"/>
      <c r="K330" s="20"/>
    </row>
    <row r="331" customFormat="false" ht="15" hidden="false" customHeight="false" outlineLevel="0" collapsed="false">
      <c r="A331" s="20"/>
      <c r="B331" s="18" t="str">
        <f aca="false">IF(A331="","",IFERROR(INDEX(Products!$A:$A,MATCH(A331,Products!$B:$B,0)),"Not found"))</f>
        <v/>
      </c>
      <c r="C331" s="20"/>
      <c r="D331" s="18" t="str">
        <f aca="false">IF(C331="","",IFERROR(INDEX(Tables!$A:$A,MATCH(C331,Tables!$B:$B,0)),"Not found"))</f>
        <v/>
      </c>
      <c r="E331" s="21" t="str">
        <f aca="false">IF(D331="","",IFERROR(INDEX(Tables!$D:$D,MATCH(D331,Tables!$A:$A,0)),""))</f>
        <v/>
      </c>
      <c r="F331" s="20"/>
      <c r="G331" s="20"/>
      <c r="H331" s="20"/>
      <c r="I331" s="20"/>
      <c r="J331" s="20"/>
      <c r="K331" s="20"/>
    </row>
    <row r="332" customFormat="false" ht="15" hidden="false" customHeight="false" outlineLevel="0" collapsed="false">
      <c r="A332" s="20"/>
      <c r="B332" s="18" t="str">
        <f aca="false">IF(A332="","",IFERROR(INDEX(Products!$A:$A,MATCH(A332,Products!$B:$B,0)),"Not found"))</f>
        <v/>
      </c>
      <c r="C332" s="20"/>
      <c r="D332" s="18" t="str">
        <f aca="false">IF(C332="","",IFERROR(INDEX(Tables!$A:$A,MATCH(C332,Tables!$B:$B,0)),"Not found"))</f>
        <v/>
      </c>
      <c r="E332" s="21" t="str">
        <f aca="false">IF(D332="","",IFERROR(INDEX(Tables!$D:$D,MATCH(D332,Tables!$A:$A,0)),""))</f>
        <v/>
      </c>
      <c r="F332" s="20"/>
      <c r="G332" s="20"/>
      <c r="H332" s="20"/>
      <c r="I332" s="20"/>
      <c r="J332" s="20"/>
      <c r="K332" s="20"/>
    </row>
    <row r="333" customFormat="false" ht="15" hidden="false" customHeight="false" outlineLevel="0" collapsed="false">
      <c r="A333" s="20"/>
      <c r="B333" s="18" t="str">
        <f aca="false">IF(A333="","",IFERROR(INDEX(Products!$A:$A,MATCH(A333,Products!$B:$B,0)),"Not found"))</f>
        <v/>
      </c>
      <c r="C333" s="20"/>
      <c r="D333" s="18" t="str">
        <f aca="false">IF(C333="","",IFERROR(INDEX(Tables!$A:$A,MATCH(C333,Tables!$B:$B,0)),"Not found"))</f>
        <v/>
      </c>
      <c r="E333" s="21" t="str">
        <f aca="false">IF(D333="","",IFERROR(INDEX(Tables!$D:$D,MATCH(D333,Tables!$A:$A,0)),""))</f>
        <v/>
      </c>
      <c r="F333" s="20"/>
      <c r="G333" s="20"/>
      <c r="H333" s="20"/>
      <c r="I333" s="20"/>
      <c r="J333" s="20"/>
      <c r="K333" s="20"/>
    </row>
    <row r="334" customFormat="false" ht="15" hidden="false" customHeight="false" outlineLevel="0" collapsed="false">
      <c r="A334" s="20"/>
      <c r="B334" s="18" t="str">
        <f aca="false">IF(A334="","",IFERROR(INDEX(Products!$A:$A,MATCH(A334,Products!$B:$B,0)),"Not found"))</f>
        <v/>
      </c>
      <c r="C334" s="20"/>
      <c r="D334" s="18" t="str">
        <f aca="false">IF(C334="","",IFERROR(INDEX(Tables!$A:$A,MATCH(C334,Tables!$B:$B,0)),"Not found"))</f>
        <v/>
      </c>
      <c r="E334" s="21" t="str">
        <f aca="false">IF(D334="","",IFERROR(INDEX(Tables!$D:$D,MATCH(D334,Tables!$A:$A,0)),""))</f>
        <v/>
      </c>
      <c r="F334" s="20"/>
      <c r="G334" s="20"/>
      <c r="H334" s="20"/>
      <c r="I334" s="20"/>
      <c r="J334" s="20"/>
      <c r="K334" s="20"/>
    </row>
    <row r="335" customFormat="false" ht="15" hidden="false" customHeight="false" outlineLevel="0" collapsed="false">
      <c r="A335" s="20"/>
      <c r="B335" s="18" t="str">
        <f aca="false">IF(A335="","",IFERROR(INDEX(Products!$A:$A,MATCH(A335,Products!$B:$B,0)),"Not found"))</f>
        <v/>
      </c>
      <c r="C335" s="20"/>
      <c r="D335" s="18" t="str">
        <f aca="false">IF(C335="","",IFERROR(INDEX(Tables!$A:$A,MATCH(C335,Tables!$B:$B,0)),"Not found"))</f>
        <v/>
      </c>
      <c r="E335" s="21" t="str">
        <f aca="false">IF(D335="","",IFERROR(INDEX(Tables!$D:$D,MATCH(D335,Tables!$A:$A,0)),""))</f>
        <v/>
      </c>
      <c r="F335" s="20"/>
      <c r="G335" s="20"/>
      <c r="H335" s="20"/>
      <c r="I335" s="20"/>
      <c r="J335" s="20"/>
      <c r="K335" s="20"/>
    </row>
    <row r="336" customFormat="false" ht="15" hidden="false" customHeight="false" outlineLevel="0" collapsed="false">
      <c r="A336" s="20"/>
      <c r="B336" s="18" t="str">
        <f aca="false">IF(A336="","",IFERROR(INDEX(Products!$A:$A,MATCH(A336,Products!$B:$B,0)),"Not found"))</f>
        <v/>
      </c>
      <c r="C336" s="20"/>
      <c r="D336" s="18" t="str">
        <f aca="false">IF(C336="","",IFERROR(INDEX(Tables!$A:$A,MATCH(C336,Tables!$B:$B,0)),"Not found"))</f>
        <v/>
      </c>
      <c r="E336" s="21" t="str">
        <f aca="false">IF(D336="","",IFERROR(INDEX(Tables!$D:$D,MATCH(D336,Tables!$A:$A,0)),""))</f>
        <v/>
      </c>
      <c r="F336" s="20"/>
      <c r="G336" s="20"/>
      <c r="H336" s="20"/>
      <c r="I336" s="20"/>
      <c r="J336" s="20"/>
      <c r="K336" s="20"/>
    </row>
    <row r="337" customFormat="false" ht="15" hidden="false" customHeight="false" outlineLevel="0" collapsed="false">
      <c r="A337" s="20"/>
      <c r="B337" s="18" t="str">
        <f aca="false">IF(A337="","",IFERROR(INDEX(Products!$A:$A,MATCH(A337,Products!$B:$B,0)),"Not found"))</f>
        <v/>
      </c>
      <c r="C337" s="20"/>
      <c r="D337" s="18" t="str">
        <f aca="false">IF(C337="","",IFERROR(INDEX(Tables!$A:$A,MATCH(C337,Tables!$B:$B,0)),"Not found"))</f>
        <v/>
      </c>
      <c r="E337" s="21" t="str">
        <f aca="false">IF(D337="","",IFERROR(INDEX(Tables!$D:$D,MATCH(D337,Tables!$A:$A,0)),""))</f>
        <v/>
      </c>
      <c r="F337" s="20"/>
      <c r="G337" s="20"/>
      <c r="H337" s="20"/>
      <c r="I337" s="20"/>
      <c r="J337" s="20"/>
      <c r="K337" s="20"/>
    </row>
    <row r="338" customFormat="false" ht="15" hidden="false" customHeight="false" outlineLevel="0" collapsed="false">
      <c r="A338" s="20"/>
      <c r="B338" s="18" t="str">
        <f aca="false">IF(A338="","",IFERROR(INDEX(Products!$A:$A,MATCH(A338,Products!$B:$B,0)),"Not found"))</f>
        <v/>
      </c>
      <c r="C338" s="20"/>
      <c r="D338" s="18" t="str">
        <f aca="false">IF(C338="","",IFERROR(INDEX(Tables!$A:$A,MATCH(C338,Tables!$B:$B,0)),"Not found"))</f>
        <v/>
      </c>
      <c r="E338" s="21" t="str">
        <f aca="false">IF(D338="","",IFERROR(INDEX(Tables!$D:$D,MATCH(D338,Tables!$A:$A,0)),""))</f>
        <v/>
      </c>
      <c r="F338" s="20"/>
      <c r="G338" s="20"/>
      <c r="H338" s="20"/>
      <c r="I338" s="20"/>
      <c r="J338" s="20"/>
      <c r="K338" s="20"/>
    </row>
    <row r="339" customFormat="false" ht="15" hidden="false" customHeight="false" outlineLevel="0" collapsed="false">
      <c r="A339" s="20"/>
      <c r="B339" s="18" t="str">
        <f aca="false">IF(A339="","",IFERROR(INDEX(Products!$A:$A,MATCH(A339,Products!$B:$B,0)),"Not found"))</f>
        <v/>
      </c>
      <c r="C339" s="20"/>
      <c r="D339" s="18" t="str">
        <f aca="false">IF(C339="","",IFERROR(INDEX(Tables!$A:$A,MATCH(C339,Tables!$B:$B,0)),"Not found"))</f>
        <v/>
      </c>
      <c r="E339" s="21" t="str">
        <f aca="false">IF(D339="","",IFERROR(INDEX(Tables!$D:$D,MATCH(D339,Tables!$A:$A,0)),""))</f>
        <v/>
      </c>
      <c r="F339" s="20"/>
      <c r="G339" s="20"/>
      <c r="H339" s="20"/>
      <c r="I339" s="20"/>
      <c r="J339" s="20"/>
      <c r="K339" s="20"/>
    </row>
    <row r="340" customFormat="false" ht="15" hidden="false" customHeight="false" outlineLevel="0" collapsed="false">
      <c r="A340" s="20"/>
      <c r="B340" s="18" t="str">
        <f aca="false">IF(A340="","",IFERROR(INDEX(Products!$A:$A,MATCH(A340,Products!$B:$B,0)),"Not found"))</f>
        <v/>
      </c>
      <c r="C340" s="20"/>
      <c r="D340" s="18" t="str">
        <f aca="false">IF(C340="","",IFERROR(INDEX(Tables!$A:$A,MATCH(C340,Tables!$B:$B,0)),"Not found"))</f>
        <v/>
      </c>
      <c r="E340" s="21" t="str">
        <f aca="false">IF(D340="","",IFERROR(INDEX(Tables!$D:$D,MATCH(D340,Tables!$A:$A,0)),""))</f>
        <v/>
      </c>
      <c r="F340" s="20"/>
      <c r="G340" s="20"/>
      <c r="H340" s="20"/>
      <c r="I340" s="20"/>
      <c r="J340" s="20"/>
      <c r="K340" s="20"/>
    </row>
    <row r="341" customFormat="false" ht="15" hidden="false" customHeight="false" outlineLevel="0" collapsed="false">
      <c r="A341" s="20"/>
      <c r="B341" s="18" t="str">
        <f aca="false">IF(A341="","",IFERROR(INDEX(Products!$A:$A,MATCH(A341,Products!$B:$B,0)),"Not found"))</f>
        <v/>
      </c>
      <c r="C341" s="20"/>
      <c r="D341" s="18" t="str">
        <f aca="false">IF(C341="","",IFERROR(INDEX(Tables!$A:$A,MATCH(C341,Tables!$B:$B,0)),"Not found"))</f>
        <v/>
      </c>
      <c r="E341" s="21" t="str">
        <f aca="false">IF(D341="","",IFERROR(INDEX(Tables!$D:$D,MATCH(D341,Tables!$A:$A,0)),""))</f>
        <v/>
      </c>
      <c r="F341" s="20"/>
      <c r="G341" s="20"/>
      <c r="H341" s="20"/>
      <c r="I341" s="20"/>
      <c r="J341" s="20"/>
      <c r="K341" s="20"/>
    </row>
    <row r="342" customFormat="false" ht="15" hidden="false" customHeight="false" outlineLevel="0" collapsed="false">
      <c r="A342" s="20"/>
      <c r="B342" s="18" t="str">
        <f aca="false">IF(A342="","",IFERROR(INDEX(Products!$A:$A,MATCH(A342,Products!$B:$B,0)),"Not found"))</f>
        <v/>
      </c>
      <c r="C342" s="20"/>
      <c r="D342" s="18" t="str">
        <f aca="false">IF(C342="","",IFERROR(INDEX(Tables!$A:$A,MATCH(C342,Tables!$B:$B,0)),"Not found"))</f>
        <v/>
      </c>
      <c r="E342" s="21" t="str">
        <f aca="false">IF(D342="","",IFERROR(INDEX(Tables!$D:$D,MATCH(D342,Tables!$A:$A,0)),""))</f>
        <v/>
      </c>
      <c r="F342" s="20"/>
      <c r="G342" s="20"/>
      <c r="H342" s="20"/>
      <c r="I342" s="20"/>
      <c r="J342" s="20"/>
      <c r="K342" s="20"/>
    </row>
    <row r="343" customFormat="false" ht="15" hidden="false" customHeight="false" outlineLevel="0" collapsed="false">
      <c r="A343" s="20"/>
      <c r="B343" s="18" t="str">
        <f aca="false">IF(A343="","",IFERROR(INDEX(Products!$A:$A,MATCH(A343,Products!$B:$B,0)),"Not found"))</f>
        <v/>
      </c>
      <c r="C343" s="20"/>
      <c r="D343" s="18" t="str">
        <f aca="false">IF(C343="","",IFERROR(INDEX(Tables!$A:$A,MATCH(C343,Tables!$B:$B,0)),"Not found"))</f>
        <v/>
      </c>
      <c r="E343" s="21" t="str">
        <f aca="false">IF(D343="","",IFERROR(INDEX(Tables!$D:$D,MATCH(D343,Tables!$A:$A,0)),""))</f>
        <v/>
      </c>
      <c r="F343" s="20"/>
      <c r="G343" s="20"/>
      <c r="H343" s="20"/>
      <c r="I343" s="20"/>
      <c r="J343" s="20"/>
      <c r="K343" s="20"/>
    </row>
    <row r="344" customFormat="false" ht="15" hidden="false" customHeight="false" outlineLevel="0" collapsed="false">
      <c r="A344" s="20"/>
      <c r="B344" s="18" t="str">
        <f aca="false">IF(A344="","",IFERROR(INDEX(Products!$A:$A,MATCH(A344,Products!$B:$B,0)),"Not found"))</f>
        <v/>
      </c>
      <c r="C344" s="20"/>
      <c r="D344" s="18" t="str">
        <f aca="false">IF(C344="","",IFERROR(INDEX(Tables!$A:$A,MATCH(C344,Tables!$B:$B,0)),"Not found"))</f>
        <v/>
      </c>
      <c r="E344" s="21" t="str">
        <f aca="false">IF(D344="","",IFERROR(INDEX(Tables!$D:$D,MATCH(D344,Tables!$A:$A,0)),""))</f>
        <v/>
      </c>
      <c r="F344" s="20"/>
      <c r="G344" s="20"/>
      <c r="H344" s="20"/>
      <c r="I344" s="20"/>
      <c r="J344" s="20"/>
      <c r="K344" s="20"/>
    </row>
    <row r="345" customFormat="false" ht="15" hidden="false" customHeight="false" outlineLevel="0" collapsed="false">
      <c r="A345" s="20"/>
      <c r="B345" s="18" t="str">
        <f aca="false">IF(A345="","",IFERROR(INDEX(Products!$A:$A,MATCH(A345,Products!$B:$B,0)),"Not found"))</f>
        <v/>
      </c>
      <c r="C345" s="20"/>
      <c r="D345" s="18" t="str">
        <f aca="false">IF(C345="","",IFERROR(INDEX(Tables!$A:$A,MATCH(C345,Tables!$B:$B,0)),"Not found"))</f>
        <v/>
      </c>
      <c r="E345" s="21" t="str">
        <f aca="false">IF(D345="","",IFERROR(INDEX(Tables!$D:$D,MATCH(D345,Tables!$A:$A,0)),""))</f>
        <v/>
      </c>
      <c r="F345" s="20"/>
      <c r="G345" s="20"/>
      <c r="H345" s="20"/>
      <c r="I345" s="20"/>
      <c r="J345" s="20"/>
      <c r="K345" s="20"/>
    </row>
    <row r="346" customFormat="false" ht="15" hidden="false" customHeight="false" outlineLevel="0" collapsed="false">
      <c r="A346" s="20"/>
      <c r="B346" s="18" t="str">
        <f aca="false">IF(A346="","",IFERROR(INDEX(Products!$A:$A,MATCH(A346,Products!$B:$B,0)),"Not found"))</f>
        <v/>
      </c>
      <c r="C346" s="20"/>
      <c r="D346" s="18" t="str">
        <f aca="false">IF(C346="","",IFERROR(INDEX(Tables!$A:$A,MATCH(C346,Tables!$B:$B,0)),"Not found"))</f>
        <v/>
      </c>
      <c r="E346" s="21" t="str">
        <f aca="false">IF(D346="","",IFERROR(INDEX(Tables!$D:$D,MATCH(D346,Tables!$A:$A,0)),""))</f>
        <v/>
      </c>
      <c r="F346" s="20"/>
      <c r="G346" s="20"/>
      <c r="H346" s="20"/>
      <c r="I346" s="20"/>
      <c r="J346" s="20"/>
      <c r="K346" s="20"/>
    </row>
    <row r="347" customFormat="false" ht="15" hidden="false" customHeight="false" outlineLevel="0" collapsed="false">
      <c r="A347" s="20"/>
      <c r="B347" s="18" t="str">
        <f aca="false">IF(A347="","",IFERROR(INDEX(Products!$A:$A,MATCH(A347,Products!$B:$B,0)),"Not found"))</f>
        <v/>
      </c>
      <c r="C347" s="20"/>
      <c r="D347" s="18" t="str">
        <f aca="false">IF(C347="","",IFERROR(INDEX(Tables!$A:$A,MATCH(C347,Tables!$B:$B,0)),"Not found"))</f>
        <v/>
      </c>
      <c r="E347" s="21" t="str">
        <f aca="false">IF(D347="","",IFERROR(INDEX(Tables!$D:$D,MATCH(D347,Tables!$A:$A,0)),""))</f>
        <v/>
      </c>
      <c r="F347" s="20"/>
      <c r="G347" s="20"/>
      <c r="H347" s="20"/>
      <c r="I347" s="20"/>
      <c r="J347" s="20"/>
      <c r="K347" s="20"/>
    </row>
    <row r="348" customFormat="false" ht="15" hidden="false" customHeight="false" outlineLevel="0" collapsed="false">
      <c r="A348" s="20"/>
      <c r="B348" s="18" t="str">
        <f aca="false">IF(A348="","",IFERROR(INDEX(Products!$A:$A,MATCH(A348,Products!$B:$B,0)),"Not found"))</f>
        <v/>
      </c>
      <c r="C348" s="20"/>
      <c r="D348" s="18" t="str">
        <f aca="false">IF(C348="","",IFERROR(INDEX(Tables!$A:$A,MATCH(C348,Tables!$B:$B,0)),"Not found"))</f>
        <v/>
      </c>
      <c r="E348" s="21" t="str">
        <f aca="false">IF(D348="","",IFERROR(INDEX(Tables!$D:$D,MATCH(D348,Tables!$A:$A,0)),""))</f>
        <v/>
      </c>
      <c r="F348" s="20"/>
      <c r="G348" s="20"/>
      <c r="H348" s="20"/>
      <c r="I348" s="20"/>
      <c r="J348" s="20"/>
      <c r="K348" s="20"/>
    </row>
    <row r="349" customFormat="false" ht="15" hidden="false" customHeight="false" outlineLevel="0" collapsed="false">
      <c r="A349" s="20"/>
      <c r="B349" s="18" t="str">
        <f aca="false">IF(A349="","",IFERROR(INDEX(Products!$A:$A,MATCH(A349,Products!$B:$B,0)),"Not found"))</f>
        <v/>
      </c>
      <c r="C349" s="20"/>
      <c r="D349" s="18" t="str">
        <f aca="false">IF(C349="","",IFERROR(INDEX(Tables!$A:$A,MATCH(C349,Tables!$B:$B,0)),"Not found"))</f>
        <v/>
      </c>
      <c r="E349" s="21" t="str">
        <f aca="false">IF(D349="","",IFERROR(INDEX(Tables!$D:$D,MATCH(D349,Tables!$A:$A,0)),""))</f>
        <v/>
      </c>
      <c r="F349" s="20"/>
      <c r="G349" s="20"/>
      <c r="H349" s="20"/>
      <c r="I349" s="20"/>
      <c r="J349" s="20"/>
      <c r="K349" s="20"/>
    </row>
    <row r="350" customFormat="false" ht="15" hidden="false" customHeight="false" outlineLevel="0" collapsed="false">
      <c r="A350" s="20"/>
      <c r="B350" s="18" t="str">
        <f aca="false">IF(A350="","",IFERROR(INDEX(Products!$A:$A,MATCH(A350,Products!$B:$B,0)),"Not found"))</f>
        <v/>
      </c>
      <c r="C350" s="20"/>
      <c r="D350" s="18" t="str">
        <f aca="false">IF(C350="","",IFERROR(INDEX(Tables!$A:$A,MATCH(C350,Tables!$B:$B,0)),"Not found"))</f>
        <v/>
      </c>
      <c r="E350" s="21" t="str">
        <f aca="false">IF(D350="","",IFERROR(INDEX(Tables!$D:$D,MATCH(D350,Tables!$A:$A,0)),""))</f>
        <v/>
      </c>
      <c r="F350" s="20"/>
      <c r="G350" s="20"/>
      <c r="H350" s="20"/>
      <c r="I350" s="20"/>
      <c r="J350" s="20"/>
      <c r="K350" s="20"/>
    </row>
    <row r="351" customFormat="false" ht="15" hidden="false" customHeight="false" outlineLevel="0" collapsed="false">
      <c r="A351" s="20"/>
      <c r="B351" s="18" t="str">
        <f aca="false">IF(A351="","",IFERROR(INDEX(Products!$A:$A,MATCH(A351,Products!$B:$B,0)),"Not found"))</f>
        <v/>
      </c>
      <c r="C351" s="20"/>
      <c r="D351" s="18" t="str">
        <f aca="false">IF(C351="","",IFERROR(INDEX(Tables!$A:$A,MATCH(C351,Tables!$B:$B,0)),"Not found"))</f>
        <v/>
      </c>
      <c r="E351" s="21" t="str">
        <f aca="false">IF(D351="","",IFERROR(INDEX(Tables!$D:$D,MATCH(D351,Tables!$A:$A,0)),""))</f>
        <v/>
      </c>
      <c r="F351" s="20"/>
      <c r="G351" s="20"/>
      <c r="H351" s="20"/>
      <c r="I351" s="20"/>
      <c r="J351" s="20"/>
      <c r="K351" s="20"/>
    </row>
    <row r="352" customFormat="false" ht="15" hidden="false" customHeight="false" outlineLevel="0" collapsed="false">
      <c r="A352" s="20"/>
      <c r="B352" s="18" t="str">
        <f aca="false">IF(A352="","",IFERROR(INDEX(Products!$A:$A,MATCH(A352,Products!$B:$B,0)),"Not found"))</f>
        <v/>
      </c>
      <c r="C352" s="20"/>
      <c r="D352" s="18" t="str">
        <f aca="false">IF(C352="","",IFERROR(INDEX(Tables!$A:$A,MATCH(C352,Tables!$B:$B,0)),"Not found"))</f>
        <v/>
      </c>
      <c r="E352" s="21" t="str">
        <f aca="false">IF(D352="","",IFERROR(INDEX(Tables!$D:$D,MATCH(D352,Tables!$A:$A,0)),""))</f>
        <v/>
      </c>
      <c r="F352" s="20"/>
      <c r="G352" s="20"/>
      <c r="H352" s="20"/>
      <c r="I352" s="20"/>
      <c r="J352" s="20"/>
      <c r="K352" s="20"/>
    </row>
    <row r="353" customFormat="false" ht="15" hidden="false" customHeight="false" outlineLevel="0" collapsed="false">
      <c r="A353" s="20"/>
      <c r="B353" s="18" t="str">
        <f aca="false">IF(A353="","",IFERROR(INDEX(Products!$A:$A,MATCH(A353,Products!$B:$B,0)),"Not found"))</f>
        <v/>
      </c>
      <c r="C353" s="20"/>
      <c r="D353" s="18" t="str">
        <f aca="false">IF(C353="","",IFERROR(INDEX(Tables!$A:$A,MATCH(C353,Tables!$B:$B,0)),"Not found"))</f>
        <v/>
      </c>
      <c r="E353" s="21" t="str">
        <f aca="false">IF(D353="","",IFERROR(INDEX(Tables!$D:$D,MATCH(D353,Tables!$A:$A,0)),""))</f>
        <v/>
      </c>
      <c r="F353" s="20"/>
      <c r="G353" s="20"/>
      <c r="H353" s="20"/>
      <c r="I353" s="20"/>
      <c r="J353" s="20"/>
      <c r="K353" s="20"/>
    </row>
    <row r="354" customFormat="false" ht="15" hidden="false" customHeight="false" outlineLevel="0" collapsed="false">
      <c r="A354" s="20"/>
      <c r="B354" s="18" t="str">
        <f aca="false">IF(A354="","",IFERROR(INDEX(Products!$A:$A,MATCH(A354,Products!$B:$B,0)),"Not found"))</f>
        <v/>
      </c>
      <c r="C354" s="20"/>
      <c r="D354" s="18" t="str">
        <f aca="false">IF(C354="","",IFERROR(INDEX(Tables!$A:$A,MATCH(C354,Tables!$B:$B,0)),"Not found"))</f>
        <v/>
      </c>
      <c r="E354" s="21" t="str">
        <f aca="false">IF(D354="","",IFERROR(INDEX(Tables!$D:$D,MATCH(D354,Tables!$A:$A,0)),""))</f>
        <v/>
      </c>
      <c r="F354" s="20"/>
      <c r="G354" s="20"/>
      <c r="H354" s="20"/>
      <c r="I354" s="20"/>
      <c r="J354" s="20"/>
      <c r="K354" s="20"/>
    </row>
    <row r="355" customFormat="false" ht="15" hidden="false" customHeight="false" outlineLevel="0" collapsed="false">
      <c r="A355" s="20"/>
      <c r="B355" s="18" t="str">
        <f aca="false">IF(A355="","",IFERROR(INDEX(Products!$A:$A,MATCH(A355,Products!$B:$B,0)),"Not found"))</f>
        <v/>
      </c>
      <c r="C355" s="20"/>
      <c r="D355" s="18" t="str">
        <f aca="false">IF(C355="","",IFERROR(INDEX(Tables!$A:$A,MATCH(C355,Tables!$B:$B,0)),"Not found"))</f>
        <v/>
      </c>
      <c r="E355" s="21" t="str">
        <f aca="false">IF(D355="","",IFERROR(INDEX(Tables!$D:$D,MATCH(D355,Tables!$A:$A,0)),""))</f>
        <v/>
      </c>
      <c r="F355" s="20"/>
      <c r="G355" s="20"/>
      <c r="H355" s="20"/>
      <c r="I355" s="20"/>
      <c r="J355" s="20"/>
      <c r="K355" s="20"/>
    </row>
    <row r="356" customFormat="false" ht="15" hidden="false" customHeight="false" outlineLevel="0" collapsed="false">
      <c r="A356" s="20"/>
      <c r="B356" s="18" t="str">
        <f aca="false">IF(A356="","",IFERROR(INDEX(Products!$A:$A,MATCH(A356,Products!$B:$B,0)),"Not found"))</f>
        <v/>
      </c>
      <c r="C356" s="20"/>
      <c r="D356" s="18" t="str">
        <f aca="false">IF(C356="","",IFERROR(INDEX(Tables!$A:$A,MATCH(C356,Tables!$B:$B,0)),"Not found"))</f>
        <v/>
      </c>
      <c r="E356" s="21" t="str">
        <f aca="false">IF(D356="","",IFERROR(INDEX(Tables!$D:$D,MATCH(D356,Tables!$A:$A,0)),""))</f>
        <v/>
      </c>
      <c r="F356" s="20"/>
      <c r="G356" s="20"/>
      <c r="H356" s="20"/>
      <c r="I356" s="20"/>
      <c r="J356" s="20"/>
      <c r="K356" s="20"/>
    </row>
    <row r="357" customFormat="false" ht="15" hidden="false" customHeight="false" outlineLevel="0" collapsed="false">
      <c r="A357" s="20"/>
      <c r="B357" s="18" t="str">
        <f aca="false">IF(A357="","",IFERROR(INDEX(Products!$A:$A,MATCH(A357,Products!$B:$B,0)),"Not found"))</f>
        <v/>
      </c>
      <c r="C357" s="20"/>
      <c r="D357" s="18" t="str">
        <f aca="false">IF(C357="","",IFERROR(INDEX(Tables!$A:$A,MATCH(C357,Tables!$B:$B,0)),"Not found"))</f>
        <v/>
      </c>
      <c r="E357" s="21" t="str">
        <f aca="false">IF(D357="","",IFERROR(INDEX(Tables!$D:$D,MATCH(D357,Tables!$A:$A,0)),""))</f>
        <v/>
      </c>
      <c r="F357" s="20"/>
      <c r="G357" s="20"/>
      <c r="H357" s="20"/>
      <c r="I357" s="20"/>
      <c r="J357" s="20"/>
      <c r="K357" s="20"/>
    </row>
    <row r="358" customFormat="false" ht="15" hidden="false" customHeight="false" outlineLevel="0" collapsed="false">
      <c r="A358" s="20"/>
      <c r="B358" s="18" t="str">
        <f aca="false">IF(A358="","",IFERROR(INDEX(Products!$A:$A,MATCH(A358,Products!$B:$B,0)),"Not found"))</f>
        <v/>
      </c>
      <c r="C358" s="20"/>
      <c r="D358" s="18" t="str">
        <f aca="false">IF(C358="","",IFERROR(INDEX(Tables!$A:$A,MATCH(C358,Tables!$B:$B,0)),"Not found"))</f>
        <v/>
      </c>
      <c r="E358" s="21" t="str">
        <f aca="false">IF(D358="","",IFERROR(INDEX(Tables!$D:$D,MATCH(D358,Tables!$A:$A,0)),""))</f>
        <v/>
      </c>
      <c r="F358" s="20"/>
      <c r="G358" s="20"/>
      <c r="H358" s="20"/>
      <c r="I358" s="20"/>
      <c r="J358" s="20"/>
      <c r="K358" s="20"/>
    </row>
    <row r="359" customFormat="false" ht="15" hidden="false" customHeight="false" outlineLevel="0" collapsed="false">
      <c r="A359" s="20"/>
      <c r="B359" s="18" t="str">
        <f aca="false">IF(A359="","",IFERROR(INDEX(Products!$A:$A,MATCH(A359,Products!$B:$B,0)),"Not found"))</f>
        <v/>
      </c>
      <c r="C359" s="20"/>
      <c r="D359" s="18" t="str">
        <f aca="false">IF(C359="","",IFERROR(INDEX(Tables!$A:$A,MATCH(C359,Tables!$B:$B,0)),"Not found"))</f>
        <v/>
      </c>
      <c r="E359" s="21" t="str">
        <f aca="false">IF(D359="","",IFERROR(INDEX(Tables!$D:$D,MATCH(D359,Tables!$A:$A,0)),""))</f>
        <v/>
      </c>
      <c r="F359" s="20"/>
      <c r="G359" s="20"/>
      <c r="H359" s="20"/>
      <c r="I359" s="20"/>
      <c r="J359" s="20"/>
      <c r="K359" s="20"/>
    </row>
    <row r="360" customFormat="false" ht="15" hidden="false" customHeight="false" outlineLevel="0" collapsed="false">
      <c r="A360" s="20"/>
      <c r="B360" s="18" t="str">
        <f aca="false">IF(A360="","",IFERROR(INDEX(Products!$A:$A,MATCH(A360,Products!$B:$B,0)),"Not found"))</f>
        <v/>
      </c>
      <c r="C360" s="20"/>
      <c r="D360" s="18" t="str">
        <f aca="false">IF(C360="","",IFERROR(INDEX(Tables!$A:$A,MATCH(C360,Tables!$B:$B,0)),"Not found"))</f>
        <v/>
      </c>
      <c r="E360" s="21" t="str">
        <f aca="false">IF(D360="","",IFERROR(INDEX(Tables!$D:$D,MATCH(D360,Tables!$A:$A,0)),""))</f>
        <v/>
      </c>
      <c r="F360" s="20"/>
      <c r="G360" s="20"/>
      <c r="H360" s="20"/>
      <c r="I360" s="20"/>
      <c r="J360" s="20"/>
      <c r="K360" s="20"/>
    </row>
    <row r="361" customFormat="false" ht="15" hidden="false" customHeight="false" outlineLevel="0" collapsed="false">
      <c r="A361" s="20"/>
      <c r="B361" s="18" t="str">
        <f aca="false">IF(A361="","",IFERROR(INDEX(Products!$A:$A,MATCH(A361,Products!$B:$B,0)),"Not found"))</f>
        <v/>
      </c>
      <c r="C361" s="20"/>
      <c r="D361" s="18" t="str">
        <f aca="false">IF(C361="","",IFERROR(INDEX(Tables!$A:$A,MATCH(C361,Tables!$B:$B,0)),"Not found"))</f>
        <v/>
      </c>
      <c r="E361" s="21" t="str">
        <f aca="false">IF(D361="","",IFERROR(INDEX(Tables!$D:$D,MATCH(D361,Tables!$A:$A,0)),""))</f>
        <v/>
      </c>
      <c r="F361" s="20"/>
      <c r="G361" s="20"/>
      <c r="H361" s="20"/>
      <c r="I361" s="20"/>
      <c r="J361" s="20"/>
      <c r="K361" s="20"/>
    </row>
    <row r="362" customFormat="false" ht="15" hidden="false" customHeight="false" outlineLevel="0" collapsed="false">
      <c r="A362" s="20"/>
      <c r="B362" s="18" t="str">
        <f aca="false">IF(A362="","",IFERROR(INDEX(Products!$A:$A,MATCH(A362,Products!$B:$B,0)),"Not found"))</f>
        <v/>
      </c>
      <c r="C362" s="20"/>
      <c r="D362" s="18" t="str">
        <f aca="false">IF(C362="","",IFERROR(INDEX(Tables!$A:$A,MATCH(C362,Tables!$B:$B,0)),"Not found"))</f>
        <v/>
      </c>
      <c r="E362" s="21" t="str">
        <f aca="false">IF(D362="","",IFERROR(INDEX(Tables!$D:$D,MATCH(D362,Tables!$A:$A,0)),""))</f>
        <v/>
      </c>
      <c r="F362" s="20"/>
      <c r="G362" s="20"/>
      <c r="H362" s="20"/>
      <c r="I362" s="20"/>
      <c r="J362" s="20"/>
      <c r="K362" s="20"/>
    </row>
    <row r="363" customFormat="false" ht="15" hidden="false" customHeight="false" outlineLevel="0" collapsed="false">
      <c r="A363" s="20"/>
      <c r="B363" s="18" t="str">
        <f aca="false">IF(A363="","",IFERROR(INDEX(Products!$A:$A,MATCH(A363,Products!$B:$B,0)),"Not found"))</f>
        <v/>
      </c>
      <c r="C363" s="20"/>
      <c r="D363" s="18" t="str">
        <f aca="false">IF(C363="","",IFERROR(INDEX(Tables!$A:$A,MATCH(C363,Tables!$B:$B,0)),"Not found"))</f>
        <v/>
      </c>
      <c r="E363" s="21" t="str">
        <f aca="false">IF(D363="","",IFERROR(INDEX(Tables!$D:$D,MATCH(D363,Tables!$A:$A,0)),""))</f>
        <v/>
      </c>
      <c r="F363" s="20"/>
      <c r="G363" s="20"/>
      <c r="H363" s="20"/>
      <c r="I363" s="20"/>
      <c r="J363" s="20"/>
      <c r="K363" s="20"/>
    </row>
    <row r="364" customFormat="false" ht="15" hidden="false" customHeight="false" outlineLevel="0" collapsed="false">
      <c r="A364" s="20"/>
      <c r="B364" s="18" t="str">
        <f aca="false">IF(A364="","",IFERROR(INDEX(Products!$A:$A,MATCH(A364,Products!$B:$B,0)),"Not found"))</f>
        <v/>
      </c>
      <c r="C364" s="20"/>
      <c r="D364" s="18" t="str">
        <f aca="false">IF(C364="","",IFERROR(INDEX(Tables!$A:$A,MATCH(C364,Tables!$B:$B,0)),"Not found"))</f>
        <v/>
      </c>
      <c r="E364" s="21" t="str">
        <f aca="false">IF(D364="","",IFERROR(INDEX(Tables!$D:$D,MATCH(D364,Tables!$A:$A,0)),""))</f>
        <v/>
      </c>
      <c r="F364" s="20"/>
      <c r="G364" s="20"/>
      <c r="H364" s="20"/>
      <c r="I364" s="20"/>
      <c r="J364" s="20"/>
      <c r="K364" s="20"/>
    </row>
    <row r="365" customFormat="false" ht="15" hidden="false" customHeight="false" outlineLevel="0" collapsed="false">
      <c r="A365" s="20"/>
      <c r="B365" s="18" t="str">
        <f aca="false">IF(A365="","",IFERROR(INDEX(Products!$A:$A,MATCH(A365,Products!$B:$B,0)),"Not found"))</f>
        <v/>
      </c>
      <c r="C365" s="20"/>
      <c r="D365" s="18" t="str">
        <f aca="false">IF(C365="","",IFERROR(INDEX(Tables!$A:$A,MATCH(C365,Tables!$B:$B,0)),"Not found"))</f>
        <v/>
      </c>
      <c r="E365" s="21" t="str">
        <f aca="false">IF(D365="","",IFERROR(INDEX(Tables!$D:$D,MATCH(D365,Tables!$A:$A,0)),""))</f>
        <v/>
      </c>
      <c r="F365" s="20"/>
      <c r="G365" s="20"/>
      <c r="H365" s="20"/>
      <c r="I365" s="20"/>
      <c r="J365" s="20"/>
      <c r="K365" s="20"/>
    </row>
    <row r="366" customFormat="false" ht="15" hidden="false" customHeight="false" outlineLevel="0" collapsed="false">
      <c r="A366" s="20"/>
      <c r="B366" s="18" t="str">
        <f aca="false">IF(A366="","",IFERROR(INDEX(Products!$A:$A,MATCH(A366,Products!$B:$B,0)),"Not found"))</f>
        <v/>
      </c>
      <c r="C366" s="20"/>
      <c r="D366" s="18" t="str">
        <f aca="false">IF(C366="","",IFERROR(INDEX(Tables!$A:$A,MATCH(C366,Tables!$B:$B,0)),"Not found"))</f>
        <v/>
      </c>
      <c r="E366" s="21" t="str">
        <f aca="false">IF(D366="","",IFERROR(INDEX(Tables!$D:$D,MATCH(D366,Tables!$A:$A,0)),""))</f>
        <v/>
      </c>
      <c r="F366" s="20"/>
      <c r="G366" s="20"/>
      <c r="H366" s="20"/>
      <c r="I366" s="20"/>
      <c r="J366" s="20"/>
      <c r="K366" s="20"/>
    </row>
    <row r="367" customFormat="false" ht="15" hidden="false" customHeight="false" outlineLevel="0" collapsed="false">
      <c r="A367" s="20"/>
      <c r="B367" s="18" t="str">
        <f aca="false">IF(A367="","",IFERROR(INDEX(Products!$A:$A,MATCH(A367,Products!$B:$B,0)),"Not found"))</f>
        <v/>
      </c>
      <c r="C367" s="20"/>
      <c r="D367" s="18" t="str">
        <f aca="false">IF(C367="","",IFERROR(INDEX(Tables!$A:$A,MATCH(C367,Tables!$B:$B,0)),"Not found"))</f>
        <v/>
      </c>
      <c r="E367" s="21" t="str">
        <f aca="false">IF(D367="","",IFERROR(INDEX(Tables!$D:$D,MATCH(D367,Tables!$A:$A,0)),""))</f>
        <v/>
      </c>
      <c r="F367" s="20"/>
      <c r="G367" s="20"/>
      <c r="H367" s="20"/>
      <c r="I367" s="20"/>
      <c r="J367" s="20"/>
      <c r="K367" s="20"/>
    </row>
    <row r="368" customFormat="false" ht="15" hidden="false" customHeight="false" outlineLevel="0" collapsed="false">
      <c r="A368" s="20"/>
      <c r="B368" s="18" t="str">
        <f aca="false">IF(A368="","",IFERROR(INDEX(Products!$A:$A,MATCH(A368,Products!$B:$B,0)),"Not found"))</f>
        <v/>
      </c>
      <c r="C368" s="20"/>
      <c r="D368" s="18" t="str">
        <f aca="false">IF(C368="","",IFERROR(INDEX(Tables!$A:$A,MATCH(C368,Tables!$B:$B,0)),"Not found"))</f>
        <v/>
      </c>
      <c r="E368" s="21" t="str">
        <f aca="false">IF(D368="","",IFERROR(INDEX(Tables!$D:$D,MATCH(D368,Tables!$A:$A,0)),""))</f>
        <v/>
      </c>
      <c r="F368" s="20"/>
      <c r="G368" s="20"/>
      <c r="H368" s="20"/>
      <c r="I368" s="20"/>
      <c r="J368" s="20"/>
      <c r="K368" s="20"/>
    </row>
    <row r="369" customFormat="false" ht="15" hidden="false" customHeight="false" outlineLevel="0" collapsed="false">
      <c r="A369" s="20"/>
      <c r="B369" s="18" t="str">
        <f aca="false">IF(A369="","",IFERROR(INDEX(Products!$A:$A,MATCH(A369,Products!$B:$B,0)),"Not found"))</f>
        <v/>
      </c>
      <c r="C369" s="20"/>
      <c r="D369" s="18" t="str">
        <f aca="false">IF(C369="","",IFERROR(INDEX(Tables!$A:$A,MATCH(C369,Tables!$B:$B,0)),"Not found"))</f>
        <v/>
      </c>
      <c r="E369" s="21" t="str">
        <f aca="false">IF(D369="","",IFERROR(INDEX(Tables!$D:$D,MATCH(D369,Tables!$A:$A,0)),""))</f>
        <v/>
      </c>
      <c r="F369" s="20"/>
      <c r="G369" s="20"/>
      <c r="H369" s="20"/>
      <c r="I369" s="20"/>
      <c r="J369" s="20"/>
      <c r="K369" s="20"/>
    </row>
    <row r="370" customFormat="false" ht="15" hidden="false" customHeight="false" outlineLevel="0" collapsed="false">
      <c r="A370" s="20"/>
      <c r="B370" s="18" t="str">
        <f aca="false">IF(A370="","",IFERROR(INDEX(Products!$A:$A,MATCH(A370,Products!$B:$B,0)),"Not found"))</f>
        <v/>
      </c>
      <c r="C370" s="20"/>
      <c r="D370" s="18" t="str">
        <f aca="false">IF(C370="","",IFERROR(INDEX(Tables!$A:$A,MATCH(C370,Tables!$B:$B,0)),"Not found"))</f>
        <v/>
      </c>
      <c r="E370" s="21" t="str">
        <f aca="false">IF(D370="","",IFERROR(INDEX(Tables!$D:$D,MATCH(D370,Tables!$A:$A,0)),""))</f>
        <v/>
      </c>
      <c r="F370" s="20"/>
      <c r="G370" s="20"/>
      <c r="H370" s="20"/>
      <c r="I370" s="20"/>
      <c r="J370" s="20"/>
      <c r="K370" s="20"/>
    </row>
    <row r="371" customFormat="false" ht="15" hidden="false" customHeight="false" outlineLevel="0" collapsed="false">
      <c r="A371" s="20"/>
      <c r="B371" s="18" t="str">
        <f aca="false">IF(A371="","",IFERROR(INDEX(Products!$A:$A,MATCH(A371,Products!$B:$B,0)),"Not found"))</f>
        <v/>
      </c>
      <c r="C371" s="20"/>
      <c r="D371" s="18" t="str">
        <f aca="false">IF(C371="","",IFERROR(INDEX(Tables!$A:$A,MATCH(C371,Tables!$B:$B,0)),"Not found"))</f>
        <v/>
      </c>
      <c r="E371" s="21" t="str">
        <f aca="false">IF(D371="","",IFERROR(INDEX(Tables!$D:$D,MATCH(D371,Tables!$A:$A,0)),""))</f>
        <v/>
      </c>
      <c r="F371" s="20"/>
      <c r="G371" s="20"/>
      <c r="H371" s="20"/>
      <c r="I371" s="20"/>
      <c r="J371" s="20"/>
      <c r="K371" s="20"/>
    </row>
    <row r="372" customFormat="false" ht="15" hidden="false" customHeight="false" outlineLevel="0" collapsed="false">
      <c r="A372" s="20"/>
      <c r="B372" s="18" t="str">
        <f aca="false">IF(A372="","",IFERROR(INDEX(Products!$A:$A,MATCH(A372,Products!$B:$B,0)),"Not found"))</f>
        <v/>
      </c>
      <c r="C372" s="20"/>
      <c r="D372" s="18" t="str">
        <f aca="false">IF(C372="","",IFERROR(INDEX(Tables!$A:$A,MATCH(C372,Tables!$B:$B,0)),"Not found"))</f>
        <v/>
      </c>
      <c r="E372" s="21" t="str">
        <f aca="false">IF(D372="","",IFERROR(INDEX(Tables!$D:$D,MATCH(D372,Tables!$A:$A,0)),""))</f>
        <v/>
      </c>
      <c r="F372" s="20"/>
      <c r="G372" s="20"/>
      <c r="H372" s="20"/>
      <c r="I372" s="20"/>
      <c r="J372" s="20"/>
      <c r="K372" s="20"/>
    </row>
    <row r="373" customFormat="false" ht="15" hidden="false" customHeight="false" outlineLevel="0" collapsed="false">
      <c r="A373" s="20"/>
      <c r="B373" s="18" t="str">
        <f aca="false">IF(A373="","",IFERROR(INDEX(Products!$A:$A,MATCH(A373,Products!$B:$B,0)),"Not found"))</f>
        <v/>
      </c>
      <c r="C373" s="20"/>
      <c r="D373" s="18" t="str">
        <f aca="false">IF(C373="","",IFERROR(INDEX(Tables!$A:$A,MATCH(C373,Tables!$B:$B,0)),"Not found"))</f>
        <v/>
      </c>
      <c r="E373" s="21" t="str">
        <f aca="false">IF(D373="","",IFERROR(INDEX(Tables!$D:$D,MATCH(D373,Tables!$A:$A,0)),""))</f>
        <v/>
      </c>
      <c r="F373" s="20"/>
      <c r="G373" s="20"/>
      <c r="H373" s="20"/>
      <c r="I373" s="20"/>
      <c r="J373" s="20"/>
      <c r="K373" s="20"/>
    </row>
    <row r="374" customFormat="false" ht="15" hidden="false" customHeight="false" outlineLevel="0" collapsed="false">
      <c r="A374" s="20"/>
      <c r="B374" s="18" t="str">
        <f aca="false">IF(A374="","",IFERROR(INDEX(Products!$A:$A,MATCH(A374,Products!$B:$B,0)),"Not found"))</f>
        <v/>
      </c>
      <c r="C374" s="20"/>
      <c r="D374" s="18" t="str">
        <f aca="false">IF(C374="","",IFERROR(INDEX(Tables!$A:$A,MATCH(C374,Tables!$B:$B,0)),"Not found"))</f>
        <v/>
      </c>
      <c r="E374" s="21" t="str">
        <f aca="false">IF(D374="","",IFERROR(INDEX(Tables!$D:$D,MATCH(D374,Tables!$A:$A,0)),""))</f>
        <v/>
      </c>
      <c r="F374" s="20"/>
      <c r="G374" s="20"/>
      <c r="H374" s="20"/>
      <c r="I374" s="20"/>
      <c r="J374" s="20"/>
      <c r="K374" s="20"/>
    </row>
    <row r="375" customFormat="false" ht="15" hidden="false" customHeight="false" outlineLevel="0" collapsed="false">
      <c r="A375" s="20"/>
      <c r="B375" s="18" t="str">
        <f aca="false">IF(A375="","",IFERROR(INDEX(Products!$A:$A,MATCH(A375,Products!$B:$B,0)),"Not found"))</f>
        <v/>
      </c>
      <c r="C375" s="20"/>
      <c r="D375" s="18" t="str">
        <f aca="false">IF(C375="","",IFERROR(INDEX(Tables!$A:$A,MATCH(C375,Tables!$B:$B,0)),"Not found"))</f>
        <v/>
      </c>
      <c r="E375" s="21" t="str">
        <f aca="false">IF(D375="","",IFERROR(INDEX(Tables!$D:$D,MATCH(D375,Tables!$A:$A,0)),""))</f>
        <v/>
      </c>
      <c r="F375" s="20"/>
      <c r="G375" s="20"/>
      <c r="H375" s="20"/>
      <c r="I375" s="20"/>
      <c r="J375" s="20"/>
      <c r="K375" s="20"/>
    </row>
    <row r="376" customFormat="false" ht="15" hidden="false" customHeight="false" outlineLevel="0" collapsed="false">
      <c r="A376" s="20"/>
      <c r="B376" s="18" t="str">
        <f aca="false">IF(A376="","",IFERROR(INDEX(Products!$A:$A,MATCH(A376,Products!$B:$B,0)),"Not found"))</f>
        <v/>
      </c>
      <c r="C376" s="20"/>
      <c r="D376" s="18" t="str">
        <f aca="false">IF(C376="","",IFERROR(INDEX(Tables!$A:$A,MATCH(C376,Tables!$B:$B,0)),"Not found"))</f>
        <v/>
      </c>
      <c r="E376" s="21" t="str">
        <f aca="false">IF(D376="","",IFERROR(INDEX(Tables!$D:$D,MATCH(D376,Tables!$A:$A,0)),""))</f>
        <v/>
      </c>
      <c r="F376" s="20"/>
      <c r="G376" s="20"/>
      <c r="H376" s="20"/>
      <c r="I376" s="20"/>
      <c r="J376" s="20"/>
      <c r="K376" s="20"/>
    </row>
    <row r="377" customFormat="false" ht="15" hidden="false" customHeight="false" outlineLevel="0" collapsed="false">
      <c r="A377" s="20"/>
      <c r="B377" s="18" t="str">
        <f aca="false">IF(A377="","",IFERROR(INDEX(Products!$A:$A,MATCH(A377,Products!$B:$B,0)),"Not found"))</f>
        <v/>
      </c>
      <c r="C377" s="20"/>
      <c r="D377" s="18" t="str">
        <f aca="false">IF(C377="","",IFERROR(INDEX(Tables!$A:$A,MATCH(C377,Tables!$B:$B,0)),"Not found"))</f>
        <v/>
      </c>
      <c r="E377" s="21" t="str">
        <f aca="false">IF(D377="","",IFERROR(INDEX(Tables!$D:$D,MATCH(D377,Tables!$A:$A,0)),""))</f>
        <v/>
      </c>
      <c r="F377" s="20"/>
      <c r="G377" s="20"/>
      <c r="H377" s="20"/>
      <c r="I377" s="20"/>
      <c r="J377" s="20"/>
      <c r="K377" s="20"/>
    </row>
    <row r="378" customFormat="false" ht="15" hidden="false" customHeight="false" outlineLevel="0" collapsed="false">
      <c r="A378" s="20"/>
      <c r="B378" s="18" t="str">
        <f aca="false">IF(A378="","",IFERROR(INDEX(Products!$A:$A,MATCH(A378,Products!$B:$B,0)),"Not found"))</f>
        <v/>
      </c>
      <c r="C378" s="20"/>
      <c r="D378" s="18" t="str">
        <f aca="false">IF(C378="","",IFERROR(INDEX(Tables!$A:$A,MATCH(C378,Tables!$B:$B,0)),"Not found"))</f>
        <v/>
      </c>
      <c r="E378" s="21" t="str">
        <f aca="false">IF(D378="","",IFERROR(INDEX(Tables!$D:$D,MATCH(D378,Tables!$A:$A,0)),""))</f>
        <v/>
      </c>
      <c r="F378" s="20"/>
      <c r="G378" s="20"/>
      <c r="H378" s="20"/>
      <c r="I378" s="20"/>
      <c r="J378" s="20"/>
      <c r="K378" s="20"/>
    </row>
    <row r="379" customFormat="false" ht="15" hidden="false" customHeight="false" outlineLevel="0" collapsed="false">
      <c r="A379" s="20"/>
      <c r="B379" s="18" t="str">
        <f aca="false">IF(A379="","",IFERROR(INDEX(Products!$A:$A,MATCH(A379,Products!$B:$B,0)),"Not found"))</f>
        <v/>
      </c>
      <c r="C379" s="20"/>
      <c r="D379" s="18" t="str">
        <f aca="false">IF(C379="","",IFERROR(INDEX(Tables!$A:$A,MATCH(C379,Tables!$B:$B,0)),"Not found"))</f>
        <v/>
      </c>
      <c r="E379" s="21" t="str">
        <f aca="false">IF(D379="","",IFERROR(INDEX(Tables!$D:$D,MATCH(D379,Tables!$A:$A,0)),""))</f>
        <v/>
      </c>
      <c r="F379" s="20"/>
      <c r="G379" s="20"/>
      <c r="H379" s="20"/>
      <c r="I379" s="20"/>
      <c r="J379" s="20"/>
      <c r="K379" s="20"/>
    </row>
    <row r="380" customFormat="false" ht="15" hidden="false" customHeight="false" outlineLevel="0" collapsed="false">
      <c r="A380" s="20"/>
      <c r="B380" s="18" t="str">
        <f aca="false">IF(A380="","",IFERROR(INDEX(Products!$A:$A,MATCH(A380,Products!$B:$B,0)),"Not found"))</f>
        <v/>
      </c>
      <c r="C380" s="20"/>
      <c r="D380" s="18" t="str">
        <f aca="false">IF(C380="","",IFERROR(INDEX(Tables!$A:$A,MATCH(C380,Tables!$B:$B,0)),"Not found"))</f>
        <v/>
      </c>
      <c r="E380" s="21" t="str">
        <f aca="false">IF(D380="","",IFERROR(INDEX(Tables!$D:$D,MATCH(D380,Tables!$A:$A,0)),""))</f>
        <v/>
      </c>
      <c r="F380" s="20"/>
      <c r="G380" s="20"/>
      <c r="H380" s="20"/>
      <c r="I380" s="20"/>
      <c r="J380" s="20"/>
      <c r="K380" s="20"/>
    </row>
    <row r="381" customFormat="false" ht="15" hidden="false" customHeight="false" outlineLevel="0" collapsed="false">
      <c r="A381" s="20"/>
      <c r="B381" s="18" t="str">
        <f aca="false">IF(A381="","",IFERROR(INDEX(Products!$A:$A,MATCH(A381,Products!$B:$B,0)),"Not found"))</f>
        <v/>
      </c>
      <c r="C381" s="20"/>
      <c r="D381" s="18" t="str">
        <f aca="false">IF(C381="","",IFERROR(INDEX(Tables!$A:$A,MATCH(C381,Tables!$B:$B,0)),"Not found"))</f>
        <v/>
      </c>
      <c r="E381" s="21" t="str">
        <f aca="false">IF(D381="","",IFERROR(INDEX(Tables!$D:$D,MATCH(D381,Tables!$A:$A,0)),""))</f>
        <v/>
      </c>
      <c r="F381" s="20"/>
      <c r="G381" s="20"/>
      <c r="H381" s="20"/>
      <c r="I381" s="20"/>
      <c r="J381" s="20"/>
      <c r="K381" s="20"/>
    </row>
    <row r="382" customFormat="false" ht="15" hidden="false" customHeight="false" outlineLevel="0" collapsed="false">
      <c r="A382" s="20"/>
      <c r="B382" s="18" t="str">
        <f aca="false">IF(A382="","",IFERROR(INDEX(Products!$A:$A,MATCH(A382,Products!$B:$B,0)),"Not found"))</f>
        <v/>
      </c>
      <c r="C382" s="20"/>
      <c r="D382" s="18" t="str">
        <f aca="false">IF(C382="","",IFERROR(INDEX(Tables!$A:$A,MATCH(C382,Tables!$B:$B,0)),"Not found"))</f>
        <v/>
      </c>
      <c r="E382" s="21" t="str">
        <f aca="false">IF(D382="","",IFERROR(INDEX(Tables!$D:$D,MATCH(D382,Tables!$A:$A,0)),""))</f>
        <v/>
      </c>
      <c r="F382" s="20"/>
      <c r="G382" s="20"/>
      <c r="H382" s="20"/>
      <c r="I382" s="20"/>
      <c r="J382" s="20"/>
      <c r="K382" s="20"/>
    </row>
    <row r="383" customFormat="false" ht="15" hidden="false" customHeight="false" outlineLevel="0" collapsed="false">
      <c r="A383" s="20"/>
      <c r="B383" s="18" t="str">
        <f aca="false">IF(A383="","",IFERROR(INDEX(Products!$A:$A,MATCH(A383,Products!$B:$B,0)),"Not found"))</f>
        <v/>
      </c>
      <c r="C383" s="20"/>
      <c r="D383" s="18" t="str">
        <f aca="false">IF(C383="","",IFERROR(INDEX(Tables!$A:$A,MATCH(C383,Tables!$B:$B,0)),"Not found"))</f>
        <v/>
      </c>
      <c r="E383" s="21" t="str">
        <f aca="false">IF(D383="","",IFERROR(INDEX(Tables!$D:$D,MATCH(D383,Tables!$A:$A,0)),""))</f>
        <v/>
      </c>
      <c r="F383" s="20"/>
      <c r="G383" s="20"/>
      <c r="H383" s="20"/>
      <c r="I383" s="20"/>
      <c r="J383" s="20"/>
      <c r="K383" s="20"/>
    </row>
    <row r="384" customFormat="false" ht="15" hidden="false" customHeight="false" outlineLevel="0" collapsed="false">
      <c r="A384" s="20"/>
      <c r="B384" s="18" t="str">
        <f aca="false">IF(A384="","",IFERROR(INDEX(Products!$A:$A,MATCH(A384,Products!$B:$B,0)),"Not found"))</f>
        <v/>
      </c>
      <c r="C384" s="20"/>
      <c r="D384" s="18" t="str">
        <f aca="false">IF(C384="","",IFERROR(INDEX(Tables!$A:$A,MATCH(C384,Tables!$B:$B,0)),"Not found"))</f>
        <v/>
      </c>
      <c r="E384" s="21" t="str">
        <f aca="false">IF(D384="","",IFERROR(INDEX(Tables!$D:$D,MATCH(D384,Tables!$A:$A,0)),""))</f>
        <v/>
      </c>
      <c r="F384" s="20"/>
      <c r="G384" s="20"/>
      <c r="H384" s="20"/>
      <c r="I384" s="20"/>
      <c r="J384" s="20"/>
      <c r="K384" s="20"/>
    </row>
    <row r="385" customFormat="false" ht="15" hidden="false" customHeight="false" outlineLevel="0" collapsed="false">
      <c r="A385" s="20"/>
      <c r="B385" s="18" t="str">
        <f aca="false">IF(A385="","",IFERROR(INDEX(Products!$A:$A,MATCH(A385,Products!$B:$B,0)),"Not found"))</f>
        <v/>
      </c>
      <c r="C385" s="20"/>
      <c r="D385" s="18" t="str">
        <f aca="false">IF(C385="","",IFERROR(INDEX(Tables!$A:$A,MATCH(C385,Tables!$B:$B,0)),"Not found"))</f>
        <v/>
      </c>
      <c r="E385" s="21" t="str">
        <f aca="false">IF(D385="","",IFERROR(INDEX(Tables!$D:$D,MATCH(D385,Tables!$A:$A,0)),""))</f>
        <v/>
      </c>
      <c r="F385" s="20"/>
      <c r="G385" s="20"/>
      <c r="H385" s="20"/>
      <c r="I385" s="20"/>
      <c r="J385" s="20"/>
      <c r="K385" s="20"/>
    </row>
    <row r="386" customFormat="false" ht="15" hidden="false" customHeight="false" outlineLevel="0" collapsed="false">
      <c r="A386" s="20"/>
      <c r="B386" s="18" t="str">
        <f aca="false">IF(A386="","",IFERROR(INDEX(Products!$A:$A,MATCH(A386,Products!$B:$B,0)),"Not found"))</f>
        <v/>
      </c>
      <c r="C386" s="20"/>
      <c r="D386" s="18" t="str">
        <f aca="false">IF(C386="","",IFERROR(INDEX(Tables!$A:$A,MATCH(C386,Tables!$B:$B,0)),"Not found"))</f>
        <v/>
      </c>
      <c r="E386" s="21" t="str">
        <f aca="false">IF(D386="","",IFERROR(INDEX(Tables!$D:$D,MATCH(D386,Tables!$A:$A,0)),""))</f>
        <v/>
      </c>
      <c r="F386" s="20"/>
      <c r="G386" s="20"/>
      <c r="H386" s="20"/>
      <c r="I386" s="20"/>
      <c r="J386" s="20"/>
      <c r="K386" s="20"/>
    </row>
    <row r="387" customFormat="false" ht="15" hidden="false" customHeight="false" outlineLevel="0" collapsed="false">
      <c r="A387" s="20"/>
      <c r="B387" s="18" t="str">
        <f aca="false">IF(A387="","",IFERROR(INDEX(Products!$A:$A,MATCH(A387,Products!$B:$B,0)),"Not found"))</f>
        <v/>
      </c>
      <c r="C387" s="20"/>
      <c r="D387" s="18" t="str">
        <f aca="false">IF(C387="","",IFERROR(INDEX(Tables!$A:$A,MATCH(C387,Tables!$B:$B,0)),"Not found"))</f>
        <v/>
      </c>
      <c r="E387" s="21" t="str">
        <f aca="false">IF(D387="","",IFERROR(INDEX(Tables!$D:$D,MATCH(D387,Tables!$A:$A,0)),""))</f>
        <v/>
      </c>
      <c r="F387" s="20"/>
      <c r="G387" s="20"/>
      <c r="H387" s="20"/>
      <c r="I387" s="20"/>
      <c r="J387" s="20"/>
      <c r="K387" s="20"/>
    </row>
    <row r="388" customFormat="false" ht="15" hidden="false" customHeight="false" outlineLevel="0" collapsed="false">
      <c r="A388" s="20"/>
      <c r="B388" s="18" t="str">
        <f aca="false">IF(A388="","",IFERROR(INDEX(Products!$A:$A,MATCH(A388,Products!$B:$B,0)),"Not found"))</f>
        <v/>
      </c>
      <c r="C388" s="20"/>
      <c r="D388" s="18" t="str">
        <f aca="false">IF(C388="","",IFERROR(INDEX(Tables!$A:$A,MATCH(C388,Tables!$B:$B,0)),"Not found"))</f>
        <v/>
      </c>
      <c r="E388" s="21" t="str">
        <f aca="false">IF(D388="","",IFERROR(INDEX(Tables!$D:$D,MATCH(D388,Tables!$A:$A,0)),""))</f>
        <v/>
      </c>
      <c r="F388" s="20"/>
      <c r="G388" s="20"/>
      <c r="H388" s="20"/>
      <c r="I388" s="20"/>
      <c r="J388" s="20"/>
      <c r="K388" s="20"/>
    </row>
    <row r="389" customFormat="false" ht="15" hidden="false" customHeight="false" outlineLevel="0" collapsed="false">
      <c r="A389" s="20"/>
      <c r="B389" s="18" t="str">
        <f aca="false">IF(A389="","",IFERROR(INDEX(Products!$A:$A,MATCH(A389,Products!$B:$B,0)),"Not found"))</f>
        <v/>
      </c>
      <c r="C389" s="20"/>
      <c r="D389" s="18" t="str">
        <f aca="false">IF(C389="","",IFERROR(INDEX(Tables!$A:$A,MATCH(C389,Tables!$B:$B,0)),"Not found"))</f>
        <v/>
      </c>
      <c r="E389" s="21" t="str">
        <f aca="false">IF(D389="","",IFERROR(INDEX(Tables!$D:$D,MATCH(D389,Tables!$A:$A,0)),""))</f>
        <v/>
      </c>
      <c r="F389" s="20"/>
      <c r="G389" s="20"/>
      <c r="H389" s="20"/>
      <c r="I389" s="20"/>
      <c r="J389" s="20"/>
      <c r="K389" s="20"/>
    </row>
    <row r="390" customFormat="false" ht="15" hidden="false" customHeight="false" outlineLevel="0" collapsed="false">
      <c r="A390" s="20"/>
      <c r="B390" s="18" t="str">
        <f aca="false">IF(A390="","",IFERROR(INDEX(Products!$A:$A,MATCH(A390,Products!$B:$B,0)),"Not found"))</f>
        <v/>
      </c>
      <c r="C390" s="20"/>
      <c r="D390" s="18" t="str">
        <f aca="false">IF(C390="","",IFERROR(INDEX(Tables!$A:$A,MATCH(C390,Tables!$B:$B,0)),"Not found"))</f>
        <v/>
      </c>
      <c r="E390" s="21" t="str">
        <f aca="false">IF(D390="","",IFERROR(INDEX(Tables!$D:$D,MATCH(D390,Tables!$A:$A,0)),""))</f>
        <v/>
      </c>
      <c r="F390" s="20"/>
      <c r="G390" s="20"/>
      <c r="H390" s="20"/>
      <c r="I390" s="20"/>
      <c r="J390" s="20"/>
      <c r="K390" s="20"/>
    </row>
    <row r="391" customFormat="false" ht="15" hidden="false" customHeight="false" outlineLevel="0" collapsed="false">
      <c r="A391" s="20"/>
      <c r="B391" s="18" t="str">
        <f aca="false">IF(A391="","",IFERROR(INDEX(Products!$A:$A,MATCH(A391,Products!$B:$B,0)),"Not found"))</f>
        <v/>
      </c>
      <c r="C391" s="20"/>
      <c r="D391" s="18" t="str">
        <f aca="false">IF(C391="","",IFERROR(INDEX(Tables!$A:$A,MATCH(C391,Tables!$B:$B,0)),"Not found"))</f>
        <v/>
      </c>
      <c r="E391" s="21" t="str">
        <f aca="false">IF(D391="","",IFERROR(INDEX(Tables!$D:$D,MATCH(D391,Tables!$A:$A,0)),""))</f>
        <v/>
      </c>
      <c r="F391" s="20"/>
      <c r="G391" s="20"/>
      <c r="H391" s="20"/>
      <c r="I391" s="20"/>
      <c r="J391" s="20"/>
      <c r="K391" s="20"/>
    </row>
    <row r="392" customFormat="false" ht="15" hidden="false" customHeight="false" outlineLevel="0" collapsed="false">
      <c r="A392" s="20"/>
      <c r="B392" s="18" t="str">
        <f aca="false">IF(A392="","",IFERROR(INDEX(Products!$A:$A,MATCH(A392,Products!$B:$B,0)),"Not found"))</f>
        <v/>
      </c>
      <c r="C392" s="20"/>
      <c r="D392" s="18" t="str">
        <f aca="false">IF(C392="","",IFERROR(INDEX(Tables!$A:$A,MATCH(C392,Tables!$B:$B,0)),"Not found"))</f>
        <v/>
      </c>
      <c r="E392" s="21" t="str">
        <f aca="false">IF(D392="","",IFERROR(INDEX(Tables!$D:$D,MATCH(D392,Tables!$A:$A,0)),""))</f>
        <v/>
      </c>
      <c r="F392" s="20"/>
      <c r="G392" s="20"/>
      <c r="H392" s="20"/>
      <c r="I392" s="20"/>
      <c r="J392" s="20"/>
      <c r="K392" s="20"/>
    </row>
    <row r="393" customFormat="false" ht="15" hidden="false" customHeight="false" outlineLevel="0" collapsed="false">
      <c r="A393" s="20"/>
      <c r="B393" s="18" t="str">
        <f aca="false">IF(A393="","",IFERROR(INDEX(Products!$A:$A,MATCH(A393,Products!$B:$B,0)),"Not found"))</f>
        <v/>
      </c>
      <c r="C393" s="20"/>
      <c r="D393" s="18" t="str">
        <f aca="false">IF(C393="","",IFERROR(INDEX(Tables!$A:$A,MATCH(C393,Tables!$B:$B,0)),"Not found"))</f>
        <v/>
      </c>
      <c r="E393" s="21" t="str">
        <f aca="false">IF(D393="","",IFERROR(INDEX(Tables!$D:$D,MATCH(D393,Tables!$A:$A,0)),""))</f>
        <v/>
      </c>
      <c r="F393" s="20"/>
      <c r="G393" s="20"/>
      <c r="H393" s="20"/>
      <c r="I393" s="20"/>
      <c r="J393" s="20"/>
      <c r="K393" s="20"/>
    </row>
    <row r="394" customFormat="false" ht="15" hidden="false" customHeight="false" outlineLevel="0" collapsed="false">
      <c r="A394" s="20"/>
      <c r="B394" s="18" t="str">
        <f aca="false">IF(A394="","",IFERROR(INDEX(Products!$A:$A,MATCH(A394,Products!$B:$B,0)),"Not found"))</f>
        <v/>
      </c>
      <c r="C394" s="20"/>
      <c r="D394" s="18" t="str">
        <f aca="false">IF(C394="","",IFERROR(INDEX(Tables!$A:$A,MATCH(C394,Tables!$B:$B,0)),"Not found"))</f>
        <v/>
      </c>
      <c r="E394" s="21" t="str">
        <f aca="false">IF(D394="","",IFERROR(INDEX(Tables!$D:$D,MATCH(D394,Tables!$A:$A,0)),""))</f>
        <v/>
      </c>
      <c r="F394" s="20"/>
      <c r="G394" s="20"/>
      <c r="H394" s="20"/>
      <c r="I394" s="20"/>
      <c r="J394" s="20"/>
      <c r="K394" s="20"/>
    </row>
    <row r="395" customFormat="false" ht="15" hidden="false" customHeight="false" outlineLevel="0" collapsed="false">
      <c r="A395" s="20"/>
      <c r="B395" s="18" t="str">
        <f aca="false">IF(A395="","",IFERROR(INDEX(Products!$A:$A,MATCH(A395,Products!$B:$B,0)),"Not found"))</f>
        <v/>
      </c>
      <c r="C395" s="20"/>
      <c r="D395" s="18" t="str">
        <f aca="false">IF(C395="","",IFERROR(INDEX(Tables!$A:$A,MATCH(C395,Tables!$B:$B,0)),"Not found"))</f>
        <v/>
      </c>
      <c r="E395" s="21" t="str">
        <f aca="false">IF(D395="","",IFERROR(INDEX(Tables!$D:$D,MATCH(D395,Tables!$A:$A,0)),""))</f>
        <v/>
      </c>
      <c r="F395" s="20"/>
      <c r="G395" s="20"/>
      <c r="H395" s="20"/>
      <c r="I395" s="20"/>
      <c r="J395" s="20"/>
      <c r="K395" s="20"/>
    </row>
    <row r="396" customFormat="false" ht="15" hidden="false" customHeight="false" outlineLevel="0" collapsed="false">
      <c r="A396" s="20"/>
      <c r="B396" s="18" t="str">
        <f aca="false">IF(A396="","",IFERROR(INDEX(Products!$A:$A,MATCH(A396,Products!$B:$B,0)),"Not found"))</f>
        <v/>
      </c>
      <c r="C396" s="20"/>
      <c r="D396" s="18" t="str">
        <f aca="false">IF(C396="","",IFERROR(INDEX(Tables!$A:$A,MATCH(C396,Tables!$B:$B,0)),"Not found"))</f>
        <v/>
      </c>
      <c r="E396" s="21" t="str">
        <f aca="false">IF(D396="","",IFERROR(INDEX(Tables!$D:$D,MATCH(D396,Tables!$A:$A,0)),""))</f>
        <v/>
      </c>
      <c r="F396" s="20"/>
      <c r="G396" s="20"/>
      <c r="H396" s="20"/>
      <c r="I396" s="20"/>
      <c r="J396" s="20"/>
      <c r="K396" s="20"/>
    </row>
    <row r="397" customFormat="false" ht="15" hidden="false" customHeight="false" outlineLevel="0" collapsed="false">
      <c r="A397" s="20"/>
      <c r="B397" s="18" t="str">
        <f aca="false">IF(A397="","",IFERROR(INDEX(Products!$A:$A,MATCH(A397,Products!$B:$B,0)),"Not found"))</f>
        <v/>
      </c>
      <c r="C397" s="20"/>
      <c r="D397" s="18" t="str">
        <f aca="false">IF(C397="","",IFERROR(INDEX(Tables!$A:$A,MATCH(C397,Tables!$B:$B,0)),"Not found"))</f>
        <v/>
      </c>
      <c r="E397" s="21" t="str">
        <f aca="false">IF(D397="","",IFERROR(INDEX(Tables!$D:$D,MATCH(D397,Tables!$A:$A,0)),""))</f>
        <v/>
      </c>
      <c r="F397" s="20"/>
      <c r="G397" s="20"/>
      <c r="H397" s="20"/>
      <c r="I397" s="20"/>
      <c r="J397" s="20"/>
      <c r="K397" s="20"/>
    </row>
    <row r="398" customFormat="false" ht="15" hidden="false" customHeight="false" outlineLevel="0" collapsed="false">
      <c r="A398" s="20"/>
      <c r="B398" s="18" t="str">
        <f aca="false">IF(A398="","",IFERROR(INDEX(Products!$A:$A,MATCH(A398,Products!$B:$B,0)),"Not found"))</f>
        <v/>
      </c>
      <c r="C398" s="20"/>
      <c r="D398" s="18" t="str">
        <f aca="false">IF(C398="","",IFERROR(INDEX(Tables!$A:$A,MATCH(C398,Tables!$B:$B,0)),"Not found"))</f>
        <v/>
      </c>
      <c r="E398" s="21" t="str">
        <f aca="false">IF(D398="","",IFERROR(INDEX(Tables!$D:$D,MATCH(D398,Tables!$A:$A,0)),""))</f>
        <v/>
      </c>
      <c r="F398" s="20"/>
      <c r="G398" s="20"/>
      <c r="H398" s="20"/>
      <c r="I398" s="20"/>
      <c r="J398" s="20"/>
      <c r="K398" s="20"/>
    </row>
    <row r="399" customFormat="false" ht="15" hidden="false" customHeight="false" outlineLevel="0" collapsed="false">
      <c r="A399" s="20"/>
      <c r="B399" s="18" t="str">
        <f aca="false">IF(A399="","",IFERROR(INDEX(Products!$A:$A,MATCH(A399,Products!$B:$B,0)),"Not found"))</f>
        <v/>
      </c>
      <c r="C399" s="20"/>
      <c r="D399" s="18" t="str">
        <f aca="false">IF(C399="","",IFERROR(INDEX(Tables!$A:$A,MATCH(C399,Tables!$B:$B,0)),"Not found"))</f>
        <v/>
      </c>
      <c r="E399" s="21" t="str">
        <f aca="false">IF(D399="","",IFERROR(INDEX(Tables!$D:$D,MATCH(D399,Tables!$A:$A,0)),""))</f>
        <v/>
      </c>
      <c r="F399" s="20"/>
      <c r="G399" s="20"/>
      <c r="H399" s="20"/>
      <c r="I399" s="20"/>
      <c r="J399" s="20"/>
      <c r="K399" s="20"/>
    </row>
    <row r="400" customFormat="false" ht="15" hidden="false" customHeight="false" outlineLevel="0" collapsed="false">
      <c r="A400" s="20"/>
      <c r="B400" s="18" t="str">
        <f aca="false">IF(A400="","",IFERROR(INDEX(Products!$A:$A,MATCH(A400,Products!$B:$B,0)),"Not found"))</f>
        <v/>
      </c>
      <c r="C400" s="20"/>
      <c r="D400" s="18" t="str">
        <f aca="false">IF(C400="","",IFERROR(INDEX(Tables!$A:$A,MATCH(C400,Tables!$B:$B,0)),"Not found"))</f>
        <v/>
      </c>
      <c r="E400" s="21" t="str">
        <f aca="false">IF(D400="","",IFERROR(INDEX(Tables!$D:$D,MATCH(D400,Tables!$A:$A,0)),""))</f>
        <v/>
      </c>
      <c r="F400" s="20"/>
      <c r="G400" s="20"/>
      <c r="H400" s="20"/>
      <c r="I400" s="20"/>
      <c r="J400" s="20"/>
      <c r="K400" s="20"/>
    </row>
    <row r="401" customFormat="false" ht="15" hidden="false" customHeight="false" outlineLevel="0" collapsed="false">
      <c r="A401" s="20"/>
      <c r="B401" s="18" t="str">
        <f aca="false">IF(A401="","",IFERROR(INDEX(Products!$A:$A,MATCH(A401,Products!$B:$B,0)),"Not found"))</f>
        <v/>
      </c>
      <c r="C401" s="20"/>
      <c r="D401" s="18" t="str">
        <f aca="false">IF(C401="","",IFERROR(INDEX(Tables!$A:$A,MATCH(C401,Tables!$B:$B,0)),"Not found"))</f>
        <v/>
      </c>
      <c r="E401" s="21" t="str">
        <f aca="false">IF(D401="","",IFERROR(INDEX(Tables!$D:$D,MATCH(D401,Tables!$A:$A,0)),""))</f>
        <v/>
      </c>
      <c r="F401" s="20"/>
      <c r="G401" s="20"/>
      <c r="H401" s="20"/>
      <c r="I401" s="20"/>
      <c r="J401" s="20"/>
      <c r="K401" s="20"/>
    </row>
    <row r="402" customFormat="false" ht="15" hidden="false" customHeight="false" outlineLevel="0" collapsed="false">
      <c r="A402" s="20"/>
      <c r="B402" s="18" t="str">
        <f aca="false">IF(A402="","",IFERROR(INDEX(Products!$A:$A,MATCH(A402,Products!$B:$B,0)),"Not found"))</f>
        <v/>
      </c>
      <c r="C402" s="20"/>
      <c r="D402" s="18" t="str">
        <f aca="false">IF(C402="","",IFERROR(INDEX(Tables!$A:$A,MATCH(C402,Tables!$B:$B,0)),"Not found"))</f>
        <v/>
      </c>
      <c r="E402" s="21" t="str">
        <f aca="false">IF(D402="","",IFERROR(INDEX(Tables!$D:$D,MATCH(D402,Tables!$A:$A,0)),""))</f>
        <v/>
      </c>
      <c r="F402" s="20"/>
      <c r="G402" s="20"/>
      <c r="H402" s="20"/>
      <c r="I402" s="20"/>
      <c r="J402" s="20"/>
      <c r="K402" s="20"/>
    </row>
    <row r="403" customFormat="false" ht="15" hidden="false" customHeight="false" outlineLevel="0" collapsed="false">
      <c r="A403" s="20"/>
      <c r="B403" s="18" t="str">
        <f aca="false">IF(A403="","",IFERROR(INDEX(Products!$A:$A,MATCH(A403,Products!$B:$B,0)),"Not found"))</f>
        <v/>
      </c>
      <c r="C403" s="20"/>
      <c r="D403" s="18" t="str">
        <f aca="false">IF(C403="","",IFERROR(INDEX(Tables!$A:$A,MATCH(C403,Tables!$B:$B,0)),"Not found"))</f>
        <v/>
      </c>
      <c r="E403" s="21" t="str">
        <f aca="false">IF(D403="","",IFERROR(INDEX(Tables!$D:$D,MATCH(D403,Tables!$A:$A,0)),""))</f>
        <v/>
      </c>
      <c r="F403" s="20"/>
      <c r="G403" s="20"/>
      <c r="H403" s="20"/>
      <c r="I403" s="20"/>
      <c r="J403" s="20"/>
      <c r="K403" s="20"/>
    </row>
    <row r="404" customFormat="false" ht="15" hidden="false" customHeight="false" outlineLevel="0" collapsed="false">
      <c r="A404" s="20"/>
      <c r="B404" s="18" t="str">
        <f aca="false">IF(A404="","",IFERROR(INDEX(Products!$A:$A,MATCH(A404,Products!$B:$B,0)),"Not found"))</f>
        <v/>
      </c>
      <c r="C404" s="20"/>
      <c r="D404" s="18" t="str">
        <f aca="false">IF(C404="","",IFERROR(INDEX(Tables!$A:$A,MATCH(C404,Tables!$B:$B,0)),"Not found"))</f>
        <v/>
      </c>
      <c r="E404" s="21" t="str">
        <f aca="false">IF(D404="","",IFERROR(INDEX(Tables!$D:$D,MATCH(D404,Tables!$A:$A,0)),""))</f>
        <v/>
      </c>
      <c r="F404" s="20"/>
      <c r="G404" s="20"/>
      <c r="H404" s="20"/>
      <c r="I404" s="20"/>
      <c r="J404" s="20"/>
      <c r="K404" s="20"/>
    </row>
    <row r="405" customFormat="false" ht="15" hidden="false" customHeight="false" outlineLevel="0" collapsed="false">
      <c r="A405" s="20"/>
      <c r="B405" s="18" t="str">
        <f aca="false">IF(A405="","",IFERROR(INDEX(Products!$A:$A,MATCH(A405,Products!$B:$B,0)),"Not found"))</f>
        <v/>
      </c>
      <c r="C405" s="20"/>
      <c r="D405" s="18" t="str">
        <f aca="false">IF(C405="","",IFERROR(INDEX(Tables!$A:$A,MATCH(C405,Tables!$B:$B,0)),"Not found"))</f>
        <v/>
      </c>
      <c r="E405" s="21" t="str">
        <f aca="false">IF(D405="","",IFERROR(INDEX(Tables!$D:$D,MATCH(D405,Tables!$A:$A,0)),""))</f>
        <v/>
      </c>
      <c r="F405" s="20"/>
      <c r="G405" s="20"/>
      <c r="H405" s="20"/>
      <c r="I405" s="20"/>
      <c r="J405" s="20"/>
      <c r="K405" s="20"/>
    </row>
    <row r="406" customFormat="false" ht="15" hidden="false" customHeight="false" outlineLevel="0" collapsed="false">
      <c r="A406" s="20"/>
      <c r="B406" s="18" t="str">
        <f aca="false">IF(A406="","",IFERROR(INDEX(Products!$A:$A,MATCH(A406,Products!$B:$B,0)),"Not found"))</f>
        <v/>
      </c>
      <c r="C406" s="20"/>
      <c r="D406" s="18" t="str">
        <f aca="false">IF(C406="","",IFERROR(INDEX(Tables!$A:$A,MATCH(C406,Tables!$B:$B,0)),"Not found"))</f>
        <v/>
      </c>
      <c r="E406" s="21" t="str">
        <f aca="false">IF(D406="","",IFERROR(INDEX(Tables!$D:$D,MATCH(D406,Tables!$A:$A,0)),""))</f>
        <v/>
      </c>
      <c r="F406" s="20"/>
      <c r="G406" s="20"/>
      <c r="H406" s="20"/>
      <c r="I406" s="20"/>
      <c r="J406" s="20"/>
      <c r="K406" s="20"/>
    </row>
    <row r="407" customFormat="false" ht="15" hidden="false" customHeight="false" outlineLevel="0" collapsed="false">
      <c r="A407" s="20"/>
      <c r="B407" s="18" t="str">
        <f aca="false">IF(A407="","",IFERROR(INDEX(Products!$A:$A,MATCH(A407,Products!$B:$B,0)),"Not found"))</f>
        <v/>
      </c>
      <c r="C407" s="20"/>
      <c r="D407" s="18" t="str">
        <f aca="false">IF(C407="","",IFERROR(INDEX(Tables!$A:$A,MATCH(C407,Tables!$B:$B,0)),"Not found"))</f>
        <v/>
      </c>
      <c r="E407" s="21" t="str">
        <f aca="false">IF(D407="","",IFERROR(INDEX(Tables!$D:$D,MATCH(D407,Tables!$A:$A,0)),""))</f>
        <v/>
      </c>
      <c r="F407" s="20"/>
      <c r="G407" s="20"/>
      <c r="H407" s="20"/>
      <c r="I407" s="20"/>
      <c r="J407" s="20"/>
      <c r="K407" s="20"/>
    </row>
    <row r="408" customFormat="false" ht="15" hidden="false" customHeight="false" outlineLevel="0" collapsed="false">
      <c r="A408" s="20"/>
      <c r="B408" s="18" t="str">
        <f aca="false">IF(A408="","",IFERROR(INDEX(Products!$A:$A,MATCH(A408,Products!$B:$B,0)),"Not found"))</f>
        <v/>
      </c>
      <c r="C408" s="20"/>
      <c r="D408" s="18" t="str">
        <f aca="false">IF(C408="","",IFERROR(INDEX(Tables!$A:$A,MATCH(C408,Tables!$B:$B,0)),"Not found"))</f>
        <v/>
      </c>
      <c r="E408" s="21" t="str">
        <f aca="false">IF(D408="","",IFERROR(INDEX(Tables!$D:$D,MATCH(D408,Tables!$A:$A,0)),""))</f>
        <v/>
      </c>
      <c r="F408" s="20"/>
      <c r="G408" s="20"/>
      <c r="H408" s="20"/>
      <c r="I408" s="20"/>
      <c r="J408" s="20"/>
      <c r="K408" s="20"/>
    </row>
    <row r="409" customFormat="false" ht="15" hidden="false" customHeight="false" outlineLevel="0" collapsed="false">
      <c r="A409" s="20"/>
      <c r="B409" s="18" t="str">
        <f aca="false">IF(A409="","",IFERROR(INDEX(Products!$A:$A,MATCH(A409,Products!$B:$B,0)),"Not found"))</f>
        <v/>
      </c>
      <c r="C409" s="20"/>
      <c r="D409" s="18" t="str">
        <f aca="false">IF(C409="","",IFERROR(INDEX(Tables!$A:$A,MATCH(C409,Tables!$B:$B,0)),"Not found"))</f>
        <v/>
      </c>
      <c r="E409" s="21" t="str">
        <f aca="false">IF(D409="","",IFERROR(INDEX(Tables!$D:$D,MATCH(D409,Tables!$A:$A,0)),""))</f>
        <v/>
      </c>
      <c r="F409" s="20"/>
      <c r="G409" s="20"/>
      <c r="H409" s="20"/>
      <c r="I409" s="20"/>
      <c r="J409" s="20"/>
      <c r="K409" s="20"/>
    </row>
    <row r="410" customFormat="false" ht="15" hidden="false" customHeight="false" outlineLevel="0" collapsed="false">
      <c r="A410" s="20"/>
      <c r="B410" s="18" t="str">
        <f aca="false">IF(A410="","",IFERROR(INDEX(Products!$A:$A,MATCH(A410,Products!$B:$B,0)),"Not found"))</f>
        <v/>
      </c>
      <c r="C410" s="20"/>
      <c r="D410" s="18" t="str">
        <f aca="false">IF(C410="","",IFERROR(INDEX(Tables!$A:$A,MATCH(C410,Tables!$B:$B,0)),"Not found"))</f>
        <v/>
      </c>
      <c r="E410" s="21" t="str">
        <f aca="false">IF(D410="","",IFERROR(INDEX(Tables!$D:$D,MATCH(D410,Tables!$A:$A,0)),""))</f>
        <v/>
      </c>
      <c r="F410" s="20"/>
      <c r="G410" s="20"/>
      <c r="H410" s="20"/>
      <c r="I410" s="20"/>
      <c r="J410" s="20"/>
      <c r="K410" s="20"/>
    </row>
    <row r="411" customFormat="false" ht="15" hidden="false" customHeight="false" outlineLevel="0" collapsed="false">
      <c r="A411" s="20"/>
      <c r="B411" s="18" t="str">
        <f aca="false">IF(A411="","",IFERROR(INDEX(Products!$A:$A,MATCH(A411,Products!$B:$B,0)),"Not found"))</f>
        <v/>
      </c>
      <c r="C411" s="20"/>
      <c r="D411" s="18" t="str">
        <f aca="false">IF(C411="","",IFERROR(INDEX(Tables!$A:$A,MATCH(C411,Tables!$B:$B,0)),"Not found"))</f>
        <v/>
      </c>
      <c r="E411" s="21" t="str">
        <f aca="false">IF(D411="","",IFERROR(INDEX(Tables!$D:$D,MATCH(D411,Tables!$A:$A,0)),""))</f>
        <v/>
      </c>
      <c r="F411" s="20"/>
      <c r="G411" s="20"/>
      <c r="H411" s="20"/>
      <c r="I411" s="20"/>
      <c r="J411" s="20"/>
      <c r="K411" s="20"/>
    </row>
    <row r="412" customFormat="false" ht="15" hidden="false" customHeight="false" outlineLevel="0" collapsed="false">
      <c r="A412" s="20"/>
      <c r="B412" s="18" t="str">
        <f aca="false">IF(A412="","",IFERROR(INDEX(Products!$A:$A,MATCH(A412,Products!$B:$B,0)),"Not found"))</f>
        <v/>
      </c>
      <c r="C412" s="20"/>
      <c r="D412" s="18" t="str">
        <f aca="false">IF(C412="","",IFERROR(INDEX(Tables!$A:$A,MATCH(C412,Tables!$B:$B,0)),"Not found"))</f>
        <v/>
      </c>
      <c r="E412" s="21" t="str">
        <f aca="false">IF(D412="","",IFERROR(INDEX(Tables!$D:$D,MATCH(D412,Tables!$A:$A,0)),""))</f>
        <v/>
      </c>
      <c r="F412" s="20"/>
      <c r="G412" s="20"/>
      <c r="H412" s="20"/>
      <c r="I412" s="20"/>
      <c r="J412" s="20"/>
      <c r="K412" s="20"/>
    </row>
    <row r="413" customFormat="false" ht="15" hidden="false" customHeight="false" outlineLevel="0" collapsed="false">
      <c r="A413" s="20"/>
      <c r="B413" s="18" t="str">
        <f aca="false">IF(A413="","",IFERROR(INDEX(Products!$A:$A,MATCH(A413,Products!$B:$B,0)),"Not found"))</f>
        <v/>
      </c>
      <c r="C413" s="20"/>
      <c r="D413" s="18" t="str">
        <f aca="false">IF(C413="","",IFERROR(INDEX(Tables!$A:$A,MATCH(C413,Tables!$B:$B,0)),"Not found"))</f>
        <v/>
      </c>
      <c r="E413" s="21" t="str">
        <f aca="false">IF(D413="","",IFERROR(INDEX(Tables!$D:$D,MATCH(D413,Tables!$A:$A,0)),""))</f>
        <v/>
      </c>
      <c r="F413" s="20"/>
      <c r="G413" s="20"/>
      <c r="H413" s="20"/>
      <c r="I413" s="20"/>
      <c r="J413" s="20"/>
      <c r="K413" s="20"/>
    </row>
    <row r="414" customFormat="false" ht="15" hidden="false" customHeight="false" outlineLevel="0" collapsed="false">
      <c r="A414" s="20"/>
      <c r="B414" s="18" t="str">
        <f aca="false">IF(A414="","",IFERROR(INDEX(Products!$A:$A,MATCH(A414,Products!$B:$B,0)),"Not found"))</f>
        <v/>
      </c>
      <c r="C414" s="20"/>
      <c r="D414" s="18" t="str">
        <f aca="false">IF(C414="","",IFERROR(INDEX(Tables!$A:$A,MATCH(C414,Tables!$B:$B,0)),"Not found"))</f>
        <v/>
      </c>
      <c r="E414" s="21" t="str">
        <f aca="false">IF(D414="","",IFERROR(INDEX(Tables!$D:$D,MATCH(D414,Tables!$A:$A,0)),""))</f>
        <v/>
      </c>
      <c r="F414" s="20"/>
      <c r="G414" s="20"/>
      <c r="H414" s="20"/>
      <c r="I414" s="20"/>
      <c r="J414" s="20"/>
      <c r="K414" s="20"/>
    </row>
    <row r="415" customFormat="false" ht="15" hidden="false" customHeight="false" outlineLevel="0" collapsed="false">
      <c r="A415" s="20"/>
      <c r="B415" s="18" t="str">
        <f aca="false">IF(A415="","",IFERROR(INDEX(Products!$A:$A,MATCH(A415,Products!$B:$B,0)),"Not found"))</f>
        <v/>
      </c>
      <c r="C415" s="20"/>
      <c r="D415" s="18" t="str">
        <f aca="false">IF(C415="","",IFERROR(INDEX(Tables!$A:$A,MATCH(C415,Tables!$B:$B,0)),"Not found"))</f>
        <v/>
      </c>
      <c r="E415" s="21" t="str">
        <f aca="false">IF(D415="","",IFERROR(INDEX(Tables!$D:$D,MATCH(D415,Tables!$A:$A,0)),""))</f>
        <v/>
      </c>
      <c r="F415" s="20"/>
      <c r="G415" s="20"/>
      <c r="H415" s="20"/>
      <c r="I415" s="20"/>
      <c r="J415" s="20"/>
      <c r="K415" s="20"/>
    </row>
    <row r="416" customFormat="false" ht="15" hidden="false" customHeight="false" outlineLevel="0" collapsed="false">
      <c r="A416" s="20"/>
      <c r="B416" s="18" t="str">
        <f aca="false">IF(A416="","",IFERROR(INDEX(Products!$A:$A,MATCH(A416,Products!$B:$B,0)),"Not found"))</f>
        <v/>
      </c>
      <c r="C416" s="20"/>
      <c r="D416" s="18" t="str">
        <f aca="false">IF(C416="","",IFERROR(INDEX(Tables!$A:$A,MATCH(C416,Tables!$B:$B,0)),"Not found"))</f>
        <v/>
      </c>
      <c r="E416" s="21" t="str">
        <f aca="false">IF(D416="","",IFERROR(INDEX(Tables!$D:$D,MATCH(D416,Tables!$A:$A,0)),""))</f>
        <v/>
      </c>
      <c r="F416" s="20"/>
      <c r="G416" s="20"/>
      <c r="H416" s="20"/>
      <c r="I416" s="20"/>
      <c r="J416" s="20"/>
      <c r="K416" s="20"/>
    </row>
    <row r="417" customFormat="false" ht="15" hidden="false" customHeight="false" outlineLevel="0" collapsed="false">
      <c r="A417" s="20"/>
      <c r="B417" s="18" t="str">
        <f aca="false">IF(A417="","",IFERROR(INDEX(Products!$A:$A,MATCH(A417,Products!$B:$B,0)),"Not found"))</f>
        <v/>
      </c>
      <c r="C417" s="20"/>
      <c r="D417" s="18" t="str">
        <f aca="false">IF(C417="","",IFERROR(INDEX(Tables!$A:$A,MATCH(C417,Tables!$B:$B,0)),"Not found"))</f>
        <v/>
      </c>
      <c r="E417" s="21" t="str">
        <f aca="false">IF(D417="","",IFERROR(INDEX(Tables!$D:$D,MATCH(D417,Tables!$A:$A,0)),""))</f>
        <v/>
      </c>
      <c r="F417" s="20"/>
      <c r="G417" s="20"/>
      <c r="H417" s="20"/>
      <c r="I417" s="20"/>
      <c r="J417" s="20"/>
      <c r="K417" s="20"/>
    </row>
    <row r="418" customFormat="false" ht="15" hidden="false" customHeight="false" outlineLevel="0" collapsed="false">
      <c r="A418" s="20"/>
      <c r="B418" s="18" t="str">
        <f aca="false">IF(A418="","",IFERROR(INDEX(Products!$A:$A,MATCH(A418,Products!$B:$B,0)),"Not found"))</f>
        <v/>
      </c>
      <c r="C418" s="20"/>
      <c r="D418" s="18" t="str">
        <f aca="false">IF(C418="","",IFERROR(INDEX(Tables!$A:$A,MATCH(C418,Tables!$B:$B,0)),"Not found"))</f>
        <v/>
      </c>
      <c r="E418" s="21" t="str">
        <f aca="false">IF(D418="","",IFERROR(INDEX(Tables!$D:$D,MATCH(D418,Tables!$A:$A,0)),""))</f>
        <v/>
      </c>
      <c r="F418" s="20"/>
      <c r="G418" s="20"/>
      <c r="H418" s="20"/>
      <c r="I418" s="20"/>
      <c r="J418" s="20"/>
      <c r="K418" s="20"/>
    </row>
    <row r="419" customFormat="false" ht="15" hidden="false" customHeight="false" outlineLevel="0" collapsed="false">
      <c r="A419" s="20"/>
      <c r="B419" s="18" t="str">
        <f aca="false">IF(A419="","",IFERROR(INDEX(Products!$A:$A,MATCH(A419,Products!$B:$B,0)),"Not found"))</f>
        <v/>
      </c>
      <c r="C419" s="20"/>
      <c r="D419" s="18" t="str">
        <f aca="false">IF(C419="","",IFERROR(INDEX(Tables!$A:$A,MATCH(C419,Tables!$B:$B,0)),"Not found"))</f>
        <v/>
      </c>
      <c r="E419" s="21" t="str">
        <f aca="false">IF(D419="","",IFERROR(INDEX(Tables!$D:$D,MATCH(D419,Tables!$A:$A,0)),""))</f>
        <v/>
      </c>
      <c r="F419" s="20"/>
      <c r="G419" s="20"/>
      <c r="H419" s="20"/>
      <c r="I419" s="20"/>
      <c r="J419" s="20"/>
      <c r="K419" s="20"/>
    </row>
    <row r="420" customFormat="false" ht="15" hidden="false" customHeight="false" outlineLevel="0" collapsed="false">
      <c r="A420" s="20"/>
      <c r="B420" s="18" t="str">
        <f aca="false">IF(A420="","",IFERROR(INDEX(Products!$A:$A,MATCH(A420,Products!$B:$B,0)),"Not found"))</f>
        <v/>
      </c>
      <c r="C420" s="20"/>
      <c r="D420" s="18" t="str">
        <f aca="false">IF(C420="","",IFERROR(INDEX(Tables!$A:$A,MATCH(C420,Tables!$B:$B,0)),"Not found"))</f>
        <v/>
      </c>
      <c r="E420" s="21" t="str">
        <f aca="false">IF(D420="","",IFERROR(INDEX(Tables!$D:$D,MATCH(D420,Tables!$A:$A,0)),""))</f>
        <v/>
      </c>
      <c r="F420" s="20"/>
      <c r="G420" s="20"/>
      <c r="H420" s="20"/>
      <c r="I420" s="20"/>
      <c r="J420" s="20"/>
      <c r="K420" s="20"/>
    </row>
    <row r="421" customFormat="false" ht="15" hidden="false" customHeight="false" outlineLevel="0" collapsed="false">
      <c r="A421" s="20"/>
      <c r="B421" s="18" t="str">
        <f aca="false">IF(A421="","",IFERROR(INDEX(Products!$A:$A,MATCH(A421,Products!$B:$B,0)),"Not found"))</f>
        <v/>
      </c>
      <c r="C421" s="20"/>
      <c r="D421" s="18" t="str">
        <f aca="false">IF(C421="","",IFERROR(INDEX(Tables!$A:$A,MATCH(C421,Tables!$B:$B,0)),"Not found"))</f>
        <v/>
      </c>
      <c r="E421" s="21" t="str">
        <f aca="false">IF(D421="","",IFERROR(INDEX(Tables!$D:$D,MATCH(D421,Tables!$A:$A,0)),""))</f>
        <v/>
      </c>
      <c r="F421" s="20"/>
      <c r="G421" s="20"/>
      <c r="H421" s="20"/>
      <c r="I421" s="20"/>
      <c r="J421" s="20"/>
      <c r="K421" s="20"/>
    </row>
    <row r="422" customFormat="false" ht="15" hidden="false" customHeight="false" outlineLevel="0" collapsed="false">
      <c r="A422" s="20"/>
      <c r="B422" s="18" t="str">
        <f aca="false">IF(A422="","",IFERROR(INDEX(Products!$A:$A,MATCH(A422,Products!$B:$B,0)),"Not found"))</f>
        <v/>
      </c>
      <c r="C422" s="20"/>
      <c r="D422" s="18" t="str">
        <f aca="false">IF(C422="","",IFERROR(INDEX(Tables!$A:$A,MATCH(C422,Tables!$B:$B,0)),"Not found"))</f>
        <v/>
      </c>
      <c r="E422" s="21" t="str">
        <f aca="false">IF(D422="","",IFERROR(INDEX(Tables!$D:$D,MATCH(D422,Tables!$A:$A,0)),""))</f>
        <v/>
      </c>
      <c r="F422" s="20"/>
      <c r="G422" s="20"/>
      <c r="H422" s="20"/>
      <c r="I422" s="20"/>
      <c r="J422" s="20"/>
      <c r="K422" s="20"/>
    </row>
    <row r="423" customFormat="false" ht="15" hidden="false" customHeight="false" outlineLevel="0" collapsed="false">
      <c r="A423" s="20"/>
      <c r="B423" s="18" t="str">
        <f aca="false">IF(A423="","",IFERROR(INDEX(Products!$A:$A,MATCH(A423,Products!$B:$B,0)),"Not found"))</f>
        <v/>
      </c>
      <c r="C423" s="20"/>
      <c r="D423" s="18" t="str">
        <f aca="false">IF(C423="","",IFERROR(INDEX(Tables!$A:$A,MATCH(C423,Tables!$B:$B,0)),"Not found"))</f>
        <v/>
      </c>
      <c r="E423" s="21" t="str">
        <f aca="false">IF(D423="","",IFERROR(INDEX(Tables!$D:$D,MATCH(D423,Tables!$A:$A,0)),""))</f>
        <v/>
      </c>
      <c r="F423" s="20"/>
      <c r="G423" s="20"/>
      <c r="H423" s="20"/>
      <c r="I423" s="20"/>
      <c r="J423" s="20"/>
      <c r="K423" s="20"/>
    </row>
    <row r="424" customFormat="false" ht="15" hidden="false" customHeight="false" outlineLevel="0" collapsed="false">
      <c r="A424" s="20"/>
      <c r="B424" s="18" t="str">
        <f aca="false">IF(A424="","",IFERROR(INDEX(Products!$A:$A,MATCH(A424,Products!$B:$B,0)),"Not found"))</f>
        <v/>
      </c>
      <c r="C424" s="20"/>
      <c r="D424" s="18" t="str">
        <f aca="false">IF(C424="","",IFERROR(INDEX(Tables!$A:$A,MATCH(C424,Tables!$B:$B,0)),"Not found"))</f>
        <v/>
      </c>
      <c r="E424" s="21" t="str">
        <f aca="false">IF(D424="","",IFERROR(INDEX(Tables!$D:$D,MATCH(D424,Tables!$A:$A,0)),""))</f>
        <v/>
      </c>
      <c r="F424" s="20"/>
      <c r="G424" s="20"/>
      <c r="H424" s="20"/>
      <c r="I424" s="20"/>
      <c r="J424" s="20"/>
      <c r="K424" s="20"/>
    </row>
    <row r="425" customFormat="false" ht="15" hidden="false" customHeight="false" outlineLevel="0" collapsed="false">
      <c r="A425" s="20"/>
      <c r="B425" s="18" t="str">
        <f aca="false">IF(A425="","",IFERROR(INDEX(Products!$A:$A,MATCH(A425,Products!$B:$B,0)),"Not found"))</f>
        <v/>
      </c>
      <c r="C425" s="20"/>
      <c r="D425" s="18" t="str">
        <f aca="false">IF(C425="","",IFERROR(INDEX(Tables!$A:$A,MATCH(C425,Tables!$B:$B,0)),"Not found"))</f>
        <v/>
      </c>
      <c r="E425" s="21" t="str">
        <f aca="false">IF(D425="","",IFERROR(INDEX(Tables!$D:$D,MATCH(D425,Tables!$A:$A,0)),""))</f>
        <v/>
      </c>
      <c r="F425" s="20"/>
      <c r="G425" s="20"/>
      <c r="H425" s="20"/>
      <c r="I425" s="20"/>
      <c r="J425" s="20"/>
      <c r="K425" s="20"/>
    </row>
    <row r="426" customFormat="false" ht="15" hidden="false" customHeight="false" outlineLevel="0" collapsed="false">
      <c r="A426" s="20"/>
      <c r="B426" s="18" t="str">
        <f aca="false">IF(A426="","",IFERROR(INDEX(Products!$A:$A,MATCH(A426,Products!$B:$B,0)),"Not found"))</f>
        <v/>
      </c>
      <c r="C426" s="20"/>
      <c r="D426" s="18" t="str">
        <f aca="false">IF(C426="","",IFERROR(INDEX(Tables!$A:$A,MATCH(C426,Tables!$B:$B,0)),"Not found"))</f>
        <v/>
      </c>
      <c r="E426" s="21" t="str">
        <f aca="false">IF(D426="","",IFERROR(INDEX(Tables!$D:$D,MATCH(D426,Tables!$A:$A,0)),""))</f>
        <v/>
      </c>
      <c r="F426" s="20"/>
      <c r="G426" s="20"/>
      <c r="H426" s="20"/>
      <c r="I426" s="20"/>
      <c r="J426" s="20"/>
      <c r="K426" s="20"/>
    </row>
    <row r="427" customFormat="false" ht="15" hidden="false" customHeight="false" outlineLevel="0" collapsed="false">
      <c r="A427" s="20"/>
      <c r="B427" s="18" t="str">
        <f aca="false">IF(A427="","",IFERROR(INDEX(Products!$A:$A,MATCH(A427,Products!$B:$B,0)),"Not found"))</f>
        <v/>
      </c>
      <c r="C427" s="20"/>
      <c r="D427" s="18" t="str">
        <f aca="false">IF(C427="","",IFERROR(INDEX(Tables!$A:$A,MATCH(C427,Tables!$B:$B,0)),"Not found"))</f>
        <v/>
      </c>
      <c r="E427" s="21" t="str">
        <f aca="false">IF(D427="","",IFERROR(INDEX(Tables!$D:$D,MATCH(D427,Tables!$A:$A,0)),""))</f>
        <v/>
      </c>
      <c r="F427" s="20"/>
      <c r="G427" s="20"/>
      <c r="H427" s="20"/>
      <c r="I427" s="20"/>
      <c r="J427" s="20"/>
      <c r="K427" s="20"/>
    </row>
    <row r="428" customFormat="false" ht="15" hidden="false" customHeight="false" outlineLevel="0" collapsed="false">
      <c r="A428" s="20"/>
      <c r="B428" s="18" t="str">
        <f aca="false">IF(A428="","",IFERROR(INDEX(Products!$A:$A,MATCH(A428,Products!$B:$B,0)),"Not found"))</f>
        <v/>
      </c>
      <c r="C428" s="20"/>
      <c r="D428" s="18" t="str">
        <f aca="false">IF(C428="","",IFERROR(INDEX(Tables!$A:$A,MATCH(C428,Tables!$B:$B,0)),"Not found"))</f>
        <v/>
      </c>
      <c r="E428" s="21" t="str">
        <f aca="false">IF(D428="","",IFERROR(INDEX(Tables!$D:$D,MATCH(D428,Tables!$A:$A,0)),""))</f>
        <v/>
      </c>
      <c r="F428" s="20"/>
      <c r="G428" s="20"/>
      <c r="H428" s="20"/>
      <c r="I428" s="20"/>
      <c r="J428" s="20"/>
      <c r="K428" s="20"/>
    </row>
    <row r="429" customFormat="false" ht="15" hidden="false" customHeight="false" outlineLevel="0" collapsed="false">
      <c r="A429" s="20"/>
      <c r="B429" s="18" t="str">
        <f aca="false">IF(A429="","",IFERROR(INDEX(Products!$A:$A,MATCH(A429,Products!$B:$B,0)),"Not found"))</f>
        <v/>
      </c>
      <c r="C429" s="20"/>
      <c r="D429" s="18" t="str">
        <f aca="false">IF(C429="","",IFERROR(INDEX(Tables!$A:$A,MATCH(C429,Tables!$B:$B,0)),"Not found"))</f>
        <v/>
      </c>
      <c r="E429" s="21" t="str">
        <f aca="false">IF(D429="","",IFERROR(INDEX(Tables!$D:$D,MATCH(D429,Tables!$A:$A,0)),""))</f>
        <v/>
      </c>
      <c r="F429" s="20"/>
      <c r="G429" s="20"/>
      <c r="H429" s="20"/>
      <c r="I429" s="20"/>
      <c r="J429" s="20"/>
      <c r="K429" s="20"/>
    </row>
    <row r="430" customFormat="false" ht="15" hidden="false" customHeight="false" outlineLevel="0" collapsed="false">
      <c r="A430" s="20"/>
      <c r="B430" s="18" t="str">
        <f aca="false">IF(A430="","",IFERROR(INDEX(Products!$A:$A,MATCH(A430,Products!$B:$B,0)),"Not found"))</f>
        <v/>
      </c>
      <c r="C430" s="20"/>
      <c r="D430" s="18" t="str">
        <f aca="false">IF(C430="","",IFERROR(INDEX(Tables!$A:$A,MATCH(C430,Tables!$B:$B,0)),"Not found"))</f>
        <v/>
      </c>
      <c r="E430" s="21" t="str">
        <f aca="false">IF(D430="","",IFERROR(INDEX(Tables!$D:$D,MATCH(D430,Tables!$A:$A,0)),""))</f>
        <v/>
      </c>
      <c r="F430" s="20"/>
      <c r="G430" s="20"/>
      <c r="H430" s="20"/>
      <c r="I430" s="20"/>
      <c r="J430" s="20"/>
      <c r="K430" s="20"/>
    </row>
    <row r="431" customFormat="false" ht="15" hidden="false" customHeight="false" outlineLevel="0" collapsed="false">
      <c r="A431" s="20"/>
      <c r="B431" s="18" t="str">
        <f aca="false">IF(A431="","",IFERROR(INDEX(Products!$A:$A,MATCH(A431,Products!$B:$B,0)),"Not found"))</f>
        <v/>
      </c>
      <c r="C431" s="20"/>
      <c r="D431" s="18" t="str">
        <f aca="false">IF(C431="","",IFERROR(INDEX(Tables!$A:$A,MATCH(C431,Tables!$B:$B,0)),"Not found"))</f>
        <v/>
      </c>
      <c r="E431" s="21" t="str">
        <f aca="false">IF(D431="","",IFERROR(INDEX(Tables!$D:$D,MATCH(D431,Tables!$A:$A,0)),""))</f>
        <v/>
      </c>
      <c r="F431" s="20"/>
      <c r="G431" s="20"/>
      <c r="H431" s="20"/>
      <c r="I431" s="20"/>
      <c r="J431" s="20"/>
      <c r="K431" s="20"/>
    </row>
    <row r="432" customFormat="false" ht="15" hidden="false" customHeight="false" outlineLevel="0" collapsed="false">
      <c r="A432" s="20"/>
      <c r="B432" s="18" t="str">
        <f aca="false">IF(A432="","",IFERROR(INDEX(Products!$A:$A,MATCH(A432,Products!$B:$B,0)),"Not found"))</f>
        <v/>
      </c>
      <c r="C432" s="20"/>
      <c r="D432" s="18" t="str">
        <f aca="false">IF(C432="","",IFERROR(INDEX(Tables!$A:$A,MATCH(C432,Tables!$B:$B,0)),"Not found"))</f>
        <v/>
      </c>
      <c r="E432" s="21" t="str">
        <f aca="false">IF(D432="","",IFERROR(INDEX(Tables!$D:$D,MATCH(D432,Tables!$A:$A,0)),""))</f>
        <v/>
      </c>
      <c r="F432" s="20"/>
      <c r="G432" s="20"/>
      <c r="H432" s="20"/>
      <c r="I432" s="20"/>
      <c r="J432" s="20"/>
      <c r="K432" s="20"/>
    </row>
    <row r="433" customFormat="false" ht="15" hidden="false" customHeight="false" outlineLevel="0" collapsed="false">
      <c r="A433" s="20"/>
      <c r="B433" s="18" t="str">
        <f aca="false">IF(A433="","",IFERROR(INDEX(Products!$A:$A,MATCH(A433,Products!$B:$B,0)),"Not found"))</f>
        <v/>
      </c>
      <c r="C433" s="20"/>
      <c r="D433" s="18" t="str">
        <f aca="false">IF(C433="","",IFERROR(INDEX(Tables!$A:$A,MATCH(C433,Tables!$B:$B,0)),"Not found"))</f>
        <v/>
      </c>
      <c r="E433" s="21" t="str">
        <f aca="false">IF(D433="","",IFERROR(INDEX(Tables!$D:$D,MATCH(D433,Tables!$A:$A,0)),""))</f>
        <v/>
      </c>
      <c r="F433" s="20"/>
      <c r="G433" s="20"/>
      <c r="H433" s="20"/>
      <c r="I433" s="20"/>
      <c r="J433" s="20"/>
      <c r="K433" s="20"/>
    </row>
    <row r="434" customFormat="false" ht="15" hidden="false" customHeight="false" outlineLevel="0" collapsed="false">
      <c r="A434" s="20"/>
      <c r="B434" s="18" t="str">
        <f aca="false">IF(A434="","",IFERROR(INDEX(Products!$A:$A,MATCH(A434,Products!$B:$B,0)),"Not found"))</f>
        <v/>
      </c>
      <c r="C434" s="20"/>
      <c r="D434" s="18" t="str">
        <f aca="false">IF(C434="","",IFERROR(INDEX(Tables!$A:$A,MATCH(C434,Tables!$B:$B,0)),"Not found"))</f>
        <v/>
      </c>
      <c r="E434" s="21" t="str">
        <f aca="false">IF(D434="","",IFERROR(INDEX(Tables!$D:$D,MATCH(D434,Tables!$A:$A,0)),""))</f>
        <v/>
      </c>
      <c r="F434" s="20"/>
      <c r="G434" s="20"/>
      <c r="H434" s="20"/>
      <c r="I434" s="20"/>
      <c r="J434" s="20"/>
      <c r="K434" s="20"/>
    </row>
    <row r="435" customFormat="false" ht="15" hidden="false" customHeight="false" outlineLevel="0" collapsed="false">
      <c r="A435" s="20"/>
      <c r="B435" s="18" t="str">
        <f aca="false">IF(A435="","",IFERROR(INDEX(Products!$A:$A,MATCH(A435,Products!$B:$B,0)),"Not found"))</f>
        <v/>
      </c>
      <c r="C435" s="20"/>
      <c r="D435" s="18" t="str">
        <f aca="false">IF(C435="","",IFERROR(INDEX(Tables!$A:$A,MATCH(C435,Tables!$B:$B,0)),"Not found"))</f>
        <v/>
      </c>
      <c r="E435" s="21" t="str">
        <f aca="false">IF(D435="","",IFERROR(INDEX(Tables!$D:$D,MATCH(D435,Tables!$A:$A,0)),""))</f>
        <v/>
      </c>
      <c r="F435" s="20"/>
      <c r="G435" s="20"/>
      <c r="H435" s="20"/>
      <c r="I435" s="20"/>
      <c r="J435" s="20"/>
      <c r="K435" s="20"/>
    </row>
    <row r="436" customFormat="false" ht="15" hidden="false" customHeight="false" outlineLevel="0" collapsed="false">
      <c r="A436" s="20"/>
      <c r="B436" s="18" t="str">
        <f aca="false">IF(A436="","",IFERROR(INDEX(Products!$A:$A,MATCH(A436,Products!$B:$B,0)),"Not found"))</f>
        <v/>
      </c>
      <c r="C436" s="20"/>
      <c r="D436" s="18" t="str">
        <f aca="false">IF(C436="","",IFERROR(INDEX(Tables!$A:$A,MATCH(C436,Tables!$B:$B,0)),"Not found"))</f>
        <v/>
      </c>
      <c r="E436" s="21" t="str">
        <f aca="false">IF(D436="","",IFERROR(INDEX(Tables!$D:$D,MATCH(D436,Tables!$A:$A,0)),""))</f>
        <v/>
      </c>
      <c r="F436" s="20"/>
      <c r="G436" s="20"/>
      <c r="H436" s="20"/>
      <c r="I436" s="20"/>
      <c r="J436" s="20"/>
      <c r="K436" s="20"/>
    </row>
    <row r="437" customFormat="false" ht="15" hidden="false" customHeight="false" outlineLevel="0" collapsed="false">
      <c r="A437" s="20"/>
      <c r="B437" s="18" t="str">
        <f aca="false">IF(A437="","",IFERROR(INDEX(Products!$A:$A,MATCH(A437,Products!$B:$B,0)),"Not found"))</f>
        <v/>
      </c>
      <c r="C437" s="20"/>
      <c r="D437" s="18" t="str">
        <f aca="false">IF(C437="","",IFERROR(INDEX(Tables!$A:$A,MATCH(C437,Tables!$B:$B,0)),"Not found"))</f>
        <v/>
      </c>
      <c r="E437" s="21" t="str">
        <f aca="false">IF(D437="","",IFERROR(INDEX(Tables!$D:$D,MATCH(D437,Tables!$A:$A,0)),""))</f>
        <v/>
      </c>
      <c r="F437" s="20"/>
      <c r="G437" s="20"/>
      <c r="H437" s="20"/>
      <c r="I437" s="20"/>
      <c r="J437" s="20"/>
      <c r="K437" s="20"/>
    </row>
    <row r="438" customFormat="false" ht="15" hidden="false" customHeight="false" outlineLevel="0" collapsed="false">
      <c r="A438" s="20"/>
      <c r="B438" s="18" t="str">
        <f aca="false">IF(A438="","",IFERROR(INDEX(Products!$A:$A,MATCH(A438,Products!$B:$B,0)),"Not found"))</f>
        <v/>
      </c>
      <c r="C438" s="20"/>
      <c r="D438" s="18" t="str">
        <f aca="false">IF(C438="","",IFERROR(INDEX(Tables!$A:$A,MATCH(C438,Tables!$B:$B,0)),"Not found"))</f>
        <v/>
      </c>
      <c r="E438" s="21" t="str">
        <f aca="false">IF(D438="","",IFERROR(INDEX(Tables!$D:$D,MATCH(D438,Tables!$A:$A,0)),""))</f>
        <v/>
      </c>
      <c r="F438" s="20"/>
      <c r="G438" s="20"/>
      <c r="H438" s="20"/>
      <c r="I438" s="20"/>
      <c r="J438" s="20"/>
      <c r="K438" s="20"/>
    </row>
    <row r="439" customFormat="false" ht="15" hidden="false" customHeight="false" outlineLevel="0" collapsed="false">
      <c r="A439" s="20"/>
      <c r="B439" s="18" t="str">
        <f aca="false">IF(A439="","",IFERROR(INDEX(Products!$A:$A,MATCH(A439,Products!$B:$B,0)),"Not found"))</f>
        <v/>
      </c>
      <c r="C439" s="20"/>
      <c r="D439" s="18" t="str">
        <f aca="false">IF(C439="","",IFERROR(INDEX(Tables!$A:$A,MATCH(C439,Tables!$B:$B,0)),"Not found"))</f>
        <v/>
      </c>
      <c r="E439" s="21" t="str">
        <f aca="false">IF(D439="","",IFERROR(INDEX(Tables!$D:$D,MATCH(D439,Tables!$A:$A,0)),""))</f>
        <v/>
      </c>
      <c r="F439" s="20"/>
      <c r="G439" s="20"/>
      <c r="H439" s="20"/>
      <c r="I439" s="20"/>
      <c r="J439" s="20"/>
      <c r="K439" s="20"/>
    </row>
    <row r="440" customFormat="false" ht="15" hidden="false" customHeight="false" outlineLevel="0" collapsed="false">
      <c r="A440" s="20"/>
      <c r="B440" s="18" t="str">
        <f aca="false">IF(A440="","",IFERROR(INDEX(Products!$A:$A,MATCH(A440,Products!$B:$B,0)),"Not found"))</f>
        <v/>
      </c>
      <c r="C440" s="20"/>
      <c r="D440" s="18" t="str">
        <f aca="false">IF(C440="","",IFERROR(INDEX(Tables!$A:$A,MATCH(C440,Tables!$B:$B,0)),"Not found"))</f>
        <v/>
      </c>
      <c r="E440" s="21" t="str">
        <f aca="false">IF(D440="","",IFERROR(INDEX(Tables!$D:$D,MATCH(D440,Tables!$A:$A,0)),""))</f>
        <v/>
      </c>
      <c r="F440" s="20"/>
      <c r="G440" s="20"/>
      <c r="H440" s="20"/>
      <c r="I440" s="20"/>
      <c r="J440" s="20"/>
      <c r="K440" s="20"/>
    </row>
    <row r="441" customFormat="false" ht="15" hidden="false" customHeight="false" outlineLevel="0" collapsed="false">
      <c r="A441" s="20"/>
      <c r="B441" s="18" t="str">
        <f aca="false">IF(A441="","",IFERROR(INDEX(Products!$A:$A,MATCH(A441,Products!$B:$B,0)),"Not found"))</f>
        <v/>
      </c>
      <c r="C441" s="20"/>
      <c r="D441" s="18" t="str">
        <f aca="false">IF(C441="","",IFERROR(INDEX(Tables!$A:$A,MATCH(C441,Tables!$B:$B,0)),"Not found"))</f>
        <v/>
      </c>
      <c r="E441" s="21" t="str">
        <f aca="false">IF(D441="","",IFERROR(INDEX(Tables!$D:$D,MATCH(D441,Tables!$A:$A,0)),""))</f>
        <v/>
      </c>
      <c r="F441" s="20"/>
      <c r="G441" s="20"/>
      <c r="H441" s="20"/>
      <c r="I441" s="20"/>
      <c r="J441" s="20"/>
      <c r="K441" s="20"/>
    </row>
    <row r="442" customFormat="false" ht="15" hidden="false" customHeight="false" outlineLevel="0" collapsed="false">
      <c r="A442" s="20"/>
      <c r="B442" s="18" t="str">
        <f aca="false">IF(A442="","",IFERROR(INDEX(Products!$A:$A,MATCH(A442,Products!$B:$B,0)),"Not found"))</f>
        <v/>
      </c>
      <c r="C442" s="20"/>
      <c r="D442" s="18" t="str">
        <f aca="false">IF(C442="","",IFERROR(INDEX(Tables!$A:$A,MATCH(C442,Tables!$B:$B,0)),"Not found"))</f>
        <v/>
      </c>
      <c r="E442" s="21" t="str">
        <f aca="false">IF(D442="","",IFERROR(INDEX(Tables!$D:$D,MATCH(D442,Tables!$A:$A,0)),""))</f>
        <v/>
      </c>
      <c r="F442" s="20"/>
      <c r="G442" s="20"/>
      <c r="H442" s="20"/>
      <c r="I442" s="20"/>
      <c r="J442" s="20"/>
      <c r="K442" s="20"/>
    </row>
    <row r="443" customFormat="false" ht="15" hidden="false" customHeight="false" outlineLevel="0" collapsed="false">
      <c r="A443" s="20"/>
      <c r="B443" s="18" t="str">
        <f aca="false">IF(A443="","",IFERROR(INDEX(Products!$A:$A,MATCH(A443,Products!$B:$B,0)),"Not found"))</f>
        <v/>
      </c>
      <c r="C443" s="20"/>
      <c r="D443" s="18" t="str">
        <f aca="false">IF(C443="","",IFERROR(INDEX(Tables!$A:$A,MATCH(C443,Tables!$B:$B,0)),"Not found"))</f>
        <v/>
      </c>
      <c r="E443" s="21" t="str">
        <f aca="false">IF(D443="","",IFERROR(INDEX(Tables!$D:$D,MATCH(D443,Tables!$A:$A,0)),""))</f>
        <v/>
      </c>
      <c r="F443" s="20"/>
      <c r="G443" s="20"/>
      <c r="H443" s="20"/>
      <c r="I443" s="20"/>
      <c r="J443" s="20"/>
      <c r="K443" s="20"/>
    </row>
    <row r="444" customFormat="false" ht="15" hidden="false" customHeight="false" outlineLevel="0" collapsed="false">
      <c r="A444" s="20"/>
      <c r="B444" s="18" t="str">
        <f aca="false">IF(A444="","",IFERROR(INDEX(Products!$A:$A,MATCH(A444,Products!$B:$B,0)),"Not found"))</f>
        <v/>
      </c>
      <c r="C444" s="20"/>
      <c r="D444" s="18" t="str">
        <f aca="false">IF(C444="","",IFERROR(INDEX(Tables!$A:$A,MATCH(C444,Tables!$B:$B,0)),"Not found"))</f>
        <v/>
      </c>
      <c r="E444" s="21" t="str">
        <f aca="false">IF(D444="","",IFERROR(INDEX(Tables!$D:$D,MATCH(D444,Tables!$A:$A,0)),""))</f>
        <v/>
      </c>
      <c r="F444" s="20"/>
      <c r="G444" s="20"/>
      <c r="H444" s="20"/>
      <c r="I444" s="20"/>
      <c r="J444" s="20"/>
      <c r="K444" s="20"/>
    </row>
    <row r="445" customFormat="false" ht="15" hidden="false" customHeight="false" outlineLevel="0" collapsed="false">
      <c r="A445" s="20"/>
      <c r="B445" s="18" t="str">
        <f aca="false">IF(A445="","",IFERROR(INDEX(Products!$A:$A,MATCH(A445,Products!$B:$B,0)),"Not found"))</f>
        <v/>
      </c>
      <c r="C445" s="20"/>
      <c r="D445" s="18" t="str">
        <f aca="false">IF(C445="","",IFERROR(INDEX(Tables!$A:$A,MATCH(C445,Tables!$B:$B,0)),"Not found"))</f>
        <v/>
      </c>
      <c r="E445" s="21" t="str">
        <f aca="false">IF(D445="","",IFERROR(INDEX(Tables!$D:$D,MATCH(D445,Tables!$A:$A,0)),""))</f>
        <v/>
      </c>
      <c r="F445" s="20"/>
      <c r="G445" s="20"/>
      <c r="H445" s="20"/>
      <c r="I445" s="20"/>
      <c r="J445" s="20"/>
      <c r="K445" s="20"/>
    </row>
    <row r="446" customFormat="false" ht="15" hidden="false" customHeight="false" outlineLevel="0" collapsed="false">
      <c r="A446" s="20"/>
      <c r="B446" s="18" t="str">
        <f aca="false">IF(A446="","",IFERROR(INDEX(Products!$A:$A,MATCH(A446,Products!$B:$B,0)),"Not found"))</f>
        <v/>
      </c>
      <c r="C446" s="20"/>
      <c r="D446" s="18" t="str">
        <f aca="false">IF(C446="","",IFERROR(INDEX(Tables!$A:$A,MATCH(C446,Tables!$B:$B,0)),"Not found"))</f>
        <v/>
      </c>
      <c r="E446" s="21" t="str">
        <f aca="false">IF(D446="","",IFERROR(INDEX(Tables!$D:$D,MATCH(D446,Tables!$A:$A,0)),""))</f>
        <v/>
      </c>
      <c r="F446" s="20"/>
      <c r="G446" s="20"/>
      <c r="H446" s="20"/>
      <c r="I446" s="20"/>
      <c r="J446" s="20"/>
      <c r="K446" s="20"/>
    </row>
    <row r="447" customFormat="false" ht="15" hidden="false" customHeight="false" outlineLevel="0" collapsed="false">
      <c r="A447" s="20"/>
      <c r="B447" s="18" t="str">
        <f aca="false">IF(A447="","",IFERROR(INDEX(Products!$A:$A,MATCH(A447,Products!$B:$B,0)),"Not found"))</f>
        <v/>
      </c>
      <c r="C447" s="20"/>
      <c r="D447" s="18" t="str">
        <f aca="false">IF(C447="","",IFERROR(INDEX(Tables!$A:$A,MATCH(C447,Tables!$B:$B,0)),"Not found"))</f>
        <v/>
      </c>
      <c r="E447" s="21" t="str">
        <f aca="false">IF(D447="","",IFERROR(INDEX(Tables!$D:$D,MATCH(D447,Tables!$A:$A,0)),""))</f>
        <v/>
      </c>
      <c r="F447" s="20"/>
      <c r="G447" s="20"/>
      <c r="H447" s="20"/>
      <c r="I447" s="20"/>
      <c r="J447" s="20"/>
      <c r="K447" s="20"/>
    </row>
    <row r="448" customFormat="false" ht="15" hidden="false" customHeight="false" outlineLevel="0" collapsed="false">
      <c r="A448" s="20"/>
      <c r="B448" s="18" t="str">
        <f aca="false">IF(A448="","",IFERROR(INDEX(Products!$A:$A,MATCH(A448,Products!$B:$B,0)),"Not found"))</f>
        <v/>
      </c>
      <c r="C448" s="20"/>
      <c r="D448" s="18" t="str">
        <f aca="false">IF(C448="","",IFERROR(INDEX(Tables!$A:$A,MATCH(C448,Tables!$B:$B,0)),"Not found"))</f>
        <v/>
      </c>
      <c r="E448" s="21" t="str">
        <f aca="false">IF(D448="","",IFERROR(INDEX(Tables!$D:$D,MATCH(D448,Tables!$A:$A,0)),""))</f>
        <v/>
      </c>
      <c r="F448" s="20"/>
      <c r="G448" s="20"/>
      <c r="H448" s="20"/>
      <c r="I448" s="20"/>
      <c r="J448" s="20"/>
      <c r="K448" s="20"/>
    </row>
    <row r="449" customFormat="false" ht="15" hidden="false" customHeight="false" outlineLevel="0" collapsed="false">
      <c r="A449" s="20"/>
      <c r="B449" s="18" t="str">
        <f aca="false">IF(A449="","",IFERROR(INDEX(Products!$A:$A,MATCH(A449,Products!$B:$B,0)),"Not found"))</f>
        <v/>
      </c>
      <c r="C449" s="20"/>
      <c r="D449" s="18" t="str">
        <f aca="false">IF(C449="","",IFERROR(INDEX(Tables!$A:$A,MATCH(C449,Tables!$B:$B,0)),"Not found"))</f>
        <v/>
      </c>
      <c r="E449" s="21" t="str">
        <f aca="false">IF(D449="","",IFERROR(INDEX(Tables!$D:$D,MATCH(D449,Tables!$A:$A,0)),""))</f>
        <v/>
      </c>
      <c r="F449" s="20"/>
      <c r="G449" s="20"/>
      <c r="H449" s="20"/>
      <c r="I449" s="20"/>
      <c r="J449" s="20"/>
      <c r="K449" s="20"/>
    </row>
    <row r="450" customFormat="false" ht="15" hidden="false" customHeight="false" outlineLevel="0" collapsed="false">
      <c r="A450" s="20"/>
      <c r="B450" s="18" t="str">
        <f aca="false">IF(A450="","",IFERROR(INDEX(Products!$A:$A,MATCH(A450,Products!$B:$B,0)),"Not found"))</f>
        <v/>
      </c>
      <c r="C450" s="20"/>
      <c r="D450" s="18" t="str">
        <f aca="false">IF(C450="","",IFERROR(INDEX(Tables!$A:$A,MATCH(C450,Tables!$B:$B,0)),"Not found"))</f>
        <v/>
      </c>
      <c r="E450" s="21" t="str">
        <f aca="false">IF(D450="","",IFERROR(INDEX(Tables!$D:$D,MATCH(D450,Tables!$A:$A,0)),""))</f>
        <v/>
      </c>
      <c r="F450" s="20"/>
      <c r="G450" s="20"/>
      <c r="H450" s="20"/>
      <c r="I450" s="20"/>
      <c r="J450" s="20"/>
      <c r="K450" s="20"/>
    </row>
    <row r="451" customFormat="false" ht="15" hidden="false" customHeight="false" outlineLevel="0" collapsed="false">
      <c r="A451" s="20"/>
      <c r="B451" s="18" t="str">
        <f aca="false">IF(A451="","",IFERROR(INDEX(Products!$A:$A,MATCH(A451,Products!$B:$B,0)),"Not found"))</f>
        <v/>
      </c>
      <c r="C451" s="20"/>
      <c r="D451" s="18" t="str">
        <f aca="false">IF(C451="","",IFERROR(INDEX(Tables!$A:$A,MATCH(C451,Tables!$B:$B,0)),"Not found"))</f>
        <v/>
      </c>
      <c r="E451" s="21" t="str">
        <f aca="false">IF(D451="","",IFERROR(INDEX(Tables!$D:$D,MATCH(D451,Tables!$A:$A,0)),""))</f>
        <v/>
      </c>
      <c r="F451" s="20"/>
      <c r="G451" s="20"/>
      <c r="H451" s="20"/>
      <c r="I451" s="20"/>
      <c r="J451" s="20"/>
      <c r="K451" s="20"/>
    </row>
    <row r="452" customFormat="false" ht="15" hidden="false" customHeight="false" outlineLevel="0" collapsed="false">
      <c r="A452" s="20"/>
      <c r="B452" s="18" t="str">
        <f aca="false">IF(A452="","",IFERROR(INDEX(Products!$A:$A,MATCH(A452,Products!$B:$B,0)),"Not found"))</f>
        <v/>
      </c>
      <c r="C452" s="20"/>
      <c r="D452" s="18" t="str">
        <f aca="false">IF(C452="","",IFERROR(INDEX(Tables!$A:$A,MATCH(C452,Tables!$B:$B,0)),"Not found"))</f>
        <v/>
      </c>
      <c r="E452" s="21" t="str">
        <f aca="false">IF(D452="","",IFERROR(INDEX(Tables!$D:$D,MATCH(D452,Tables!$A:$A,0)),""))</f>
        <v/>
      </c>
      <c r="F452" s="20"/>
      <c r="G452" s="20"/>
      <c r="H452" s="20"/>
      <c r="I452" s="20"/>
      <c r="J452" s="20"/>
      <c r="K452" s="20"/>
    </row>
    <row r="453" customFormat="false" ht="15" hidden="false" customHeight="false" outlineLevel="0" collapsed="false">
      <c r="A453" s="20"/>
      <c r="B453" s="18" t="str">
        <f aca="false">IF(A453="","",IFERROR(INDEX(Products!$A:$A,MATCH(A453,Products!$B:$B,0)),"Not found"))</f>
        <v/>
      </c>
      <c r="C453" s="20"/>
      <c r="D453" s="18" t="str">
        <f aca="false">IF(C453="","",IFERROR(INDEX(Tables!$A:$A,MATCH(C453,Tables!$B:$B,0)),"Not found"))</f>
        <v/>
      </c>
      <c r="E453" s="21" t="str">
        <f aca="false">IF(D453="","",IFERROR(INDEX(Tables!$D:$D,MATCH(D453,Tables!$A:$A,0)),""))</f>
        <v/>
      </c>
      <c r="F453" s="20"/>
      <c r="G453" s="20"/>
      <c r="H453" s="20"/>
      <c r="I453" s="20"/>
      <c r="J453" s="20"/>
      <c r="K453" s="20"/>
    </row>
    <row r="454" customFormat="false" ht="15" hidden="false" customHeight="false" outlineLevel="0" collapsed="false">
      <c r="A454" s="20"/>
      <c r="B454" s="18" t="str">
        <f aca="false">IF(A454="","",IFERROR(INDEX(Products!$A:$A,MATCH(A454,Products!$B:$B,0)),"Not found"))</f>
        <v/>
      </c>
      <c r="C454" s="20"/>
      <c r="D454" s="18" t="str">
        <f aca="false">IF(C454="","",IFERROR(INDEX(Tables!$A:$A,MATCH(C454,Tables!$B:$B,0)),"Not found"))</f>
        <v/>
      </c>
      <c r="E454" s="21" t="str">
        <f aca="false">IF(D454="","",IFERROR(INDEX(Tables!$D:$D,MATCH(D454,Tables!$A:$A,0)),""))</f>
        <v/>
      </c>
      <c r="F454" s="20"/>
      <c r="G454" s="20"/>
      <c r="H454" s="20"/>
      <c r="I454" s="20"/>
      <c r="J454" s="20"/>
      <c r="K454" s="20"/>
    </row>
    <row r="455" customFormat="false" ht="15" hidden="false" customHeight="false" outlineLevel="0" collapsed="false">
      <c r="A455" s="20"/>
      <c r="B455" s="18" t="str">
        <f aca="false">IF(A455="","",IFERROR(INDEX(Products!$A:$A,MATCH(A455,Products!$B:$B,0)),"Not found"))</f>
        <v/>
      </c>
      <c r="C455" s="20"/>
      <c r="D455" s="18" t="str">
        <f aca="false">IF(C455="","",IFERROR(INDEX(Tables!$A:$A,MATCH(C455,Tables!$B:$B,0)),"Not found"))</f>
        <v/>
      </c>
      <c r="E455" s="21" t="str">
        <f aca="false">IF(D455="","",IFERROR(INDEX(Tables!$D:$D,MATCH(D455,Tables!$A:$A,0)),""))</f>
        <v/>
      </c>
      <c r="F455" s="20"/>
      <c r="G455" s="20"/>
      <c r="H455" s="20"/>
      <c r="I455" s="20"/>
      <c r="J455" s="20"/>
      <c r="K455" s="20"/>
    </row>
    <row r="456" customFormat="false" ht="15" hidden="false" customHeight="false" outlineLevel="0" collapsed="false">
      <c r="A456" s="20"/>
      <c r="B456" s="18" t="str">
        <f aca="false">IF(A456="","",IFERROR(INDEX(Products!$A:$A,MATCH(A456,Products!$B:$B,0)),"Not found"))</f>
        <v/>
      </c>
      <c r="C456" s="20"/>
      <c r="D456" s="18" t="str">
        <f aca="false">IF(C456="","",IFERROR(INDEX(Tables!$A:$A,MATCH(C456,Tables!$B:$B,0)),"Not found"))</f>
        <v/>
      </c>
      <c r="E456" s="21" t="str">
        <f aca="false">IF(D456="","",IFERROR(INDEX(Tables!$D:$D,MATCH(D456,Tables!$A:$A,0)),""))</f>
        <v/>
      </c>
      <c r="F456" s="20"/>
      <c r="G456" s="20"/>
      <c r="H456" s="20"/>
      <c r="I456" s="20"/>
      <c r="J456" s="20"/>
      <c r="K456" s="20"/>
    </row>
    <row r="457" customFormat="false" ht="15" hidden="false" customHeight="false" outlineLevel="0" collapsed="false">
      <c r="A457" s="20"/>
      <c r="B457" s="18" t="str">
        <f aca="false">IF(A457="","",IFERROR(INDEX(Products!$A:$A,MATCH(A457,Products!$B:$B,0)),"Not found"))</f>
        <v/>
      </c>
      <c r="C457" s="20"/>
      <c r="D457" s="18" t="str">
        <f aca="false">IF(C457="","",IFERROR(INDEX(Tables!$A:$A,MATCH(C457,Tables!$B:$B,0)),"Not found"))</f>
        <v/>
      </c>
      <c r="E457" s="21" t="str">
        <f aca="false">IF(D457="","",IFERROR(INDEX(Tables!$D:$D,MATCH(D457,Tables!$A:$A,0)),""))</f>
        <v/>
      </c>
      <c r="F457" s="20"/>
      <c r="G457" s="20"/>
      <c r="H457" s="20"/>
      <c r="I457" s="20"/>
      <c r="J457" s="20"/>
      <c r="K457" s="20"/>
    </row>
    <row r="458" customFormat="false" ht="15" hidden="false" customHeight="false" outlineLevel="0" collapsed="false">
      <c r="A458" s="20"/>
      <c r="B458" s="18" t="str">
        <f aca="false">IF(A458="","",IFERROR(INDEX(Products!$A:$A,MATCH(A458,Products!$B:$B,0)),"Not found"))</f>
        <v/>
      </c>
      <c r="C458" s="20"/>
      <c r="D458" s="18" t="str">
        <f aca="false">IF(C458="","",IFERROR(INDEX(Tables!$A:$A,MATCH(C458,Tables!$B:$B,0)),"Not found"))</f>
        <v/>
      </c>
      <c r="E458" s="21" t="str">
        <f aca="false">IF(D458="","",IFERROR(INDEX(Tables!$D:$D,MATCH(D458,Tables!$A:$A,0)),""))</f>
        <v/>
      </c>
      <c r="F458" s="20"/>
      <c r="G458" s="20"/>
      <c r="H458" s="20"/>
      <c r="I458" s="20"/>
      <c r="J458" s="20"/>
      <c r="K458" s="20"/>
    </row>
    <row r="459" customFormat="false" ht="15" hidden="false" customHeight="false" outlineLevel="0" collapsed="false">
      <c r="A459" s="20"/>
      <c r="B459" s="18" t="str">
        <f aca="false">IF(A459="","",IFERROR(INDEX(Products!$A:$A,MATCH(A459,Products!$B:$B,0)),"Not found"))</f>
        <v/>
      </c>
      <c r="C459" s="20"/>
      <c r="D459" s="18" t="str">
        <f aca="false">IF(C459="","",IFERROR(INDEX(Tables!$A:$A,MATCH(C459,Tables!$B:$B,0)),"Not found"))</f>
        <v/>
      </c>
      <c r="E459" s="21" t="str">
        <f aca="false">IF(D459="","",IFERROR(INDEX(Tables!$D:$D,MATCH(D459,Tables!$A:$A,0)),""))</f>
        <v/>
      </c>
      <c r="F459" s="20"/>
      <c r="G459" s="20"/>
      <c r="H459" s="20"/>
      <c r="I459" s="20"/>
      <c r="J459" s="20"/>
      <c r="K459" s="20"/>
    </row>
    <row r="460" customFormat="false" ht="15" hidden="false" customHeight="false" outlineLevel="0" collapsed="false">
      <c r="A460" s="20"/>
      <c r="B460" s="18" t="str">
        <f aca="false">IF(A460="","",IFERROR(INDEX(Products!$A:$A,MATCH(A460,Products!$B:$B,0)),"Not found"))</f>
        <v/>
      </c>
      <c r="C460" s="20"/>
      <c r="D460" s="18" t="str">
        <f aca="false">IF(C460="","",IFERROR(INDEX(Tables!$A:$A,MATCH(C460,Tables!$B:$B,0)),"Not found"))</f>
        <v/>
      </c>
      <c r="E460" s="21" t="str">
        <f aca="false">IF(D460="","",IFERROR(INDEX(Tables!$D:$D,MATCH(D460,Tables!$A:$A,0)),""))</f>
        <v/>
      </c>
      <c r="F460" s="20"/>
      <c r="G460" s="20"/>
      <c r="H460" s="20"/>
      <c r="I460" s="20"/>
      <c r="J460" s="20"/>
      <c r="K460" s="20"/>
    </row>
    <row r="461" customFormat="false" ht="15" hidden="false" customHeight="false" outlineLevel="0" collapsed="false">
      <c r="A461" s="20"/>
      <c r="B461" s="18" t="str">
        <f aca="false">IF(A461="","",IFERROR(INDEX(Products!$A:$A,MATCH(A461,Products!$B:$B,0)),"Not found"))</f>
        <v/>
      </c>
      <c r="C461" s="20"/>
      <c r="D461" s="18" t="str">
        <f aca="false">IF(C461="","",IFERROR(INDEX(Tables!$A:$A,MATCH(C461,Tables!$B:$B,0)),"Not found"))</f>
        <v/>
      </c>
      <c r="E461" s="21" t="str">
        <f aca="false">IF(D461="","",IFERROR(INDEX(Tables!$D:$D,MATCH(D461,Tables!$A:$A,0)),""))</f>
        <v/>
      </c>
      <c r="F461" s="20"/>
      <c r="G461" s="20"/>
      <c r="H461" s="20"/>
      <c r="I461" s="20"/>
      <c r="J461" s="20"/>
      <c r="K461" s="20"/>
    </row>
    <row r="462" customFormat="false" ht="15" hidden="false" customHeight="false" outlineLevel="0" collapsed="false">
      <c r="A462" s="20"/>
      <c r="B462" s="18" t="str">
        <f aca="false">IF(A462="","",IFERROR(INDEX(Products!$A:$A,MATCH(A462,Products!$B:$B,0)),"Not found"))</f>
        <v/>
      </c>
      <c r="C462" s="20"/>
      <c r="D462" s="18" t="str">
        <f aca="false">IF(C462="","",IFERROR(INDEX(Tables!$A:$A,MATCH(C462,Tables!$B:$B,0)),"Not found"))</f>
        <v/>
      </c>
      <c r="E462" s="21" t="str">
        <f aca="false">IF(D462="","",IFERROR(INDEX(Tables!$D:$D,MATCH(D462,Tables!$A:$A,0)),""))</f>
        <v/>
      </c>
      <c r="F462" s="20"/>
      <c r="G462" s="20"/>
      <c r="H462" s="20"/>
      <c r="I462" s="20"/>
      <c r="J462" s="20"/>
      <c r="K462" s="20"/>
    </row>
    <row r="463" customFormat="false" ht="15" hidden="false" customHeight="false" outlineLevel="0" collapsed="false">
      <c r="A463" s="20"/>
      <c r="B463" s="18" t="str">
        <f aca="false">IF(A463="","",IFERROR(INDEX(Products!$A:$A,MATCH(A463,Products!$B:$B,0)),"Not found"))</f>
        <v/>
      </c>
      <c r="C463" s="20"/>
      <c r="D463" s="18" t="str">
        <f aca="false">IF(C463="","",IFERROR(INDEX(Tables!$A:$A,MATCH(C463,Tables!$B:$B,0)),"Not found"))</f>
        <v/>
      </c>
      <c r="E463" s="21" t="str">
        <f aca="false">IF(D463="","",IFERROR(INDEX(Tables!$D:$D,MATCH(D463,Tables!$A:$A,0)),""))</f>
        <v/>
      </c>
      <c r="F463" s="20"/>
      <c r="G463" s="20"/>
      <c r="H463" s="20"/>
      <c r="I463" s="20"/>
      <c r="J463" s="20"/>
      <c r="K463" s="20"/>
    </row>
    <row r="464" customFormat="false" ht="15" hidden="false" customHeight="false" outlineLevel="0" collapsed="false">
      <c r="A464" s="20"/>
      <c r="B464" s="18" t="str">
        <f aca="false">IF(A464="","",IFERROR(INDEX(Products!$A:$A,MATCH(A464,Products!$B:$B,0)),"Not found"))</f>
        <v/>
      </c>
      <c r="C464" s="20"/>
      <c r="D464" s="18" t="str">
        <f aca="false">IF(C464="","",IFERROR(INDEX(Tables!$A:$A,MATCH(C464,Tables!$B:$B,0)),"Not found"))</f>
        <v/>
      </c>
      <c r="E464" s="21" t="str">
        <f aca="false">IF(D464="","",IFERROR(INDEX(Tables!$D:$D,MATCH(D464,Tables!$A:$A,0)),""))</f>
        <v/>
      </c>
      <c r="F464" s="20"/>
      <c r="G464" s="20"/>
      <c r="H464" s="20"/>
      <c r="I464" s="20"/>
      <c r="J464" s="20"/>
      <c r="K464" s="20"/>
    </row>
    <row r="465" customFormat="false" ht="15" hidden="false" customHeight="false" outlineLevel="0" collapsed="false">
      <c r="A465" s="20"/>
      <c r="B465" s="18" t="str">
        <f aca="false">IF(A465="","",IFERROR(INDEX(Products!$A:$A,MATCH(A465,Products!$B:$B,0)),"Not found"))</f>
        <v/>
      </c>
      <c r="C465" s="20"/>
      <c r="D465" s="18" t="str">
        <f aca="false">IF(C465="","",IFERROR(INDEX(Tables!$A:$A,MATCH(C465,Tables!$B:$B,0)),"Not found"))</f>
        <v/>
      </c>
      <c r="E465" s="21" t="str">
        <f aca="false">IF(D465="","",IFERROR(INDEX(Tables!$D:$D,MATCH(D465,Tables!$A:$A,0)),""))</f>
        <v/>
      </c>
      <c r="F465" s="20"/>
      <c r="G465" s="20"/>
      <c r="H465" s="20"/>
      <c r="I465" s="20"/>
      <c r="J465" s="20"/>
      <c r="K465" s="20"/>
    </row>
    <row r="466" customFormat="false" ht="15" hidden="false" customHeight="false" outlineLevel="0" collapsed="false">
      <c r="A466" s="20"/>
      <c r="B466" s="18" t="str">
        <f aca="false">IF(A466="","",IFERROR(INDEX(Products!$A:$A,MATCH(A466,Products!$B:$B,0)),"Not found"))</f>
        <v/>
      </c>
      <c r="C466" s="20"/>
      <c r="D466" s="18" t="str">
        <f aca="false">IF(C466="","",IFERROR(INDEX(Tables!$A:$A,MATCH(C466,Tables!$B:$B,0)),"Not found"))</f>
        <v/>
      </c>
      <c r="E466" s="21" t="str">
        <f aca="false">IF(D466="","",IFERROR(INDEX(Tables!$D:$D,MATCH(D466,Tables!$A:$A,0)),""))</f>
        <v/>
      </c>
      <c r="F466" s="20"/>
      <c r="G466" s="20"/>
      <c r="H466" s="20"/>
      <c r="I466" s="20"/>
      <c r="J466" s="20"/>
      <c r="K466" s="20"/>
    </row>
    <row r="467" customFormat="false" ht="15" hidden="false" customHeight="false" outlineLevel="0" collapsed="false">
      <c r="A467" s="20"/>
      <c r="B467" s="18" t="str">
        <f aca="false">IF(A467="","",IFERROR(INDEX(Products!$A:$A,MATCH(A467,Products!$B:$B,0)),"Not found"))</f>
        <v/>
      </c>
      <c r="C467" s="20"/>
      <c r="D467" s="18" t="str">
        <f aca="false">IF(C467="","",IFERROR(INDEX(Tables!$A:$A,MATCH(C467,Tables!$B:$B,0)),"Not found"))</f>
        <v/>
      </c>
      <c r="E467" s="21" t="str">
        <f aca="false">IF(D467="","",IFERROR(INDEX(Tables!$D:$D,MATCH(D467,Tables!$A:$A,0)),""))</f>
        <v/>
      </c>
      <c r="F467" s="20"/>
      <c r="G467" s="20"/>
      <c r="H467" s="20"/>
      <c r="I467" s="20"/>
      <c r="J467" s="20"/>
      <c r="K467" s="20"/>
    </row>
    <row r="468" customFormat="false" ht="15" hidden="false" customHeight="false" outlineLevel="0" collapsed="false">
      <c r="A468" s="20"/>
      <c r="B468" s="18" t="str">
        <f aca="false">IF(A468="","",IFERROR(INDEX(Products!$A:$A,MATCH(A468,Products!$B:$B,0)),"Not found"))</f>
        <v/>
      </c>
      <c r="C468" s="20"/>
      <c r="D468" s="18" t="str">
        <f aca="false">IF(C468="","",IFERROR(INDEX(Tables!$A:$A,MATCH(C468,Tables!$B:$B,0)),"Not found"))</f>
        <v/>
      </c>
      <c r="E468" s="21" t="str">
        <f aca="false">IF(D468="","",IFERROR(INDEX(Tables!$D:$D,MATCH(D468,Tables!$A:$A,0)),""))</f>
        <v/>
      </c>
      <c r="F468" s="20"/>
      <c r="G468" s="20"/>
      <c r="H468" s="20"/>
      <c r="I468" s="20"/>
      <c r="J468" s="20"/>
      <c r="K468" s="20"/>
    </row>
    <row r="469" customFormat="false" ht="15" hidden="false" customHeight="false" outlineLevel="0" collapsed="false">
      <c r="A469" s="20"/>
      <c r="B469" s="18" t="str">
        <f aca="false">IF(A469="","",IFERROR(INDEX(Products!$A:$A,MATCH(A469,Products!$B:$B,0)),"Not found"))</f>
        <v/>
      </c>
      <c r="C469" s="20"/>
      <c r="D469" s="18" t="str">
        <f aca="false">IF(C469="","",IFERROR(INDEX(Tables!$A:$A,MATCH(C469,Tables!$B:$B,0)),"Not found"))</f>
        <v/>
      </c>
      <c r="E469" s="21" t="str">
        <f aca="false">IF(D469="","",IFERROR(INDEX(Tables!$D:$D,MATCH(D469,Tables!$A:$A,0)),""))</f>
        <v/>
      </c>
      <c r="F469" s="20"/>
      <c r="G469" s="20"/>
      <c r="H469" s="20"/>
      <c r="I469" s="20"/>
      <c r="J469" s="20"/>
      <c r="K469" s="20"/>
    </row>
    <row r="470" customFormat="false" ht="15" hidden="false" customHeight="false" outlineLevel="0" collapsed="false">
      <c r="A470" s="20"/>
      <c r="B470" s="18" t="str">
        <f aca="false">IF(A470="","",IFERROR(INDEX(Products!$A:$A,MATCH(A470,Products!$B:$B,0)),"Not found"))</f>
        <v/>
      </c>
      <c r="C470" s="20"/>
      <c r="D470" s="18" t="str">
        <f aca="false">IF(C470="","",IFERROR(INDEX(Tables!$A:$A,MATCH(C470,Tables!$B:$B,0)),"Not found"))</f>
        <v/>
      </c>
      <c r="E470" s="21" t="str">
        <f aca="false">IF(D470="","",IFERROR(INDEX(Tables!$D:$D,MATCH(D470,Tables!$A:$A,0)),""))</f>
        <v/>
      </c>
      <c r="F470" s="20"/>
      <c r="G470" s="20"/>
      <c r="H470" s="20"/>
      <c r="I470" s="20"/>
      <c r="J470" s="20"/>
      <c r="K470" s="20"/>
    </row>
    <row r="471" customFormat="false" ht="15" hidden="false" customHeight="false" outlineLevel="0" collapsed="false">
      <c r="A471" s="20"/>
      <c r="B471" s="18" t="str">
        <f aca="false">IF(A471="","",IFERROR(INDEX(Products!$A:$A,MATCH(A471,Products!$B:$B,0)),"Not found"))</f>
        <v/>
      </c>
      <c r="C471" s="20"/>
      <c r="D471" s="18" t="str">
        <f aca="false">IF(C471="","",IFERROR(INDEX(Tables!$A:$A,MATCH(C471,Tables!$B:$B,0)),"Not found"))</f>
        <v/>
      </c>
      <c r="E471" s="21" t="str">
        <f aca="false">IF(D471="","",IFERROR(INDEX(Tables!$D:$D,MATCH(D471,Tables!$A:$A,0)),""))</f>
        <v/>
      </c>
      <c r="F471" s="20"/>
      <c r="G471" s="20"/>
      <c r="H471" s="20"/>
      <c r="I471" s="20"/>
      <c r="J471" s="20"/>
      <c r="K471" s="20"/>
    </row>
    <row r="472" customFormat="false" ht="15" hidden="false" customHeight="false" outlineLevel="0" collapsed="false">
      <c r="A472" s="20"/>
      <c r="B472" s="18" t="str">
        <f aca="false">IF(A472="","",IFERROR(INDEX(Products!$A:$A,MATCH(A472,Products!$B:$B,0)),"Not found"))</f>
        <v/>
      </c>
      <c r="C472" s="20"/>
      <c r="D472" s="18" t="str">
        <f aca="false">IF(C472="","",IFERROR(INDEX(Tables!$A:$A,MATCH(C472,Tables!$B:$B,0)),"Not found"))</f>
        <v/>
      </c>
      <c r="E472" s="21" t="str">
        <f aca="false">IF(D472="","",IFERROR(INDEX(Tables!$D:$D,MATCH(D472,Tables!$A:$A,0)),""))</f>
        <v/>
      </c>
      <c r="F472" s="20"/>
      <c r="G472" s="20"/>
      <c r="H472" s="20"/>
      <c r="I472" s="20"/>
      <c r="J472" s="20"/>
      <c r="K472" s="20"/>
    </row>
    <row r="473" customFormat="false" ht="15" hidden="false" customHeight="false" outlineLevel="0" collapsed="false">
      <c r="A473" s="20"/>
      <c r="B473" s="18" t="str">
        <f aca="false">IF(A473="","",IFERROR(INDEX(Products!$A:$A,MATCH(A473,Products!$B:$B,0)),"Not found"))</f>
        <v/>
      </c>
      <c r="C473" s="20"/>
      <c r="D473" s="18" t="str">
        <f aca="false">IF(C473="","",IFERROR(INDEX(Tables!$A:$A,MATCH(C473,Tables!$B:$B,0)),"Not found"))</f>
        <v/>
      </c>
      <c r="E473" s="21" t="str">
        <f aca="false">IF(D473="","",IFERROR(INDEX(Tables!$D:$D,MATCH(D473,Tables!$A:$A,0)),""))</f>
        <v/>
      </c>
      <c r="F473" s="20"/>
      <c r="G473" s="20"/>
      <c r="H473" s="20"/>
      <c r="I473" s="20"/>
      <c r="J473" s="20"/>
      <c r="K473" s="20"/>
    </row>
    <row r="474" customFormat="false" ht="15" hidden="false" customHeight="false" outlineLevel="0" collapsed="false">
      <c r="A474" s="20"/>
      <c r="B474" s="18" t="str">
        <f aca="false">IF(A474="","",IFERROR(INDEX(Products!$A:$A,MATCH(A474,Products!$B:$B,0)),"Not found"))</f>
        <v/>
      </c>
      <c r="C474" s="20"/>
      <c r="D474" s="18" t="str">
        <f aca="false">IF(C474="","",IFERROR(INDEX(Tables!$A:$A,MATCH(C474,Tables!$B:$B,0)),"Not found"))</f>
        <v/>
      </c>
      <c r="E474" s="21" t="str">
        <f aca="false">IF(D474="","",IFERROR(INDEX(Tables!$D:$D,MATCH(D474,Tables!$A:$A,0)),""))</f>
        <v/>
      </c>
      <c r="F474" s="20"/>
      <c r="G474" s="20"/>
      <c r="H474" s="20"/>
      <c r="I474" s="20"/>
      <c r="J474" s="20"/>
      <c r="K474" s="20"/>
    </row>
    <row r="475" customFormat="false" ht="15" hidden="false" customHeight="false" outlineLevel="0" collapsed="false">
      <c r="A475" s="20"/>
      <c r="B475" s="18" t="str">
        <f aca="false">IF(A475="","",IFERROR(INDEX(Products!$A:$A,MATCH(A475,Products!$B:$B,0)),"Not found"))</f>
        <v/>
      </c>
      <c r="C475" s="20"/>
      <c r="D475" s="18" t="str">
        <f aca="false">IF(C475="","",IFERROR(INDEX(Tables!$A:$A,MATCH(C475,Tables!$B:$B,0)),"Not found"))</f>
        <v/>
      </c>
      <c r="E475" s="21" t="str">
        <f aca="false">IF(D475="","",IFERROR(INDEX(Tables!$D:$D,MATCH(D475,Tables!$A:$A,0)),""))</f>
        <v/>
      </c>
      <c r="F475" s="20"/>
      <c r="G475" s="20"/>
      <c r="H475" s="20"/>
      <c r="I475" s="20"/>
      <c r="J475" s="20"/>
      <c r="K475" s="20"/>
    </row>
    <row r="476" customFormat="false" ht="15" hidden="false" customHeight="false" outlineLevel="0" collapsed="false">
      <c r="A476" s="20"/>
      <c r="B476" s="18" t="str">
        <f aca="false">IF(A476="","",IFERROR(INDEX(Products!$A:$A,MATCH(A476,Products!$B:$B,0)),"Not found"))</f>
        <v/>
      </c>
      <c r="C476" s="20"/>
      <c r="D476" s="18" t="str">
        <f aca="false">IF(C476="","",IFERROR(INDEX(Tables!$A:$A,MATCH(C476,Tables!$B:$B,0)),"Not found"))</f>
        <v/>
      </c>
      <c r="E476" s="21" t="str">
        <f aca="false">IF(D476="","",IFERROR(INDEX(Tables!$D:$D,MATCH(D476,Tables!$A:$A,0)),""))</f>
        <v/>
      </c>
      <c r="F476" s="20"/>
      <c r="G476" s="20"/>
      <c r="H476" s="20"/>
      <c r="I476" s="20"/>
      <c r="J476" s="20"/>
      <c r="K476" s="20"/>
    </row>
    <row r="477" customFormat="false" ht="15" hidden="false" customHeight="false" outlineLevel="0" collapsed="false">
      <c r="A477" s="20"/>
      <c r="B477" s="18" t="str">
        <f aca="false">IF(A477="","",IFERROR(INDEX(Products!$A:$A,MATCH(A477,Products!$B:$B,0)),"Not found"))</f>
        <v/>
      </c>
      <c r="C477" s="20"/>
      <c r="D477" s="18" t="str">
        <f aca="false">IF(C477="","",IFERROR(INDEX(Tables!$A:$A,MATCH(C477,Tables!$B:$B,0)),"Not found"))</f>
        <v/>
      </c>
      <c r="E477" s="21" t="str">
        <f aca="false">IF(D477="","",IFERROR(INDEX(Tables!$D:$D,MATCH(D477,Tables!$A:$A,0)),""))</f>
        <v/>
      </c>
      <c r="F477" s="20"/>
      <c r="G477" s="20"/>
      <c r="H477" s="20"/>
      <c r="I477" s="20"/>
      <c r="J477" s="20"/>
      <c r="K477" s="20"/>
    </row>
    <row r="478" customFormat="false" ht="15" hidden="false" customHeight="false" outlineLevel="0" collapsed="false">
      <c r="A478" s="20"/>
      <c r="B478" s="18" t="str">
        <f aca="false">IF(A478="","",IFERROR(INDEX(Products!$A:$A,MATCH(A478,Products!$B:$B,0)),"Not found"))</f>
        <v/>
      </c>
      <c r="C478" s="20"/>
      <c r="D478" s="18" t="str">
        <f aca="false">IF(C478="","",IFERROR(INDEX(Tables!$A:$A,MATCH(C478,Tables!$B:$B,0)),"Not found"))</f>
        <v/>
      </c>
      <c r="E478" s="21" t="str">
        <f aca="false">IF(D478="","",IFERROR(INDEX(Tables!$D:$D,MATCH(D478,Tables!$A:$A,0)),""))</f>
        <v/>
      </c>
      <c r="F478" s="20"/>
      <c r="G478" s="20"/>
      <c r="H478" s="20"/>
      <c r="I478" s="20"/>
      <c r="J478" s="20"/>
      <c r="K478" s="20"/>
    </row>
    <row r="479" customFormat="false" ht="15" hidden="false" customHeight="false" outlineLevel="0" collapsed="false">
      <c r="A479" s="20"/>
      <c r="B479" s="18" t="str">
        <f aca="false">IF(A479="","",IFERROR(INDEX(Products!$A:$A,MATCH(A479,Products!$B:$B,0)),"Not found"))</f>
        <v/>
      </c>
      <c r="C479" s="20"/>
      <c r="D479" s="18" t="str">
        <f aca="false">IF(C479="","",IFERROR(INDEX(Tables!$A:$A,MATCH(C479,Tables!$B:$B,0)),"Not found"))</f>
        <v/>
      </c>
      <c r="E479" s="21" t="str">
        <f aca="false">IF(D479="","",IFERROR(INDEX(Tables!$D:$D,MATCH(D479,Tables!$A:$A,0)),""))</f>
        <v/>
      </c>
      <c r="F479" s="20"/>
      <c r="G479" s="20"/>
      <c r="H479" s="20"/>
      <c r="I479" s="20"/>
      <c r="J479" s="20"/>
      <c r="K479" s="20"/>
    </row>
    <row r="480" customFormat="false" ht="15" hidden="false" customHeight="false" outlineLevel="0" collapsed="false">
      <c r="A480" s="20"/>
      <c r="B480" s="18" t="str">
        <f aca="false">IF(A480="","",IFERROR(INDEX(Products!$A:$A,MATCH(A480,Products!$B:$B,0)),"Not found"))</f>
        <v/>
      </c>
      <c r="C480" s="20"/>
      <c r="D480" s="18" t="str">
        <f aca="false">IF(C480="","",IFERROR(INDEX(Tables!$A:$A,MATCH(C480,Tables!$B:$B,0)),"Not found"))</f>
        <v/>
      </c>
      <c r="E480" s="21" t="str">
        <f aca="false">IF(D480="","",IFERROR(INDEX(Tables!$D:$D,MATCH(D480,Tables!$A:$A,0)),""))</f>
        <v/>
      </c>
      <c r="F480" s="20"/>
      <c r="G480" s="20"/>
      <c r="H480" s="20"/>
      <c r="I480" s="20"/>
      <c r="J480" s="20"/>
      <c r="K480" s="20"/>
    </row>
    <row r="481" customFormat="false" ht="15" hidden="false" customHeight="false" outlineLevel="0" collapsed="false">
      <c r="A481" s="20"/>
      <c r="B481" s="18" t="str">
        <f aca="false">IF(A481="","",IFERROR(INDEX(Products!$A:$A,MATCH(A481,Products!$B:$B,0)),"Not found"))</f>
        <v/>
      </c>
      <c r="C481" s="20"/>
      <c r="D481" s="18" t="str">
        <f aca="false">IF(C481="","",IFERROR(INDEX(Tables!$A:$A,MATCH(C481,Tables!$B:$B,0)),"Not found"))</f>
        <v/>
      </c>
      <c r="E481" s="21" t="str">
        <f aca="false">IF(D481="","",IFERROR(INDEX(Tables!$D:$D,MATCH(D481,Tables!$A:$A,0)),""))</f>
        <v/>
      </c>
      <c r="F481" s="20"/>
      <c r="G481" s="20"/>
      <c r="H481" s="20"/>
      <c r="I481" s="20"/>
      <c r="J481" s="20"/>
      <c r="K481" s="20"/>
    </row>
    <row r="482" customFormat="false" ht="15" hidden="false" customHeight="false" outlineLevel="0" collapsed="false">
      <c r="A482" s="20"/>
      <c r="B482" s="18" t="str">
        <f aca="false">IF(A482="","",IFERROR(INDEX(Products!$A:$A,MATCH(A482,Products!$B:$B,0)),"Not found"))</f>
        <v/>
      </c>
      <c r="C482" s="20"/>
      <c r="D482" s="18" t="str">
        <f aca="false">IF(C482="","",IFERROR(INDEX(Tables!$A:$A,MATCH(C482,Tables!$B:$B,0)),"Not found"))</f>
        <v/>
      </c>
      <c r="E482" s="21" t="str">
        <f aca="false">IF(D482="","",IFERROR(INDEX(Tables!$D:$D,MATCH(D482,Tables!$A:$A,0)),""))</f>
        <v/>
      </c>
      <c r="F482" s="20"/>
      <c r="G482" s="20"/>
      <c r="H482" s="20"/>
      <c r="I482" s="20"/>
      <c r="J482" s="20"/>
      <c r="K482" s="20"/>
    </row>
    <row r="483" customFormat="false" ht="15" hidden="false" customHeight="false" outlineLevel="0" collapsed="false">
      <c r="A483" s="20"/>
      <c r="B483" s="18" t="str">
        <f aca="false">IF(A483="","",IFERROR(INDEX(Products!$A:$A,MATCH(A483,Products!$B:$B,0)),"Not found"))</f>
        <v/>
      </c>
      <c r="C483" s="20"/>
      <c r="D483" s="18" t="str">
        <f aca="false">IF(C483="","",IFERROR(INDEX(Tables!$A:$A,MATCH(C483,Tables!$B:$B,0)),"Not found"))</f>
        <v/>
      </c>
      <c r="E483" s="21" t="str">
        <f aca="false">IF(D483="","",IFERROR(INDEX(Tables!$D:$D,MATCH(D483,Tables!$A:$A,0)),""))</f>
        <v/>
      </c>
      <c r="F483" s="20"/>
      <c r="G483" s="20"/>
      <c r="H483" s="20"/>
      <c r="I483" s="20"/>
      <c r="J483" s="20"/>
      <c r="K483" s="20"/>
    </row>
    <row r="484" customFormat="false" ht="15" hidden="false" customHeight="false" outlineLevel="0" collapsed="false">
      <c r="A484" s="20"/>
      <c r="B484" s="18" t="str">
        <f aca="false">IF(A484="","",IFERROR(INDEX(Products!$A:$A,MATCH(A484,Products!$B:$B,0)),"Not found"))</f>
        <v/>
      </c>
      <c r="C484" s="20"/>
      <c r="D484" s="18" t="str">
        <f aca="false">IF(C484="","",IFERROR(INDEX(Tables!$A:$A,MATCH(C484,Tables!$B:$B,0)),"Not found"))</f>
        <v/>
      </c>
      <c r="E484" s="21" t="str">
        <f aca="false">IF(D484="","",IFERROR(INDEX(Tables!$D:$D,MATCH(D484,Tables!$A:$A,0)),""))</f>
        <v/>
      </c>
      <c r="F484" s="20"/>
      <c r="G484" s="20"/>
      <c r="H484" s="20"/>
      <c r="I484" s="20"/>
      <c r="J484" s="20"/>
      <c r="K484" s="20"/>
    </row>
    <row r="485" customFormat="false" ht="15" hidden="false" customHeight="false" outlineLevel="0" collapsed="false">
      <c r="A485" s="20"/>
      <c r="B485" s="18" t="str">
        <f aca="false">IF(A485="","",IFERROR(INDEX(Products!$A:$A,MATCH(A485,Products!$B:$B,0)),"Not found"))</f>
        <v/>
      </c>
      <c r="C485" s="20"/>
      <c r="D485" s="18" t="str">
        <f aca="false">IF(C485="","",IFERROR(INDEX(Tables!$A:$A,MATCH(C485,Tables!$B:$B,0)),"Not found"))</f>
        <v/>
      </c>
      <c r="E485" s="21" t="str">
        <f aca="false">IF(D485="","",IFERROR(INDEX(Tables!$D:$D,MATCH(D485,Tables!$A:$A,0)),""))</f>
        <v/>
      </c>
      <c r="F485" s="20"/>
      <c r="G485" s="20"/>
      <c r="H485" s="20"/>
      <c r="I485" s="20"/>
      <c r="J485" s="20"/>
      <c r="K485" s="20"/>
    </row>
    <row r="486" customFormat="false" ht="15" hidden="false" customHeight="false" outlineLevel="0" collapsed="false">
      <c r="A486" s="20"/>
      <c r="B486" s="18" t="str">
        <f aca="false">IF(A486="","",IFERROR(INDEX(Products!$A:$A,MATCH(A486,Products!$B:$B,0)),"Not found"))</f>
        <v/>
      </c>
      <c r="C486" s="20"/>
      <c r="D486" s="18" t="str">
        <f aca="false">IF(C486="","",IFERROR(INDEX(Tables!$A:$A,MATCH(C486,Tables!$B:$B,0)),"Not found"))</f>
        <v/>
      </c>
      <c r="E486" s="21" t="str">
        <f aca="false">IF(D486="","",IFERROR(INDEX(Tables!$D:$D,MATCH(D486,Tables!$A:$A,0)),""))</f>
        <v/>
      </c>
      <c r="F486" s="20"/>
      <c r="G486" s="20"/>
      <c r="H486" s="20"/>
      <c r="I486" s="20"/>
      <c r="J486" s="20"/>
      <c r="K486" s="20"/>
    </row>
    <row r="487" customFormat="false" ht="15" hidden="false" customHeight="false" outlineLevel="0" collapsed="false">
      <c r="A487" s="20"/>
      <c r="B487" s="18" t="str">
        <f aca="false">IF(A487="","",IFERROR(INDEX(Products!$A:$A,MATCH(A487,Products!$B:$B,0)),"Not found"))</f>
        <v/>
      </c>
      <c r="C487" s="20"/>
      <c r="D487" s="18" t="str">
        <f aca="false">IF(C487="","",IFERROR(INDEX(Tables!$A:$A,MATCH(C487,Tables!$B:$B,0)),"Not found"))</f>
        <v/>
      </c>
      <c r="E487" s="21" t="str">
        <f aca="false">IF(D487="","",IFERROR(INDEX(Tables!$D:$D,MATCH(D487,Tables!$A:$A,0)),""))</f>
        <v/>
      </c>
      <c r="F487" s="20"/>
      <c r="G487" s="20"/>
      <c r="H487" s="20"/>
      <c r="I487" s="20"/>
      <c r="J487" s="20"/>
      <c r="K487" s="20"/>
    </row>
    <row r="488" customFormat="false" ht="15" hidden="false" customHeight="false" outlineLevel="0" collapsed="false">
      <c r="A488" s="20"/>
      <c r="B488" s="18" t="str">
        <f aca="false">IF(A488="","",IFERROR(INDEX(Products!$A:$A,MATCH(A488,Products!$B:$B,0)),"Not found"))</f>
        <v/>
      </c>
      <c r="C488" s="20"/>
      <c r="D488" s="18" t="str">
        <f aca="false">IF(C488="","",IFERROR(INDEX(Tables!$A:$A,MATCH(C488,Tables!$B:$B,0)),"Not found"))</f>
        <v/>
      </c>
      <c r="E488" s="21" t="str">
        <f aca="false">IF(D488="","",IFERROR(INDEX(Tables!$D:$D,MATCH(D488,Tables!$A:$A,0)),""))</f>
        <v/>
      </c>
      <c r="F488" s="20"/>
      <c r="G488" s="20"/>
      <c r="H488" s="20"/>
      <c r="I488" s="20"/>
      <c r="J488" s="20"/>
      <c r="K488" s="20"/>
    </row>
    <row r="489" customFormat="false" ht="15" hidden="false" customHeight="false" outlineLevel="0" collapsed="false">
      <c r="A489" s="20"/>
      <c r="B489" s="18" t="str">
        <f aca="false">IF(A489="","",IFERROR(INDEX(Products!$A:$A,MATCH(A489,Products!$B:$B,0)),"Not found"))</f>
        <v/>
      </c>
      <c r="C489" s="20"/>
      <c r="D489" s="18" t="str">
        <f aca="false">IF(C489="","",IFERROR(INDEX(Tables!$A:$A,MATCH(C489,Tables!$B:$B,0)),"Not found"))</f>
        <v/>
      </c>
      <c r="E489" s="21" t="str">
        <f aca="false">IF(D489="","",IFERROR(INDEX(Tables!$D:$D,MATCH(D489,Tables!$A:$A,0)),""))</f>
        <v/>
      </c>
      <c r="F489" s="20"/>
      <c r="G489" s="20"/>
      <c r="H489" s="20"/>
      <c r="I489" s="20"/>
      <c r="J489" s="20"/>
      <c r="K489" s="20"/>
    </row>
    <row r="490" customFormat="false" ht="15" hidden="false" customHeight="false" outlineLevel="0" collapsed="false">
      <c r="A490" s="20"/>
      <c r="B490" s="18" t="str">
        <f aca="false">IF(A490="","",IFERROR(INDEX(Products!$A:$A,MATCH(A490,Products!$B:$B,0)),"Not found"))</f>
        <v/>
      </c>
      <c r="C490" s="20"/>
      <c r="D490" s="18" t="str">
        <f aca="false">IF(C490="","",IFERROR(INDEX(Tables!$A:$A,MATCH(C490,Tables!$B:$B,0)),"Not found"))</f>
        <v/>
      </c>
      <c r="E490" s="21" t="str">
        <f aca="false">IF(D490="","",IFERROR(INDEX(Tables!$D:$D,MATCH(D490,Tables!$A:$A,0)),""))</f>
        <v/>
      </c>
      <c r="F490" s="20"/>
      <c r="G490" s="20"/>
      <c r="H490" s="20"/>
      <c r="I490" s="20"/>
      <c r="J490" s="20"/>
      <c r="K490" s="20"/>
    </row>
    <row r="491" customFormat="false" ht="15" hidden="false" customHeight="false" outlineLevel="0" collapsed="false">
      <c r="A491" s="20"/>
      <c r="B491" s="18" t="str">
        <f aca="false">IF(A491="","",IFERROR(INDEX(Products!$A:$A,MATCH(A491,Products!$B:$B,0)),"Not found"))</f>
        <v/>
      </c>
      <c r="C491" s="20"/>
      <c r="D491" s="18" t="str">
        <f aca="false">IF(C491="","",IFERROR(INDEX(Tables!$A:$A,MATCH(C491,Tables!$B:$B,0)),"Not found"))</f>
        <v/>
      </c>
      <c r="E491" s="21" t="str">
        <f aca="false">IF(D491="","",IFERROR(INDEX(Tables!$D:$D,MATCH(D491,Tables!$A:$A,0)),""))</f>
        <v/>
      </c>
      <c r="F491" s="20"/>
      <c r="G491" s="20"/>
      <c r="H491" s="20"/>
      <c r="I491" s="20"/>
      <c r="J491" s="20"/>
      <c r="K491" s="20"/>
    </row>
    <row r="492" customFormat="false" ht="15" hidden="false" customHeight="false" outlineLevel="0" collapsed="false">
      <c r="A492" s="20"/>
      <c r="B492" s="18" t="str">
        <f aca="false">IF(A492="","",IFERROR(INDEX(Products!$A:$A,MATCH(A492,Products!$B:$B,0)),"Not found"))</f>
        <v/>
      </c>
      <c r="C492" s="20"/>
      <c r="D492" s="18" t="str">
        <f aca="false">IF(C492="","",IFERROR(INDEX(Tables!$A:$A,MATCH(C492,Tables!$B:$B,0)),"Not found"))</f>
        <v/>
      </c>
      <c r="E492" s="21" t="str">
        <f aca="false">IF(D492="","",IFERROR(INDEX(Tables!$D:$D,MATCH(D492,Tables!$A:$A,0)),""))</f>
        <v/>
      </c>
      <c r="F492" s="20"/>
      <c r="G492" s="20"/>
      <c r="H492" s="20"/>
      <c r="I492" s="20"/>
      <c r="J492" s="20"/>
      <c r="K492" s="20"/>
    </row>
    <row r="493" customFormat="false" ht="15" hidden="false" customHeight="false" outlineLevel="0" collapsed="false">
      <c r="A493" s="20"/>
      <c r="B493" s="18" t="str">
        <f aca="false">IF(A493="","",IFERROR(INDEX(Products!$A:$A,MATCH(A493,Products!$B:$B,0)),"Not found"))</f>
        <v/>
      </c>
      <c r="C493" s="20"/>
      <c r="D493" s="18" t="str">
        <f aca="false">IF(C493="","",IFERROR(INDEX(Tables!$A:$A,MATCH(C493,Tables!$B:$B,0)),"Not found"))</f>
        <v/>
      </c>
      <c r="E493" s="21" t="str">
        <f aca="false">IF(D493="","",IFERROR(INDEX(Tables!$D:$D,MATCH(D493,Tables!$A:$A,0)),""))</f>
        <v/>
      </c>
      <c r="F493" s="20"/>
      <c r="G493" s="20"/>
      <c r="H493" s="20"/>
      <c r="I493" s="20"/>
      <c r="J493" s="20"/>
      <c r="K493" s="20"/>
    </row>
    <row r="494" customFormat="false" ht="15" hidden="false" customHeight="false" outlineLevel="0" collapsed="false">
      <c r="A494" s="20"/>
      <c r="B494" s="18" t="str">
        <f aca="false">IF(A494="","",IFERROR(INDEX(Products!$A:$A,MATCH(A494,Products!$B:$B,0)),"Not found"))</f>
        <v/>
      </c>
      <c r="C494" s="20"/>
      <c r="D494" s="18" t="str">
        <f aca="false">IF(C494="","",IFERROR(INDEX(Tables!$A:$A,MATCH(C494,Tables!$B:$B,0)),"Not found"))</f>
        <v/>
      </c>
      <c r="E494" s="21" t="str">
        <f aca="false">IF(D494="","",IFERROR(INDEX(Tables!$D:$D,MATCH(D494,Tables!$A:$A,0)),""))</f>
        <v/>
      </c>
      <c r="F494" s="20"/>
      <c r="G494" s="20"/>
      <c r="H494" s="20"/>
      <c r="I494" s="20"/>
      <c r="J494" s="20"/>
      <c r="K494" s="20"/>
    </row>
    <row r="495" customFormat="false" ht="15" hidden="false" customHeight="false" outlineLevel="0" collapsed="false">
      <c r="A495" s="20"/>
      <c r="B495" s="18" t="str">
        <f aca="false">IF(A495="","",IFERROR(INDEX(Products!$A:$A,MATCH(A495,Products!$B:$B,0)),"Not found"))</f>
        <v/>
      </c>
      <c r="C495" s="20"/>
      <c r="D495" s="18" t="str">
        <f aca="false">IF(C495="","",IFERROR(INDEX(Tables!$A:$A,MATCH(C495,Tables!$B:$B,0)),"Not found"))</f>
        <v/>
      </c>
      <c r="E495" s="21" t="str">
        <f aca="false">IF(D495="","",IFERROR(INDEX(Tables!$D:$D,MATCH(D495,Tables!$A:$A,0)),""))</f>
        <v/>
      </c>
      <c r="F495" s="20"/>
      <c r="G495" s="20"/>
      <c r="H495" s="20"/>
      <c r="I495" s="20"/>
      <c r="J495" s="20"/>
      <c r="K495" s="20"/>
    </row>
    <row r="496" customFormat="false" ht="15" hidden="false" customHeight="false" outlineLevel="0" collapsed="false">
      <c r="A496" s="20"/>
      <c r="B496" s="18" t="str">
        <f aca="false">IF(A496="","",IFERROR(INDEX(Products!$A:$A,MATCH(A496,Products!$B:$B,0)),"Not found"))</f>
        <v/>
      </c>
      <c r="C496" s="20"/>
      <c r="D496" s="18" t="str">
        <f aca="false">IF(C496="","",IFERROR(INDEX(Tables!$A:$A,MATCH(C496,Tables!$B:$B,0)),"Not found"))</f>
        <v/>
      </c>
      <c r="E496" s="21" t="str">
        <f aca="false">IF(D496="","",IFERROR(INDEX(Tables!$D:$D,MATCH(D496,Tables!$A:$A,0)),""))</f>
        <v/>
      </c>
      <c r="F496" s="20"/>
      <c r="G496" s="20"/>
      <c r="H496" s="20"/>
      <c r="I496" s="20"/>
      <c r="J496" s="20"/>
      <c r="K496" s="20"/>
    </row>
    <row r="497" customFormat="false" ht="15" hidden="false" customHeight="false" outlineLevel="0" collapsed="false">
      <c r="A497" s="20"/>
      <c r="B497" s="18" t="str">
        <f aca="false">IF(A497="","",IFERROR(INDEX(Products!$A:$A,MATCH(A497,Products!$B:$B,0)),"Not found"))</f>
        <v/>
      </c>
      <c r="C497" s="20"/>
      <c r="D497" s="18" t="str">
        <f aca="false">IF(C497="","",IFERROR(INDEX(Tables!$A:$A,MATCH(C497,Tables!$B:$B,0)),"Not found"))</f>
        <v/>
      </c>
      <c r="E497" s="21" t="str">
        <f aca="false">IF(D497="","",IFERROR(INDEX(Tables!$D:$D,MATCH(D497,Tables!$A:$A,0)),""))</f>
        <v/>
      </c>
      <c r="F497" s="20"/>
      <c r="G497" s="20"/>
      <c r="H497" s="20"/>
      <c r="I497" s="20"/>
      <c r="J497" s="20"/>
      <c r="K497" s="20"/>
    </row>
    <row r="498" customFormat="false" ht="15" hidden="false" customHeight="false" outlineLevel="0" collapsed="false">
      <c r="A498" s="20"/>
      <c r="B498" s="18" t="str">
        <f aca="false">IF(A498="","",IFERROR(INDEX(Products!$A:$A,MATCH(A498,Products!$B:$B,0)),"Not found"))</f>
        <v/>
      </c>
      <c r="C498" s="20"/>
      <c r="D498" s="18" t="str">
        <f aca="false">IF(C498="","",IFERROR(INDEX(Tables!$A:$A,MATCH(C498,Tables!$B:$B,0)),"Not found"))</f>
        <v/>
      </c>
      <c r="E498" s="21" t="str">
        <f aca="false">IF(D498="","",IFERROR(INDEX(Tables!$D:$D,MATCH(D498,Tables!$A:$A,0)),""))</f>
        <v/>
      </c>
      <c r="F498" s="20"/>
      <c r="G498" s="20"/>
      <c r="H498" s="20"/>
      <c r="I498" s="20"/>
      <c r="J498" s="20"/>
      <c r="K498" s="20"/>
    </row>
    <row r="499" customFormat="false" ht="15" hidden="false" customHeight="false" outlineLevel="0" collapsed="false">
      <c r="A499" s="20"/>
      <c r="B499" s="18" t="str">
        <f aca="false">IF(A499="","",IFERROR(INDEX(Products!$A:$A,MATCH(A499,Products!$B:$B,0)),"Not found"))</f>
        <v/>
      </c>
      <c r="C499" s="20"/>
      <c r="D499" s="18" t="str">
        <f aca="false">IF(C499="","",IFERROR(INDEX(Tables!$A:$A,MATCH(C499,Tables!$B:$B,0)),"Not found"))</f>
        <v/>
      </c>
      <c r="E499" s="21" t="str">
        <f aca="false">IF(D499="","",IFERROR(INDEX(Tables!$D:$D,MATCH(D499,Tables!$A:$A,0)),""))</f>
        <v/>
      </c>
      <c r="F499" s="20"/>
      <c r="G499" s="20"/>
      <c r="H499" s="20"/>
      <c r="I499" s="20"/>
      <c r="J499" s="20"/>
      <c r="K499" s="20"/>
    </row>
    <row r="500" customFormat="false" ht="15" hidden="false" customHeight="false" outlineLevel="0" collapsed="false">
      <c r="A500" s="20"/>
      <c r="B500" s="18" t="str">
        <f aca="false">IF(A500="","",IFERROR(INDEX(Products!$A:$A,MATCH(A500,Products!$B:$B,0)),"Not found"))</f>
        <v/>
      </c>
      <c r="C500" s="20"/>
      <c r="D500" s="18" t="str">
        <f aca="false">IF(C500="","",IFERROR(INDEX(Tables!$A:$A,MATCH(C500,Tables!$B:$B,0)),"Not found"))</f>
        <v/>
      </c>
      <c r="E500" s="21" t="str">
        <f aca="false">IF(D500="","",IFERROR(INDEX(Tables!$D:$D,MATCH(D500,Tables!$A:$A,0)),""))</f>
        <v/>
      </c>
      <c r="F500" s="20"/>
      <c r="G500" s="20"/>
      <c r="H500" s="20"/>
      <c r="I500" s="20"/>
      <c r="J500" s="20"/>
      <c r="K500" s="20"/>
    </row>
    <row r="501" customFormat="false" ht="15" hidden="false" customHeight="false" outlineLevel="0" collapsed="false">
      <c r="A501" s="20"/>
      <c r="B501" s="18" t="str">
        <f aca="false">IF(A501="","",IFERROR(INDEX(Products!$A:$A,MATCH(A501,Products!$B:$B,0)),"Not found"))</f>
        <v/>
      </c>
      <c r="C501" s="20"/>
      <c r="D501" s="18" t="str">
        <f aca="false">IF(C501="","",IFERROR(INDEX(Tables!$A:$A,MATCH(C501,Tables!$B:$B,0)),"Not found"))</f>
        <v/>
      </c>
      <c r="E501" s="21" t="str">
        <f aca="false">IF(D501="","",IFERROR(INDEX(Tables!$D:$D,MATCH(D501,Tables!$A:$A,0)),""))</f>
        <v/>
      </c>
      <c r="F501" s="20"/>
      <c r="G501" s="20"/>
      <c r="H501" s="20"/>
      <c r="I501" s="20"/>
      <c r="J501" s="20"/>
      <c r="K501" s="20"/>
    </row>
    <row r="502" customFormat="false" ht="15" hidden="false" customHeight="false" outlineLevel="0" collapsed="false">
      <c r="A502" s="20"/>
      <c r="B502" s="18" t="str">
        <f aca="false">IF(A502="","",IFERROR(INDEX(Products!$A:$A,MATCH(A502,Products!$B:$B,0)),"Not found"))</f>
        <v/>
      </c>
      <c r="C502" s="20"/>
      <c r="D502" s="18" t="str">
        <f aca="false">IF(C502="","",IFERROR(INDEX(Tables!$A:$A,MATCH(C502,Tables!$B:$B,0)),"Not found"))</f>
        <v/>
      </c>
      <c r="E502" s="21" t="str">
        <f aca="false">IF(D502="","",IFERROR(INDEX(Tables!$D:$D,MATCH(D502,Tables!$A:$A,0)),""))</f>
        <v/>
      </c>
      <c r="F502" s="20"/>
      <c r="G502" s="20"/>
      <c r="H502" s="20"/>
      <c r="I502" s="20"/>
      <c r="J502" s="20"/>
      <c r="K502" s="20"/>
    </row>
    <row r="503" customFormat="false" ht="15" hidden="false" customHeight="false" outlineLevel="0" collapsed="false">
      <c r="A503" s="20"/>
      <c r="B503" s="18" t="str">
        <f aca="false">IF(A503="","",IFERROR(INDEX(Products!$A:$A,MATCH(A503,Products!$B:$B,0)),"Not found"))</f>
        <v/>
      </c>
      <c r="C503" s="20"/>
      <c r="D503" s="18" t="str">
        <f aca="false">IF(C503="","",IFERROR(INDEX(Tables!$A:$A,MATCH(C503,Tables!$B:$B,0)),"Not found"))</f>
        <v/>
      </c>
      <c r="E503" s="21" t="str">
        <f aca="false">IF(D503="","",IFERROR(INDEX(Tables!$D:$D,MATCH(D503,Tables!$A:$A,0)),""))</f>
        <v/>
      </c>
      <c r="F503" s="20"/>
      <c r="G503" s="20"/>
      <c r="H503" s="20"/>
      <c r="I503" s="20"/>
      <c r="J503" s="20"/>
      <c r="K503" s="20"/>
    </row>
    <row r="504" customFormat="false" ht="15" hidden="false" customHeight="false" outlineLevel="0" collapsed="false">
      <c r="A504" s="20"/>
      <c r="B504" s="18" t="str">
        <f aca="false">IF(A504="","",IFERROR(INDEX(Products!$A:$A,MATCH(A504,Products!$B:$B,0)),"Not found"))</f>
        <v/>
      </c>
      <c r="C504" s="20"/>
      <c r="D504" s="18" t="str">
        <f aca="false">IF(C504="","",IFERROR(INDEX(Tables!$A:$A,MATCH(C504,Tables!$B:$B,0)),"Not found"))</f>
        <v/>
      </c>
      <c r="E504" s="21" t="str">
        <f aca="false">IF(D504="","",IFERROR(INDEX(Tables!$D:$D,MATCH(D504,Tables!$A:$A,0)),""))</f>
        <v/>
      </c>
      <c r="F504" s="20"/>
      <c r="G504" s="20"/>
      <c r="H504" s="20"/>
      <c r="I504" s="20"/>
      <c r="J504" s="20"/>
      <c r="K504" s="20"/>
    </row>
  </sheetData>
  <autoFilter ref="A4:K504"/>
  <conditionalFormatting sqref="B5:B504">
    <cfRule type="cellIs" priority="2" operator="equal" aboveAverage="0" equalAverage="0" bottom="0" percent="0" rank="0" text="" dxfId="9">
      <formula>"Not found"</formula>
    </cfRule>
  </conditionalFormatting>
  <conditionalFormatting sqref="D5:D504">
    <cfRule type="cellIs" priority="3" operator="equal" aboveAverage="0" equalAverage="0" bottom="0" percent="0" rank="0" text="" dxfId="9">
      <formula>"Not found"</formula>
    </cfRule>
  </conditionalFormatting>
  <conditionalFormatting sqref="E5:E504">
    <cfRule type="cellIs" priority="4" operator="equal" aboveAverage="0" equalAverage="0" bottom="0" percent="0" rank="0" text="" dxfId="9">
      <formula>"Manual spreadsheet"</formula>
    </cfRule>
  </conditionalFormatting>
  <dataValidations count="6">
    <dataValidation allowBlank="true" errorStyle="stop" operator="between" showDropDown="false" showErrorMessage="false" showInputMessage="false" sqref="A5:A504" type="list">
      <formula1>Products!$B$5:$B$154</formula1>
      <formula2>0</formula2>
    </dataValidation>
    <dataValidation allowBlank="true" errorStyle="stop" operator="between" showDropDown="false" showErrorMessage="false" showInputMessage="false" sqref="C5:C504" type="list">
      <formula1>Tables!$B$5:$B$304</formula1>
      <formula2>0</formula2>
    </dataValidation>
    <dataValidation allowBlank="true" errorStyle="stop" operator="between" showDropDown="false" showErrorMessage="false" showInputMessage="false" sqref="F5:F504" type="list">
      <formula1>"Scripted,Pasted by hand,Live connection,Unknown"</formula1>
      <formula2>0</formula2>
    </dataValidation>
    <dataValidation allowBlank="true" errorStyle="stop" operator="between" showDropDown="false" showErrorMessage="false" showInputMessage="false" sqref="G5:G504" type="list">
      <formula1>"Derived from a script,Derived from the product file,Typed by a person"</formula1>
      <formula2>0</formula2>
    </dataValidation>
    <dataValidation allowBlank="true" errorStyle="stop" operator="between" showDropDown="false" showErrorMessage="false" showInputMessage="false" sqref="I5:I504" type="list">
      <formula1>"Proposed,Accepted,Corrected,Rejected"</formula1>
      <formula2>0</formula2>
    </dataValidation>
    <dataValidation allowBlank="true" errorStyle="stop" operator="between" showDropDown="false" showErrorMessage="false" showInputMessage="false" sqref="K5:K504" type="list">
      <formula1>"Found,Inferred,Proposed,Human"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0"/>
    <col collapsed="false" customWidth="true" hidden="false" outlineLevel="0" max="4" min="4" style="0" width="52"/>
    <col collapsed="false" customWidth="true" hidden="false" outlineLevel="0" max="6" min="5" style="0" width="36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36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3" min="13" style="0" width="8"/>
    <col collapsed="false" customWidth="true" hidden="false" outlineLevel="0" max="15" min="14" style="0" width="10"/>
    <col collapsed="false" customWidth="true" hidden="false" outlineLevel="0" max="16" min="16" style="0" width="14"/>
    <col collapsed="false" customWidth="true" hidden="false" outlineLevel="0" max="17" min="17" style="0" width="10"/>
    <col collapsed="false" customWidth="true" hidden="false" outlineLevel="0" max="18" min="18" style="0" width="44"/>
    <col collapsed="false" customWidth="true" hidden="false" outlineLevel="0" max="19" min="19" style="0" width="8"/>
    <col collapsed="false" customWidth="true" hidden="false" outlineLevel="0" max="20" min="20" style="0" width="11"/>
    <col collapsed="false" customWidth="true" hidden="false" outlineLevel="0" max="21" min="21" style="0" width="26"/>
    <col collapsed="false" customWidth="true" hidden="false" outlineLevel="0" max="22" min="22" style="0" width="11"/>
    <col collapsed="false" customWidth="true" hidden="false" outlineLevel="0" max="23" min="23" style="0" width="12"/>
    <col collapsed="false" customWidth="true" hidden="false" outlineLevel="0" max="24" min="24" style="0" width="14"/>
  </cols>
  <sheetData>
    <row r="1" customFormat="false" ht="17.35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" t="s">
        <v>457</v>
      </c>
    </row>
    <row r="4" customFormat="false" ht="33.75" hidden="false" customHeight="true" outlineLevel="0" collapsed="false">
      <c r="A4" s="16" t="s">
        <v>184</v>
      </c>
      <c r="B4" s="17" t="s">
        <v>187</v>
      </c>
      <c r="C4" s="17" t="s">
        <v>189</v>
      </c>
      <c r="D4" s="17" t="s">
        <v>192</v>
      </c>
      <c r="E4" s="17" t="s">
        <v>195</v>
      </c>
      <c r="F4" s="17" t="s">
        <v>198</v>
      </c>
      <c r="G4" s="17" t="s">
        <v>201</v>
      </c>
      <c r="H4" s="17" t="s">
        <v>204</v>
      </c>
      <c r="I4" s="17" t="s">
        <v>207</v>
      </c>
      <c r="J4" s="16" t="s">
        <v>458</v>
      </c>
      <c r="K4" s="17" t="s">
        <v>210</v>
      </c>
      <c r="L4" s="17" t="s">
        <v>213</v>
      </c>
      <c r="M4" s="17" t="s">
        <v>215</v>
      </c>
      <c r="N4" s="17" t="s">
        <v>218</v>
      </c>
      <c r="O4" s="17" t="s">
        <v>220</v>
      </c>
      <c r="P4" s="17" t="s">
        <v>223</v>
      </c>
      <c r="Q4" s="17" t="s">
        <v>148</v>
      </c>
      <c r="R4" s="17" t="s">
        <v>75</v>
      </c>
      <c r="S4" s="16" t="s">
        <v>459</v>
      </c>
      <c r="T4" s="17" t="s">
        <v>153</v>
      </c>
      <c r="U4" s="17" t="s">
        <v>156</v>
      </c>
      <c r="V4" s="17" t="s">
        <v>159</v>
      </c>
      <c r="W4" s="17" t="s">
        <v>162</v>
      </c>
      <c r="X4" s="17" t="s">
        <v>165</v>
      </c>
    </row>
    <row r="5" customFormat="false" ht="15" hidden="false" customHeight="false" outlineLevel="0" collapsed="false">
      <c r="A5" s="18"/>
      <c r="B5" s="20"/>
      <c r="C5" s="19"/>
      <c r="D5" s="20"/>
      <c r="E5" s="20"/>
      <c r="F5" s="20"/>
      <c r="G5" s="20"/>
      <c r="H5" s="20"/>
      <c r="I5" s="20"/>
      <c r="J5" s="18"/>
      <c r="K5" s="21" t="str">
        <f aca="false">IF(A5="","",IF(I5="",0,LEN(I5)-LEN(SUBSTITUTE(I5,",",""))+1))</f>
        <v/>
      </c>
      <c r="L5" s="21" t="str">
        <f aca="false">IF(A5="","",COUNTIF('Metric to Product'!$A:$A,A5))</f>
        <v/>
      </c>
      <c r="M5" s="21" t="str">
        <f aca="false">IF(A5="","",COUNTIF('Metric to Field'!$A:$A,A5))</f>
        <v/>
      </c>
      <c r="N5" s="21" t="str">
        <f aca="false">IF(B5="","",COUNTIF($B:$B,B5))</f>
        <v/>
      </c>
      <c r="O5" s="21" t="str">
        <f aca="false">IF(A5="","",COUNTIF($S:$S,S5)-1)</f>
        <v/>
      </c>
      <c r="P5" s="20"/>
      <c r="Q5" s="20"/>
      <c r="R5" s="20"/>
      <c r="S5" s="18" t="str">
        <f aca="false">IF(A5="","",LOWER(TRIM(D5&amp;"|"&amp;E5&amp;"|"&amp;F5)))</f>
        <v/>
      </c>
      <c r="T5" s="20"/>
      <c r="U5" s="20"/>
      <c r="V5" s="20"/>
      <c r="W5" s="20"/>
      <c r="X5" s="20"/>
    </row>
    <row r="6" customFormat="false" ht="15" hidden="false" customHeight="false" outlineLevel="0" collapsed="false">
      <c r="A6" s="18"/>
      <c r="B6" s="20"/>
      <c r="C6" s="19"/>
      <c r="D6" s="20"/>
      <c r="E6" s="20"/>
      <c r="F6" s="20"/>
      <c r="G6" s="20"/>
      <c r="H6" s="20"/>
      <c r="I6" s="20"/>
      <c r="J6" s="18"/>
      <c r="K6" s="21" t="str">
        <f aca="false">IF(A6="","",IF(I6="",0,LEN(I6)-LEN(SUBSTITUTE(I6,",",""))+1))</f>
        <v/>
      </c>
      <c r="L6" s="21" t="str">
        <f aca="false">IF(A6="","",COUNTIF('Metric to Product'!$A:$A,A6))</f>
        <v/>
      </c>
      <c r="M6" s="21" t="str">
        <f aca="false">IF(A6="","",COUNTIF('Metric to Field'!$A:$A,A6))</f>
        <v/>
      </c>
      <c r="N6" s="21" t="str">
        <f aca="false">IF(B6="","",COUNTIF($B:$B,B6))</f>
        <v/>
      </c>
      <c r="O6" s="21" t="str">
        <f aca="false">IF(A6="","",COUNTIF($S:$S,S6)-1)</f>
        <v/>
      </c>
      <c r="P6" s="20"/>
      <c r="Q6" s="20"/>
      <c r="R6" s="20"/>
      <c r="S6" s="18" t="str">
        <f aca="false">IF(A6="","",LOWER(TRIM(D6&amp;"|"&amp;E6&amp;"|"&amp;F6)))</f>
        <v/>
      </c>
      <c r="T6" s="20"/>
      <c r="U6" s="20"/>
      <c r="V6" s="20"/>
      <c r="W6" s="20"/>
      <c r="X6" s="20"/>
    </row>
    <row r="7" customFormat="false" ht="15" hidden="false" customHeight="false" outlineLevel="0" collapsed="false">
      <c r="A7" s="18"/>
      <c r="B7" s="20"/>
      <c r="C7" s="19"/>
      <c r="D7" s="20"/>
      <c r="E7" s="20"/>
      <c r="F7" s="20"/>
      <c r="G7" s="20"/>
      <c r="H7" s="20"/>
      <c r="I7" s="20"/>
      <c r="J7" s="18"/>
      <c r="K7" s="21" t="str">
        <f aca="false">IF(A7="","",IF(I7="",0,LEN(I7)-LEN(SUBSTITUTE(I7,",",""))+1))</f>
        <v/>
      </c>
      <c r="L7" s="21" t="str">
        <f aca="false">IF(A7="","",COUNTIF('Metric to Product'!$A:$A,A7))</f>
        <v/>
      </c>
      <c r="M7" s="21" t="str">
        <f aca="false">IF(A7="","",COUNTIF('Metric to Field'!$A:$A,A7))</f>
        <v/>
      </c>
      <c r="N7" s="21" t="str">
        <f aca="false">IF(B7="","",COUNTIF($B:$B,B7))</f>
        <v/>
      </c>
      <c r="O7" s="21" t="str">
        <f aca="false">IF(A7="","",COUNTIF($S:$S,S7)-1)</f>
        <v/>
      </c>
      <c r="P7" s="20"/>
      <c r="Q7" s="20"/>
      <c r="R7" s="20"/>
      <c r="S7" s="18" t="str">
        <f aca="false">IF(A7="","",LOWER(TRIM(D7&amp;"|"&amp;E7&amp;"|"&amp;F7)))</f>
        <v/>
      </c>
      <c r="T7" s="20"/>
      <c r="U7" s="20"/>
      <c r="V7" s="20"/>
      <c r="W7" s="20"/>
      <c r="X7" s="20"/>
    </row>
    <row r="8" customFormat="false" ht="15" hidden="false" customHeight="false" outlineLevel="0" collapsed="false">
      <c r="A8" s="18"/>
      <c r="B8" s="20"/>
      <c r="C8" s="19"/>
      <c r="D8" s="20"/>
      <c r="E8" s="20"/>
      <c r="F8" s="20"/>
      <c r="G8" s="20"/>
      <c r="H8" s="20"/>
      <c r="I8" s="20"/>
      <c r="J8" s="18"/>
      <c r="K8" s="21" t="str">
        <f aca="false">IF(A8="","",IF(I8="",0,LEN(I8)-LEN(SUBSTITUTE(I8,",",""))+1))</f>
        <v/>
      </c>
      <c r="L8" s="21" t="str">
        <f aca="false">IF(A8="","",COUNTIF('Metric to Product'!$A:$A,A8))</f>
        <v/>
      </c>
      <c r="M8" s="21" t="str">
        <f aca="false">IF(A8="","",COUNTIF('Metric to Field'!$A:$A,A8))</f>
        <v/>
      </c>
      <c r="N8" s="21" t="str">
        <f aca="false">IF(B8="","",COUNTIF($B:$B,B8))</f>
        <v/>
      </c>
      <c r="O8" s="21" t="str">
        <f aca="false">IF(A8="","",COUNTIF($S:$S,S8)-1)</f>
        <v/>
      </c>
      <c r="P8" s="20"/>
      <c r="Q8" s="20"/>
      <c r="R8" s="20"/>
      <c r="S8" s="18" t="str">
        <f aca="false">IF(A8="","",LOWER(TRIM(D8&amp;"|"&amp;E8&amp;"|"&amp;F8)))</f>
        <v/>
      </c>
      <c r="T8" s="20"/>
      <c r="U8" s="20"/>
      <c r="V8" s="20"/>
      <c r="W8" s="20"/>
      <c r="X8" s="20"/>
    </row>
    <row r="9" customFormat="false" ht="15" hidden="false" customHeight="false" outlineLevel="0" collapsed="false">
      <c r="A9" s="18"/>
      <c r="B9" s="20"/>
      <c r="C9" s="19"/>
      <c r="D9" s="20"/>
      <c r="E9" s="20"/>
      <c r="F9" s="20"/>
      <c r="G9" s="20"/>
      <c r="H9" s="20"/>
      <c r="I9" s="20"/>
      <c r="J9" s="18"/>
      <c r="K9" s="21" t="str">
        <f aca="false">IF(A9="","",IF(I9="",0,LEN(I9)-LEN(SUBSTITUTE(I9,",",""))+1))</f>
        <v/>
      </c>
      <c r="L9" s="21" t="str">
        <f aca="false">IF(A9="","",COUNTIF('Metric to Product'!$A:$A,A9))</f>
        <v/>
      </c>
      <c r="M9" s="21" t="str">
        <f aca="false">IF(A9="","",COUNTIF('Metric to Field'!$A:$A,A9))</f>
        <v/>
      </c>
      <c r="N9" s="21" t="str">
        <f aca="false">IF(B9="","",COUNTIF($B:$B,B9))</f>
        <v/>
      </c>
      <c r="O9" s="21" t="str">
        <f aca="false">IF(A9="","",COUNTIF($S:$S,S9)-1)</f>
        <v/>
      </c>
      <c r="P9" s="20"/>
      <c r="Q9" s="20"/>
      <c r="R9" s="20"/>
      <c r="S9" s="18" t="str">
        <f aca="false">IF(A9="","",LOWER(TRIM(D9&amp;"|"&amp;E9&amp;"|"&amp;F9)))</f>
        <v/>
      </c>
      <c r="T9" s="20"/>
      <c r="U9" s="20"/>
      <c r="V9" s="20"/>
      <c r="W9" s="20"/>
      <c r="X9" s="20"/>
    </row>
    <row r="10" customFormat="false" ht="15" hidden="false" customHeight="false" outlineLevel="0" collapsed="false">
      <c r="A10" s="18"/>
      <c r="B10" s="20"/>
      <c r="C10" s="19"/>
      <c r="D10" s="20"/>
      <c r="E10" s="20"/>
      <c r="F10" s="20"/>
      <c r="G10" s="20"/>
      <c r="H10" s="20"/>
      <c r="I10" s="20"/>
      <c r="J10" s="18"/>
      <c r="K10" s="21" t="str">
        <f aca="false">IF(A10="","",IF(I10="",0,LEN(I10)-LEN(SUBSTITUTE(I10,",",""))+1))</f>
        <v/>
      </c>
      <c r="L10" s="21" t="str">
        <f aca="false">IF(A10="","",COUNTIF('Metric to Product'!$A:$A,A10))</f>
        <v/>
      </c>
      <c r="M10" s="21" t="str">
        <f aca="false">IF(A10="","",COUNTIF('Metric to Field'!$A:$A,A10))</f>
        <v/>
      </c>
      <c r="N10" s="21" t="str">
        <f aca="false">IF(B10="","",COUNTIF($B:$B,B10))</f>
        <v/>
      </c>
      <c r="O10" s="21" t="str">
        <f aca="false">IF(A10="","",COUNTIF($S:$S,S10)-1)</f>
        <v/>
      </c>
      <c r="P10" s="20"/>
      <c r="Q10" s="20"/>
      <c r="R10" s="20"/>
      <c r="S10" s="18" t="str">
        <f aca="false">IF(A10="","",LOWER(TRIM(D10&amp;"|"&amp;E10&amp;"|"&amp;F10)))</f>
        <v/>
      </c>
      <c r="T10" s="20"/>
      <c r="U10" s="20"/>
      <c r="V10" s="20"/>
      <c r="W10" s="20"/>
      <c r="X10" s="20"/>
    </row>
    <row r="11" customFormat="false" ht="15" hidden="false" customHeight="false" outlineLevel="0" collapsed="false">
      <c r="A11" s="18"/>
      <c r="B11" s="20"/>
      <c r="C11" s="19"/>
      <c r="D11" s="20"/>
      <c r="E11" s="20"/>
      <c r="F11" s="20"/>
      <c r="G11" s="20"/>
      <c r="H11" s="20"/>
      <c r="I11" s="20"/>
      <c r="J11" s="18"/>
      <c r="K11" s="21" t="str">
        <f aca="false">IF(A11="","",IF(I11="",0,LEN(I11)-LEN(SUBSTITUTE(I11,",",""))+1))</f>
        <v/>
      </c>
      <c r="L11" s="21" t="str">
        <f aca="false">IF(A11="","",COUNTIF('Metric to Product'!$A:$A,A11))</f>
        <v/>
      </c>
      <c r="M11" s="21" t="str">
        <f aca="false">IF(A11="","",COUNTIF('Metric to Field'!$A:$A,A11))</f>
        <v/>
      </c>
      <c r="N11" s="21" t="str">
        <f aca="false">IF(B11="","",COUNTIF($B:$B,B11))</f>
        <v/>
      </c>
      <c r="O11" s="21" t="str">
        <f aca="false">IF(A11="","",COUNTIF($S:$S,S11)-1)</f>
        <v/>
      </c>
      <c r="P11" s="20"/>
      <c r="Q11" s="20"/>
      <c r="R11" s="20"/>
      <c r="S11" s="18" t="str">
        <f aca="false">IF(A11="","",LOWER(TRIM(D11&amp;"|"&amp;E11&amp;"|"&amp;F11)))</f>
        <v/>
      </c>
      <c r="T11" s="20"/>
      <c r="U11" s="20"/>
      <c r="V11" s="20"/>
      <c r="W11" s="20"/>
      <c r="X11" s="20"/>
    </row>
    <row r="12" customFormat="false" ht="15" hidden="false" customHeight="false" outlineLevel="0" collapsed="false">
      <c r="A12" s="18"/>
      <c r="B12" s="20"/>
      <c r="C12" s="19"/>
      <c r="D12" s="20"/>
      <c r="E12" s="20"/>
      <c r="F12" s="20"/>
      <c r="G12" s="20"/>
      <c r="H12" s="20"/>
      <c r="I12" s="20"/>
      <c r="J12" s="18"/>
      <c r="K12" s="21" t="str">
        <f aca="false">IF(A12="","",IF(I12="",0,LEN(I12)-LEN(SUBSTITUTE(I12,",",""))+1))</f>
        <v/>
      </c>
      <c r="L12" s="21" t="str">
        <f aca="false">IF(A12="","",COUNTIF('Metric to Product'!$A:$A,A12))</f>
        <v/>
      </c>
      <c r="M12" s="21" t="str">
        <f aca="false">IF(A12="","",COUNTIF('Metric to Field'!$A:$A,A12))</f>
        <v/>
      </c>
      <c r="N12" s="21" t="str">
        <f aca="false">IF(B12="","",COUNTIF($B:$B,B12))</f>
        <v/>
      </c>
      <c r="O12" s="21" t="str">
        <f aca="false">IF(A12="","",COUNTIF($S:$S,S12)-1)</f>
        <v/>
      </c>
      <c r="P12" s="20"/>
      <c r="Q12" s="20"/>
      <c r="R12" s="20"/>
      <c r="S12" s="18" t="str">
        <f aca="false">IF(A12="","",LOWER(TRIM(D12&amp;"|"&amp;E12&amp;"|"&amp;F12)))</f>
        <v/>
      </c>
      <c r="T12" s="20"/>
      <c r="U12" s="20"/>
      <c r="V12" s="20"/>
      <c r="W12" s="20"/>
      <c r="X12" s="20"/>
    </row>
    <row r="13" customFormat="false" ht="15" hidden="false" customHeight="false" outlineLevel="0" collapsed="false">
      <c r="A13" s="18"/>
      <c r="B13" s="20"/>
      <c r="C13" s="19"/>
      <c r="D13" s="20"/>
      <c r="E13" s="20"/>
      <c r="F13" s="20"/>
      <c r="G13" s="20"/>
      <c r="H13" s="20"/>
      <c r="I13" s="20"/>
      <c r="J13" s="18"/>
      <c r="K13" s="21" t="str">
        <f aca="false">IF(A13="","",IF(I13="",0,LEN(I13)-LEN(SUBSTITUTE(I13,",",""))+1))</f>
        <v/>
      </c>
      <c r="L13" s="21" t="str">
        <f aca="false">IF(A13="","",COUNTIF('Metric to Product'!$A:$A,A13))</f>
        <v/>
      </c>
      <c r="M13" s="21" t="str">
        <f aca="false">IF(A13="","",COUNTIF('Metric to Field'!$A:$A,A13))</f>
        <v/>
      </c>
      <c r="N13" s="21" t="str">
        <f aca="false">IF(B13="","",COUNTIF($B:$B,B13))</f>
        <v/>
      </c>
      <c r="O13" s="21" t="str">
        <f aca="false">IF(A13="","",COUNTIF($S:$S,S13)-1)</f>
        <v/>
      </c>
      <c r="P13" s="20"/>
      <c r="Q13" s="20"/>
      <c r="R13" s="20"/>
      <c r="S13" s="18" t="str">
        <f aca="false">IF(A13="","",LOWER(TRIM(D13&amp;"|"&amp;E13&amp;"|"&amp;F13)))</f>
        <v/>
      </c>
      <c r="T13" s="20"/>
      <c r="U13" s="20"/>
      <c r="V13" s="20"/>
      <c r="W13" s="20"/>
      <c r="X13" s="20"/>
    </row>
    <row r="14" customFormat="false" ht="15" hidden="false" customHeight="false" outlineLevel="0" collapsed="false">
      <c r="A14" s="18"/>
      <c r="B14" s="20"/>
      <c r="C14" s="19"/>
      <c r="D14" s="20"/>
      <c r="E14" s="20"/>
      <c r="F14" s="20"/>
      <c r="G14" s="20"/>
      <c r="H14" s="20"/>
      <c r="I14" s="20"/>
      <c r="J14" s="18"/>
      <c r="K14" s="21" t="str">
        <f aca="false">IF(A14="","",IF(I14="",0,LEN(I14)-LEN(SUBSTITUTE(I14,",",""))+1))</f>
        <v/>
      </c>
      <c r="L14" s="21" t="str">
        <f aca="false">IF(A14="","",COUNTIF('Metric to Product'!$A:$A,A14))</f>
        <v/>
      </c>
      <c r="M14" s="21" t="str">
        <f aca="false">IF(A14="","",COUNTIF('Metric to Field'!$A:$A,A14))</f>
        <v/>
      </c>
      <c r="N14" s="21" t="str">
        <f aca="false">IF(B14="","",COUNTIF($B:$B,B14))</f>
        <v/>
      </c>
      <c r="O14" s="21" t="str">
        <f aca="false">IF(A14="","",COUNTIF($S:$S,S14)-1)</f>
        <v/>
      </c>
      <c r="P14" s="20"/>
      <c r="Q14" s="20"/>
      <c r="R14" s="20"/>
      <c r="S14" s="18" t="str">
        <f aca="false">IF(A14="","",LOWER(TRIM(D14&amp;"|"&amp;E14&amp;"|"&amp;F14)))</f>
        <v/>
      </c>
      <c r="T14" s="20"/>
      <c r="U14" s="20"/>
      <c r="V14" s="20"/>
      <c r="W14" s="20"/>
      <c r="X14" s="20"/>
    </row>
    <row r="15" customFormat="false" ht="15" hidden="false" customHeight="false" outlineLevel="0" collapsed="false">
      <c r="A15" s="18"/>
      <c r="B15" s="20"/>
      <c r="C15" s="19"/>
      <c r="D15" s="20"/>
      <c r="E15" s="20"/>
      <c r="F15" s="20"/>
      <c r="G15" s="20"/>
      <c r="H15" s="20"/>
      <c r="I15" s="20"/>
      <c r="J15" s="18"/>
      <c r="K15" s="21" t="str">
        <f aca="false">IF(A15="","",IF(I15="",0,LEN(I15)-LEN(SUBSTITUTE(I15,",",""))+1))</f>
        <v/>
      </c>
      <c r="L15" s="21" t="str">
        <f aca="false">IF(A15="","",COUNTIF('Metric to Product'!$A:$A,A15))</f>
        <v/>
      </c>
      <c r="M15" s="21" t="str">
        <f aca="false">IF(A15="","",COUNTIF('Metric to Field'!$A:$A,A15))</f>
        <v/>
      </c>
      <c r="N15" s="21" t="str">
        <f aca="false">IF(B15="","",COUNTIF($B:$B,B15))</f>
        <v/>
      </c>
      <c r="O15" s="21" t="str">
        <f aca="false">IF(A15="","",COUNTIF($S:$S,S15)-1)</f>
        <v/>
      </c>
      <c r="P15" s="20"/>
      <c r="Q15" s="20"/>
      <c r="R15" s="20"/>
      <c r="S15" s="18" t="str">
        <f aca="false">IF(A15="","",LOWER(TRIM(D15&amp;"|"&amp;E15&amp;"|"&amp;F15)))</f>
        <v/>
      </c>
      <c r="T15" s="20"/>
      <c r="U15" s="20"/>
      <c r="V15" s="20"/>
      <c r="W15" s="20"/>
      <c r="X15" s="20"/>
    </row>
    <row r="16" customFormat="false" ht="15" hidden="false" customHeight="false" outlineLevel="0" collapsed="false">
      <c r="A16" s="18"/>
      <c r="B16" s="20"/>
      <c r="C16" s="19"/>
      <c r="D16" s="20"/>
      <c r="E16" s="20"/>
      <c r="F16" s="20"/>
      <c r="G16" s="20"/>
      <c r="H16" s="20"/>
      <c r="I16" s="20"/>
      <c r="J16" s="18"/>
      <c r="K16" s="21" t="str">
        <f aca="false">IF(A16="","",IF(I16="",0,LEN(I16)-LEN(SUBSTITUTE(I16,",",""))+1))</f>
        <v/>
      </c>
      <c r="L16" s="21" t="str">
        <f aca="false">IF(A16="","",COUNTIF('Metric to Product'!$A:$A,A16))</f>
        <v/>
      </c>
      <c r="M16" s="21" t="str">
        <f aca="false">IF(A16="","",COUNTIF('Metric to Field'!$A:$A,A16))</f>
        <v/>
      </c>
      <c r="N16" s="21" t="str">
        <f aca="false">IF(B16="","",COUNTIF($B:$B,B16))</f>
        <v/>
      </c>
      <c r="O16" s="21" t="str">
        <f aca="false">IF(A16="","",COUNTIF($S:$S,S16)-1)</f>
        <v/>
      </c>
      <c r="P16" s="20"/>
      <c r="Q16" s="20"/>
      <c r="R16" s="20"/>
      <c r="S16" s="18" t="str">
        <f aca="false">IF(A16="","",LOWER(TRIM(D16&amp;"|"&amp;E16&amp;"|"&amp;F16)))</f>
        <v/>
      </c>
      <c r="T16" s="20"/>
      <c r="U16" s="20"/>
      <c r="V16" s="20"/>
      <c r="W16" s="20"/>
      <c r="X16" s="20"/>
    </row>
    <row r="17" customFormat="false" ht="15" hidden="false" customHeight="false" outlineLevel="0" collapsed="false">
      <c r="A17" s="18"/>
      <c r="B17" s="20"/>
      <c r="C17" s="19"/>
      <c r="D17" s="20"/>
      <c r="E17" s="20"/>
      <c r="F17" s="20"/>
      <c r="G17" s="20"/>
      <c r="H17" s="20"/>
      <c r="I17" s="20"/>
      <c r="J17" s="18"/>
      <c r="K17" s="21" t="str">
        <f aca="false">IF(A17="","",IF(I17="",0,LEN(I17)-LEN(SUBSTITUTE(I17,",",""))+1))</f>
        <v/>
      </c>
      <c r="L17" s="21" t="str">
        <f aca="false">IF(A17="","",COUNTIF('Metric to Product'!$A:$A,A17))</f>
        <v/>
      </c>
      <c r="M17" s="21" t="str">
        <f aca="false">IF(A17="","",COUNTIF('Metric to Field'!$A:$A,A17))</f>
        <v/>
      </c>
      <c r="N17" s="21" t="str">
        <f aca="false">IF(B17="","",COUNTIF($B:$B,B17))</f>
        <v/>
      </c>
      <c r="O17" s="21" t="str">
        <f aca="false">IF(A17="","",COUNTIF($S:$S,S17)-1)</f>
        <v/>
      </c>
      <c r="P17" s="20"/>
      <c r="Q17" s="20"/>
      <c r="R17" s="20"/>
      <c r="S17" s="18" t="str">
        <f aca="false">IF(A17="","",LOWER(TRIM(D17&amp;"|"&amp;E17&amp;"|"&amp;F17)))</f>
        <v/>
      </c>
      <c r="T17" s="20"/>
      <c r="U17" s="20"/>
      <c r="V17" s="20"/>
      <c r="W17" s="20"/>
      <c r="X17" s="20"/>
    </row>
    <row r="18" customFormat="false" ht="15" hidden="false" customHeight="false" outlineLevel="0" collapsed="false">
      <c r="A18" s="18"/>
      <c r="B18" s="20"/>
      <c r="C18" s="19"/>
      <c r="D18" s="20"/>
      <c r="E18" s="20"/>
      <c r="F18" s="20"/>
      <c r="G18" s="20"/>
      <c r="H18" s="20"/>
      <c r="I18" s="20"/>
      <c r="J18" s="18"/>
      <c r="K18" s="21" t="str">
        <f aca="false">IF(A18="","",IF(I18="",0,LEN(I18)-LEN(SUBSTITUTE(I18,",",""))+1))</f>
        <v/>
      </c>
      <c r="L18" s="21" t="str">
        <f aca="false">IF(A18="","",COUNTIF('Metric to Product'!$A:$A,A18))</f>
        <v/>
      </c>
      <c r="M18" s="21" t="str">
        <f aca="false">IF(A18="","",COUNTIF('Metric to Field'!$A:$A,A18))</f>
        <v/>
      </c>
      <c r="N18" s="21" t="str">
        <f aca="false">IF(B18="","",COUNTIF($B:$B,B18))</f>
        <v/>
      </c>
      <c r="O18" s="21" t="str">
        <f aca="false">IF(A18="","",COUNTIF($S:$S,S18)-1)</f>
        <v/>
      </c>
      <c r="P18" s="20"/>
      <c r="Q18" s="20"/>
      <c r="R18" s="20"/>
      <c r="S18" s="18" t="str">
        <f aca="false">IF(A18="","",LOWER(TRIM(D18&amp;"|"&amp;E18&amp;"|"&amp;F18)))</f>
        <v/>
      </c>
      <c r="T18" s="20"/>
      <c r="U18" s="20"/>
      <c r="V18" s="20"/>
      <c r="W18" s="20"/>
      <c r="X18" s="20"/>
    </row>
    <row r="19" customFormat="false" ht="15" hidden="false" customHeight="false" outlineLevel="0" collapsed="false">
      <c r="A19" s="18"/>
      <c r="B19" s="20"/>
      <c r="C19" s="19"/>
      <c r="D19" s="20"/>
      <c r="E19" s="20"/>
      <c r="F19" s="20"/>
      <c r="G19" s="20"/>
      <c r="H19" s="20"/>
      <c r="I19" s="20"/>
      <c r="J19" s="18"/>
      <c r="K19" s="21" t="str">
        <f aca="false">IF(A19="","",IF(I19="",0,LEN(I19)-LEN(SUBSTITUTE(I19,",",""))+1))</f>
        <v/>
      </c>
      <c r="L19" s="21" t="str">
        <f aca="false">IF(A19="","",COUNTIF('Metric to Product'!$A:$A,A19))</f>
        <v/>
      </c>
      <c r="M19" s="21" t="str">
        <f aca="false">IF(A19="","",COUNTIF('Metric to Field'!$A:$A,A19))</f>
        <v/>
      </c>
      <c r="N19" s="21" t="str">
        <f aca="false">IF(B19="","",COUNTIF($B:$B,B19))</f>
        <v/>
      </c>
      <c r="O19" s="21" t="str">
        <f aca="false">IF(A19="","",COUNTIF($S:$S,S19)-1)</f>
        <v/>
      </c>
      <c r="P19" s="20"/>
      <c r="Q19" s="20"/>
      <c r="R19" s="20"/>
      <c r="S19" s="18" t="str">
        <f aca="false">IF(A19="","",LOWER(TRIM(D19&amp;"|"&amp;E19&amp;"|"&amp;F19)))</f>
        <v/>
      </c>
      <c r="T19" s="20"/>
      <c r="U19" s="20"/>
      <c r="V19" s="20"/>
      <c r="W19" s="20"/>
      <c r="X19" s="20"/>
    </row>
    <row r="20" customFormat="false" ht="15" hidden="false" customHeight="false" outlineLevel="0" collapsed="false">
      <c r="A20" s="18"/>
      <c r="B20" s="20"/>
      <c r="C20" s="19"/>
      <c r="D20" s="20"/>
      <c r="E20" s="20"/>
      <c r="F20" s="20"/>
      <c r="G20" s="20"/>
      <c r="H20" s="20"/>
      <c r="I20" s="20"/>
      <c r="J20" s="18"/>
      <c r="K20" s="21" t="str">
        <f aca="false">IF(A20="","",IF(I20="",0,LEN(I20)-LEN(SUBSTITUTE(I20,",",""))+1))</f>
        <v/>
      </c>
      <c r="L20" s="21" t="str">
        <f aca="false">IF(A20="","",COUNTIF('Metric to Product'!$A:$A,A20))</f>
        <v/>
      </c>
      <c r="M20" s="21" t="str">
        <f aca="false">IF(A20="","",COUNTIF('Metric to Field'!$A:$A,A20))</f>
        <v/>
      </c>
      <c r="N20" s="21" t="str">
        <f aca="false">IF(B20="","",COUNTIF($B:$B,B20))</f>
        <v/>
      </c>
      <c r="O20" s="21" t="str">
        <f aca="false">IF(A20="","",COUNTIF($S:$S,S20)-1)</f>
        <v/>
      </c>
      <c r="P20" s="20"/>
      <c r="Q20" s="20"/>
      <c r="R20" s="20"/>
      <c r="S20" s="18" t="str">
        <f aca="false">IF(A20="","",LOWER(TRIM(D20&amp;"|"&amp;E20&amp;"|"&amp;F20)))</f>
        <v/>
      </c>
      <c r="T20" s="20"/>
      <c r="U20" s="20"/>
      <c r="V20" s="20"/>
      <c r="W20" s="20"/>
      <c r="X20" s="20"/>
    </row>
    <row r="21" customFormat="false" ht="15" hidden="false" customHeight="false" outlineLevel="0" collapsed="false">
      <c r="A21" s="18"/>
      <c r="B21" s="20"/>
      <c r="C21" s="19"/>
      <c r="D21" s="20"/>
      <c r="E21" s="20"/>
      <c r="F21" s="20"/>
      <c r="G21" s="20"/>
      <c r="H21" s="20"/>
      <c r="I21" s="20"/>
      <c r="J21" s="18"/>
      <c r="K21" s="21" t="str">
        <f aca="false">IF(A21="","",IF(I21="",0,LEN(I21)-LEN(SUBSTITUTE(I21,",",""))+1))</f>
        <v/>
      </c>
      <c r="L21" s="21" t="str">
        <f aca="false">IF(A21="","",COUNTIF('Metric to Product'!$A:$A,A21))</f>
        <v/>
      </c>
      <c r="M21" s="21" t="str">
        <f aca="false">IF(A21="","",COUNTIF('Metric to Field'!$A:$A,A21))</f>
        <v/>
      </c>
      <c r="N21" s="21" t="str">
        <f aca="false">IF(B21="","",COUNTIF($B:$B,B21))</f>
        <v/>
      </c>
      <c r="O21" s="21" t="str">
        <f aca="false">IF(A21="","",COUNTIF($S:$S,S21)-1)</f>
        <v/>
      </c>
      <c r="P21" s="20"/>
      <c r="Q21" s="20"/>
      <c r="R21" s="20"/>
      <c r="S21" s="18" t="str">
        <f aca="false">IF(A21="","",LOWER(TRIM(D21&amp;"|"&amp;E21&amp;"|"&amp;F21)))</f>
        <v/>
      </c>
      <c r="T21" s="20"/>
      <c r="U21" s="20"/>
      <c r="V21" s="20"/>
      <c r="W21" s="20"/>
      <c r="X21" s="20"/>
    </row>
    <row r="22" customFormat="false" ht="15" hidden="false" customHeight="false" outlineLevel="0" collapsed="false">
      <c r="A22" s="18"/>
      <c r="B22" s="20"/>
      <c r="C22" s="19"/>
      <c r="D22" s="20"/>
      <c r="E22" s="20"/>
      <c r="F22" s="20"/>
      <c r="G22" s="20"/>
      <c r="H22" s="20"/>
      <c r="I22" s="20"/>
      <c r="J22" s="18"/>
      <c r="K22" s="21" t="str">
        <f aca="false">IF(A22="","",IF(I22="",0,LEN(I22)-LEN(SUBSTITUTE(I22,",",""))+1))</f>
        <v/>
      </c>
      <c r="L22" s="21" t="str">
        <f aca="false">IF(A22="","",COUNTIF('Metric to Product'!$A:$A,A22))</f>
        <v/>
      </c>
      <c r="M22" s="21" t="str">
        <f aca="false">IF(A22="","",COUNTIF('Metric to Field'!$A:$A,A22))</f>
        <v/>
      </c>
      <c r="N22" s="21" t="str">
        <f aca="false">IF(B22="","",COUNTIF($B:$B,B22))</f>
        <v/>
      </c>
      <c r="O22" s="21" t="str">
        <f aca="false">IF(A22="","",COUNTIF($S:$S,S22)-1)</f>
        <v/>
      </c>
      <c r="P22" s="20"/>
      <c r="Q22" s="20"/>
      <c r="R22" s="20"/>
      <c r="S22" s="18" t="str">
        <f aca="false">IF(A22="","",LOWER(TRIM(D22&amp;"|"&amp;E22&amp;"|"&amp;F22)))</f>
        <v/>
      </c>
      <c r="T22" s="20"/>
      <c r="U22" s="20"/>
      <c r="V22" s="20"/>
      <c r="W22" s="20"/>
      <c r="X22" s="20"/>
    </row>
    <row r="23" customFormat="false" ht="15" hidden="false" customHeight="false" outlineLevel="0" collapsed="false">
      <c r="A23" s="18"/>
      <c r="B23" s="20"/>
      <c r="C23" s="19"/>
      <c r="D23" s="20"/>
      <c r="E23" s="20"/>
      <c r="F23" s="20"/>
      <c r="G23" s="20"/>
      <c r="H23" s="20"/>
      <c r="I23" s="20"/>
      <c r="J23" s="18"/>
      <c r="K23" s="21" t="str">
        <f aca="false">IF(A23="","",IF(I23="",0,LEN(I23)-LEN(SUBSTITUTE(I23,",",""))+1))</f>
        <v/>
      </c>
      <c r="L23" s="21" t="str">
        <f aca="false">IF(A23="","",COUNTIF('Metric to Product'!$A:$A,A23))</f>
        <v/>
      </c>
      <c r="M23" s="21" t="str">
        <f aca="false">IF(A23="","",COUNTIF('Metric to Field'!$A:$A,A23))</f>
        <v/>
      </c>
      <c r="N23" s="21" t="str">
        <f aca="false">IF(B23="","",COUNTIF($B:$B,B23))</f>
        <v/>
      </c>
      <c r="O23" s="21" t="str">
        <f aca="false">IF(A23="","",COUNTIF($S:$S,S23)-1)</f>
        <v/>
      </c>
      <c r="P23" s="20"/>
      <c r="Q23" s="20"/>
      <c r="R23" s="20"/>
      <c r="S23" s="18" t="str">
        <f aca="false">IF(A23="","",LOWER(TRIM(D23&amp;"|"&amp;E23&amp;"|"&amp;F23)))</f>
        <v/>
      </c>
      <c r="T23" s="20"/>
      <c r="U23" s="20"/>
      <c r="V23" s="20"/>
      <c r="W23" s="20"/>
      <c r="X23" s="20"/>
    </row>
    <row r="24" customFormat="false" ht="15" hidden="false" customHeight="false" outlineLevel="0" collapsed="false">
      <c r="A24" s="18"/>
      <c r="B24" s="20"/>
      <c r="C24" s="19"/>
      <c r="D24" s="20"/>
      <c r="E24" s="20"/>
      <c r="F24" s="20"/>
      <c r="G24" s="20"/>
      <c r="H24" s="20"/>
      <c r="I24" s="20"/>
      <c r="J24" s="18"/>
      <c r="K24" s="21" t="str">
        <f aca="false">IF(A24="","",IF(I24="",0,LEN(I24)-LEN(SUBSTITUTE(I24,",",""))+1))</f>
        <v/>
      </c>
      <c r="L24" s="21" t="str">
        <f aca="false">IF(A24="","",COUNTIF('Metric to Product'!$A:$A,A24))</f>
        <v/>
      </c>
      <c r="M24" s="21" t="str">
        <f aca="false">IF(A24="","",COUNTIF('Metric to Field'!$A:$A,A24))</f>
        <v/>
      </c>
      <c r="N24" s="21" t="str">
        <f aca="false">IF(B24="","",COUNTIF($B:$B,B24))</f>
        <v/>
      </c>
      <c r="O24" s="21" t="str">
        <f aca="false">IF(A24="","",COUNTIF($S:$S,S24)-1)</f>
        <v/>
      </c>
      <c r="P24" s="20"/>
      <c r="Q24" s="20"/>
      <c r="R24" s="20"/>
      <c r="S24" s="18" t="str">
        <f aca="false">IF(A24="","",LOWER(TRIM(D24&amp;"|"&amp;E24&amp;"|"&amp;F24)))</f>
        <v/>
      </c>
      <c r="T24" s="20"/>
      <c r="U24" s="20"/>
      <c r="V24" s="20"/>
      <c r="W24" s="20"/>
      <c r="X24" s="20"/>
    </row>
    <row r="25" customFormat="false" ht="15" hidden="false" customHeight="false" outlineLevel="0" collapsed="false">
      <c r="A25" s="18"/>
      <c r="B25" s="20"/>
      <c r="C25" s="19"/>
      <c r="D25" s="20"/>
      <c r="E25" s="20"/>
      <c r="F25" s="20"/>
      <c r="G25" s="20"/>
      <c r="H25" s="20"/>
      <c r="I25" s="20"/>
      <c r="J25" s="18"/>
      <c r="K25" s="21" t="str">
        <f aca="false">IF(A25="","",IF(I25="",0,LEN(I25)-LEN(SUBSTITUTE(I25,",",""))+1))</f>
        <v/>
      </c>
      <c r="L25" s="21" t="str">
        <f aca="false">IF(A25="","",COUNTIF('Metric to Product'!$A:$A,A25))</f>
        <v/>
      </c>
      <c r="M25" s="21" t="str">
        <f aca="false">IF(A25="","",COUNTIF('Metric to Field'!$A:$A,A25))</f>
        <v/>
      </c>
      <c r="N25" s="21" t="str">
        <f aca="false">IF(B25="","",COUNTIF($B:$B,B25))</f>
        <v/>
      </c>
      <c r="O25" s="21" t="str">
        <f aca="false">IF(A25="","",COUNTIF($S:$S,S25)-1)</f>
        <v/>
      </c>
      <c r="P25" s="20"/>
      <c r="Q25" s="20"/>
      <c r="R25" s="20"/>
      <c r="S25" s="18" t="str">
        <f aca="false">IF(A25="","",LOWER(TRIM(D25&amp;"|"&amp;E25&amp;"|"&amp;F25)))</f>
        <v/>
      </c>
      <c r="T25" s="20"/>
      <c r="U25" s="20"/>
      <c r="V25" s="20"/>
      <c r="W25" s="20"/>
      <c r="X25" s="20"/>
    </row>
    <row r="26" customFormat="false" ht="15" hidden="false" customHeight="false" outlineLevel="0" collapsed="false">
      <c r="A26" s="18"/>
      <c r="B26" s="20"/>
      <c r="C26" s="19"/>
      <c r="D26" s="20"/>
      <c r="E26" s="20"/>
      <c r="F26" s="20"/>
      <c r="G26" s="20"/>
      <c r="H26" s="20"/>
      <c r="I26" s="20"/>
      <c r="J26" s="18"/>
      <c r="K26" s="21" t="str">
        <f aca="false">IF(A26="","",IF(I26="",0,LEN(I26)-LEN(SUBSTITUTE(I26,",",""))+1))</f>
        <v/>
      </c>
      <c r="L26" s="21" t="str">
        <f aca="false">IF(A26="","",COUNTIF('Metric to Product'!$A:$A,A26))</f>
        <v/>
      </c>
      <c r="M26" s="21" t="str">
        <f aca="false">IF(A26="","",COUNTIF('Metric to Field'!$A:$A,A26))</f>
        <v/>
      </c>
      <c r="N26" s="21" t="str">
        <f aca="false">IF(B26="","",COUNTIF($B:$B,B26))</f>
        <v/>
      </c>
      <c r="O26" s="21" t="str">
        <f aca="false">IF(A26="","",COUNTIF($S:$S,S26)-1)</f>
        <v/>
      </c>
      <c r="P26" s="20"/>
      <c r="Q26" s="20"/>
      <c r="R26" s="20"/>
      <c r="S26" s="18" t="str">
        <f aca="false">IF(A26="","",LOWER(TRIM(D26&amp;"|"&amp;E26&amp;"|"&amp;F26)))</f>
        <v/>
      </c>
      <c r="T26" s="20"/>
      <c r="U26" s="20"/>
      <c r="V26" s="20"/>
      <c r="W26" s="20"/>
      <c r="X26" s="20"/>
    </row>
    <row r="27" customFormat="false" ht="15" hidden="false" customHeight="false" outlineLevel="0" collapsed="false">
      <c r="A27" s="18"/>
      <c r="B27" s="20"/>
      <c r="C27" s="19"/>
      <c r="D27" s="20"/>
      <c r="E27" s="20"/>
      <c r="F27" s="20"/>
      <c r="G27" s="20"/>
      <c r="H27" s="20"/>
      <c r="I27" s="20"/>
      <c r="J27" s="18"/>
      <c r="K27" s="21" t="str">
        <f aca="false">IF(A27="","",IF(I27="",0,LEN(I27)-LEN(SUBSTITUTE(I27,",",""))+1))</f>
        <v/>
      </c>
      <c r="L27" s="21" t="str">
        <f aca="false">IF(A27="","",COUNTIF('Metric to Product'!$A:$A,A27))</f>
        <v/>
      </c>
      <c r="M27" s="21" t="str">
        <f aca="false">IF(A27="","",COUNTIF('Metric to Field'!$A:$A,A27))</f>
        <v/>
      </c>
      <c r="N27" s="21" t="str">
        <f aca="false">IF(B27="","",COUNTIF($B:$B,B27))</f>
        <v/>
      </c>
      <c r="O27" s="21" t="str">
        <f aca="false">IF(A27="","",COUNTIF($S:$S,S27)-1)</f>
        <v/>
      </c>
      <c r="P27" s="20"/>
      <c r="Q27" s="20"/>
      <c r="R27" s="20"/>
      <c r="S27" s="18" t="str">
        <f aca="false">IF(A27="","",LOWER(TRIM(D27&amp;"|"&amp;E27&amp;"|"&amp;F27)))</f>
        <v/>
      </c>
      <c r="T27" s="20"/>
      <c r="U27" s="20"/>
      <c r="V27" s="20"/>
      <c r="W27" s="20"/>
      <c r="X27" s="20"/>
    </row>
    <row r="28" customFormat="false" ht="15" hidden="false" customHeight="false" outlineLevel="0" collapsed="false">
      <c r="A28" s="18"/>
      <c r="B28" s="20"/>
      <c r="C28" s="19"/>
      <c r="D28" s="20"/>
      <c r="E28" s="20"/>
      <c r="F28" s="20"/>
      <c r="G28" s="20"/>
      <c r="H28" s="20"/>
      <c r="I28" s="20"/>
      <c r="J28" s="18"/>
      <c r="K28" s="21" t="str">
        <f aca="false">IF(A28="","",IF(I28="",0,LEN(I28)-LEN(SUBSTITUTE(I28,",",""))+1))</f>
        <v/>
      </c>
      <c r="L28" s="21" t="str">
        <f aca="false">IF(A28="","",COUNTIF('Metric to Product'!$A:$A,A28))</f>
        <v/>
      </c>
      <c r="M28" s="21" t="str">
        <f aca="false">IF(A28="","",COUNTIF('Metric to Field'!$A:$A,A28))</f>
        <v/>
      </c>
      <c r="N28" s="21" t="str">
        <f aca="false">IF(B28="","",COUNTIF($B:$B,B28))</f>
        <v/>
      </c>
      <c r="O28" s="21" t="str">
        <f aca="false">IF(A28="","",COUNTIF($S:$S,S28)-1)</f>
        <v/>
      </c>
      <c r="P28" s="20"/>
      <c r="Q28" s="20"/>
      <c r="R28" s="20"/>
      <c r="S28" s="18" t="str">
        <f aca="false">IF(A28="","",LOWER(TRIM(D28&amp;"|"&amp;E28&amp;"|"&amp;F28)))</f>
        <v/>
      </c>
      <c r="T28" s="20"/>
      <c r="U28" s="20"/>
      <c r="V28" s="20"/>
      <c r="W28" s="20"/>
      <c r="X28" s="20"/>
    </row>
    <row r="29" customFormat="false" ht="15" hidden="false" customHeight="false" outlineLevel="0" collapsed="false">
      <c r="A29" s="18"/>
      <c r="B29" s="20"/>
      <c r="C29" s="19"/>
      <c r="D29" s="20"/>
      <c r="E29" s="20"/>
      <c r="F29" s="20"/>
      <c r="G29" s="20"/>
      <c r="H29" s="20"/>
      <c r="I29" s="20"/>
      <c r="J29" s="18"/>
      <c r="K29" s="21" t="str">
        <f aca="false">IF(A29="","",IF(I29="",0,LEN(I29)-LEN(SUBSTITUTE(I29,",",""))+1))</f>
        <v/>
      </c>
      <c r="L29" s="21" t="str">
        <f aca="false">IF(A29="","",COUNTIF('Metric to Product'!$A:$A,A29))</f>
        <v/>
      </c>
      <c r="M29" s="21" t="str">
        <f aca="false">IF(A29="","",COUNTIF('Metric to Field'!$A:$A,A29))</f>
        <v/>
      </c>
      <c r="N29" s="21" t="str">
        <f aca="false">IF(B29="","",COUNTIF($B:$B,B29))</f>
        <v/>
      </c>
      <c r="O29" s="21" t="str">
        <f aca="false">IF(A29="","",COUNTIF($S:$S,S29)-1)</f>
        <v/>
      </c>
      <c r="P29" s="20"/>
      <c r="Q29" s="20"/>
      <c r="R29" s="20"/>
      <c r="S29" s="18" t="str">
        <f aca="false">IF(A29="","",LOWER(TRIM(D29&amp;"|"&amp;E29&amp;"|"&amp;F29)))</f>
        <v/>
      </c>
      <c r="T29" s="20"/>
      <c r="U29" s="20"/>
      <c r="V29" s="20"/>
      <c r="W29" s="20"/>
      <c r="X29" s="20"/>
    </row>
    <row r="30" customFormat="false" ht="15" hidden="false" customHeight="false" outlineLevel="0" collapsed="false">
      <c r="A30" s="18"/>
      <c r="B30" s="20"/>
      <c r="C30" s="19"/>
      <c r="D30" s="20"/>
      <c r="E30" s="20"/>
      <c r="F30" s="20"/>
      <c r="G30" s="20"/>
      <c r="H30" s="20"/>
      <c r="I30" s="20"/>
      <c r="J30" s="18"/>
      <c r="K30" s="21" t="str">
        <f aca="false">IF(A30="","",IF(I30="",0,LEN(I30)-LEN(SUBSTITUTE(I30,",",""))+1))</f>
        <v/>
      </c>
      <c r="L30" s="21" t="str">
        <f aca="false">IF(A30="","",COUNTIF('Metric to Product'!$A:$A,A30))</f>
        <v/>
      </c>
      <c r="M30" s="21" t="str">
        <f aca="false">IF(A30="","",COUNTIF('Metric to Field'!$A:$A,A30))</f>
        <v/>
      </c>
      <c r="N30" s="21" t="str">
        <f aca="false">IF(B30="","",COUNTIF($B:$B,B30))</f>
        <v/>
      </c>
      <c r="O30" s="21" t="str">
        <f aca="false">IF(A30="","",COUNTIF($S:$S,S30)-1)</f>
        <v/>
      </c>
      <c r="P30" s="20"/>
      <c r="Q30" s="20"/>
      <c r="R30" s="20"/>
      <c r="S30" s="18" t="str">
        <f aca="false">IF(A30="","",LOWER(TRIM(D30&amp;"|"&amp;E30&amp;"|"&amp;F30)))</f>
        <v/>
      </c>
      <c r="T30" s="20"/>
      <c r="U30" s="20"/>
      <c r="V30" s="20"/>
      <c r="W30" s="20"/>
      <c r="X30" s="20"/>
    </row>
    <row r="31" customFormat="false" ht="15" hidden="false" customHeight="false" outlineLevel="0" collapsed="false">
      <c r="A31" s="18"/>
      <c r="B31" s="20"/>
      <c r="C31" s="19"/>
      <c r="D31" s="20"/>
      <c r="E31" s="20"/>
      <c r="F31" s="20"/>
      <c r="G31" s="20"/>
      <c r="H31" s="20"/>
      <c r="I31" s="20"/>
      <c r="J31" s="18"/>
      <c r="K31" s="21" t="str">
        <f aca="false">IF(A31="","",IF(I31="",0,LEN(I31)-LEN(SUBSTITUTE(I31,",",""))+1))</f>
        <v/>
      </c>
      <c r="L31" s="21" t="str">
        <f aca="false">IF(A31="","",COUNTIF('Metric to Product'!$A:$A,A31))</f>
        <v/>
      </c>
      <c r="M31" s="21" t="str">
        <f aca="false">IF(A31="","",COUNTIF('Metric to Field'!$A:$A,A31))</f>
        <v/>
      </c>
      <c r="N31" s="21" t="str">
        <f aca="false">IF(B31="","",COUNTIF($B:$B,B31))</f>
        <v/>
      </c>
      <c r="O31" s="21" t="str">
        <f aca="false">IF(A31="","",COUNTIF($S:$S,S31)-1)</f>
        <v/>
      </c>
      <c r="P31" s="20"/>
      <c r="Q31" s="20"/>
      <c r="R31" s="20"/>
      <c r="S31" s="18" t="str">
        <f aca="false">IF(A31="","",LOWER(TRIM(D31&amp;"|"&amp;E31&amp;"|"&amp;F31)))</f>
        <v/>
      </c>
      <c r="T31" s="20"/>
      <c r="U31" s="20"/>
      <c r="V31" s="20"/>
      <c r="W31" s="20"/>
      <c r="X31" s="20"/>
    </row>
    <row r="32" customFormat="false" ht="15" hidden="false" customHeight="false" outlineLevel="0" collapsed="false">
      <c r="A32" s="18"/>
      <c r="B32" s="20"/>
      <c r="C32" s="19"/>
      <c r="D32" s="20"/>
      <c r="E32" s="20"/>
      <c r="F32" s="20"/>
      <c r="G32" s="20"/>
      <c r="H32" s="20"/>
      <c r="I32" s="20"/>
      <c r="J32" s="18"/>
      <c r="K32" s="21" t="str">
        <f aca="false">IF(A32="","",IF(I32="",0,LEN(I32)-LEN(SUBSTITUTE(I32,",",""))+1))</f>
        <v/>
      </c>
      <c r="L32" s="21" t="str">
        <f aca="false">IF(A32="","",COUNTIF('Metric to Product'!$A:$A,A32))</f>
        <v/>
      </c>
      <c r="M32" s="21" t="str">
        <f aca="false">IF(A32="","",COUNTIF('Metric to Field'!$A:$A,A32))</f>
        <v/>
      </c>
      <c r="N32" s="21" t="str">
        <f aca="false">IF(B32="","",COUNTIF($B:$B,B32))</f>
        <v/>
      </c>
      <c r="O32" s="21" t="str">
        <f aca="false">IF(A32="","",COUNTIF($S:$S,S32)-1)</f>
        <v/>
      </c>
      <c r="P32" s="20"/>
      <c r="Q32" s="20"/>
      <c r="R32" s="20"/>
      <c r="S32" s="18" t="str">
        <f aca="false">IF(A32="","",LOWER(TRIM(D32&amp;"|"&amp;E32&amp;"|"&amp;F32)))</f>
        <v/>
      </c>
      <c r="T32" s="20"/>
      <c r="U32" s="20"/>
      <c r="V32" s="20"/>
      <c r="W32" s="20"/>
      <c r="X32" s="20"/>
    </row>
    <row r="33" customFormat="false" ht="15" hidden="false" customHeight="false" outlineLevel="0" collapsed="false">
      <c r="A33" s="18"/>
      <c r="B33" s="20"/>
      <c r="C33" s="19"/>
      <c r="D33" s="20"/>
      <c r="E33" s="20"/>
      <c r="F33" s="20"/>
      <c r="G33" s="20"/>
      <c r="H33" s="20"/>
      <c r="I33" s="20"/>
      <c r="J33" s="18"/>
      <c r="K33" s="21" t="str">
        <f aca="false">IF(A33="","",IF(I33="",0,LEN(I33)-LEN(SUBSTITUTE(I33,",",""))+1))</f>
        <v/>
      </c>
      <c r="L33" s="21" t="str">
        <f aca="false">IF(A33="","",COUNTIF('Metric to Product'!$A:$A,A33))</f>
        <v/>
      </c>
      <c r="M33" s="21" t="str">
        <f aca="false">IF(A33="","",COUNTIF('Metric to Field'!$A:$A,A33))</f>
        <v/>
      </c>
      <c r="N33" s="21" t="str">
        <f aca="false">IF(B33="","",COUNTIF($B:$B,B33))</f>
        <v/>
      </c>
      <c r="O33" s="21" t="str">
        <f aca="false">IF(A33="","",COUNTIF($S:$S,S33)-1)</f>
        <v/>
      </c>
      <c r="P33" s="20"/>
      <c r="Q33" s="20"/>
      <c r="R33" s="20"/>
      <c r="S33" s="18" t="str">
        <f aca="false">IF(A33="","",LOWER(TRIM(D33&amp;"|"&amp;E33&amp;"|"&amp;F33)))</f>
        <v/>
      </c>
      <c r="T33" s="20"/>
      <c r="U33" s="20"/>
      <c r="V33" s="20"/>
      <c r="W33" s="20"/>
      <c r="X33" s="20"/>
    </row>
    <row r="34" customFormat="false" ht="15" hidden="false" customHeight="false" outlineLevel="0" collapsed="false">
      <c r="A34" s="18"/>
      <c r="B34" s="20"/>
      <c r="C34" s="19"/>
      <c r="D34" s="20"/>
      <c r="E34" s="20"/>
      <c r="F34" s="20"/>
      <c r="G34" s="20"/>
      <c r="H34" s="20"/>
      <c r="I34" s="20"/>
      <c r="J34" s="18"/>
      <c r="K34" s="21" t="str">
        <f aca="false">IF(A34="","",IF(I34="",0,LEN(I34)-LEN(SUBSTITUTE(I34,",",""))+1))</f>
        <v/>
      </c>
      <c r="L34" s="21" t="str">
        <f aca="false">IF(A34="","",COUNTIF('Metric to Product'!$A:$A,A34))</f>
        <v/>
      </c>
      <c r="M34" s="21" t="str">
        <f aca="false">IF(A34="","",COUNTIF('Metric to Field'!$A:$A,A34))</f>
        <v/>
      </c>
      <c r="N34" s="21" t="str">
        <f aca="false">IF(B34="","",COUNTIF($B:$B,B34))</f>
        <v/>
      </c>
      <c r="O34" s="21" t="str">
        <f aca="false">IF(A34="","",COUNTIF($S:$S,S34)-1)</f>
        <v/>
      </c>
      <c r="P34" s="20"/>
      <c r="Q34" s="20"/>
      <c r="R34" s="20"/>
      <c r="S34" s="18" t="str">
        <f aca="false">IF(A34="","",LOWER(TRIM(D34&amp;"|"&amp;E34&amp;"|"&amp;F34)))</f>
        <v/>
      </c>
      <c r="T34" s="20"/>
      <c r="U34" s="20"/>
      <c r="V34" s="20"/>
      <c r="W34" s="20"/>
      <c r="X34" s="20"/>
    </row>
    <row r="35" customFormat="false" ht="15" hidden="false" customHeight="false" outlineLevel="0" collapsed="false">
      <c r="A35" s="18"/>
      <c r="B35" s="20"/>
      <c r="C35" s="19"/>
      <c r="D35" s="20"/>
      <c r="E35" s="20"/>
      <c r="F35" s="20"/>
      <c r="G35" s="20"/>
      <c r="H35" s="20"/>
      <c r="I35" s="20"/>
      <c r="J35" s="18"/>
      <c r="K35" s="21" t="str">
        <f aca="false">IF(A35="","",IF(I35="",0,LEN(I35)-LEN(SUBSTITUTE(I35,",",""))+1))</f>
        <v/>
      </c>
      <c r="L35" s="21" t="str">
        <f aca="false">IF(A35="","",COUNTIF('Metric to Product'!$A:$A,A35))</f>
        <v/>
      </c>
      <c r="M35" s="21" t="str">
        <f aca="false">IF(A35="","",COUNTIF('Metric to Field'!$A:$A,A35))</f>
        <v/>
      </c>
      <c r="N35" s="21" t="str">
        <f aca="false">IF(B35="","",COUNTIF($B:$B,B35))</f>
        <v/>
      </c>
      <c r="O35" s="21" t="str">
        <f aca="false">IF(A35="","",COUNTIF($S:$S,S35)-1)</f>
        <v/>
      </c>
      <c r="P35" s="20"/>
      <c r="Q35" s="20"/>
      <c r="R35" s="20"/>
      <c r="S35" s="18" t="str">
        <f aca="false">IF(A35="","",LOWER(TRIM(D35&amp;"|"&amp;E35&amp;"|"&amp;F35)))</f>
        <v/>
      </c>
      <c r="T35" s="20"/>
      <c r="U35" s="20"/>
      <c r="V35" s="20"/>
      <c r="W35" s="20"/>
      <c r="X35" s="20"/>
    </row>
    <row r="36" customFormat="false" ht="15" hidden="false" customHeight="false" outlineLevel="0" collapsed="false">
      <c r="A36" s="18"/>
      <c r="B36" s="20"/>
      <c r="C36" s="19"/>
      <c r="D36" s="20"/>
      <c r="E36" s="20"/>
      <c r="F36" s="20"/>
      <c r="G36" s="20"/>
      <c r="H36" s="20"/>
      <c r="I36" s="20"/>
      <c r="J36" s="18"/>
      <c r="K36" s="21" t="str">
        <f aca="false">IF(A36="","",IF(I36="",0,LEN(I36)-LEN(SUBSTITUTE(I36,",",""))+1))</f>
        <v/>
      </c>
      <c r="L36" s="21" t="str">
        <f aca="false">IF(A36="","",COUNTIF('Metric to Product'!$A:$A,A36))</f>
        <v/>
      </c>
      <c r="M36" s="21" t="str">
        <f aca="false">IF(A36="","",COUNTIF('Metric to Field'!$A:$A,A36))</f>
        <v/>
      </c>
      <c r="N36" s="21" t="str">
        <f aca="false">IF(B36="","",COUNTIF($B:$B,B36))</f>
        <v/>
      </c>
      <c r="O36" s="21" t="str">
        <f aca="false">IF(A36="","",COUNTIF($S:$S,S36)-1)</f>
        <v/>
      </c>
      <c r="P36" s="20"/>
      <c r="Q36" s="20"/>
      <c r="R36" s="20"/>
      <c r="S36" s="18" t="str">
        <f aca="false">IF(A36="","",LOWER(TRIM(D36&amp;"|"&amp;E36&amp;"|"&amp;F36)))</f>
        <v/>
      </c>
      <c r="T36" s="20"/>
      <c r="U36" s="20"/>
      <c r="V36" s="20"/>
      <c r="W36" s="20"/>
      <c r="X36" s="20"/>
    </row>
    <row r="37" customFormat="false" ht="15" hidden="false" customHeight="false" outlineLevel="0" collapsed="false">
      <c r="A37" s="18"/>
      <c r="B37" s="20"/>
      <c r="C37" s="19"/>
      <c r="D37" s="20"/>
      <c r="E37" s="20"/>
      <c r="F37" s="20"/>
      <c r="G37" s="20"/>
      <c r="H37" s="20"/>
      <c r="I37" s="20"/>
      <c r="J37" s="18"/>
      <c r="K37" s="21" t="str">
        <f aca="false">IF(A37="","",IF(I37="",0,LEN(I37)-LEN(SUBSTITUTE(I37,",",""))+1))</f>
        <v/>
      </c>
      <c r="L37" s="21" t="str">
        <f aca="false">IF(A37="","",COUNTIF('Metric to Product'!$A:$A,A37))</f>
        <v/>
      </c>
      <c r="M37" s="21" t="str">
        <f aca="false">IF(A37="","",COUNTIF('Metric to Field'!$A:$A,A37))</f>
        <v/>
      </c>
      <c r="N37" s="21" t="str">
        <f aca="false">IF(B37="","",COUNTIF($B:$B,B37))</f>
        <v/>
      </c>
      <c r="O37" s="21" t="str">
        <f aca="false">IF(A37="","",COUNTIF($S:$S,S37)-1)</f>
        <v/>
      </c>
      <c r="P37" s="20"/>
      <c r="Q37" s="20"/>
      <c r="R37" s="20"/>
      <c r="S37" s="18" t="str">
        <f aca="false">IF(A37="","",LOWER(TRIM(D37&amp;"|"&amp;E37&amp;"|"&amp;F37)))</f>
        <v/>
      </c>
      <c r="T37" s="20"/>
      <c r="U37" s="20"/>
      <c r="V37" s="20"/>
      <c r="W37" s="20"/>
      <c r="X37" s="20"/>
    </row>
    <row r="38" customFormat="false" ht="15" hidden="false" customHeight="false" outlineLevel="0" collapsed="false">
      <c r="A38" s="18"/>
      <c r="B38" s="20"/>
      <c r="C38" s="19"/>
      <c r="D38" s="20"/>
      <c r="E38" s="20"/>
      <c r="F38" s="20"/>
      <c r="G38" s="20"/>
      <c r="H38" s="20"/>
      <c r="I38" s="20"/>
      <c r="J38" s="18"/>
      <c r="K38" s="21" t="str">
        <f aca="false">IF(A38="","",IF(I38="",0,LEN(I38)-LEN(SUBSTITUTE(I38,",",""))+1))</f>
        <v/>
      </c>
      <c r="L38" s="21" t="str">
        <f aca="false">IF(A38="","",COUNTIF('Metric to Product'!$A:$A,A38))</f>
        <v/>
      </c>
      <c r="M38" s="21" t="str">
        <f aca="false">IF(A38="","",COUNTIF('Metric to Field'!$A:$A,A38))</f>
        <v/>
      </c>
      <c r="N38" s="21" t="str">
        <f aca="false">IF(B38="","",COUNTIF($B:$B,B38))</f>
        <v/>
      </c>
      <c r="O38" s="21" t="str">
        <f aca="false">IF(A38="","",COUNTIF($S:$S,S38)-1)</f>
        <v/>
      </c>
      <c r="P38" s="20"/>
      <c r="Q38" s="20"/>
      <c r="R38" s="20"/>
      <c r="S38" s="18" t="str">
        <f aca="false">IF(A38="","",LOWER(TRIM(D38&amp;"|"&amp;E38&amp;"|"&amp;F38)))</f>
        <v/>
      </c>
      <c r="T38" s="20"/>
      <c r="U38" s="20"/>
      <c r="V38" s="20"/>
      <c r="W38" s="20"/>
      <c r="X38" s="20"/>
    </row>
    <row r="39" customFormat="false" ht="15" hidden="false" customHeight="false" outlineLevel="0" collapsed="false">
      <c r="A39" s="18"/>
      <c r="B39" s="20"/>
      <c r="C39" s="19"/>
      <c r="D39" s="20"/>
      <c r="E39" s="20"/>
      <c r="F39" s="20"/>
      <c r="G39" s="20"/>
      <c r="H39" s="20"/>
      <c r="I39" s="20"/>
      <c r="J39" s="18"/>
      <c r="K39" s="21" t="str">
        <f aca="false">IF(A39="","",IF(I39="",0,LEN(I39)-LEN(SUBSTITUTE(I39,",",""))+1))</f>
        <v/>
      </c>
      <c r="L39" s="21" t="str">
        <f aca="false">IF(A39="","",COUNTIF('Metric to Product'!$A:$A,A39))</f>
        <v/>
      </c>
      <c r="M39" s="21" t="str">
        <f aca="false">IF(A39="","",COUNTIF('Metric to Field'!$A:$A,A39))</f>
        <v/>
      </c>
      <c r="N39" s="21" t="str">
        <f aca="false">IF(B39="","",COUNTIF($B:$B,B39))</f>
        <v/>
      </c>
      <c r="O39" s="21" t="str">
        <f aca="false">IF(A39="","",COUNTIF($S:$S,S39)-1)</f>
        <v/>
      </c>
      <c r="P39" s="20"/>
      <c r="Q39" s="20"/>
      <c r="R39" s="20"/>
      <c r="S39" s="18" t="str">
        <f aca="false">IF(A39="","",LOWER(TRIM(D39&amp;"|"&amp;E39&amp;"|"&amp;F39)))</f>
        <v/>
      </c>
      <c r="T39" s="20"/>
      <c r="U39" s="20"/>
      <c r="V39" s="20"/>
      <c r="W39" s="20"/>
      <c r="X39" s="20"/>
    </row>
    <row r="40" customFormat="false" ht="15" hidden="false" customHeight="false" outlineLevel="0" collapsed="false">
      <c r="A40" s="18"/>
      <c r="B40" s="20"/>
      <c r="C40" s="19"/>
      <c r="D40" s="20"/>
      <c r="E40" s="20"/>
      <c r="F40" s="20"/>
      <c r="G40" s="20"/>
      <c r="H40" s="20"/>
      <c r="I40" s="20"/>
      <c r="J40" s="18"/>
      <c r="K40" s="21" t="str">
        <f aca="false">IF(A40="","",IF(I40="",0,LEN(I40)-LEN(SUBSTITUTE(I40,",",""))+1))</f>
        <v/>
      </c>
      <c r="L40" s="21" t="str">
        <f aca="false">IF(A40="","",COUNTIF('Metric to Product'!$A:$A,A40))</f>
        <v/>
      </c>
      <c r="M40" s="21" t="str">
        <f aca="false">IF(A40="","",COUNTIF('Metric to Field'!$A:$A,A40))</f>
        <v/>
      </c>
      <c r="N40" s="21" t="str">
        <f aca="false">IF(B40="","",COUNTIF($B:$B,B40))</f>
        <v/>
      </c>
      <c r="O40" s="21" t="str">
        <f aca="false">IF(A40="","",COUNTIF($S:$S,S40)-1)</f>
        <v/>
      </c>
      <c r="P40" s="20"/>
      <c r="Q40" s="20"/>
      <c r="R40" s="20"/>
      <c r="S40" s="18" t="str">
        <f aca="false">IF(A40="","",LOWER(TRIM(D40&amp;"|"&amp;E40&amp;"|"&amp;F40)))</f>
        <v/>
      </c>
      <c r="T40" s="20"/>
      <c r="U40" s="20"/>
      <c r="V40" s="20"/>
      <c r="W40" s="20"/>
      <c r="X40" s="20"/>
    </row>
    <row r="41" customFormat="false" ht="15" hidden="false" customHeight="false" outlineLevel="0" collapsed="false">
      <c r="A41" s="18"/>
      <c r="B41" s="20"/>
      <c r="C41" s="19"/>
      <c r="D41" s="20"/>
      <c r="E41" s="20"/>
      <c r="F41" s="20"/>
      <c r="G41" s="20"/>
      <c r="H41" s="20"/>
      <c r="I41" s="20"/>
      <c r="J41" s="18"/>
      <c r="K41" s="21" t="str">
        <f aca="false">IF(A41="","",IF(I41="",0,LEN(I41)-LEN(SUBSTITUTE(I41,",",""))+1))</f>
        <v/>
      </c>
      <c r="L41" s="21" t="str">
        <f aca="false">IF(A41="","",COUNTIF('Metric to Product'!$A:$A,A41))</f>
        <v/>
      </c>
      <c r="M41" s="21" t="str">
        <f aca="false">IF(A41="","",COUNTIF('Metric to Field'!$A:$A,A41))</f>
        <v/>
      </c>
      <c r="N41" s="21" t="str">
        <f aca="false">IF(B41="","",COUNTIF($B:$B,B41))</f>
        <v/>
      </c>
      <c r="O41" s="21" t="str">
        <f aca="false">IF(A41="","",COUNTIF($S:$S,S41)-1)</f>
        <v/>
      </c>
      <c r="P41" s="20"/>
      <c r="Q41" s="20"/>
      <c r="R41" s="20"/>
      <c r="S41" s="18" t="str">
        <f aca="false">IF(A41="","",LOWER(TRIM(D41&amp;"|"&amp;E41&amp;"|"&amp;F41)))</f>
        <v/>
      </c>
      <c r="T41" s="20"/>
      <c r="U41" s="20"/>
      <c r="V41" s="20"/>
      <c r="W41" s="20"/>
      <c r="X41" s="20"/>
    </row>
    <row r="42" customFormat="false" ht="15" hidden="false" customHeight="false" outlineLevel="0" collapsed="false">
      <c r="A42" s="18"/>
      <c r="B42" s="20"/>
      <c r="C42" s="19"/>
      <c r="D42" s="20"/>
      <c r="E42" s="20"/>
      <c r="F42" s="20"/>
      <c r="G42" s="20"/>
      <c r="H42" s="20"/>
      <c r="I42" s="20"/>
      <c r="J42" s="18"/>
      <c r="K42" s="21" t="str">
        <f aca="false">IF(A42="","",IF(I42="",0,LEN(I42)-LEN(SUBSTITUTE(I42,",",""))+1))</f>
        <v/>
      </c>
      <c r="L42" s="21" t="str">
        <f aca="false">IF(A42="","",COUNTIF('Metric to Product'!$A:$A,A42))</f>
        <v/>
      </c>
      <c r="M42" s="21" t="str">
        <f aca="false">IF(A42="","",COUNTIF('Metric to Field'!$A:$A,A42))</f>
        <v/>
      </c>
      <c r="N42" s="21" t="str">
        <f aca="false">IF(B42="","",COUNTIF($B:$B,B42))</f>
        <v/>
      </c>
      <c r="O42" s="21" t="str">
        <f aca="false">IF(A42="","",COUNTIF($S:$S,S42)-1)</f>
        <v/>
      </c>
      <c r="P42" s="20"/>
      <c r="Q42" s="20"/>
      <c r="R42" s="20"/>
      <c r="S42" s="18" t="str">
        <f aca="false">IF(A42="","",LOWER(TRIM(D42&amp;"|"&amp;E42&amp;"|"&amp;F42)))</f>
        <v/>
      </c>
      <c r="T42" s="20"/>
      <c r="U42" s="20"/>
      <c r="V42" s="20"/>
      <c r="W42" s="20"/>
      <c r="X42" s="20"/>
    </row>
    <row r="43" customFormat="false" ht="15" hidden="false" customHeight="false" outlineLevel="0" collapsed="false">
      <c r="A43" s="18"/>
      <c r="B43" s="20"/>
      <c r="C43" s="19"/>
      <c r="D43" s="20"/>
      <c r="E43" s="20"/>
      <c r="F43" s="20"/>
      <c r="G43" s="20"/>
      <c r="H43" s="20"/>
      <c r="I43" s="20"/>
      <c r="J43" s="18"/>
      <c r="K43" s="21" t="str">
        <f aca="false">IF(A43="","",IF(I43="",0,LEN(I43)-LEN(SUBSTITUTE(I43,",",""))+1))</f>
        <v/>
      </c>
      <c r="L43" s="21" t="str">
        <f aca="false">IF(A43="","",COUNTIF('Metric to Product'!$A:$A,A43))</f>
        <v/>
      </c>
      <c r="M43" s="21" t="str">
        <f aca="false">IF(A43="","",COUNTIF('Metric to Field'!$A:$A,A43))</f>
        <v/>
      </c>
      <c r="N43" s="21" t="str">
        <f aca="false">IF(B43="","",COUNTIF($B:$B,B43))</f>
        <v/>
      </c>
      <c r="O43" s="21" t="str">
        <f aca="false">IF(A43="","",COUNTIF($S:$S,S43)-1)</f>
        <v/>
      </c>
      <c r="P43" s="20"/>
      <c r="Q43" s="20"/>
      <c r="R43" s="20"/>
      <c r="S43" s="18" t="str">
        <f aca="false">IF(A43="","",LOWER(TRIM(D43&amp;"|"&amp;E43&amp;"|"&amp;F43)))</f>
        <v/>
      </c>
      <c r="T43" s="20"/>
      <c r="U43" s="20"/>
      <c r="V43" s="20"/>
      <c r="W43" s="20"/>
      <c r="X43" s="20"/>
    </row>
    <row r="44" customFormat="false" ht="15" hidden="false" customHeight="false" outlineLevel="0" collapsed="false">
      <c r="A44" s="18"/>
      <c r="B44" s="20"/>
      <c r="C44" s="19"/>
      <c r="D44" s="20"/>
      <c r="E44" s="20"/>
      <c r="F44" s="20"/>
      <c r="G44" s="20"/>
      <c r="H44" s="20"/>
      <c r="I44" s="20"/>
      <c r="J44" s="18"/>
      <c r="K44" s="21" t="str">
        <f aca="false">IF(A44="","",IF(I44="",0,LEN(I44)-LEN(SUBSTITUTE(I44,",",""))+1))</f>
        <v/>
      </c>
      <c r="L44" s="21" t="str">
        <f aca="false">IF(A44="","",COUNTIF('Metric to Product'!$A:$A,A44))</f>
        <v/>
      </c>
      <c r="M44" s="21" t="str">
        <f aca="false">IF(A44="","",COUNTIF('Metric to Field'!$A:$A,A44))</f>
        <v/>
      </c>
      <c r="N44" s="21" t="str">
        <f aca="false">IF(B44="","",COUNTIF($B:$B,B44))</f>
        <v/>
      </c>
      <c r="O44" s="21" t="str">
        <f aca="false">IF(A44="","",COUNTIF($S:$S,S44)-1)</f>
        <v/>
      </c>
      <c r="P44" s="20"/>
      <c r="Q44" s="20"/>
      <c r="R44" s="20"/>
      <c r="S44" s="18" t="str">
        <f aca="false">IF(A44="","",LOWER(TRIM(D44&amp;"|"&amp;E44&amp;"|"&amp;F44)))</f>
        <v/>
      </c>
      <c r="T44" s="20"/>
      <c r="U44" s="20"/>
      <c r="V44" s="20"/>
      <c r="W44" s="20"/>
      <c r="X44" s="20"/>
    </row>
    <row r="45" customFormat="false" ht="15" hidden="false" customHeight="false" outlineLevel="0" collapsed="false">
      <c r="A45" s="18"/>
      <c r="B45" s="20"/>
      <c r="C45" s="19"/>
      <c r="D45" s="20"/>
      <c r="E45" s="20"/>
      <c r="F45" s="20"/>
      <c r="G45" s="20"/>
      <c r="H45" s="20"/>
      <c r="I45" s="20"/>
      <c r="J45" s="18"/>
      <c r="K45" s="21" t="str">
        <f aca="false">IF(A45="","",IF(I45="",0,LEN(I45)-LEN(SUBSTITUTE(I45,",",""))+1))</f>
        <v/>
      </c>
      <c r="L45" s="21" t="str">
        <f aca="false">IF(A45="","",COUNTIF('Metric to Product'!$A:$A,A45))</f>
        <v/>
      </c>
      <c r="M45" s="21" t="str">
        <f aca="false">IF(A45="","",COUNTIF('Metric to Field'!$A:$A,A45))</f>
        <v/>
      </c>
      <c r="N45" s="21" t="str">
        <f aca="false">IF(B45="","",COUNTIF($B:$B,B45))</f>
        <v/>
      </c>
      <c r="O45" s="21" t="str">
        <f aca="false">IF(A45="","",COUNTIF($S:$S,S45)-1)</f>
        <v/>
      </c>
      <c r="P45" s="20"/>
      <c r="Q45" s="20"/>
      <c r="R45" s="20"/>
      <c r="S45" s="18" t="str">
        <f aca="false">IF(A45="","",LOWER(TRIM(D45&amp;"|"&amp;E45&amp;"|"&amp;F45)))</f>
        <v/>
      </c>
      <c r="T45" s="20"/>
      <c r="U45" s="20"/>
      <c r="V45" s="20"/>
      <c r="W45" s="20"/>
      <c r="X45" s="20"/>
    </row>
    <row r="46" customFormat="false" ht="15" hidden="false" customHeight="false" outlineLevel="0" collapsed="false">
      <c r="A46" s="18"/>
      <c r="B46" s="20"/>
      <c r="C46" s="19"/>
      <c r="D46" s="20"/>
      <c r="E46" s="20"/>
      <c r="F46" s="20"/>
      <c r="G46" s="20"/>
      <c r="H46" s="20"/>
      <c r="I46" s="20"/>
      <c r="J46" s="18"/>
      <c r="K46" s="21" t="str">
        <f aca="false">IF(A46="","",IF(I46="",0,LEN(I46)-LEN(SUBSTITUTE(I46,",",""))+1))</f>
        <v/>
      </c>
      <c r="L46" s="21" t="str">
        <f aca="false">IF(A46="","",COUNTIF('Metric to Product'!$A:$A,A46))</f>
        <v/>
      </c>
      <c r="M46" s="21" t="str">
        <f aca="false">IF(A46="","",COUNTIF('Metric to Field'!$A:$A,A46))</f>
        <v/>
      </c>
      <c r="N46" s="21" t="str">
        <f aca="false">IF(B46="","",COUNTIF($B:$B,B46))</f>
        <v/>
      </c>
      <c r="O46" s="21" t="str">
        <f aca="false">IF(A46="","",COUNTIF($S:$S,S46)-1)</f>
        <v/>
      </c>
      <c r="P46" s="20"/>
      <c r="Q46" s="20"/>
      <c r="R46" s="20"/>
      <c r="S46" s="18" t="str">
        <f aca="false">IF(A46="","",LOWER(TRIM(D46&amp;"|"&amp;E46&amp;"|"&amp;F46)))</f>
        <v/>
      </c>
      <c r="T46" s="20"/>
      <c r="U46" s="20"/>
      <c r="V46" s="20"/>
      <c r="W46" s="20"/>
      <c r="X46" s="20"/>
    </row>
    <row r="47" customFormat="false" ht="15" hidden="false" customHeight="false" outlineLevel="0" collapsed="false">
      <c r="A47" s="18"/>
      <c r="B47" s="20"/>
      <c r="C47" s="19"/>
      <c r="D47" s="20"/>
      <c r="E47" s="20"/>
      <c r="F47" s="20"/>
      <c r="G47" s="20"/>
      <c r="H47" s="20"/>
      <c r="I47" s="20"/>
      <c r="J47" s="18"/>
      <c r="K47" s="21" t="str">
        <f aca="false">IF(A47="","",IF(I47="",0,LEN(I47)-LEN(SUBSTITUTE(I47,",",""))+1))</f>
        <v/>
      </c>
      <c r="L47" s="21" t="str">
        <f aca="false">IF(A47="","",COUNTIF('Metric to Product'!$A:$A,A47))</f>
        <v/>
      </c>
      <c r="M47" s="21" t="str">
        <f aca="false">IF(A47="","",COUNTIF('Metric to Field'!$A:$A,A47))</f>
        <v/>
      </c>
      <c r="N47" s="21" t="str">
        <f aca="false">IF(B47="","",COUNTIF($B:$B,B47))</f>
        <v/>
      </c>
      <c r="O47" s="21" t="str">
        <f aca="false">IF(A47="","",COUNTIF($S:$S,S47)-1)</f>
        <v/>
      </c>
      <c r="P47" s="20"/>
      <c r="Q47" s="20"/>
      <c r="R47" s="20"/>
      <c r="S47" s="18" t="str">
        <f aca="false">IF(A47="","",LOWER(TRIM(D47&amp;"|"&amp;E47&amp;"|"&amp;F47)))</f>
        <v/>
      </c>
      <c r="T47" s="20"/>
      <c r="U47" s="20"/>
      <c r="V47" s="20"/>
      <c r="W47" s="20"/>
      <c r="X47" s="20"/>
    </row>
    <row r="48" customFormat="false" ht="15" hidden="false" customHeight="false" outlineLevel="0" collapsed="false">
      <c r="A48" s="18"/>
      <c r="B48" s="20"/>
      <c r="C48" s="19"/>
      <c r="D48" s="20"/>
      <c r="E48" s="20"/>
      <c r="F48" s="20"/>
      <c r="G48" s="20"/>
      <c r="H48" s="20"/>
      <c r="I48" s="20"/>
      <c r="J48" s="18"/>
      <c r="K48" s="21" t="str">
        <f aca="false">IF(A48="","",IF(I48="",0,LEN(I48)-LEN(SUBSTITUTE(I48,",",""))+1))</f>
        <v/>
      </c>
      <c r="L48" s="21" t="str">
        <f aca="false">IF(A48="","",COUNTIF('Metric to Product'!$A:$A,A48))</f>
        <v/>
      </c>
      <c r="M48" s="21" t="str">
        <f aca="false">IF(A48="","",COUNTIF('Metric to Field'!$A:$A,A48))</f>
        <v/>
      </c>
      <c r="N48" s="21" t="str">
        <f aca="false">IF(B48="","",COUNTIF($B:$B,B48))</f>
        <v/>
      </c>
      <c r="O48" s="21" t="str">
        <f aca="false">IF(A48="","",COUNTIF($S:$S,S48)-1)</f>
        <v/>
      </c>
      <c r="P48" s="20"/>
      <c r="Q48" s="20"/>
      <c r="R48" s="20"/>
      <c r="S48" s="18" t="str">
        <f aca="false">IF(A48="","",LOWER(TRIM(D48&amp;"|"&amp;E48&amp;"|"&amp;F48)))</f>
        <v/>
      </c>
      <c r="T48" s="20"/>
      <c r="U48" s="20"/>
      <c r="V48" s="20"/>
      <c r="W48" s="20"/>
      <c r="X48" s="20"/>
    </row>
    <row r="49" customFormat="false" ht="15" hidden="false" customHeight="false" outlineLevel="0" collapsed="false">
      <c r="A49" s="18"/>
      <c r="B49" s="20"/>
      <c r="C49" s="19"/>
      <c r="D49" s="20"/>
      <c r="E49" s="20"/>
      <c r="F49" s="20"/>
      <c r="G49" s="20"/>
      <c r="H49" s="20"/>
      <c r="I49" s="20"/>
      <c r="J49" s="18"/>
      <c r="K49" s="21" t="str">
        <f aca="false">IF(A49="","",IF(I49="",0,LEN(I49)-LEN(SUBSTITUTE(I49,",",""))+1))</f>
        <v/>
      </c>
      <c r="L49" s="21" t="str">
        <f aca="false">IF(A49="","",COUNTIF('Metric to Product'!$A:$A,A49))</f>
        <v/>
      </c>
      <c r="M49" s="21" t="str">
        <f aca="false">IF(A49="","",COUNTIF('Metric to Field'!$A:$A,A49))</f>
        <v/>
      </c>
      <c r="N49" s="21" t="str">
        <f aca="false">IF(B49="","",COUNTIF($B:$B,B49))</f>
        <v/>
      </c>
      <c r="O49" s="21" t="str">
        <f aca="false">IF(A49="","",COUNTIF($S:$S,S49)-1)</f>
        <v/>
      </c>
      <c r="P49" s="20"/>
      <c r="Q49" s="20"/>
      <c r="R49" s="20"/>
      <c r="S49" s="18" t="str">
        <f aca="false">IF(A49="","",LOWER(TRIM(D49&amp;"|"&amp;E49&amp;"|"&amp;F49)))</f>
        <v/>
      </c>
      <c r="T49" s="20"/>
      <c r="U49" s="20"/>
      <c r="V49" s="20"/>
      <c r="W49" s="20"/>
      <c r="X49" s="20"/>
    </row>
    <row r="50" customFormat="false" ht="15" hidden="false" customHeight="false" outlineLevel="0" collapsed="false">
      <c r="A50" s="18"/>
      <c r="B50" s="20"/>
      <c r="C50" s="19"/>
      <c r="D50" s="20"/>
      <c r="E50" s="20"/>
      <c r="F50" s="20"/>
      <c r="G50" s="20"/>
      <c r="H50" s="20"/>
      <c r="I50" s="20"/>
      <c r="J50" s="18"/>
      <c r="K50" s="21" t="str">
        <f aca="false">IF(A50="","",IF(I50="",0,LEN(I50)-LEN(SUBSTITUTE(I50,",",""))+1))</f>
        <v/>
      </c>
      <c r="L50" s="21" t="str">
        <f aca="false">IF(A50="","",COUNTIF('Metric to Product'!$A:$A,A50))</f>
        <v/>
      </c>
      <c r="M50" s="21" t="str">
        <f aca="false">IF(A50="","",COUNTIF('Metric to Field'!$A:$A,A50))</f>
        <v/>
      </c>
      <c r="N50" s="21" t="str">
        <f aca="false">IF(B50="","",COUNTIF($B:$B,B50))</f>
        <v/>
      </c>
      <c r="O50" s="21" t="str">
        <f aca="false">IF(A50="","",COUNTIF($S:$S,S50)-1)</f>
        <v/>
      </c>
      <c r="P50" s="20"/>
      <c r="Q50" s="20"/>
      <c r="R50" s="20"/>
      <c r="S50" s="18" t="str">
        <f aca="false">IF(A50="","",LOWER(TRIM(D50&amp;"|"&amp;E50&amp;"|"&amp;F50)))</f>
        <v/>
      </c>
      <c r="T50" s="20"/>
      <c r="U50" s="20"/>
      <c r="V50" s="20"/>
      <c r="W50" s="20"/>
      <c r="X50" s="20"/>
    </row>
    <row r="51" customFormat="false" ht="15" hidden="false" customHeight="false" outlineLevel="0" collapsed="false">
      <c r="A51" s="18"/>
      <c r="B51" s="20"/>
      <c r="C51" s="19"/>
      <c r="D51" s="20"/>
      <c r="E51" s="20"/>
      <c r="F51" s="20"/>
      <c r="G51" s="20"/>
      <c r="H51" s="20"/>
      <c r="I51" s="20"/>
      <c r="J51" s="18"/>
      <c r="K51" s="21" t="str">
        <f aca="false">IF(A51="","",IF(I51="",0,LEN(I51)-LEN(SUBSTITUTE(I51,",",""))+1))</f>
        <v/>
      </c>
      <c r="L51" s="21" t="str">
        <f aca="false">IF(A51="","",COUNTIF('Metric to Product'!$A:$A,A51))</f>
        <v/>
      </c>
      <c r="M51" s="21" t="str">
        <f aca="false">IF(A51="","",COUNTIF('Metric to Field'!$A:$A,A51))</f>
        <v/>
      </c>
      <c r="N51" s="21" t="str">
        <f aca="false">IF(B51="","",COUNTIF($B:$B,B51))</f>
        <v/>
      </c>
      <c r="O51" s="21" t="str">
        <f aca="false">IF(A51="","",COUNTIF($S:$S,S51)-1)</f>
        <v/>
      </c>
      <c r="P51" s="20"/>
      <c r="Q51" s="20"/>
      <c r="R51" s="20"/>
      <c r="S51" s="18" t="str">
        <f aca="false">IF(A51="","",LOWER(TRIM(D51&amp;"|"&amp;E51&amp;"|"&amp;F51)))</f>
        <v/>
      </c>
      <c r="T51" s="20"/>
      <c r="U51" s="20"/>
      <c r="V51" s="20"/>
      <c r="W51" s="20"/>
      <c r="X51" s="20"/>
    </row>
    <row r="52" customFormat="false" ht="15" hidden="false" customHeight="false" outlineLevel="0" collapsed="false">
      <c r="A52" s="18"/>
      <c r="B52" s="20"/>
      <c r="C52" s="19"/>
      <c r="D52" s="20"/>
      <c r="E52" s="20"/>
      <c r="F52" s="20"/>
      <c r="G52" s="20"/>
      <c r="H52" s="20"/>
      <c r="I52" s="20"/>
      <c r="J52" s="18"/>
      <c r="K52" s="21" t="str">
        <f aca="false">IF(A52="","",IF(I52="",0,LEN(I52)-LEN(SUBSTITUTE(I52,",",""))+1))</f>
        <v/>
      </c>
      <c r="L52" s="21" t="str">
        <f aca="false">IF(A52="","",COUNTIF('Metric to Product'!$A:$A,A52))</f>
        <v/>
      </c>
      <c r="M52" s="21" t="str">
        <f aca="false">IF(A52="","",COUNTIF('Metric to Field'!$A:$A,A52))</f>
        <v/>
      </c>
      <c r="N52" s="21" t="str">
        <f aca="false">IF(B52="","",COUNTIF($B:$B,B52))</f>
        <v/>
      </c>
      <c r="O52" s="21" t="str">
        <f aca="false">IF(A52="","",COUNTIF($S:$S,S52)-1)</f>
        <v/>
      </c>
      <c r="P52" s="20"/>
      <c r="Q52" s="20"/>
      <c r="R52" s="20"/>
      <c r="S52" s="18" t="str">
        <f aca="false">IF(A52="","",LOWER(TRIM(D52&amp;"|"&amp;E52&amp;"|"&amp;F52)))</f>
        <v/>
      </c>
      <c r="T52" s="20"/>
      <c r="U52" s="20"/>
      <c r="V52" s="20"/>
      <c r="W52" s="20"/>
      <c r="X52" s="20"/>
    </row>
    <row r="53" customFormat="false" ht="15" hidden="false" customHeight="false" outlineLevel="0" collapsed="false">
      <c r="A53" s="18"/>
      <c r="B53" s="20"/>
      <c r="C53" s="19"/>
      <c r="D53" s="20"/>
      <c r="E53" s="20"/>
      <c r="F53" s="20"/>
      <c r="G53" s="20"/>
      <c r="H53" s="20"/>
      <c r="I53" s="20"/>
      <c r="J53" s="18"/>
      <c r="K53" s="21" t="str">
        <f aca="false">IF(A53="","",IF(I53="",0,LEN(I53)-LEN(SUBSTITUTE(I53,",",""))+1))</f>
        <v/>
      </c>
      <c r="L53" s="21" t="str">
        <f aca="false">IF(A53="","",COUNTIF('Metric to Product'!$A:$A,A53))</f>
        <v/>
      </c>
      <c r="M53" s="21" t="str">
        <f aca="false">IF(A53="","",COUNTIF('Metric to Field'!$A:$A,A53))</f>
        <v/>
      </c>
      <c r="N53" s="21" t="str">
        <f aca="false">IF(B53="","",COUNTIF($B:$B,B53))</f>
        <v/>
      </c>
      <c r="O53" s="21" t="str">
        <f aca="false">IF(A53="","",COUNTIF($S:$S,S53)-1)</f>
        <v/>
      </c>
      <c r="P53" s="20"/>
      <c r="Q53" s="20"/>
      <c r="R53" s="20"/>
      <c r="S53" s="18" t="str">
        <f aca="false">IF(A53="","",LOWER(TRIM(D53&amp;"|"&amp;E53&amp;"|"&amp;F53)))</f>
        <v/>
      </c>
      <c r="T53" s="20"/>
      <c r="U53" s="20"/>
      <c r="V53" s="20"/>
      <c r="W53" s="20"/>
      <c r="X53" s="20"/>
    </row>
    <row r="54" customFormat="false" ht="15" hidden="false" customHeight="false" outlineLevel="0" collapsed="false">
      <c r="A54" s="18"/>
      <c r="B54" s="20"/>
      <c r="C54" s="19"/>
      <c r="D54" s="20"/>
      <c r="E54" s="20"/>
      <c r="F54" s="20"/>
      <c r="G54" s="20"/>
      <c r="H54" s="20"/>
      <c r="I54" s="20"/>
      <c r="J54" s="18"/>
      <c r="K54" s="21" t="str">
        <f aca="false">IF(A54="","",IF(I54="",0,LEN(I54)-LEN(SUBSTITUTE(I54,",",""))+1))</f>
        <v/>
      </c>
      <c r="L54" s="21" t="str">
        <f aca="false">IF(A54="","",COUNTIF('Metric to Product'!$A:$A,A54))</f>
        <v/>
      </c>
      <c r="M54" s="21" t="str">
        <f aca="false">IF(A54="","",COUNTIF('Metric to Field'!$A:$A,A54))</f>
        <v/>
      </c>
      <c r="N54" s="21" t="str">
        <f aca="false">IF(B54="","",COUNTIF($B:$B,B54))</f>
        <v/>
      </c>
      <c r="O54" s="21" t="str">
        <f aca="false">IF(A54="","",COUNTIF($S:$S,S54)-1)</f>
        <v/>
      </c>
      <c r="P54" s="20"/>
      <c r="Q54" s="20"/>
      <c r="R54" s="20"/>
      <c r="S54" s="18" t="str">
        <f aca="false">IF(A54="","",LOWER(TRIM(D54&amp;"|"&amp;E54&amp;"|"&amp;F54)))</f>
        <v/>
      </c>
      <c r="T54" s="20"/>
      <c r="U54" s="20"/>
      <c r="V54" s="20"/>
      <c r="W54" s="20"/>
      <c r="X54" s="20"/>
    </row>
    <row r="55" customFormat="false" ht="15" hidden="false" customHeight="false" outlineLevel="0" collapsed="false">
      <c r="A55" s="18"/>
      <c r="B55" s="20"/>
      <c r="C55" s="19"/>
      <c r="D55" s="20"/>
      <c r="E55" s="20"/>
      <c r="F55" s="20"/>
      <c r="G55" s="20"/>
      <c r="H55" s="20"/>
      <c r="I55" s="20"/>
      <c r="J55" s="18"/>
      <c r="K55" s="21" t="str">
        <f aca="false">IF(A55="","",IF(I55="",0,LEN(I55)-LEN(SUBSTITUTE(I55,",",""))+1))</f>
        <v/>
      </c>
      <c r="L55" s="21" t="str">
        <f aca="false">IF(A55="","",COUNTIF('Metric to Product'!$A:$A,A55))</f>
        <v/>
      </c>
      <c r="M55" s="21" t="str">
        <f aca="false">IF(A55="","",COUNTIF('Metric to Field'!$A:$A,A55))</f>
        <v/>
      </c>
      <c r="N55" s="21" t="str">
        <f aca="false">IF(B55="","",COUNTIF($B:$B,B55))</f>
        <v/>
      </c>
      <c r="O55" s="21" t="str">
        <f aca="false">IF(A55="","",COUNTIF($S:$S,S55)-1)</f>
        <v/>
      </c>
      <c r="P55" s="20"/>
      <c r="Q55" s="20"/>
      <c r="R55" s="20"/>
      <c r="S55" s="18" t="str">
        <f aca="false">IF(A55="","",LOWER(TRIM(D55&amp;"|"&amp;E55&amp;"|"&amp;F55)))</f>
        <v/>
      </c>
      <c r="T55" s="20"/>
      <c r="U55" s="20"/>
      <c r="V55" s="20"/>
      <c r="W55" s="20"/>
      <c r="X55" s="20"/>
    </row>
    <row r="56" customFormat="false" ht="15" hidden="false" customHeight="false" outlineLevel="0" collapsed="false">
      <c r="A56" s="18"/>
      <c r="B56" s="20"/>
      <c r="C56" s="19"/>
      <c r="D56" s="20"/>
      <c r="E56" s="20"/>
      <c r="F56" s="20"/>
      <c r="G56" s="20"/>
      <c r="H56" s="20"/>
      <c r="I56" s="20"/>
      <c r="J56" s="18"/>
      <c r="K56" s="21" t="str">
        <f aca="false">IF(A56="","",IF(I56="",0,LEN(I56)-LEN(SUBSTITUTE(I56,",",""))+1))</f>
        <v/>
      </c>
      <c r="L56" s="21" t="str">
        <f aca="false">IF(A56="","",COUNTIF('Metric to Product'!$A:$A,A56))</f>
        <v/>
      </c>
      <c r="M56" s="21" t="str">
        <f aca="false">IF(A56="","",COUNTIF('Metric to Field'!$A:$A,A56))</f>
        <v/>
      </c>
      <c r="N56" s="21" t="str">
        <f aca="false">IF(B56="","",COUNTIF($B:$B,B56))</f>
        <v/>
      </c>
      <c r="O56" s="21" t="str">
        <f aca="false">IF(A56="","",COUNTIF($S:$S,S56)-1)</f>
        <v/>
      </c>
      <c r="P56" s="20"/>
      <c r="Q56" s="20"/>
      <c r="R56" s="20"/>
      <c r="S56" s="18" t="str">
        <f aca="false">IF(A56="","",LOWER(TRIM(D56&amp;"|"&amp;E56&amp;"|"&amp;F56)))</f>
        <v/>
      </c>
      <c r="T56" s="20"/>
      <c r="U56" s="20"/>
      <c r="V56" s="20"/>
      <c r="W56" s="20"/>
      <c r="X56" s="20"/>
    </row>
    <row r="57" customFormat="false" ht="15" hidden="false" customHeight="false" outlineLevel="0" collapsed="false">
      <c r="A57" s="18"/>
      <c r="B57" s="20"/>
      <c r="C57" s="19"/>
      <c r="D57" s="20"/>
      <c r="E57" s="20"/>
      <c r="F57" s="20"/>
      <c r="G57" s="20"/>
      <c r="H57" s="20"/>
      <c r="I57" s="20"/>
      <c r="J57" s="18"/>
      <c r="K57" s="21" t="str">
        <f aca="false">IF(A57="","",IF(I57="",0,LEN(I57)-LEN(SUBSTITUTE(I57,",",""))+1))</f>
        <v/>
      </c>
      <c r="L57" s="21" t="str">
        <f aca="false">IF(A57="","",COUNTIF('Metric to Product'!$A:$A,A57))</f>
        <v/>
      </c>
      <c r="M57" s="21" t="str">
        <f aca="false">IF(A57="","",COUNTIF('Metric to Field'!$A:$A,A57))</f>
        <v/>
      </c>
      <c r="N57" s="21" t="str">
        <f aca="false">IF(B57="","",COUNTIF($B:$B,B57))</f>
        <v/>
      </c>
      <c r="O57" s="21" t="str">
        <f aca="false">IF(A57="","",COUNTIF($S:$S,S57)-1)</f>
        <v/>
      </c>
      <c r="P57" s="20"/>
      <c r="Q57" s="20"/>
      <c r="R57" s="20"/>
      <c r="S57" s="18" t="str">
        <f aca="false">IF(A57="","",LOWER(TRIM(D57&amp;"|"&amp;E57&amp;"|"&amp;F57)))</f>
        <v/>
      </c>
      <c r="T57" s="20"/>
      <c r="U57" s="20"/>
      <c r="V57" s="20"/>
      <c r="W57" s="20"/>
      <c r="X57" s="20"/>
    </row>
    <row r="58" customFormat="false" ht="15" hidden="false" customHeight="false" outlineLevel="0" collapsed="false">
      <c r="A58" s="18"/>
      <c r="B58" s="20"/>
      <c r="C58" s="19"/>
      <c r="D58" s="20"/>
      <c r="E58" s="20"/>
      <c r="F58" s="20"/>
      <c r="G58" s="20"/>
      <c r="H58" s="20"/>
      <c r="I58" s="20"/>
      <c r="J58" s="18"/>
      <c r="K58" s="21" t="str">
        <f aca="false">IF(A58="","",IF(I58="",0,LEN(I58)-LEN(SUBSTITUTE(I58,",",""))+1))</f>
        <v/>
      </c>
      <c r="L58" s="21" t="str">
        <f aca="false">IF(A58="","",COUNTIF('Metric to Product'!$A:$A,A58))</f>
        <v/>
      </c>
      <c r="M58" s="21" t="str">
        <f aca="false">IF(A58="","",COUNTIF('Metric to Field'!$A:$A,A58))</f>
        <v/>
      </c>
      <c r="N58" s="21" t="str">
        <f aca="false">IF(B58="","",COUNTIF($B:$B,B58))</f>
        <v/>
      </c>
      <c r="O58" s="21" t="str">
        <f aca="false">IF(A58="","",COUNTIF($S:$S,S58)-1)</f>
        <v/>
      </c>
      <c r="P58" s="20"/>
      <c r="Q58" s="20"/>
      <c r="R58" s="20"/>
      <c r="S58" s="18" t="str">
        <f aca="false">IF(A58="","",LOWER(TRIM(D58&amp;"|"&amp;E58&amp;"|"&amp;F58)))</f>
        <v/>
      </c>
      <c r="T58" s="20"/>
      <c r="U58" s="20"/>
      <c r="V58" s="20"/>
      <c r="W58" s="20"/>
      <c r="X58" s="20"/>
    </row>
    <row r="59" customFormat="false" ht="15" hidden="false" customHeight="false" outlineLevel="0" collapsed="false">
      <c r="A59" s="18"/>
      <c r="B59" s="20"/>
      <c r="C59" s="19"/>
      <c r="D59" s="20"/>
      <c r="E59" s="20"/>
      <c r="F59" s="20"/>
      <c r="G59" s="20"/>
      <c r="H59" s="20"/>
      <c r="I59" s="20"/>
      <c r="J59" s="18"/>
      <c r="K59" s="21" t="str">
        <f aca="false">IF(A59="","",IF(I59="",0,LEN(I59)-LEN(SUBSTITUTE(I59,",",""))+1))</f>
        <v/>
      </c>
      <c r="L59" s="21" t="str">
        <f aca="false">IF(A59="","",COUNTIF('Metric to Product'!$A:$A,A59))</f>
        <v/>
      </c>
      <c r="M59" s="21" t="str">
        <f aca="false">IF(A59="","",COUNTIF('Metric to Field'!$A:$A,A59))</f>
        <v/>
      </c>
      <c r="N59" s="21" t="str">
        <f aca="false">IF(B59="","",COUNTIF($B:$B,B59))</f>
        <v/>
      </c>
      <c r="O59" s="21" t="str">
        <f aca="false">IF(A59="","",COUNTIF($S:$S,S59)-1)</f>
        <v/>
      </c>
      <c r="P59" s="20"/>
      <c r="Q59" s="20"/>
      <c r="R59" s="20"/>
      <c r="S59" s="18" t="str">
        <f aca="false">IF(A59="","",LOWER(TRIM(D59&amp;"|"&amp;E59&amp;"|"&amp;F59)))</f>
        <v/>
      </c>
      <c r="T59" s="20"/>
      <c r="U59" s="20"/>
      <c r="V59" s="20"/>
      <c r="W59" s="20"/>
      <c r="X59" s="20"/>
    </row>
    <row r="60" customFormat="false" ht="15" hidden="false" customHeight="false" outlineLevel="0" collapsed="false">
      <c r="A60" s="18"/>
      <c r="B60" s="20"/>
      <c r="C60" s="19"/>
      <c r="D60" s="20"/>
      <c r="E60" s="20"/>
      <c r="F60" s="20"/>
      <c r="G60" s="20"/>
      <c r="H60" s="20"/>
      <c r="I60" s="20"/>
      <c r="J60" s="18"/>
      <c r="K60" s="21" t="str">
        <f aca="false">IF(A60="","",IF(I60="",0,LEN(I60)-LEN(SUBSTITUTE(I60,",",""))+1))</f>
        <v/>
      </c>
      <c r="L60" s="21" t="str">
        <f aca="false">IF(A60="","",COUNTIF('Metric to Product'!$A:$A,A60))</f>
        <v/>
      </c>
      <c r="M60" s="21" t="str">
        <f aca="false">IF(A60="","",COUNTIF('Metric to Field'!$A:$A,A60))</f>
        <v/>
      </c>
      <c r="N60" s="21" t="str">
        <f aca="false">IF(B60="","",COUNTIF($B:$B,B60))</f>
        <v/>
      </c>
      <c r="O60" s="21" t="str">
        <f aca="false">IF(A60="","",COUNTIF($S:$S,S60)-1)</f>
        <v/>
      </c>
      <c r="P60" s="20"/>
      <c r="Q60" s="20"/>
      <c r="R60" s="20"/>
      <c r="S60" s="18" t="str">
        <f aca="false">IF(A60="","",LOWER(TRIM(D60&amp;"|"&amp;E60&amp;"|"&amp;F60)))</f>
        <v/>
      </c>
      <c r="T60" s="20"/>
      <c r="U60" s="20"/>
      <c r="V60" s="20"/>
      <c r="W60" s="20"/>
      <c r="X60" s="20"/>
    </row>
    <row r="61" customFormat="false" ht="15" hidden="false" customHeight="false" outlineLevel="0" collapsed="false">
      <c r="A61" s="18"/>
      <c r="B61" s="20"/>
      <c r="C61" s="19"/>
      <c r="D61" s="20"/>
      <c r="E61" s="20"/>
      <c r="F61" s="20"/>
      <c r="G61" s="20"/>
      <c r="H61" s="20"/>
      <c r="I61" s="20"/>
      <c r="J61" s="18"/>
      <c r="K61" s="21" t="str">
        <f aca="false">IF(A61="","",IF(I61="",0,LEN(I61)-LEN(SUBSTITUTE(I61,",",""))+1))</f>
        <v/>
      </c>
      <c r="L61" s="21" t="str">
        <f aca="false">IF(A61="","",COUNTIF('Metric to Product'!$A:$A,A61))</f>
        <v/>
      </c>
      <c r="M61" s="21" t="str">
        <f aca="false">IF(A61="","",COUNTIF('Metric to Field'!$A:$A,A61))</f>
        <v/>
      </c>
      <c r="N61" s="21" t="str">
        <f aca="false">IF(B61="","",COUNTIF($B:$B,B61))</f>
        <v/>
      </c>
      <c r="O61" s="21" t="str">
        <f aca="false">IF(A61="","",COUNTIF($S:$S,S61)-1)</f>
        <v/>
      </c>
      <c r="P61" s="20"/>
      <c r="Q61" s="20"/>
      <c r="R61" s="20"/>
      <c r="S61" s="18" t="str">
        <f aca="false">IF(A61="","",LOWER(TRIM(D61&amp;"|"&amp;E61&amp;"|"&amp;F61)))</f>
        <v/>
      </c>
      <c r="T61" s="20"/>
      <c r="U61" s="20"/>
      <c r="V61" s="20"/>
      <c r="W61" s="20"/>
      <c r="X61" s="20"/>
    </row>
    <row r="62" customFormat="false" ht="15" hidden="false" customHeight="false" outlineLevel="0" collapsed="false">
      <c r="A62" s="18"/>
      <c r="B62" s="20"/>
      <c r="C62" s="19"/>
      <c r="D62" s="20"/>
      <c r="E62" s="20"/>
      <c r="F62" s="20"/>
      <c r="G62" s="20"/>
      <c r="H62" s="20"/>
      <c r="I62" s="20"/>
      <c r="J62" s="18"/>
      <c r="K62" s="21" t="str">
        <f aca="false">IF(A62="","",IF(I62="",0,LEN(I62)-LEN(SUBSTITUTE(I62,",",""))+1))</f>
        <v/>
      </c>
      <c r="L62" s="21" t="str">
        <f aca="false">IF(A62="","",COUNTIF('Metric to Product'!$A:$A,A62))</f>
        <v/>
      </c>
      <c r="M62" s="21" t="str">
        <f aca="false">IF(A62="","",COUNTIF('Metric to Field'!$A:$A,A62))</f>
        <v/>
      </c>
      <c r="N62" s="21" t="str">
        <f aca="false">IF(B62="","",COUNTIF($B:$B,B62))</f>
        <v/>
      </c>
      <c r="O62" s="21" t="str">
        <f aca="false">IF(A62="","",COUNTIF($S:$S,S62)-1)</f>
        <v/>
      </c>
      <c r="P62" s="20"/>
      <c r="Q62" s="20"/>
      <c r="R62" s="20"/>
      <c r="S62" s="18" t="str">
        <f aca="false">IF(A62="","",LOWER(TRIM(D62&amp;"|"&amp;E62&amp;"|"&amp;F62)))</f>
        <v/>
      </c>
      <c r="T62" s="20"/>
      <c r="U62" s="20"/>
      <c r="V62" s="20"/>
      <c r="W62" s="20"/>
      <c r="X62" s="20"/>
    </row>
    <row r="63" customFormat="false" ht="15" hidden="false" customHeight="false" outlineLevel="0" collapsed="false">
      <c r="A63" s="18"/>
      <c r="B63" s="20"/>
      <c r="C63" s="19"/>
      <c r="D63" s="20"/>
      <c r="E63" s="20"/>
      <c r="F63" s="20"/>
      <c r="G63" s="20"/>
      <c r="H63" s="20"/>
      <c r="I63" s="20"/>
      <c r="J63" s="18"/>
      <c r="K63" s="21" t="str">
        <f aca="false">IF(A63="","",IF(I63="",0,LEN(I63)-LEN(SUBSTITUTE(I63,",",""))+1))</f>
        <v/>
      </c>
      <c r="L63" s="21" t="str">
        <f aca="false">IF(A63="","",COUNTIF('Metric to Product'!$A:$A,A63))</f>
        <v/>
      </c>
      <c r="M63" s="21" t="str">
        <f aca="false">IF(A63="","",COUNTIF('Metric to Field'!$A:$A,A63))</f>
        <v/>
      </c>
      <c r="N63" s="21" t="str">
        <f aca="false">IF(B63="","",COUNTIF($B:$B,B63))</f>
        <v/>
      </c>
      <c r="O63" s="21" t="str">
        <f aca="false">IF(A63="","",COUNTIF($S:$S,S63)-1)</f>
        <v/>
      </c>
      <c r="P63" s="20"/>
      <c r="Q63" s="20"/>
      <c r="R63" s="20"/>
      <c r="S63" s="18" t="str">
        <f aca="false">IF(A63="","",LOWER(TRIM(D63&amp;"|"&amp;E63&amp;"|"&amp;F63)))</f>
        <v/>
      </c>
      <c r="T63" s="20"/>
      <c r="U63" s="20"/>
      <c r="V63" s="20"/>
      <c r="W63" s="20"/>
      <c r="X63" s="20"/>
    </row>
    <row r="64" customFormat="false" ht="15" hidden="false" customHeight="false" outlineLevel="0" collapsed="false">
      <c r="A64" s="18"/>
      <c r="B64" s="20"/>
      <c r="C64" s="19"/>
      <c r="D64" s="20"/>
      <c r="E64" s="20"/>
      <c r="F64" s="20"/>
      <c r="G64" s="20"/>
      <c r="H64" s="20"/>
      <c r="I64" s="20"/>
      <c r="J64" s="18"/>
      <c r="K64" s="21" t="str">
        <f aca="false">IF(A64="","",IF(I64="",0,LEN(I64)-LEN(SUBSTITUTE(I64,",",""))+1))</f>
        <v/>
      </c>
      <c r="L64" s="21" t="str">
        <f aca="false">IF(A64="","",COUNTIF('Metric to Product'!$A:$A,A64))</f>
        <v/>
      </c>
      <c r="M64" s="21" t="str">
        <f aca="false">IF(A64="","",COUNTIF('Metric to Field'!$A:$A,A64))</f>
        <v/>
      </c>
      <c r="N64" s="21" t="str">
        <f aca="false">IF(B64="","",COUNTIF($B:$B,B64))</f>
        <v/>
      </c>
      <c r="O64" s="21" t="str">
        <f aca="false">IF(A64="","",COUNTIF($S:$S,S64)-1)</f>
        <v/>
      </c>
      <c r="P64" s="20"/>
      <c r="Q64" s="20"/>
      <c r="R64" s="20"/>
      <c r="S64" s="18" t="str">
        <f aca="false">IF(A64="","",LOWER(TRIM(D64&amp;"|"&amp;E64&amp;"|"&amp;F64)))</f>
        <v/>
      </c>
      <c r="T64" s="20"/>
      <c r="U64" s="20"/>
      <c r="V64" s="20"/>
      <c r="W64" s="20"/>
      <c r="X64" s="20"/>
    </row>
    <row r="65" customFormat="false" ht="15" hidden="false" customHeight="false" outlineLevel="0" collapsed="false">
      <c r="A65" s="18"/>
      <c r="B65" s="20"/>
      <c r="C65" s="19"/>
      <c r="D65" s="20"/>
      <c r="E65" s="20"/>
      <c r="F65" s="20"/>
      <c r="G65" s="20"/>
      <c r="H65" s="20"/>
      <c r="I65" s="20"/>
      <c r="J65" s="18"/>
      <c r="K65" s="21" t="str">
        <f aca="false">IF(A65="","",IF(I65="",0,LEN(I65)-LEN(SUBSTITUTE(I65,",",""))+1))</f>
        <v/>
      </c>
      <c r="L65" s="21" t="str">
        <f aca="false">IF(A65="","",COUNTIF('Metric to Product'!$A:$A,A65))</f>
        <v/>
      </c>
      <c r="M65" s="21" t="str">
        <f aca="false">IF(A65="","",COUNTIF('Metric to Field'!$A:$A,A65))</f>
        <v/>
      </c>
      <c r="N65" s="21" t="str">
        <f aca="false">IF(B65="","",COUNTIF($B:$B,B65))</f>
        <v/>
      </c>
      <c r="O65" s="21" t="str">
        <f aca="false">IF(A65="","",COUNTIF($S:$S,S65)-1)</f>
        <v/>
      </c>
      <c r="P65" s="20"/>
      <c r="Q65" s="20"/>
      <c r="R65" s="20"/>
      <c r="S65" s="18" t="str">
        <f aca="false">IF(A65="","",LOWER(TRIM(D65&amp;"|"&amp;E65&amp;"|"&amp;F65)))</f>
        <v/>
      </c>
      <c r="T65" s="20"/>
      <c r="U65" s="20"/>
      <c r="V65" s="20"/>
      <c r="W65" s="20"/>
      <c r="X65" s="20"/>
    </row>
    <row r="66" customFormat="false" ht="15" hidden="false" customHeight="false" outlineLevel="0" collapsed="false">
      <c r="A66" s="18"/>
      <c r="B66" s="20"/>
      <c r="C66" s="19"/>
      <c r="D66" s="20"/>
      <c r="E66" s="20"/>
      <c r="F66" s="20"/>
      <c r="G66" s="20"/>
      <c r="H66" s="20"/>
      <c r="I66" s="20"/>
      <c r="J66" s="18"/>
      <c r="K66" s="21" t="str">
        <f aca="false">IF(A66="","",IF(I66="",0,LEN(I66)-LEN(SUBSTITUTE(I66,",",""))+1))</f>
        <v/>
      </c>
      <c r="L66" s="21" t="str">
        <f aca="false">IF(A66="","",COUNTIF('Metric to Product'!$A:$A,A66))</f>
        <v/>
      </c>
      <c r="M66" s="21" t="str">
        <f aca="false">IF(A66="","",COUNTIF('Metric to Field'!$A:$A,A66))</f>
        <v/>
      </c>
      <c r="N66" s="21" t="str">
        <f aca="false">IF(B66="","",COUNTIF($B:$B,B66))</f>
        <v/>
      </c>
      <c r="O66" s="21" t="str">
        <f aca="false">IF(A66="","",COUNTIF($S:$S,S66)-1)</f>
        <v/>
      </c>
      <c r="P66" s="20"/>
      <c r="Q66" s="20"/>
      <c r="R66" s="20"/>
      <c r="S66" s="18" t="str">
        <f aca="false">IF(A66="","",LOWER(TRIM(D66&amp;"|"&amp;E66&amp;"|"&amp;F66)))</f>
        <v/>
      </c>
      <c r="T66" s="20"/>
      <c r="U66" s="20"/>
      <c r="V66" s="20"/>
      <c r="W66" s="20"/>
      <c r="X66" s="20"/>
    </row>
    <row r="67" customFormat="false" ht="15" hidden="false" customHeight="false" outlineLevel="0" collapsed="false">
      <c r="A67" s="18"/>
      <c r="B67" s="20"/>
      <c r="C67" s="19"/>
      <c r="D67" s="20"/>
      <c r="E67" s="20"/>
      <c r="F67" s="20"/>
      <c r="G67" s="20"/>
      <c r="H67" s="20"/>
      <c r="I67" s="20"/>
      <c r="J67" s="18"/>
      <c r="K67" s="21" t="str">
        <f aca="false">IF(A67="","",IF(I67="",0,LEN(I67)-LEN(SUBSTITUTE(I67,",",""))+1))</f>
        <v/>
      </c>
      <c r="L67" s="21" t="str">
        <f aca="false">IF(A67="","",COUNTIF('Metric to Product'!$A:$A,A67))</f>
        <v/>
      </c>
      <c r="M67" s="21" t="str">
        <f aca="false">IF(A67="","",COUNTIF('Metric to Field'!$A:$A,A67))</f>
        <v/>
      </c>
      <c r="N67" s="21" t="str">
        <f aca="false">IF(B67="","",COUNTIF($B:$B,B67))</f>
        <v/>
      </c>
      <c r="O67" s="21" t="str">
        <f aca="false">IF(A67="","",COUNTIF($S:$S,S67)-1)</f>
        <v/>
      </c>
      <c r="P67" s="20"/>
      <c r="Q67" s="20"/>
      <c r="R67" s="20"/>
      <c r="S67" s="18" t="str">
        <f aca="false">IF(A67="","",LOWER(TRIM(D67&amp;"|"&amp;E67&amp;"|"&amp;F67)))</f>
        <v/>
      </c>
      <c r="T67" s="20"/>
      <c r="U67" s="20"/>
      <c r="V67" s="20"/>
      <c r="W67" s="20"/>
      <c r="X67" s="20"/>
    </row>
    <row r="68" customFormat="false" ht="15" hidden="false" customHeight="false" outlineLevel="0" collapsed="false">
      <c r="A68" s="18"/>
      <c r="B68" s="20"/>
      <c r="C68" s="19"/>
      <c r="D68" s="20"/>
      <c r="E68" s="20"/>
      <c r="F68" s="20"/>
      <c r="G68" s="20"/>
      <c r="H68" s="20"/>
      <c r="I68" s="20"/>
      <c r="J68" s="18"/>
      <c r="K68" s="21" t="str">
        <f aca="false">IF(A68="","",IF(I68="",0,LEN(I68)-LEN(SUBSTITUTE(I68,",",""))+1))</f>
        <v/>
      </c>
      <c r="L68" s="21" t="str">
        <f aca="false">IF(A68="","",COUNTIF('Metric to Product'!$A:$A,A68))</f>
        <v/>
      </c>
      <c r="M68" s="21" t="str">
        <f aca="false">IF(A68="","",COUNTIF('Metric to Field'!$A:$A,A68))</f>
        <v/>
      </c>
      <c r="N68" s="21" t="str">
        <f aca="false">IF(B68="","",COUNTIF($B:$B,B68))</f>
        <v/>
      </c>
      <c r="O68" s="21" t="str">
        <f aca="false">IF(A68="","",COUNTIF($S:$S,S68)-1)</f>
        <v/>
      </c>
      <c r="P68" s="20"/>
      <c r="Q68" s="20"/>
      <c r="R68" s="20"/>
      <c r="S68" s="18" t="str">
        <f aca="false">IF(A68="","",LOWER(TRIM(D68&amp;"|"&amp;E68&amp;"|"&amp;F68)))</f>
        <v/>
      </c>
      <c r="T68" s="20"/>
      <c r="U68" s="20"/>
      <c r="V68" s="20"/>
      <c r="W68" s="20"/>
      <c r="X68" s="20"/>
    </row>
    <row r="69" customFormat="false" ht="15" hidden="false" customHeight="false" outlineLevel="0" collapsed="false">
      <c r="A69" s="18"/>
      <c r="B69" s="20"/>
      <c r="C69" s="19"/>
      <c r="D69" s="20"/>
      <c r="E69" s="20"/>
      <c r="F69" s="20"/>
      <c r="G69" s="20"/>
      <c r="H69" s="20"/>
      <c r="I69" s="20"/>
      <c r="J69" s="18"/>
      <c r="K69" s="21" t="str">
        <f aca="false">IF(A69="","",IF(I69="",0,LEN(I69)-LEN(SUBSTITUTE(I69,",",""))+1))</f>
        <v/>
      </c>
      <c r="L69" s="21" t="str">
        <f aca="false">IF(A69="","",COUNTIF('Metric to Product'!$A:$A,A69))</f>
        <v/>
      </c>
      <c r="M69" s="21" t="str">
        <f aca="false">IF(A69="","",COUNTIF('Metric to Field'!$A:$A,A69))</f>
        <v/>
      </c>
      <c r="N69" s="21" t="str">
        <f aca="false">IF(B69="","",COUNTIF($B:$B,B69))</f>
        <v/>
      </c>
      <c r="O69" s="21" t="str">
        <f aca="false">IF(A69="","",COUNTIF($S:$S,S69)-1)</f>
        <v/>
      </c>
      <c r="P69" s="20"/>
      <c r="Q69" s="20"/>
      <c r="R69" s="20"/>
      <c r="S69" s="18" t="str">
        <f aca="false">IF(A69="","",LOWER(TRIM(D69&amp;"|"&amp;E69&amp;"|"&amp;F69)))</f>
        <v/>
      </c>
      <c r="T69" s="20"/>
      <c r="U69" s="20"/>
      <c r="V69" s="20"/>
      <c r="W69" s="20"/>
      <c r="X69" s="20"/>
    </row>
    <row r="70" customFormat="false" ht="15" hidden="false" customHeight="false" outlineLevel="0" collapsed="false">
      <c r="A70" s="18"/>
      <c r="B70" s="20"/>
      <c r="C70" s="19"/>
      <c r="D70" s="20"/>
      <c r="E70" s="20"/>
      <c r="F70" s="20"/>
      <c r="G70" s="20"/>
      <c r="H70" s="20"/>
      <c r="I70" s="20"/>
      <c r="J70" s="18"/>
      <c r="K70" s="21" t="str">
        <f aca="false">IF(A70="","",IF(I70="",0,LEN(I70)-LEN(SUBSTITUTE(I70,",",""))+1))</f>
        <v/>
      </c>
      <c r="L70" s="21" t="str">
        <f aca="false">IF(A70="","",COUNTIF('Metric to Product'!$A:$A,A70))</f>
        <v/>
      </c>
      <c r="M70" s="21" t="str">
        <f aca="false">IF(A70="","",COUNTIF('Metric to Field'!$A:$A,A70))</f>
        <v/>
      </c>
      <c r="N70" s="21" t="str">
        <f aca="false">IF(B70="","",COUNTIF($B:$B,B70))</f>
        <v/>
      </c>
      <c r="O70" s="21" t="str">
        <f aca="false">IF(A70="","",COUNTIF($S:$S,S70)-1)</f>
        <v/>
      </c>
      <c r="P70" s="20"/>
      <c r="Q70" s="20"/>
      <c r="R70" s="20"/>
      <c r="S70" s="18" t="str">
        <f aca="false">IF(A70="","",LOWER(TRIM(D70&amp;"|"&amp;E70&amp;"|"&amp;F70)))</f>
        <v/>
      </c>
      <c r="T70" s="20"/>
      <c r="U70" s="20"/>
      <c r="V70" s="20"/>
      <c r="W70" s="20"/>
      <c r="X70" s="20"/>
    </row>
    <row r="71" customFormat="false" ht="15" hidden="false" customHeight="false" outlineLevel="0" collapsed="false">
      <c r="A71" s="18"/>
      <c r="B71" s="20"/>
      <c r="C71" s="19"/>
      <c r="D71" s="20"/>
      <c r="E71" s="20"/>
      <c r="F71" s="20"/>
      <c r="G71" s="20"/>
      <c r="H71" s="20"/>
      <c r="I71" s="20"/>
      <c r="J71" s="18"/>
      <c r="K71" s="21" t="str">
        <f aca="false">IF(A71="","",IF(I71="",0,LEN(I71)-LEN(SUBSTITUTE(I71,",",""))+1))</f>
        <v/>
      </c>
      <c r="L71" s="21" t="str">
        <f aca="false">IF(A71="","",COUNTIF('Metric to Product'!$A:$A,A71))</f>
        <v/>
      </c>
      <c r="M71" s="21" t="str">
        <f aca="false">IF(A71="","",COUNTIF('Metric to Field'!$A:$A,A71))</f>
        <v/>
      </c>
      <c r="N71" s="21" t="str">
        <f aca="false">IF(B71="","",COUNTIF($B:$B,B71))</f>
        <v/>
      </c>
      <c r="O71" s="21" t="str">
        <f aca="false">IF(A71="","",COUNTIF($S:$S,S71)-1)</f>
        <v/>
      </c>
      <c r="P71" s="20"/>
      <c r="Q71" s="20"/>
      <c r="R71" s="20"/>
      <c r="S71" s="18" t="str">
        <f aca="false">IF(A71="","",LOWER(TRIM(D71&amp;"|"&amp;E71&amp;"|"&amp;F71)))</f>
        <v/>
      </c>
      <c r="T71" s="20"/>
      <c r="U71" s="20"/>
      <c r="V71" s="20"/>
      <c r="W71" s="20"/>
      <c r="X71" s="20"/>
    </row>
    <row r="72" customFormat="false" ht="15" hidden="false" customHeight="false" outlineLevel="0" collapsed="false">
      <c r="A72" s="18"/>
      <c r="B72" s="20"/>
      <c r="C72" s="19"/>
      <c r="D72" s="20"/>
      <c r="E72" s="20"/>
      <c r="F72" s="20"/>
      <c r="G72" s="20"/>
      <c r="H72" s="20"/>
      <c r="I72" s="20"/>
      <c r="J72" s="18"/>
      <c r="K72" s="21" t="str">
        <f aca="false">IF(A72="","",IF(I72="",0,LEN(I72)-LEN(SUBSTITUTE(I72,",",""))+1))</f>
        <v/>
      </c>
      <c r="L72" s="21" t="str">
        <f aca="false">IF(A72="","",COUNTIF('Metric to Product'!$A:$A,A72))</f>
        <v/>
      </c>
      <c r="M72" s="21" t="str">
        <f aca="false">IF(A72="","",COUNTIF('Metric to Field'!$A:$A,A72))</f>
        <v/>
      </c>
      <c r="N72" s="21" t="str">
        <f aca="false">IF(B72="","",COUNTIF($B:$B,B72))</f>
        <v/>
      </c>
      <c r="O72" s="21" t="str">
        <f aca="false">IF(A72="","",COUNTIF($S:$S,S72)-1)</f>
        <v/>
      </c>
      <c r="P72" s="20"/>
      <c r="Q72" s="20"/>
      <c r="R72" s="20"/>
      <c r="S72" s="18" t="str">
        <f aca="false">IF(A72="","",LOWER(TRIM(D72&amp;"|"&amp;E72&amp;"|"&amp;F72)))</f>
        <v/>
      </c>
      <c r="T72" s="20"/>
      <c r="U72" s="20"/>
      <c r="V72" s="20"/>
      <c r="W72" s="20"/>
      <c r="X72" s="20"/>
    </row>
    <row r="73" customFormat="false" ht="15" hidden="false" customHeight="false" outlineLevel="0" collapsed="false">
      <c r="A73" s="18"/>
      <c r="B73" s="20"/>
      <c r="C73" s="19"/>
      <c r="D73" s="20"/>
      <c r="E73" s="20"/>
      <c r="F73" s="20"/>
      <c r="G73" s="20"/>
      <c r="H73" s="20"/>
      <c r="I73" s="20"/>
      <c r="J73" s="18"/>
      <c r="K73" s="21" t="str">
        <f aca="false">IF(A73="","",IF(I73="",0,LEN(I73)-LEN(SUBSTITUTE(I73,",",""))+1))</f>
        <v/>
      </c>
      <c r="L73" s="21" t="str">
        <f aca="false">IF(A73="","",COUNTIF('Metric to Product'!$A:$A,A73))</f>
        <v/>
      </c>
      <c r="M73" s="21" t="str">
        <f aca="false">IF(A73="","",COUNTIF('Metric to Field'!$A:$A,A73))</f>
        <v/>
      </c>
      <c r="N73" s="21" t="str">
        <f aca="false">IF(B73="","",COUNTIF($B:$B,B73))</f>
        <v/>
      </c>
      <c r="O73" s="21" t="str">
        <f aca="false">IF(A73="","",COUNTIF($S:$S,S73)-1)</f>
        <v/>
      </c>
      <c r="P73" s="20"/>
      <c r="Q73" s="20"/>
      <c r="R73" s="20"/>
      <c r="S73" s="18" t="str">
        <f aca="false">IF(A73="","",LOWER(TRIM(D73&amp;"|"&amp;E73&amp;"|"&amp;F73)))</f>
        <v/>
      </c>
      <c r="T73" s="20"/>
      <c r="U73" s="20"/>
      <c r="V73" s="20"/>
      <c r="W73" s="20"/>
      <c r="X73" s="20"/>
    </row>
    <row r="74" customFormat="false" ht="15" hidden="false" customHeight="false" outlineLevel="0" collapsed="false">
      <c r="A74" s="18"/>
      <c r="B74" s="20"/>
      <c r="C74" s="19"/>
      <c r="D74" s="20"/>
      <c r="E74" s="20"/>
      <c r="F74" s="20"/>
      <c r="G74" s="20"/>
      <c r="H74" s="20"/>
      <c r="I74" s="20"/>
      <c r="J74" s="18"/>
      <c r="K74" s="21" t="str">
        <f aca="false">IF(A74="","",IF(I74="",0,LEN(I74)-LEN(SUBSTITUTE(I74,",",""))+1))</f>
        <v/>
      </c>
      <c r="L74" s="21" t="str">
        <f aca="false">IF(A74="","",COUNTIF('Metric to Product'!$A:$A,A74))</f>
        <v/>
      </c>
      <c r="M74" s="21" t="str">
        <f aca="false">IF(A74="","",COUNTIF('Metric to Field'!$A:$A,A74))</f>
        <v/>
      </c>
      <c r="N74" s="21" t="str">
        <f aca="false">IF(B74="","",COUNTIF($B:$B,B74))</f>
        <v/>
      </c>
      <c r="O74" s="21" t="str">
        <f aca="false">IF(A74="","",COUNTIF($S:$S,S74)-1)</f>
        <v/>
      </c>
      <c r="P74" s="20"/>
      <c r="Q74" s="20"/>
      <c r="R74" s="20"/>
      <c r="S74" s="18" t="str">
        <f aca="false">IF(A74="","",LOWER(TRIM(D74&amp;"|"&amp;E74&amp;"|"&amp;F74)))</f>
        <v/>
      </c>
      <c r="T74" s="20"/>
      <c r="U74" s="20"/>
      <c r="V74" s="20"/>
      <c r="W74" s="20"/>
      <c r="X74" s="20"/>
    </row>
    <row r="75" customFormat="false" ht="15" hidden="false" customHeight="false" outlineLevel="0" collapsed="false">
      <c r="A75" s="18"/>
      <c r="B75" s="20"/>
      <c r="C75" s="19"/>
      <c r="D75" s="20"/>
      <c r="E75" s="20"/>
      <c r="F75" s="20"/>
      <c r="G75" s="20"/>
      <c r="H75" s="20"/>
      <c r="I75" s="20"/>
      <c r="J75" s="18"/>
      <c r="K75" s="21" t="str">
        <f aca="false">IF(A75="","",IF(I75="",0,LEN(I75)-LEN(SUBSTITUTE(I75,",",""))+1))</f>
        <v/>
      </c>
      <c r="L75" s="21" t="str">
        <f aca="false">IF(A75="","",COUNTIF('Metric to Product'!$A:$A,A75))</f>
        <v/>
      </c>
      <c r="M75" s="21" t="str">
        <f aca="false">IF(A75="","",COUNTIF('Metric to Field'!$A:$A,A75))</f>
        <v/>
      </c>
      <c r="N75" s="21" t="str">
        <f aca="false">IF(B75="","",COUNTIF($B:$B,B75))</f>
        <v/>
      </c>
      <c r="O75" s="21" t="str">
        <f aca="false">IF(A75="","",COUNTIF($S:$S,S75)-1)</f>
        <v/>
      </c>
      <c r="P75" s="20"/>
      <c r="Q75" s="20"/>
      <c r="R75" s="20"/>
      <c r="S75" s="18" t="str">
        <f aca="false">IF(A75="","",LOWER(TRIM(D75&amp;"|"&amp;E75&amp;"|"&amp;F75)))</f>
        <v/>
      </c>
      <c r="T75" s="20"/>
      <c r="U75" s="20"/>
      <c r="V75" s="20"/>
      <c r="W75" s="20"/>
      <c r="X75" s="20"/>
    </row>
    <row r="76" customFormat="false" ht="15" hidden="false" customHeight="false" outlineLevel="0" collapsed="false">
      <c r="A76" s="18"/>
      <c r="B76" s="20"/>
      <c r="C76" s="19"/>
      <c r="D76" s="20"/>
      <c r="E76" s="20"/>
      <c r="F76" s="20"/>
      <c r="G76" s="20"/>
      <c r="H76" s="20"/>
      <c r="I76" s="20"/>
      <c r="J76" s="18"/>
      <c r="K76" s="21" t="str">
        <f aca="false">IF(A76="","",IF(I76="",0,LEN(I76)-LEN(SUBSTITUTE(I76,",",""))+1))</f>
        <v/>
      </c>
      <c r="L76" s="21" t="str">
        <f aca="false">IF(A76="","",COUNTIF('Metric to Product'!$A:$A,A76))</f>
        <v/>
      </c>
      <c r="M76" s="21" t="str">
        <f aca="false">IF(A76="","",COUNTIF('Metric to Field'!$A:$A,A76))</f>
        <v/>
      </c>
      <c r="N76" s="21" t="str">
        <f aca="false">IF(B76="","",COUNTIF($B:$B,B76))</f>
        <v/>
      </c>
      <c r="O76" s="21" t="str">
        <f aca="false">IF(A76="","",COUNTIF($S:$S,S76)-1)</f>
        <v/>
      </c>
      <c r="P76" s="20"/>
      <c r="Q76" s="20"/>
      <c r="R76" s="20"/>
      <c r="S76" s="18" t="str">
        <f aca="false">IF(A76="","",LOWER(TRIM(D76&amp;"|"&amp;E76&amp;"|"&amp;F76)))</f>
        <v/>
      </c>
      <c r="T76" s="20"/>
      <c r="U76" s="20"/>
      <c r="V76" s="20"/>
      <c r="W76" s="20"/>
      <c r="X76" s="20"/>
    </row>
    <row r="77" customFormat="false" ht="15" hidden="false" customHeight="false" outlineLevel="0" collapsed="false">
      <c r="A77" s="18"/>
      <c r="B77" s="20"/>
      <c r="C77" s="19"/>
      <c r="D77" s="20"/>
      <c r="E77" s="20"/>
      <c r="F77" s="20"/>
      <c r="G77" s="20"/>
      <c r="H77" s="20"/>
      <c r="I77" s="20"/>
      <c r="J77" s="18"/>
      <c r="K77" s="21" t="str">
        <f aca="false">IF(A77="","",IF(I77="",0,LEN(I77)-LEN(SUBSTITUTE(I77,",",""))+1))</f>
        <v/>
      </c>
      <c r="L77" s="21" t="str">
        <f aca="false">IF(A77="","",COUNTIF('Metric to Product'!$A:$A,A77))</f>
        <v/>
      </c>
      <c r="M77" s="21" t="str">
        <f aca="false">IF(A77="","",COUNTIF('Metric to Field'!$A:$A,A77))</f>
        <v/>
      </c>
      <c r="N77" s="21" t="str">
        <f aca="false">IF(B77="","",COUNTIF($B:$B,B77))</f>
        <v/>
      </c>
      <c r="O77" s="21" t="str">
        <f aca="false">IF(A77="","",COUNTIF($S:$S,S77)-1)</f>
        <v/>
      </c>
      <c r="P77" s="20"/>
      <c r="Q77" s="20"/>
      <c r="R77" s="20"/>
      <c r="S77" s="18" t="str">
        <f aca="false">IF(A77="","",LOWER(TRIM(D77&amp;"|"&amp;E77&amp;"|"&amp;F77)))</f>
        <v/>
      </c>
      <c r="T77" s="20"/>
      <c r="U77" s="20"/>
      <c r="V77" s="20"/>
      <c r="W77" s="20"/>
      <c r="X77" s="20"/>
    </row>
    <row r="78" customFormat="false" ht="15" hidden="false" customHeight="false" outlineLevel="0" collapsed="false">
      <c r="A78" s="18"/>
      <c r="B78" s="20"/>
      <c r="C78" s="19"/>
      <c r="D78" s="20"/>
      <c r="E78" s="20"/>
      <c r="F78" s="20"/>
      <c r="G78" s="20"/>
      <c r="H78" s="20"/>
      <c r="I78" s="20"/>
      <c r="J78" s="18"/>
      <c r="K78" s="21" t="str">
        <f aca="false">IF(A78="","",IF(I78="",0,LEN(I78)-LEN(SUBSTITUTE(I78,",",""))+1))</f>
        <v/>
      </c>
      <c r="L78" s="21" t="str">
        <f aca="false">IF(A78="","",COUNTIF('Metric to Product'!$A:$A,A78))</f>
        <v/>
      </c>
      <c r="M78" s="21" t="str">
        <f aca="false">IF(A78="","",COUNTIF('Metric to Field'!$A:$A,A78))</f>
        <v/>
      </c>
      <c r="N78" s="21" t="str">
        <f aca="false">IF(B78="","",COUNTIF($B:$B,B78))</f>
        <v/>
      </c>
      <c r="O78" s="21" t="str">
        <f aca="false">IF(A78="","",COUNTIF($S:$S,S78)-1)</f>
        <v/>
      </c>
      <c r="P78" s="20"/>
      <c r="Q78" s="20"/>
      <c r="R78" s="20"/>
      <c r="S78" s="18" t="str">
        <f aca="false">IF(A78="","",LOWER(TRIM(D78&amp;"|"&amp;E78&amp;"|"&amp;F78)))</f>
        <v/>
      </c>
      <c r="T78" s="20"/>
      <c r="U78" s="20"/>
      <c r="V78" s="20"/>
      <c r="W78" s="20"/>
      <c r="X78" s="20"/>
    </row>
    <row r="79" customFormat="false" ht="15" hidden="false" customHeight="false" outlineLevel="0" collapsed="false">
      <c r="A79" s="18"/>
      <c r="B79" s="20"/>
      <c r="C79" s="19"/>
      <c r="D79" s="20"/>
      <c r="E79" s="20"/>
      <c r="F79" s="20"/>
      <c r="G79" s="20"/>
      <c r="H79" s="20"/>
      <c r="I79" s="20"/>
      <c r="J79" s="18"/>
      <c r="K79" s="21" t="str">
        <f aca="false">IF(A79="","",IF(I79="",0,LEN(I79)-LEN(SUBSTITUTE(I79,",",""))+1))</f>
        <v/>
      </c>
      <c r="L79" s="21" t="str">
        <f aca="false">IF(A79="","",COUNTIF('Metric to Product'!$A:$A,A79))</f>
        <v/>
      </c>
      <c r="M79" s="21" t="str">
        <f aca="false">IF(A79="","",COUNTIF('Metric to Field'!$A:$A,A79))</f>
        <v/>
      </c>
      <c r="N79" s="21" t="str">
        <f aca="false">IF(B79="","",COUNTIF($B:$B,B79))</f>
        <v/>
      </c>
      <c r="O79" s="21" t="str">
        <f aca="false">IF(A79="","",COUNTIF($S:$S,S79)-1)</f>
        <v/>
      </c>
      <c r="P79" s="20"/>
      <c r="Q79" s="20"/>
      <c r="R79" s="20"/>
      <c r="S79" s="18" t="str">
        <f aca="false">IF(A79="","",LOWER(TRIM(D79&amp;"|"&amp;E79&amp;"|"&amp;F79)))</f>
        <v/>
      </c>
      <c r="T79" s="20"/>
      <c r="U79" s="20"/>
      <c r="V79" s="20"/>
      <c r="W79" s="20"/>
      <c r="X79" s="20"/>
    </row>
    <row r="80" customFormat="false" ht="15" hidden="false" customHeight="false" outlineLevel="0" collapsed="false">
      <c r="A80" s="18"/>
      <c r="B80" s="20"/>
      <c r="C80" s="19"/>
      <c r="D80" s="20"/>
      <c r="E80" s="20"/>
      <c r="F80" s="20"/>
      <c r="G80" s="20"/>
      <c r="H80" s="20"/>
      <c r="I80" s="20"/>
      <c r="J80" s="18"/>
      <c r="K80" s="21" t="str">
        <f aca="false">IF(A80="","",IF(I80="",0,LEN(I80)-LEN(SUBSTITUTE(I80,",",""))+1))</f>
        <v/>
      </c>
      <c r="L80" s="21" t="str">
        <f aca="false">IF(A80="","",COUNTIF('Metric to Product'!$A:$A,A80))</f>
        <v/>
      </c>
      <c r="M80" s="21" t="str">
        <f aca="false">IF(A80="","",COUNTIF('Metric to Field'!$A:$A,A80))</f>
        <v/>
      </c>
      <c r="N80" s="21" t="str">
        <f aca="false">IF(B80="","",COUNTIF($B:$B,B80))</f>
        <v/>
      </c>
      <c r="O80" s="21" t="str">
        <f aca="false">IF(A80="","",COUNTIF($S:$S,S80)-1)</f>
        <v/>
      </c>
      <c r="P80" s="20"/>
      <c r="Q80" s="20"/>
      <c r="R80" s="20"/>
      <c r="S80" s="18" t="str">
        <f aca="false">IF(A80="","",LOWER(TRIM(D80&amp;"|"&amp;E80&amp;"|"&amp;F80)))</f>
        <v/>
      </c>
      <c r="T80" s="20"/>
      <c r="U80" s="20"/>
      <c r="V80" s="20"/>
      <c r="W80" s="20"/>
      <c r="X80" s="20"/>
    </row>
    <row r="81" customFormat="false" ht="15" hidden="false" customHeight="false" outlineLevel="0" collapsed="false">
      <c r="A81" s="18"/>
      <c r="B81" s="20"/>
      <c r="C81" s="19"/>
      <c r="D81" s="20"/>
      <c r="E81" s="20"/>
      <c r="F81" s="20"/>
      <c r="G81" s="20"/>
      <c r="H81" s="20"/>
      <c r="I81" s="20"/>
      <c r="J81" s="18"/>
      <c r="K81" s="21" t="str">
        <f aca="false">IF(A81="","",IF(I81="",0,LEN(I81)-LEN(SUBSTITUTE(I81,",",""))+1))</f>
        <v/>
      </c>
      <c r="L81" s="21" t="str">
        <f aca="false">IF(A81="","",COUNTIF('Metric to Product'!$A:$A,A81))</f>
        <v/>
      </c>
      <c r="M81" s="21" t="str">
        <f aca="false">IF(A81="","",COUNTIF('Metric to Field'!$A:$A,A81))</f>
        <v/>
      </c>
      <c r="N81" s="21" t="str">
        <f aca="false">IF(B81="","",COUNTIF($B:$B,B81))</f>
        <v/>
      </c>
      <c r="O81" s="21" t="str">
        <f aca="false">IF(A81="","",COUNTIF($S:$S,S81)-1)</f>
        <v/>
      </c>
      <c r="P81" s="20"/>
      <c r="Q81" s="20"/>
      <c r="R81" s="20"/>
      <c r="S81" s="18" t="str">
        <f aca="false">IF(A81="","",LOWER(TRIM(D81&amp;"|"&amp;E81&amp;"|"&amp;F81)))</f>
        <v/>
      </c>
      <c r="T81" s="20"/>
      <c r="U81" s="20"/>
      <c r="V81" s="20"/>
      <c r="W81" s="20"/>
      <c r="X81" s="20"/>
    </row>
    <row r="82" customFormat="false" ht="15" hidden="false" customHeight="false" outlineLevel="0" collapsed="false">
      <c r="A82" s="18"/>
      <c r="B82" s="20"/>
      <c r="C82" s="19"/>
      <c r="D82" s="20"/>
      <c r="E82" s="20"/>
      <c r="F82" s="20"/>
      <c r="G82" s="20"/>
      <c r="H82" s="20"/>
      <c r="I82" s="20"/>
      <c r="J82" s="18"/>
      <c r="K82" s="21" t="str">
        <f aca="false">IF(A82="","",IF(I82="",0,LEN(I82)-LEN(SUBSTITUTE(I82,",",""))+1))</f>
        <v/>
      </c>
      <c r="L82" s="21" t="str">
        <f aca="false">IF(A82="","",COUNTIF('Metric to Product'!$A:$A,A82))</f>
        <v/>
      </c>
      <c r="M82" s="21" t="str">
        <f aca="false">IF(A82="","",COUNTIF('Metric to Field'!$A:$A,A82))</f>
        <v/>
      </c>
      <c r="N82" s="21" t="str">
        <f aca="false">IF(B82="","",COUNTIF($B:$B,B82))</f>
        <v/>
      </c>
      <c r="O82" s="21" t="str">
        <f aca="false">IF(A82="","",COUNTIF($S:$S,S82)-1)</f>
        <v/>
      </c>
      <c r="P82" s="20"/>
      <c r="Q82" s="20"/>
      <c r="R82" s="20"/>
      <c r="S82" s="18" t="str">
        <f aca="false">IF(A82="","",LOWER(TRIM(D82&amp;"|"&amp;E82&amp;"|"&amp;F82)))</f>
        <v/>
      </c>
      <c r="T82" s="20"/>
      <c r="U82" s="20"/>
      <c r="V82" s="20"/>
      <c r="W82" s="20"/>
      <c r="X82" s="20"/>
    </row>
    <row r="83" customFormat="false" ht="15" hidden="false" customHeight="false" outlineLevel="0" collapsed="false">
      <c r="A83" s="18"/>
      <c r="B83" s="20"/>
      <c r="C83" s="19"/>
      <c r="D83" s="20"/>
      <c r="E83" s="20"/>
      <c r="F83" s="20"/>
      <c r="G83" s="20"/>
      <c r="H83" s="20"/>
      <c r="I83" s="20"/>
      <c r="J83" s="18"/>
      <c r="K83" s="21" t="str">
        <f aca="false">IF(A83="","",IF(I83="",0,LEN(I83)-LEN(SUBSTITUTE(I83,",",""))+1))</f>
        <v/>
      </c>
      <c r="L83" s="21" t="str">
        <f aca="false">IF(A83="","",COUNTIF('Metric to Product'!$A:$A,A83))</f>
        <v/>
      </c>
      <c r="M83" s="21" t="str">
        <f aca="false">IF(A83="","",COUNTIF('Metric to Field'!$A:$A,A83))</f>
        <v/>
      </c>
      <c r="N83" s="21" t="str">
        <f aca="false">IF(B83="","",COUNTIF($B:$B,B83))</f>
        <v/>
      </c>
      <c r="O83" s="21" t="str">
        <f aca="false">IF(A83="","",COUNTIF($S:$S,S83)-1)</f>
        <v/>
      </c>
      <c r="P83" s="20"/>
      <c r="Q83" s="20"/>
      <c r="R83" s="20"/>
      <c r="S83" s="18" t="str">
        <f aca="false">IF(A83="","",LOWER(TRIM(D83&amp;"|"&amp;E83&amp;"|"&amp;F83)))</f>
        <v/>
      </c>
      <c r="T83" s="20"/>
      <c r="U83" s="20"/>
      <c r="V83" s="20"/>
      <c r="W83" s="20"/>
      <c r="X83" s="20"/>
    </row>
    <row r="84" customFormat="false" ht="15" hidden="false" customHeight="false" outlineLevel="0" collapsed="false">
      <c r="A84" s="18"/>
      <c r="B84" s="20"/>
      <c r="C84" s="19"/>
      <c r="D84" s="20"/>
      <c r="E84" s="20"/>
      <c r="F84" s="20"/>
      <c r="G84" s="20"/>
      <c r="H84" s="20"/>
      <c r="I84" s="20"/>
      <c r="J84" s="18"/>
      <c r="K84" s="21" t="str">
        <f aca="false">IF(A84="","",IF(I84="",0,LEN(I84)-LEN(SUBSTITUTE(I84,",",""))+1))</f>
        <v/>
      </c>
      <c r="L84" s="21" t="str">
        <f aca="false">IF(A84="","",COUNTIF('Metric to Product'!$A:$A,A84))</f>
        <v/>
      </c>
      <c r="M84" s="21" t="str">
        <f aca="false">IF(A84="","",COUNTIF('Metric to Field'!$A:$A,A84))</f>
        <v/>
      </c>
      <c r="N84" s="21" t="str">
        <f aca="false">IF(B84="","",COUNTIF($B:$B,B84))</f>
        <v/>
      </c>
      <c r="O84" s="21" t="str">
        <f aca="false">IF(A84="","",COUNTIF($S:$S,S84)-1)</f>
        <v/>
      </c>
      <c r="P84" s="20"/>
      <c r="Q84" s="20"/>
      <c r="R84" s="20"/>
      <c r="S84" s="18" t="str">
        <f aca="false">IF(A84="","",LOWER(TRIM(D84&amp;"|"&amp;E84&amp;"|"&amp;F84)))</f>
        <v/>
      </c>
      <c r="T84" s="20"/>
      <c r="U84" s="20"/>
      <c r="V84" s="20"/>
      <c r="W84" s="20"/>
      <c r="X84" s="20"/>
    </row>
    <row r="85" customFormat="false" ht="15" hidden="false" customHeight="false" outlineLevel="0" collapsed="false">
      <c r="A85" s="18"/>
      <c r="B85" s="20"/>
      <c r="C85" s="19"/>
      <c r="D85" s="20"/>
      <c r="E85" s="20"/>
      <c r="F85" s="20"/>
      <c r="G85" s="20"/>
      <c r="H85" s="20"/>
      <c r="I85" s="20"/>
      <c r="J85" s="18"/>
      <c r="K85" s="21" t="str">
        <f aca="false">IF(A85="","",IF(I85="",0,LEN(I85)-LEN(SUBSTITUTE(I85,",",""))+1))</f>
        <v/>
      </c>
      <c r="L85" s="21" t="str">
        <f aca="false">IF(A85="","",COUNTIF('Metric to Product'!$A:$A,A85))</f>
        <v/>
      </c>
      <c r="M85" s="21" t="str">
        <f aca="false">IF(A85="","",COUNTIF('Metric to Field'!$A:$A,A85))</f>
        <v/>
      </c>
      <c r="N85" s="21" t="str">
        <f aca="false">IF(B85="","",COUNTIF($B:$B,B85))</f>
        <v/>
      </c>
      <c r="O85" s="21" t="str">
        <f aca="false">IF(A85="","",COUNTIF($S:$S,S85)-1)</f>
        <v/>
      </c>
      <c r="P85" s="20"/>
      <c r="Q85" s="20"/>
      <c r="R85" s="20"/>
      <c r="S85" s="18" t="str">
        <f aca="false">IF(A85="","",LOWER(TRIM(D85&amp;"|"&amp;E85&amp;"|"&amp;F85)))</f>
        <v/>
      </c>
      <c r="T85" s="20"/>
      <c r="U85" s="20"/>
      <c r="V85" s="20"/>
      <c r="W85" s="20"/>
      <c r="X85" s="20"/>
    </row>
    <row r="86" customFormat="false" ht="15" hidden="false" customHeight="false" outlineLevel="0" collapsed="false">
      <c r="A86" s="18"/>
      <c r="B86" s="20"/>
      <c r="C86" s="19"/>
      <c r="D86" s="20"/>
      <c r="E86" s="20"/>
      <c r="F86" s="20"/>
      <c r="G86" s="20"/>
      <c r="H86" s="20"/>
      <c r="I86" s="20"/>
      <c r="J86" s="18"/>
      <c r="K86" s="21" t="str">
        <f aca="false">IF(A86="","",IF(I86="",0,LEN(I86)-LEN(SUBSTITUTE(I86,",",""))+1))</f>
        <v/>
      </c>
      <c r="L86" s="21" t="str">
        <f aca="false">IF(A86="","",COUNTIF('Metric to Product'!$A:$A,A86))</f>
        <v/>
      </c>
      <c r="M86" s="21" t="str">
        <f aca="false">IF(A86="","",COUNTIF('Metric to Field'!$A:$A,A86))</f>
        <v/>
      </c>
      <c r="N86" s="21" t="str">
        <f aca="false">IF(B86="","",COUNTIF($B:$B,B86))</f>
        <v/>
      </c>
      <c r="O86" s="21" t="str">
        <f aca="false">IF(A86="","",COUNTIF($S:$S,S86)-1)</f>
        <v/>
      </c>
      <c r="P86" s="20"/>
      <c r="Q86" s="20"/>
      <c r="R86" s="20"/>
      <c r="S86" s="18" t="str">
        <f aca="false">IF(A86="","",LOWER(TRIM(D86&amp;"|"&amp;E86&amp;"|"&amp;F86)))</f>
        <v/>
      </c>
      <c r="T86" s="20"/>
      <c r="U86" s="20"/>
      <c r="V86" s="20"/>
      <c r="W86" s="20"/>
      <c r="X86" s="20"/>
    </row>
    <row r="87" customFormat="false" ht="15" hidden="false" customHeight="false" outlineLevel="0" collapsed="false">
      <c r="A87" s="18"/>
      <c r="B87" s="20"/>
      <c r="C87" s="19"/>
      <c r="D87" s="20"/>
      <c r="E87" s="20"/>
      <c r="F87" s="20"/>
      <c r="G87" s="20"/>
      <c r="H87" s="20"/>
      <c r="I87" s="20"/>
      <c r="J87" s="18"/>
      <c r="K87" s="21" t="str">
        <f aca="false">IF(A87="","",IF(I87="",0,LEN(I87)-LEN(SUBSTITUTE(I87,",",""))+1))</f>
        <v/>
      </c>
      <c r="L87" s="21" t="str">
        <f aca="false">IF(A87="","",COUNTIF('Metric to Product'!$A:$A,A87))</f>
        <v/>
      </c>
      <c r="M87" s="21" t="str">
        <f aca="false">IF(A87="","",COUNTIF('Metric to Field'!$A:$A,A87))</f>
        <v/>
      </c>
      <c r="N87" s="21" t="str">
        <f aca="false">IF(B87="","",COUNTIF($B:$B,B87))</f>
        <v/>
      </c>
      <c r="O87" s="21" t="str">
        <f aca="false">IF(A87="","",COUNTIF($S:$S,S87)-1)</f>
        <v/>
      </c>
      <c r="P87" s="20"/>
      <c r="Q87" s="20"/>
      <c r="R87" s="20"/>
      <c r="S87" s="18" t="str">
        <f aca="false">IF(A87="","",LOWER(TRIM(D87&amp;"|"&amp;E87&amp;"|"&amp;F87)))</f>
        <v/>
      </c>
      <c r="T87" s="20"/>
      <c r="U87" s="20"/>
      <c r="V87" s="20"/>
      <c r="W87" s="20"/>
      <c r="X87" s="20"/>
    </row>
    <row r="88" customFormat="false" ht="15" hidden="false" customHeight="false" outlineLevel="0" collapsed="false">
      <c r="A88" s="18"/>
      <c r="B88" s="20"/>
      <c r="C88" s="19"/>
      <c r="D88" s="20"/>
      <c r="E88" s="20"/>
      <c r="F88" s="20"/>
      <c r="G88" s="20"/>
      <c r="H88" s="20"/>
      <c r="I88" s="20"/>
      <c r="J88" s="18"/>
      <c r="K88" s="21" t="str">
        <f aca="false">IF(A88="","",IF(I88="",0,LEN(I88)-LEN(SUBSTITUTE(I88,",",""))+1))</f>
        <v/>
      </c>
      <c r="L88" s="21" t="str">
        <f aca="false">IF(A88="","",COUNTIF('Metric to Product'!$A:$A,A88))</f>
        <v/>
      </c>
      <c r="M88" s="21" t="str">
        <f aca="false">IF(A88="","",COUNTIF('Metric to Field'!$A:$A,A88))</f>
        <v/>
      </c>
      <c r="N88" s="21" t="str">
        <f aca="false">IF(B88="","",COUNTIF($B:$B,B88))</f>
        <v/>
      </c>
      <c r="O88" s="21" t="str">
        <f aca="false">IF(A88="","",COUNTIF($S:$S,S88)-1)</f>
        <v/>
      </c>
      <c r="P88" s="20"/>
      <c r="Q88" s="20"/>
      <c r="R88" s="20"/>
      <c r="S88" s="18" t="str">
        <f aca="false">IF(A88="","",LOWER(TRIM(D88&amp;"|"&amp;E88&amp;"|"&amp;F88)))</f>
        <v/>
      </c>
      <c r="T88" s="20"/>
      <c r="U88" s="20"/>
      <c r="V88" s="20"/>
      <c r="W88" s="20"/>
      <c r="X88" s="20"/>
    </row>
    <row r="89" customFormat="false" ht="15" hidden="false" customHeight="false" outlineLevel="0" collapsed="false">
      <c r="A89" s="18"/>
      <c r="B89" s="20"/>
      <c r="C89" s="19"/>
      <c r="D89" s="20"/>
      <c r="E89" s="20"/>
      <c r="F89" s="20"/>
      <c r="G89" s="20"/>
      <c r="H89" s="20"/>
      <c r="I89" s="20"/>
      <c r="J89" s="18"/>
      <c r="K89" s="21" t="str">
        <f aca="false">IF(A89="","",IF(I89="",0,LEN(I89)-LEN(SUBSTITUTE(I89,",",""))+1))</f>
        <v/>
      </c>
      <c r="L89" s="21" t="str">
        <f aca="false">IF(A89="","",COUNTIF('Metric to Product'!$A:$A,A89))</f>
        <v/>
      </c>
      <c r="M89" s="21" t="str">
        <f aca="false">IF(A89="","",COUNTIF('Metric to Field'!$A:$A,A89))</f>
        <v/>
      </c>
      <c r="N89" s="21" t="str">
        <f aca="false">IF(B89="","",COUNTIF($B:$B,B89))</f>
        <v/>
      </c>
      <c r="O89" s="21" t="str">
        <f aca="false">IF(A89="","",COUNTIF($S:$S,S89)-1)</f>
        <v/>
      </c>
      <c r="P89" s="20"/>
      <c r="Q89" s="20"/>
      <c r="R89" s="20"/>
      <c r="S89" s="18" t="str">
        <f aca="false">IF(A89="","",LOWER(TRIM(D89&amp;"|"&amp;E89&amp;"|"&amp;F89)))</f>
        <v/>
      </c>
      <c r="T89" s="20"/>
      <c r="U89" s="20"/>
      <c r="V89" s="20"/>
      <c r="W89" s="20"/>
      <c r="X89" s="20"/>
    </row>
    <row r="90" customFormat="false" ht="15" hidden="false" customHeight="false" outlineLevel="0" collapsed="false">
      <c r="A90" s="18"/>
      <c r="B90" s="20"/>
      <c r="C90" s="19"/>
      <c r="D90" s="20"/>
      <c r="E90" s="20"/>
      <c r="F90" s="20"/>
      <c r="G90" s="20"/>
      <c r="H90" s="20"/>
      <c r="I90" s="20"/>
      <c r="J90" s="18"/>
      <c r="K90" s="21" t="str">
        <f aca="false">IF(A90="","",IF(I90="",0,LEN(I90)-LEN(SUBSTITUTE(I90,",",""))+1))</f>
        <v/>
      </c>
      <c r="L90" s="21" t="str">
        <f aca="false">IF(A90="","",COUNTIF('Metric to Product'!$A:$A,A90))</f>
        <v/>
      </c>
      <c r="M90" s="21" t="str">
        <f aca="false">IF(A90="","",COUNTIF('Metric to Field'!$A:$A,A90))</f>
        <v/>
      </c>
      <c r="N90" s="21" t="str">
        <f aca="false">IF(B90="","",COUNTIF($B:$B,B90))</f>
        <v/>
      </c>
      <c r="O90" s="21" t="str">
        <f aca="false">IF(A90="","",COUNTIF($S:$S,S90)-1)</f>
        <v/>
      </c>
      <c r="P90" s="20"/>
      <c r="Q90" s="20"/>
      <c r="R90" s="20"/>
      <c r="S90" s="18" t="str">
        <f aca="false">IF(A90="","",LOWER(TRIM(D90&amp;"|"&amp;E90&amp;"|"&amp;F90)))</f>
        <v/>
      </c>
      <c r="T90" s="20"/>
      <c r="U90" s="20"/>
      <c r="V90" s="20"/>
      <c r="W90" s="20"/>
      <c r="X90" s="20"/>
    </row>
    <row r="91" customFormat="false" ht="15" hidden="false" customHeight="false" outlineLevel="0" collapsed="false">
      <c r="A91" s="18"/>
      <c r="B91" s="20"/>
      <c r="C91" s="19"/>
      <c r="D91" s="20"/>
      <c r="E91" s="20"/>
      <c r="F91" s="20"/>
      <c r="G91" s="20"/>
      <c r="H91" s="20"/>
      <c r="I91" s="20"/>
      <c r="J91" s="18"/>
      <c r="K91" s="21" t="str">
        <f aca="false">IF(A91="","",IF(I91="",0,LEN(I91)-LEN(SUBSTITUTE(I91,",",""))+1))</f>
        <v/>
      </c>
      <c r="L91" s="21" t="str">
        <f aca="false">IF(A91="","",COUNTIF('Metric to Product'!$A:$A,A91))</f>
        <v/>
      </c>
      <c r="M91" s="21" t="str">
        <f aca="false">IF(A91="","",COUNTIF('Metric to Field'!$A:$A,A91))</f>
        <v/>
      </c>
      <c r="N91" s="21" t="str">
        <f aca="false">IF(B91="","",COUNTIF($B:$B,B91))</f>
        <v/>
      </c>
      <c r="O91" s="21" t="str">
        <f aca="false">IF(A91="","",COUNTIF($S:$S,S91)-1)</f>
        <v/>
      </c>
      <c r="P91" s="20"/>
      <c r="Q91" s="20"/>
      <c r="R91" s="20"/>
      <c r="S91" s="18" t="str">
        <f aca="false">IF(A91="","",LOWER(TRIM(D91&amp;"|"&amp;E91&amp;"|"&amp;F91)))</f>
        <v/>
      </c>
      <c r="T91" s="20"/>
      <c r="U91" s="20"/>
      <c r="V91" s="20"/>
      <c r="W91" s="20"/>
      <c r="X91" s="20"/>
    </row>
    <row r="92" customFormat="false" ht="15" hidden="false" customHeight="false" outlineLevel="0" collapsed="false">
      <c r="A92" s="18"/>
      <c r="B92" s="20"/>
      <c r="C92" s="19"/>
      <c r="D92" s="20"/>
      <c r="E92" s="20"/>
      <c r="F92" s="20"/>
      <c r="G92" s="20"/>
      <c r="H92" s="20"/>
      <c r="I92" s="20"/>
      <c r="J92" s="18"/>
      <c r="K92" s="21" t="str">
        <f aca="false">IF(A92="","",IF(I92="",0,LEN(I92)-LEN(SUBSTITUTE(I92,",",""))+1))</f>
        <v/>
      </c>
      <c r="L92" s="21" t="str">
        <f aca="false">IF(A92="","",COUNTIF('Metric to Product'!$A:$A,A92))</f>
        <v/>
      </c>
      <c r="M92" s="21" t="str">
        <f aca="false">IF(A92="","",COUNTIF('Metric to Field'!$A:$A,A92))</f>
        <v/>
      </c>
      <c r="N92" s="21" t="str">
        <f aca="false">IF(B92="","",COUNTIF($B:$B,B92))</f>
        <v/>
      </c>
      <c r="O92" s="21" t="str">
        <f aca="false">IF(A92="","",COUNTIF($S:$S,S92)-1)</f>
        <v/>
      </c>
      <c r="P92" s="20"/>
      <c r="Q92" s="20"/>
      <c r="R92" s="20"/>
      <c r="S92" s="18" t="str">
        <f aca="false">IF(A92="","",LOWER(TRIM(D92&amp;"|"&amp;E92&amp;"|"&amp;F92)))</f>
        <v/>
      </c>
      <c r="T92" s="20"/>
      <c r="U92" s="20"/>
      <c r="V92" s="20"/>
      <c r="W92" s="20"/>
      <c r="X92" s="20"/>
    </row>
    <row r="93" customFormat="false" ht="15" hidden="false" customHeight="false" outlineLevel="0" collapsed="false">
      <c r="A93" s="18"/>
      <c r="B93" s="20"/>
      <c r="C93" s="19"/>
      <c r="D93" s="20"/>
      <c r="E93" s="20"/>
      <c r="F93" s="20"/>
      <c r="G93" s="20"/>
      <c r="H93" s="20"/>
      <c r="I93" s="20"/>
      <c r="J93" s="18"/>
      <c r="K93" s="21" t="str">
        <f aca="false">IF(A93="","",IF(I93="",0,LEN(I93)-LEN(SUBSTITUTE(I93,",",""))+1))</f>
        <v/>
      </c>
      <c r="L93" s="21" t="str">
        <f aca="false">IF(A93="","",COUNTIF('Metric to Product'!$A:$A,A93))</f>
        <v/>
      </c>
      <c r="M93" s="21" t="str">
        <f aca="false">IF(A93="","",COUNTIF('Metric to Field'!$A:$A,A93))</f>
        <v/>
      </c>
      <c r="N93" s="21" t="str">
        <f aca="false">IF(B93="","",COUNTIF($B:$B,B93))</f>
        <v/>
      </c>
      <c r="O93" s="21" t="str">
        <f aca="false">IF(A93="","",COUNTIF($S:$S,S93)-1)</f>
        <v/>
      </c>
      <c r="P93" s="20"/>
      <c r="Q93" s="20"/>
      <c r="R93" s="20"/>
      <c r="S93" s="18" t="str">
        <f aca="false">IF(A93="","",LOWER(TRIM(D93&amp;"|"&amp;E93&amp;"|"&amp;F93)))</f>
        <v/>
      </c>
      <c r="T93" s="20"/>
      <c r="U93" s="20"/>
      <c r="V93" s="20"/>
      <c r="W93" s="20"/>
      <c r="X93" s="20"/>
    </row>
    <row r="94" customFormat="false" ht="15" hidden="false" customHeight="false" outlineLevel="0" collapsed="false">
      <c r="A94" s="18"/>
      <c r="B94" s="20"/>
      <c r="C94" s="19"/>
      <c r="D94" s="20"/>
      <c r="E94" s="20"/>
      <c r="F94" s="20"/>
      <c r="G94" s="20"/>
      <c r="H94" s="20"/>
      <c r="I94" s="20"/>
      <c r="J94" s="18"/>
      <c r="K94" s="21" t="str">
        <f aca="false">IF(A94="","",IF(I94="",0,LEN(I94)-LEN(SUBSTITUTE(I94,",",""))+1))</f>
        <v/>
      </c>
      <c r="L94" s="21" t="str">
        <f aca="false">IF(A94="","",COUNTIF('Metric to Product'!$A:$A,A94))</f>
        <v/>
      </c>
      <c r="M94" s="21" t="str">
        <f aca="false">IF(A94="","",COUNTIF('Metric to Field'!$A:$A,A94))</f>
        <v/>
      </c>
      <c r="N94" s="21" t="str">
        <f aca="false">IF(B94="","",COUNTIF($B:$B,B94))</f>
        <v/>
      </c>
      <c r="O94" s="21" t="str">
        <f aca="false">IF(A94="","",COUNTIF($S:$S,S94)-1)</f>
        <v/>
      </c>
      <c r="P94" s="20"/>
      <c r="Q94" s="20"/>
      <c r="R94" s="20"/>
      <c r="S94" s="18" t="str">
        <f aca="false">IF(A94="","",LOWER(TRIM(D94&amp;"|"&amp;E94&amp;"|"&amp;F94)))</f>
        <v/>
      </c>
      <c r="T94" s="20"/>
      <c r="U94" s="20"/>
      <c r="V94" s="20"/>
      <c r="W94" s="20"/>
      <c r="X94" s="20"/>
    </row>
    <row r="95" customFormat="false" ht="15" hidden="false" customHeight="false" outlineLevel="0" collapsed="false">
      <c r="A95" s="18"/>
      <c r="B95" s="20"/>
      <c r="C95" s="19"/>
      <c r="D95" s="20"/>
      <c r="E95" s="20"/>
      <c r="F95" s="20"/>
      <c r="G95" s="20"/>
      <c r="H95" s="20"/>
      <c r="I95" s="20"/>
      <c r="J95" s="18"/>
      <c r="K95" s="21" t="str">
        <f aca="false">IF(A95="","",IF(I95="",0,LEN(I95)-LEN(SUBSTITUTE(I95,",",""))+1))</f>
        <v/>
      </c>
      <c r="L95" s="21" t="str">
        <f aca="false">IF(A95="","",COUNTIF('Metric to Product'!$A:$A,A95))</f>
        <v/>
      </c>
      <c r="M95" s="21" t="str">
        <f aca="false">IF(A95="","",COUNTIF('Metric to Field'!$A:$A,A95))</f>
        <v/>
      </c>
      <c r="N95" s="21" t="str">
        <f aca="false">IF(B95="","",COUNTIF($B:$B,B95))</f>
        <v/>
      </c>
      <c r="O95" s="21" t="str">
        <f aca="false">IF(A95="","",COUNTIF($S:$S,S95)-1)</f>
        <v/>
      </c>
      <c r="P95" s="20"/>
      <c r="Q95" s="20"/>
      <c r="R95" s="20"/>
      <c r="S95" s="18" t="str">
        <f aca="false">IF(A95="","",LOWER(TRIM(D95&amp;"|"&amp;E95&amp;"|"&amp;F95)))</f>
        <v/>
      </c>
      <c r="T95" s="20"/>
      <c r="U95" s="20"/>
      <c r="V95" s="20"/>
      <c r="W95" s="20"/>
      <c r="X95" s="20"/>
    </row>
    <row r="96" customFormat="false" ht="15" hidden="false" customHeight="false" outlineLevel="0" collapsed="false">
      <c r="A96" s="18"/>
      <c r="B96" s="20"/>
      <c r="C96" s="19"/>
      <c r="D96" s="20"/>
      <c r="E96" s="20"/>
      <c r="F96" s="20"/>
      <c r="G96" s="20"/>
      <c r="H96" s="20"/>
      <c r="I96" s="20"/>
      <c r="J96" s="18"/>
      <c r="K96" s="21" t="str">
        <f aca="false">IF(A96="","",IF(I96="",0,LEN(I96)-LEN(SUBSTITUTE(I96,",",""))+1))</f>
        <v/>
      </c>
      <c r="L96" s="21" t="str">
        <f aca="false">IF(A96="","",COUNTIF('Metric to Product'!$A:$A,A96))</f>
        <v/>
      </c>
      <c r="M96" s="21" t="str">
        <f aca="false">IF(A96="","",COUNTIF('Metric to Field'!$A:$A,A96))</f>
        <v/>
      </c>
      <c r="N96" s="21" t="str">
        <f aca="false">IF(B96="","",COUNTIF($B:$B,B96))</f>
        <v/>
      </c>
      <c r="O96" s="21" t="str">
        <f aca="false">IF(A96="","",COUNTIF($S:$S,S96)-1)</f>
        <v/>
      </c>
      <c r="P96" s="20"/>
      <c r="Q96" s="20"/>
      <c r="R96" s="20"/>
      <c r="S96" s="18" t="str">
        <f aca="false">IF(A96="","",LOWER(TRIM(D96&amp;"|"&amp;E96&amp;"|"&amp;F96)))</f>
        <v/>
      </c>
      <c r="T96" s="20"/>
      <c r="U96" s="20"/>
      <c r="V96" s="20"/>
      <c r="W96" s="20"/>
      <c r="X96" s="20"/>
    </row>
    <row r="97" customFormat="false" ht="15" hidden="false" customHeight="false" outlineLevel="0" collapsed="false">
      <c r="A97" s="18"/>
      <c r="B97" s="20"/>
      <c r="C97" s="19"/>
      <c r="D97" s="20"/>
      <c r="E97" s="20"/>
      <c r="F97" s="20"/>
      <c r="G97" s="20"/>
      <c r="H97" s="20"/>
      <c r="I97" s="20"/>
      <c r="J97" s="18"/>
      <c r="K97" s="21" t="str">
        <f aca="false">IF(A97="","",IF(I97="",0,LEN(I97)-LEN(SUBSTITUTE(I97,",",""))+1))</f>
        <v/>
      </c>
      <c r="L97" s="21" t="str">
        <f aca="false">IF(A97="","",COUNTIF('Metric to Product'!$A:$A,A97))</f>
        <v/>
      </c>
      <c r="M97" s="21" t="str">
        <f aca="false">IF(A97="","",COUNTIF('Metric to Field'!$A:$A,A97))</f>
        <v/>
      </c>
      <c r="N97" s="21" t="str">
        <f aca="false">IF(B97="","",COUNTIF($B:$B,B97))</f>
        <v/>
      </c>
      <c r="O97" s="21" t="str">
        <f aca="false">IF(A97="","",COUNTIF($S:$S,S97)-1)</f>
        <v/>
      </c>
      <c r="P97" s="20"/>
      <c r="Q97" s="20"/>
      <c r="R97" s="20"/>
      <c r="S97" s="18" t="str">
        <f aca="false">IF(A97="","",LOWER(TRIM(D97&amp;"|"&amp;E97&amp;"|"&amp;F97)))</f>
        <v/>
      </c>
      <c r="T97" s="20"/>
      <c r="U97" s="20"/>
      <c r="V97" s="20"/>
      <c r="W97" s="20"/>
      <c r="X97" s="20"/>
    </row>
    <row r="98" customFormat="false" ht="15" hidden="false" customHeight="false" outlineLevel="0" collapsed="false">
      <c r="A98" s="18"/>
      <c r="B98" s="20"/>
      <c r="C98" s="19"/>
      <c r="D98" s="20"/>
      <c r="E98" s="20"/>
      <c r="F98" s="20"/>
      <c r="G98" s="20"/>
      <c r="H98" s="20"/>
      <c r="I98" s="20"/>
      <c r="J98" s="18"/>
      <c r="K98" s="21" t="str">
        <f aca="false">IF(A98="","",IF(I98="",0,LEN(I98)-LEN(SUBSTITUTE(I98,",",""))+1))</f>
        <v/>
      </c>
      <c r="L98" s="21" t="str">
        <f aca="false">IF(A98="","",COUNTIF('Metric to Product'!$A:$A,A98))</f>
        <v/>
      </c>
      <c r="M98" s="21" t="str">
        <f aca="false">IF(A98="","",COUNTIF('Metric to Field'!$A:$A,A98))</f>
        <v/>
      </c>
      <c r="N98" s="21" t="str">
        <f aca="false">IF(B98="","",COUNTIF($B:$B,B98))</f>
        <v/>
      </c>
      <c r="O98" s="21" t="str">
        <f aca="false">IF(A98="","",COUNTIF($S:$S,S98)-1)</f>
        <v/>
      </c>
      <c r="P98" s="20"/>
      <c r="Q98" s="20"/>
      <c r="R98" s="20"/>
      <c r="S98" s="18" t="str">
        <f aca="false">IF(A98="","",LOWER(TRIM(D98&amp;"|"&amp;E98&amp;"|"&amp;F98)))</f>
        <v/>
      </c>
      <c r="T98" s="20"/>
      <c r="U98" s="20"/>
      <c r="V98" s="20"/>
      <c r="W98" s="20"/>
      <c r="X98" s="20"/>
    </row>
    <row r="99" customFormat="false" ht="15" hidden="false" customHeight="false" outlineLevel="0" collapsed="false">
      <c r="A99" s="18"/>
      <c r="B99" s="20"/>
      <c r="C99" s="19"/>
      <c r="D99" s="20"/>
      <c r="E99" s="20"/>
      <c r="F99" s="20"/>
      <c r="G99" s="20"/>
      <c r="H99" s="20"/>
      <c r="I99" s="20"/>
      <c r="J99" s="18"/>
      <c r="K99" s="21" t="str">
        <f aca="false">IF(A99="","",IF(I99="",0,LEN(I99)-LEN(SUBSTITUTE(I99,",",""))+1))</f>
        <v/>
      </c>
      <c r="L99" s="21" t="str">
        <f aca="false">IF(A99="","",COUNTIF('Metric to Product'!$A:$A,A99))</f>
        <v/>
      </c>
      <c r="M99" s="21" t="str">
        <f aca="false">IF(A99="","",COUNTIF('Metric to Field'!$A:$A,A99))</f>
        <v/>
      </c>
      <c r="N99" s="21" t="str">
        <f aca="false">IF(B99="","",COUNTIF($B:$B,B99))</f>
        <v/>
      </c>
      <c r="O99" s="21" t="str">
        <f aca="false">IF(A99="","",COUNTIF($S:$S,S99)-1)</f>
        <v/>
      </c>
      <c r="P99" s="20"/>
      <c r="Q99" s="20"/>
      <c r="R99" s="20"/>
      <c r="S99" s="18" t="str">
        <f aca="false">IF(A99="","",LOWER(TRIM(D99&amp;"|"&amp;E99&amp;"|"&amp;F99)))</f>
        <v/>
      </c>
      <c r="T99" s="20"/>
      <c r="U99" s="20"/>
      <c r="V99" s="20"/>
      <c r="W99" s="20"/>
      <c r="X99" s="20"/>
    </row>
    <row r="100" customFormat="false" ht="15" hidden="false" customHeight="false" outlineLevel="0" collapsed="false">
      <c r="A100" s="18"/>
      <c r="B100" s="20"/>
      <c r="C100" s="19"/>
      <c r="D100" s="20"/>
      <c r="E100" s="20"/>
      <c r="F100" s="20"/>
      <c r="G100" s="20"/>
      <c r="H100" s="20"/>
      <c r="I100" s="20"/>
      <c r="J100" s="18"/>
      <c r="K100" s="21" t="str">
        <f aca="false">IF(A100="","",IF(I100="",0,LEN(I100)-LEN(SUBSTITUTE(I100,",",""))+1))</f>
        <v/>
      </c>
      <c r="L100" s="21" t="str">
        <f aca="false">IF(A100="","",COUNTIF('Metric to Product'!$A:$A,A100))</f>
        <v/>
      </c>
      <c r="M100" s="21" t="str">
        <f aca="false">IF(A100="","",COUNTIF('Metric to Field'!$A:$A,A100))</f>
        <v/>
      </c>
      <c r="N100" s="21" t="str">
        <f aca="false">IF(B100="","",COUNTIF($B:$B,B100))</f>
        <v/>
      </c>
      <c r="O100" s="21" t="str">
        <f aca="false">IF(A100="","",COUNTIF($S:$S,S100)-1)</f>
        <v/>
      </c>
      <c r="P100" s="20"/>
      <c r="Q100" s="20"/>
      <c r="R100" s="20"/>
      <c r="S100" s="18" t="str">
        <f aca="false">IF(A100="","",LOWER(TRIM(D100&amp;"|"&amp;E100&amp;"|"&amp;F100)))</f>
        <v/>
      </c>
      <c r="T100" s="20"/>
      <c r="U100" s="20"/>
      <c r="V100" s="20"/>
      <c r="W100" s="20"/>
      <c r="X100" s="20"/>
    </row>
    <row r="101" customFormat="false" ht="15" hidden="false" customHeight="false" outlineLevel="0" collapsed="false">
      <c r="A101" s="18"/>
      <c r="B101" s="20"/>
      <c r="C101" s="19"/>
      <c r="D101" s="20"/>
      <c r="E101" s="20"/>
      <c r="F101" s="20"/>
      <c r="G101" s="20"/>
      <c r="H101" s="20"/>
      <c r="I101" s="20"/>
      <c r="J101" s="18"/>
      <c r="K101" s="21" t="str">
        <f aca="false">IF(A101="","",IF(I101="",0,LEN(I101)-LEN(SUBSTITUTE(I101,",",""))+1))</f>
        <v/>
      </c>
      <c r="L101" s="21" t="str">
        <f aca="false">IF(A101="","",COUNTIF('Metric to Product'!$A:$A,A101))</f>
        <v/>
      </c>
      <c r="M101" s="21" t="str">
        <f aca="false">IF(A101="","",COUNTIF('Metric to Field'!$A:$A,A101))</f>
        <v/>
      </c>
      <c r="N101" s="21" t="str">
        <f aca="false">IF(B101="","",COUNTIF($B:$B,B101))</f>
        <v/>
      </c>
      <c r="O101" s="21" t="str">
        <f aca="false">IF(A101="","",COUNTIF($S:$S,S101)-1)</f>
        <v/>
      </c>
      <c r="P101" s="20"/>
      <c r="Q101" s="20"/>
      <c r="R101" s="20"/>
      <c r="S101" s="18" t="str">
        <f aca="false">IF(A101="","",LOWER(TRIM(D101&amp;"|"&amp;E101&amp;"|"&amp;F101)))</f>
        <v/>
      </c>
      <c r="T101" s="20"/>
      <c r="U101" s="20"/>
      <c r="V101" s="20"/>
      <c r="W101" s="20"/>
      <c r="X101" s="20"/>
    </row>
    <row r="102" customFormat="false" ht="15" hidden="false" customHeight="false" outlineLevel="0" collapsed="false">
      <c r="A102" s="18"/>
      <c r="B102" s="20"/>
      <c r="C102" s="19"/>
      <c r="D102" s="20"/>
      <c r="E102" s="20"/>
      <c r="F102" s="20"/>
      <c r="G102" s="20"/>
      <c r="H102" s="20"/>
      <c r="I102" s="20"/>
      <c r="J102" s="18"/>
      <c r="K102" s="21" t="str">
        <f aca="false">IF(A102="","",IF(I102="",0,LEN(I102)-LEN(SUBSTITUTE(I102,",",""))+1))</f>
        <v/>
      </c>
      <c r="L102" s="21" t="str">
        <f aca="false">IF(A102="","",COUNTIF('Metric to Product'!$A:$A,A102))</f>
        <v/>
      </c>
      <c r="M102" s="21" t="str">
        <f aca="false">IF(A102="","",COUNTIF('Metric to Field'!$A:$A,A102))</f>
        <v/>
      </c>
      <c r="N102" s="21" t="str">
        <f aca="false">IF(B102="","",COUNTIF($B:$B,B102))</f>
        <v/>
      </c>
      <c r="O102" s="21" t="str">
        <f aca="false">IF(A102="","",COUNTIF($S:$S,S102)-1)</f>
        <v/>
      </c>
      <c r="P102" s="20"/>
      <c r="Q102" s="20"/>
      <c r="R102" s="20"/>
      <c r="S102" s="18" t="str">
        <f aca="false">IF(A102="","",LOWER(TRIM(D102&amp;"|"&amp;E102&amp;"|"&amp;F102)))</f>
        <v/>
      </c>
      <c r="T102" s="20"/>
      <c r="U102" s="20"/>
      <c r="V102" s="20"/>
      <c r="W102" s="20"/>
      <c r="X102" s="20"/>
    </row>
    <row r="103" customFormat="false" ht="15" hidden="false" customHeight="false" outlineLevel="0" collapsed="false">
      <c r="A103" s="18"/>
      <c r="B103" s="20"/>
      <c r="C103" s="19"/>
      <c r="D103" s="20"/>
      <c r="E103" s="20"/>
      <c r="F103" s="20"/>
      <c r="G103" s="20"/>
      <c r="H103" s="20"/>
      <c r="I103" s="20"/>
      <c r="J103" s="18"/>
      <c r="K103" s="21" t="str">
        <f aca="false">IF(A103="","",IF(I103="",0,LEN(I103)-LEN(SUBSTITUTE(I103,",",""))+1))</f>
        <v/>
      </c>
      <c r="L103" s="21" t="str">
        <f aca="false">IF(A103="","",COUNTIF('Metric to Product'!$A:$A,A103))</f>
        <v/>
      </c>
      <c r="M103" s="21" t="str">
        <f aca="false">IF(A103="","",COUNTIF('Metric to Field'!$A:$A,A103))</f>
        <v/>
      </c>
      <c r="N103" s="21" t="str">
        <f aca="false">IF(B103="","",COUNTIF($B:$B,B103))</f>
        <v/>
      </c>
      <c r="O103" s="21" t="str">
        <f aca="false">IF(A103="","",COUNTIF($S:$S,S103)-1)</f>
        <v/>
      </c>
      <c r="P103" s="20"/>
      <c r="Q103" s="20"/>
      <c r="R103" s="20"/>
      <c r="S103" s="18" t="str">
        <f aca="false">IF(A103="","",LOWER(TRIM(D103&amp;"|"&amp;E103&amp;"|"&amp;F103)))</f>
        <v/>
      </c>
      <c r="T103" s="20"/>
      <c r="U103" s="20"/>
      <c r="V103" s="20"/>
      <c r="W103" s="20"/>
      <c r="X103" s="20"/>
    </row>
    <row r="104" customFormat="false" ht="15" hidden="false" customHeight="false" outlineLevel="0" collapsed="false">
      <c r="A104" s="18"/>
      <c r="B104" s="20"/>
      <c r="C104" s="19"/>
      <c r="D104" s="20"/>
      <c r="E104" s="20"/>
      <c r="F104" s="20"/>
      <c r="G104" s="20"/>
      <c r="H104" s="20"/>
      <c r="I104" s="20"/>
      <c r="J104" s="18"/>
      <c r="K104" s="21" t="str">
        <f aca="false">IF(A104="","",IF(I104="",0,LEN(I104)-LEN(SUBSTITUTE(I104,",",""))+1))</f>
        <v/>
      </c>
      <c r="L104" s="21" t="str">
        <f aca="false">IF(A104="","",COUNTIF('Metric to Product'!$A:$A,A104))</f>
        <v/>
      </c>
      <c r="M104" s="21" t="str">
        <f aca="false">IF(A104="","",COUNTIF('Metric to Field'!$A:$A,A104))</f>
        <v/>
      </c>
      <c r="N104" s="21" t="str">
        <f aca="false">IF(B104="","",COUNTIF($B:$B,B104))</f>
        <v/>
      </c>
      <c r="O104" s="21" t="str">
        <f aca="false">IF(A104="","",COUNTIF($S:$S,S104)-1)</f>
        <v/>
      </c>
      <c r="P104" s="20"/>
      <c r="Q104" s="20"/>
      <c r="R104" s="20"/>
      <c r="S104" s="18" t="str">
        <f aca="false">IF(A104="","",LOWER(TRIM(D104&amp;"|"&amp;E104&amp;"|"&amp;F104)))</f>
        <v/>
      </c>
      <c r="T104" s="20"/>
      <c r="U104" s="20"/>
      <c r="V104" s="20"/>
      <c r="W104" s="20"/>
      <c r="X104" s="20"/>
    </row>
    <row r="105" customFormat="false" ht="15" hidden="false" customHeight="false" outlineLevel="0" collapsed="false">
      <c r="A105" s="18"/>
      <c r="B105" s="20"/>
      <c r="C105" s="19"/>
      <c r="D105" s="20"/>
      <c r="E105" s="20"/>
      <c r="F105" s="20"/>
      <c r="G105" s="20"/>
      <c r="H105" s="20"/>
      <c r="I105" s="20"/>
      <c r="J105" s="18"/>
      <c r="K105" s="21" t="str">
        <f aca="false">IF(A105="","",IF(I105="",0,LEN(I105)-LEN(SUBSTITUTE(I105,",",""))+1))</f>
        <v/>
      </c>
      <c r="L105" s="21" t="str">
        <f aca="false">IF(A105="","",COUNTIF('Metric to Product'!$A:$A,A105))</f>
        <v/>
      </c>
      <c r="M105" s="21" t="str">
        <f aca="false">IF(A105="","",COUNTIF('Metric to Field'!$A:$A,A105))</f>
        <v/>
      </c>
      <c r="N105" s="21" t="str">
        <f aca="false">IF(B105="","",COUNTIF($B:$B,B105))</f>
        <v/>
      </c>
      <c r="O105" s="21" t="str">
        <f aca="false">IF(A105="","",COUNTIF($S:$S,S105)-1)</f>
        <v/>
      </c>
      <c r="P105" s="20"/>
      <c r="Q105" s="20"/>
      <c r="R105" s="20"/>
      <c r="S105" s="18" t="str">
        <f aca="false">IF(A105="","",LOWER(TRIM(D105&amp;"|"&amp;E105&amp;"|"&amp;F105)))</f>
        <v/>
      </c>
      <c r="T105" s="20"/>
      <c r="U105" s="20"/>
      <c r="V105" s="20"/>
      <c r="W105" s="20"/>
      <c r="X105" s="20"/>
    </row>
    <row r="106" customFormat="false" ht="15" hidden="false" customHeight="false" outlineLevel="0" collapsed="false">
      <c r="A106" s="18"/>
      <c r="B106" s="20"/>
      <c r="C106" s="19"/>
      <c r="D106" s="20"/>
      <c r="E106" s="20"/>
      <c r="F106" s="20"/>
      <c r="G106" s="20"/>
      <c r="H106" s="20"/>
      <c r="I106" s="20"/>
      <c r="J106" s="18"/>
      <c r="K106" s="21" t="str">
        <f aca="false">IF(A106="","",IF(I106="",0,LEN(I106)-LEN(SUBSTITUTE(I106,",",""))+1))</f>
        <v/>
      </c>
      <c r="L106" s="21" t="str">
        <f aca="false">IF(A106="","",COUNTIF('Metric to Product'!$A:$A,A106))</f>
        <v/>
      </c>
      <c r="M106" s="21" t="str">
        <f aca="false">IF(A106="","",COUNTIF('Metric to Field'!$A:$A,A106))</f>
        <v/>
      </c>
      <c r="N106" s="21" t="str">
        <f aca="false">IF(B106="","",COUNTIF($B:$B,B106))</f>
        <v/>
      </c>
      <c r="O106" s="21" t="str">
        <f aca="false">IF(A106="","",COUNTIF($S:$S,S106)-1)</f>
        <v/>
      </c>
      <c r="P106" s="20"/>
      <c r="Q106" s="20"/>
      <c r="R106" s="20"/>
      <c r="S106" s="18" t="str">
        <f aca="false">IF(A106="","",LOWER(TRIM(D106&amp;"|"&amp;E106&amp;"|"&amp;F106)))</f>
        <v/>
      </c>
      <c r="T106" s="20"/>
      <c r="U106" s="20"/>
      <c r="V106" s="20"/>
      <c r="W106" s="20"/>
      <c r="X106" s="20"/>
    </row>
    <row r="107" customFormat="false" ht="15" hidden="false" customHeight="false" outlineLevel="0" collapsed="false">
      <c r="A107" s="18"/>
      <c r="B107" s="20"/>
      <c r="C107" s="19"/>
      <c r="D107" s="20"/>
      <c r="E107" s="20"/>
      <c r="F107" s="20"/>
      <c r="G107" s="20"/>
      <c r="H107" s="20"/>
      <c r="I107" s="20"/>
      <c r="J107" s="18"/>
      <c r="K107" s="21" t="str">
        <f aca="false">IF(A107="","",IF(I107="",0,LEN(I107)-LEN(SUBSTITUTE(I107,",",""))+1))</f>
        <v/>
      </c>
      <c r="L107" s="21" t="str">
        <f aca="false">IF(A107="","",COUNTIF('Metric to Product'!$A:$A,A107))</f>
        <v/>
      </c>
      <c r="M107" s="21" t="str">
        <f aca="false">IF(A107="","",COUNTIF('Metric to Field'!$A:$A,A107))</f>
        <v/>
      </c>
      <c r="N107" s="21" t="str">
        <f aca="false">IF(B107="","",COUNTIF($B:$B,B107))</f>
        <v/>
      </c>
      <c r="O107" s="21" t="str">
        <f aca="false">IF(A107="","",COUNTIF($S:$S,S107)-1)</f>
        <v/>
      </c>
      <c r="P107" s="20"/>
      <c r="Q107" s="20"/>
      <c r="R107" s="20"/>
      <c r="S107" s="18" t="str">
        <f aca="false">IF(A107="","",LOWER(TRIM(D107&amp;"|"&amp;E107&amp;"|"&amp;F107)))</f>
        <v/>
      </c>
      <c r="T107" s="20"/>
      <c r="U107" s="20"/>
      <c r="V107" s="20"/>
      <c r="W107" s="20"/>
      <c r="X107" s="20"/>
    </row>
    <row r="108" customFormat="false" ht="15" hidden="false" customHeight="false" outlineLevel="0" collapsed="false">
      <c r="A108" s="18"/>
      <c r="B108" s="20"/>
      <c r="C108" s="19"/>
      <c r="D108" s="20"/>
      <c r="E108" s="20"/>
      <c r="F108" s="20"/>
      <c r="G108" s="20"/>
      <c r="H108" s="20"/>
      <c r="I108" s="20"/>
      <c r="J108" s="18"/>
      <c r="K108" s="21" t="str">
        <f aca="false">IF(A108="","",IF(I108="",0,LEN(I108)-LEN(SUBSTITUTE(I108,",",""))+1))</f>
        <v/>
      </c>
      <c r="L108" s="21" t="str">
        <f aca="false">IF(A108="","",COUNTIF('Metric to Product'!$A:$A,A108))</f>
        <v/>
      </c>
      <c r="M108" s="21" t="str">
        <f aca="false">IF(A108="","",COUNTIF('Metric to Field'!$A:$A,A108))</f>
        <v/>
      </c>
      <c r="N108" s="21" t="str">
        <f aca="false">IF(B108="","",COUNTIF($B:$B,B108))</f>
        <v/>
      </c>
      <c r="O108" s="21" t="str">
        <f aca="false">IF(A108="","",COUNTIF($S:$S,S108)-1)</f>
        <v/>
      </c>
      <c r="P108" s="20"/>
      <c r="Q108" s="20"/>
      <c r="R108" s="20"/>
      <c r="S108" s="18" t="str">
        <f aca="false">IF(A108="","",LOWER(TRIM(D108&amp;"|"&amp;E108&amp;"|"&amp;F108)))</f>
        <v/>
      </c>
      <c r="T108" s="20"/>
      <c r="U108" s="20"/>
      <c r="V108" s="20"/>
      <c r="W108" s="20"/>
      <c r="X108" s="20"/>
    </row>
    <row r="109" customFormat="false" ht="15" hidden="false" customHeight="false" outlineLevel="0" collapsed="false">
      <c r="A109" s="18"/>
      <c r="B109" s="20"/>
      <c r="C109" s="19"/>
      <c r="D109" s="20"/>
      <c r="E109" s="20"/>
      <c r="F109" s="20"/>
      <c r="G109" s="20"/>
      <c r="H109" s="20"/>
      <c r="I109" s="20"/>
      <c r="J109" s="18"/>
      <c r="K109" s="21" t="str">
        <f aca="false">IF(A109="","",IF(I109="",0,LEN(I109)-LEN(SUBSTITUTE(I109,",",""))+1))</f>
        <v/>
      </c>
      <c r="L109" s="21" t="str">
        <f aca="false">IF(A109="","",COUNTIF('Metric to Product'!$A:$A,A109))</f>
        <v/>
      </c>
      <c r="M109" s="21" t="str">
        <f aca="false">IF(A109="","",COUNTIF('Metric to Field'!$A:$A,A109))</f>
        <v/>
      </c>
      <c r="N109" s="21" t="str">
        <f aca="false">IF(B109="","",COUNTIF($B:$B,B109))</f>
        <v/>
      </c>
      <c r="O109" s="21" t="str">
        <f aca="false">IF(A109="","",COUNTIF($S:$S,S109)-1)</f>
        <v/>
      </c>
      <c r="P109" s="20"/>
      <c r="Q109" s="20"/>
      <c r="R109" s="20"/>
      <c r="S109" s="18" t="str">
        <f aca="false">IF(A109="","",LOWER(TRIM(D109&amp;"|"&amp;E109&amp;"|"&amp;F109)))</f>
        <v/>
      </c>
      <c r="T109" s="20"/>
      <c r="U109" s="20"/>
      <c r="V109" s="20"/>
      <c r="W109" s="20"/>
      <c r="X109" s="20"/>
    </row>
    <row r="110" customFormat="false" ht="15" hidden="false" customHeight="false" outlineLevel="0" collapsed="false">
      <c r="A110" s="18"/>
      <c r="B110" s="20"/>
      <c r="C110" s="19"/>
      <c r="D110" s="20"/>
      <c r="E110" s="20"/>
      <c r="F110" s="20"/>
      <c r="G110" s="20"/>
      <c r="H110" s="20"/>
      <c r="I110" s="20"/>
      <c r="J110" s="18"/>
      <c r="K110" s="21" t="str">
        <f aca="false">IF(A110="","",IF(I110="",0,LEN(I110)-LEN(SUBSTITUTE(I110,",",""))+1))</f>
        <v/>
      </c>
      <c r="L110" s="21" t="str">
        <f aca="false">IF(A110="","",COUNTIF('Metric to Product'!$A:$A,A110))</f>
        <v/>
      </c>
      <c r="M110" s="21" t="str">
        <f aca="false">IF(A110="","",COUNTIF('Metric to Field'!$A:$A,A110))</f>
        <v/>
      </c>
      <c r="N110" s="21" t="str">
        <f aca="false">IF(B110="","",COUNTIF($B:$B,B110))</f>
        <v/>
      </c>
      <c r="O110" s="21" t="str">
        <f aca="false">IF(A110="","",COUNTIF($S:$S,S110)-1)</f>
        <v/>
      </c>
      <c r="P110" s="20"/>
      <c r="Q110" s="20"/>
      <c r="R110" s="20"/>
      <c r="S110" s="18" t="str">
        <f aca="false">IF(A110="","",LOWER(TRIM(D110&amp;"|"&amp;E110&amp;"|"&amp;F110)))</f>
        <v/>
      </c>
      <c r="T110" s="20"/>
      <c r="U110" s="20"/>
      <c r="V110" s="20"/>
      <c r="W110" s="20"/>
      <c r="X110" s="20"/>
    </row>
    <row r="111" customFormat="false" ht="15" hidden="false" customHeight="false" outlineLevel="0" collapsed="false">
      <c r="A111" s="18"/>
      <c r="B111" s="20"/>
      <c r="C111" s="19"/>
      <c r="D111" s="20"/>
      <c r="E111" s="20"/>
      <c r="F111" s="20"/>
      <c r="G111" s="20"/>
      <c r="H111" s="20"/>
      <c r="I111" s="20"/>
      <c r="J111" s="18"/>
      <c r="K111" s="21" t="str">
        <f aca="false">IF(A111="","",IF(I111="",0,LEN(I111)-LEN(SUBSTITUTE(I111,",",""))+1))</f>
        <v/>
      </c>
      <c r="L111" s="21" t="str">
        <f aca="false">IF(A111="","",COUNTIF('Metric to Product'!$A:$A,A111))</f>
        <v/>
      </c>
      <c r="M111" s="21" t="str">
        <f aca="false">IF(A111="","",COUNTIF('Metric to Field'!$A:$A,A111))</f>
        <v/>
      </c>
      <c r="N111" s="21" t="str">
        <f aca="false">IF(B111="","",COUNTIF($B:$B,B111))</f>
        <v/>
      </c>
      <c r="O111" s="21" t="str">
        <f aca="false">IF(A111="","",COUNTIF($S:$S,S111)-1)</f>
        <v/>
      </c>
      <c r="P111" s="20"/>
      <c r="Q111" s="20"/>
      <c r="R111" s="20"/>
      <c r="S111" s="18" t="str">
        <f aca="false">IF(A111="","",LOWER(TRIM(D111&amp;"|"&amp;E111&amp;"|"&amp;F111)))</f>
        <v/>
      </c>
      <c r="T111" s="20"/>
      <c r="U111" s="20"/>
      <c r="V111" s="20"/>
      <c r="W111" s="20"/>
      <c r="X111" s="20"/>
    </row>
    <row r="112" customFormat="false" ht="15" hidden="false" customHeight="false" outlineLevel="0" collapsed="false">
      <c r="A112" s="18"/>
      <c r="B112" s="20"/>
      <c r="C112" s="19"/>
      <c r="D112" s="20"/>
      <c r="E112" s="20"/>
      <c r="F112" s="20"/>
      <c r="G112" s="20"/>
      <c r="H112" s="20"/>
      <c r="I112" s="20"/>
      <c r="J112" s="18"/>
      <c r="K112" s="21" t="str">
        <f aca="false">IF(A112="","",IF(I112="",0,LEN(I112)-LEN(SUBSTITUTE(I112,",",""))+1))</f>
        <v/>
      </c>
      <c r="L112" s="21" t="str">
        <f aca="false">IF(A112="","",COUNTIF('Metric to Product'!$A:$A,A112))</f>
        <v/>
      </c>
      <c r="M112" s="21" t="str">
        <f aca="false">IF(A112="","",COUNTIF('Metric to Field'!$A:$A,A112))</f>
        <v/>
      </c>
      <c r="N112" s="21" t="str">
        <f aca="false">IF(B112="","",COUNTIF($B:$B,B112))</f>
        <v/>
      </c>
      <c r="O112" s="21" t="str">
        <f aca="false">IF(A112="","",COUNTIF($S:$S,S112)-1)</f>
        <v/>
      </c>
      <c r="P112" s="20"/>
      <c r="Q112" s="20"/>
      <c r="R112" s="20"/>
      <c r="S112" s="18" t="str">
        <f aca="false">IF(A112="","",LOWER(TRIM(D112&amp;"|"&amp;E112&amp;"|"&amp;F112)))</f>
        <v/>
      </c>
      <c r="T112" s="20"/>
      <c r="U112" s="20"/>
      <c r="V112" s="20"/>
      <c r="W112" s="20"/>
      <c r="X112" s="20"/>
    </row>
    <row r="113" customFormat="false" ht="15" hidden="false" customHeight="false" outlineLevel="0" collapsed="false">
      <c r="A113" s="18"/>
      <c r="B113" s="20"/>
      <c r="C113" s="19"/>
      <c r="D113" s="20"/>
      <c r="E113" s="20"/>
      <c r="F113" s="20"/>
      <c r="G113" s="20"/>
      <c r="H113" s="20"/>
      <c r="I113" s="20"/>
      <c r="J113" s="18"/>
      <c r="K113" s="21" t="str">
        <f aca="false">IF(A113="","",IF(I113="",0,LEN(I113)-LEN(SUBSTITUTE(I113,",",""))+1))</f>
        <v/>
      </c>
      <c r="L113" s="21" t="str">
        <f aca="false">IF(A113="","",COUNTIF('Metric to Product'!$A:$A,A113))</f>
        <v/>
      </c>
      <c r="M113" s="21" t="str">
        <f aca="false">IF(A113="","",COUNTIF('Metric to Field'!$A:$A,A113))</f>
        <v/>
      </c>
      <c r="N113" s="21" t="str">
        <f aca="false">IF(B113="","",COUNTIF($B:$B,B113))</f>
        <v/>
      </c>
      <c r="O113" s="21" t="str">
        <f aca="false">IF(A113="","",COUNTIF($S:$S,S113)-1)</f>
        <v/>
      </c>
      <c r="P113" s="20"/>
      <c r="Q113" s="20"/>
      <c r="R113" s="20"/>
      <c r="S113" s="18" t="str">
        <f aca="false">IF(A113="","",LOWER(TRIM(D113&amp;"|"&amp;E113&amp;"|"&amp;F113)))</f>
        <v/>
      </c>
      <c r="T113" s="20"/>
      <c r="U113" s="20"/>
      <c r="V113" s="20"/>
      <c r="W113" s="20"/>
      <c r="X113" s="20"/>
    </row>
    <row r="114" customFormat="false" ht="15" hidden="false" customHeight="false" outlineLevel="0" collapsed="false">
      <c r="A114" s="18"/>
      <c r="B114" s="20"/>
      <c r="C114" s="19"/>
      <c r="D114" s="20"/>
      <c r="E114" s="20"/>
      <c r="F114" s="20"/>
      <c r="G114" s="20"/>
      <c r="H114" s="20"/>
      <c r="I114" s="20"/>
      <c r="J114" s="18"/>
      <c r="K114" s="21" t="str">
        <f aca="false">IF(A114="","",IF(I114="",0,LEN(I114)-LEN(SUBSTITUTE(I114,",",""))+1))</f>
        <v/>
      </c>
      <c r="L114" s="21" t="str">
        <f aca="false">IF(A114="","",COUNTIF('Metric to Product'!$A:$A,A114))</f>
        <v/>
      </c>
      <c r="M114" s="21" t="str">
        <f aca="false">IF(A114="","",COUNTIF('Metric to Field'!$A:$A,A114))</f>
        <v/>
      </c>
      <c r="N114" s="21" t="str">
        <f aca="false">IF(B114="","",COUNTIF($B:$B,B114))</f>
        <v/>
      </c>
      <c r="O114" s="21" t="str">
        <f aca="false">IF(A114="","",COUNTIF($S:$S,S114)-1)</f>
        <v/>
      </c>
      <c r="P114" s="20"/>
      <c r="Q114" s="20"/>
      <c r="R114" s="20"/>
      <c r="S114" s="18" t="str">
        <f aca="false">IF(A114="","",LOWER(TRIM(D114&amp;"|"&amp;E114&amp;"|"&amp;F114)))</f>
        <v/>
      </c>
      <c r="T114" s="20"/>
      <c r="U114" s="20"/>
      <c r="V114" s="20"/>
      <c r="W114" s="20"/>
      <c r="X114" s="20"/>
    </row>
    <row r="115" customFormat="false" ht="15" hidden="false" customHeight="false" outlineLevel="0" collapsed="false">
      <c r="A115" s="18"/>
      <c r="B115" s="20"/>
      <c r="C115" s="19"/>
      <c r="D115" s="20"/>
      <c r="E115" s="20"/>
      <c r="F115" s="20"/>
      <c r="G115" s="20"/>
      <c r="H115" s="20"/>
      <c r="I115" s="20"/>
      <c r="J115" s="18"/>
      <c r="K115" s="21" t="str">
        <f aca="false">IF(A115="","",IF(I115="",0,LEN(I115)-LEN(SUBSTITUTE(I115,",",""))+1))</f>
        <v/>
      </c>
      <c r="L115" s="21" t="str">
        <f aca="false">IF(A115="","",COUNTIF('Metric to Product'!$A:$A,A115))</f>
        <v/>
      </c>
      <c r="M115" s="21" t="str">
        <f aca="false">IF(A115="","",COUNTIF('Metric to Field'!$A:$A,A115))</f>
        <v/>
      </c>
      <c r="N115" s="21" t="str">
        <f aca="false">IF(B115="","",COUNTIF($B:$B,B115))</f>
        <v/>
      </c>
      <c r="O115" s="21" t="str">
        <f aca="false">IF(A115="","",COUNTIF($S:$S,S115)-1)</f>
        <v/>
      </c>
      <c r="P115" s="20"/>
      <c r="Q115" s="20"/>
      <c r="R115" s="20"/>
      <c r="S115" s="18" t="str">
        <f aca="false">IF(A115="","",LOWER(TRIM(D115&amp;"|"&amp;E115&amp;"|"&amp;F115)))</f>
        <v/>
      </c>
      <c r="T115" s="20"/>
      <c r="U115" s="20"/>
      <c r="V115" s="20"/>
      <c r="W115" s="20"/>
      <c r="X115" s="20"/>
    </row>
    <row r="116" customFormat="false" ht="15" hidden="false" customHeight="false" outlineLevel="0" collapsed="false">
      <c r="A116" s="18"/>
      <c r="B116" s="20"/>
      <c r="C116" s="19"/>
      <c r="D116" s="20"/>
      <c r="E116" s="20"/>
      <c r="F116" s="20"/>
      <c r="G116" s="20"/>
      <c r="H116" s="20"/>
      <c r="I116" s="20"/>
      <c r="J116" s="18"/>
      <c r="K116" s="21" t="str">
        <f aca="false">IF(A116="","",IF(I116="",0,LEN(I116)-LEN(SUBSTITUTE(I116,",",""))+1))</f>
        <v/>
      </c>
      <c r="L116" s="21" t="str">
        <f aca="false">IF(A116="","",COUNTIF('Metric to Product'!$A:$A,A116))</f>
        <v/>
      </c>
      <c r="M116" s="21" t="str">
        <f aca="false">IF(A116="","",COUNTIF('Metric to Field'!$A:$A,A116))</f>
        <v/>
      </c>
      <c r="N116" s="21" t="str">
        <f aca="false">IF(B116="","",COUNTIF($B:$B,B116))</f>
        <v/>
      </c>
      <c r="O116" s="21" t="str">
        <f aca="false">IF(A116="","",COUNTIF($S:$S,S116)-1)</f>
        <v/>
      </c>
      <c r="P116" s="20"/>
      <c r="Q116" s="20"/>
      <c r="R116" s="20"/>
      <c r="S116" s="18" t="str">
        <f aca="false">IF(A116="","",LOWER(TRIM(D116&amp;"|"&amp;E116&amp;"|"&amp;F116)))</f>
        <v/>
      </c>
      <c r="T116" s="20"/>
      <c r="U116" s="20"/>
      <c r="V116" s="20"/>
      <c r="W116" s="20"/>
      <c r="X116" s="20"/>
    </row>
    <row r="117" customFormat="false" ht="15" hidden="false" customHeight="false" outlineLevel="0" collapsed="false">
      <c r="A117" s="18"/>
      <c r="B117" s="20"/>
      <c r="C117" s="19"/>
      <c r="D117" s="20"/>
      <c r="E117" s="20"/>
      <c r="F117" s="20"/>
      <c r="G117" s="20"/>
      <c r="H117" s="20"/>
      <c r="I117" s="20"/>
      <c r="J117" s="18"/>
      <c r="K117" s="21" t="str">
        <f aca="false">IF(A117="","",IF(I117="",0,LEN(I117)-LEN(SUBSTITUTE(I117,",",""))+1))</f>
        <v/>
      </c>
      <c r="L117" s="21" t="str">
        <f aca="false">IF(A117="","",COUNTIF('Metric to Product'!$A:$A,A117))</f>
        <v/>
      </c>
      <c r="M117" s="21" t="str">
        <f aca="false">IF(A117="","",COUNTIF('Metric to Field'!$A:$A,A117))</f>
        <v/>
      </c>
      <c r="N117" s="21" t="str">
        <f aca="false">IF(B117="","",COUNTIF($B:$B,B117))</f>
        <v/>
      </c>
      <c r="O117" s="21" t="str">
        <f aca="false">IF(A117="","",COUNTIF($S:$S,S117)-1)</f>
        <v/>
      </c>
      <c r="P117" s="20"/>
      <c r="Q117" s="20"/>
      <c r="R117" s="20"/>
      <c r="S117" s="18" t="str">
        <f aca="false">IF(A117="","",LOWER(TRIM(D117&amp;"|"&amp;E117&amp;"|"&amp;F117)))</f>
        <v/>
      </c>
      <c r="T117" s="20"/>
      <c r="U117" s="20"/>
      <c r="V117" s="20"/>
      <c r="W117" s="20"/>
      <c r="X117" s="20"/>
    </row>
    <row r="118" customFormat="false" ht="15" hidden="false" customHeight="false" outlineLevel="0" collapsed="false">
      <c r="A118" s="18"/>
      <c r="B118" s="20"/>
      <c r="C118" s="19"/>
      <c r="D118" s="20"/>
      <c r="E118" s="20"/>
      <c r="F118" s="20"/>
      <c r="G118" s="20"/>
      <c r="H118" s="20"/>
      <c r="I118" s="20"/>
      <c r="J118" s="18"/>
      <c r="K118" s="21" t="str">
        <f aca="false">IF(A118="","",IF(I118="",0,LEN(I118)-LEN(SUBSTITUTE(I118,",",""))+1))</f>
        <v/>
      </c>
      <c r="L118" s="21" t="str">
        <f aca="false">IF(A118="","",COUNTIF('Metric to Product'!$A:$A,A118))</f>
        <v/>
      </c>
      <c r="M118" s="21" t="str">
        <f aca="false">IF(A118="","",COUNTIF('Metric to Field'!$A:$A,A118))</f>
        <v/>
      </c>
      <c r="N118" s="21" t="str">
        <f aca="false">IF(B118="","",COUNTIF($B:$B,B118))</f>
        <v/>
      </c>
      <c r="O118" s="21" t="str">
        <f aca="false">IF(A118="","",COUNTIF($S:$S,S118)-1)</f>
        <v/>
      </c>
      <c r="P118" s="20"/>
      <c r="Q118" s="20"/>
      <c r="R118" s="20"/>
      <c r="S118" s="18" t="str">
        <f aca="false">IF(A118="","",LOWER(TRIM(D118&amp;"|"&amp;E118&amp;"|"&amp;F118)))</f>
        <v/>
      </c>
      <c r="T118" s="20"/>
      <c r="U118" s="20"/>
      <c r="V118" s="20"/>
      <c r="W118" s="20"/>
      <c r="X118" s="20"/>
    </row>
    <row r="119" customFormat="false" ht="15" hidden="false" customHeight="false" outlineLevel="0" collapsed="false">
      <c r="A119" s="18"/>
      <c r="B119" s="20"/>
      <c r="C119" s="19"/>
      <c r="D119" s="20"/>
      <c r="E119" s="20"/>
      <c r="F119" s="20"/>
      <c r="G119" s="20"/>
      <c r="H119" s="20"/>
      <c r="I119" s="20"/>
      <c r="J119" s="18"/>
      <c r="K119" s="21" t="str">
        <f aca="false">IF(A119="","",IF(I119="",0,LEN(I119)-LEN(SUBSTITUTE(I119,",",""))+1))</f>
        <v/>
      </c>
      <c r="L119" s="21" t="str">
        <f aca="false">IF(A119="","",COUNTIF('Metric to Product'!$A:$A,A119))</f>
        <v/>
      </c>
      <c r="M119" s="21" t="str">
        <f aca="false">IF(A119="","",COUNTIF('Metric to Field'!$A:$A,A119))</f>
        <v/>
      </c>
      <c r="N119" s="21" t="str">
        <f aca="false">IF(B119="","",COUNTIF($B:$B,B119))</f>
        <v/>
      </c>
      <c r="O119" s="21" t="str">
        <f aca="false">IF(A119="","",COUNTIF($S:$S,S119)-1)</f>
        <v/>
      </c>
      <c r="P119" s="20"/>
      <c r="Q119" s="20"/>
      <c r="R119" s="20"/>
      <c r="S119" s="18" t="str">
        <f aca="false">IF(A119="","",LOWER(TRIM(D119&amp;"|"&amp;E119&amp;"|"&amp;F119)))</f>
        <v/>
      </c>
      <c r="T119" s="20"/>
      <c r="U119" s="20"/>
      <c r="V119" s="20"/>
      <c r="W119" s="20"/>
      <c r="X119" s="20"/>
    </row>
    <row r="120" customFormat="false" ht="15" hidden="false" customHeight="false" outlineLevel="0" collapsed="false">
      <c r="A120" s="18"/>
      <c r="B120" s="20"/>
      <c r="C120" s="19"/>
      <c r="D120" s="20"/>
      <c r="E120" s="20"/>
      <c r="F120" s="20"/>
      <c r="G120" s="20"/>
      <c r="H120" s="20"/>
      <c r="I120" s="20"/>
      <c r="J120" s="18"/>
      <c r="K120" s="21" t="str">
        <f aca="false">IF(A120="","",IF(I120="",0,LEN(I120)-LEN(SUBSTITUTE(I120,",",""))+1))</f>
        <v/>
      </c>
      <c r="L120" s="21" t="str">
        <f aca="false">IF(A120="","",COUNTIF('Metric to Product'!$A:$A,A120))</f>
        <v/>
      </c>
      <c r="M120" s="21" t="str">
        <f aca="false">IF(A120="","",COUNTIF('Metric to Field'!$A:$A,A120))</f>
        <v/>
      </c>
      <c r="N120" s="21" t="str">
        <f aca="false">IF(B120="","",COUNTIF($B:$B,B120))</f>
        <v/>
      </c>
      <c r="O120" s="21" t="str">
        <f aca="false">IF(A120="","",COUNTIF($S:$S,S120)-1)</f>
        <v/>
      </c>
      <c r="P120" s="20"/>
      <c r="Q120" s="20"/>
      <c r="R120" s="20"/>
      <c r="S120" s="18" t="str">
        <f aca="false">IF(A120="","",LOWER(TRIM(D120&amp;"|"&amp;E120&amp;"|"&amp;F120)))</f>
        <v/>
      </c>
      <c r="T120" s="20"/>
      <c r="U120" s="20"/>
      <c r="V120" s="20"/>
      <c r="W120" s="20"/>
      <c r="X120" s="20"/>
    </row>
    <row r="121" customFormat="false" ht="15" hidden="false" customHeight="false" outlineLevel="0" collapsed="false">
      <c r="A121" s="18"/>
      <c r="B121" s="20"/>
      <c r="C121" s="19"/>
      <c r="D121" s="20"/>
      <c r="E121" s="20"/>
      <c r="F121" s="20"/>
      <c r="G121" s="20"/>
      <c r="H121" s="20"/>
      <c r="I121" s="20"/>
      <c r="J121" s="18"/>
      <c r="K121" s="21" t="str">
        <f aca="false">IF(A121="","",IF(I121="",0,LEN(I121)-LEN(SUBSTITUTE(I121,",",""))+1))</f>
        <v/>
      </c>
      <c r="L121" s="21" t="str">
        <f aca="false">IF(A121="","",COUNTIF('Metric to Product'!$A:$A,A121))</f>
        <v/>
      </c>
      <c r="M121" s="21" t="str">
        <f aca="false">IF(A121="","",COUNTIF('Metric to Field'!$A:$A,A121))</f>
        <v/>
      </c>
      <c r="N121" s="21" t="str">
        <f aca="false">IF(B121="","",COUNTIF($B:$B,B121))</f>
        <v/>
      </c>
      <c r="O121" s="21" t="str">
        <f aca="false">IF(A121="","",COUNTIF($S:$S,S121)-1)</f>
        <v/>
      </c>
      <c r="P121" s="20"/>
      <c r="Q121" s="20"/>
      <c r="R121" s="20"/>
      <c r="S121" s="18" t="str">
        <f aca="false">IF(A121="","",LOWER(TRIM(D121&amp;"|"&amp;E121&amp;"|"&amp;F121)))</f>
        <v/>
      </c>
      <c r="T121" s="20"/>
      <c r="U121" s="20"/>
      <c r="V121" s="20"/>
      <c r="W121" s="20"/>
      <c r="X121" s="20"/>
    </row>
    <row r="122" customFormat="false" ht="15" hidden="false" customHeight="false" outlineLevel="0" collapsed="false">
      <c r="A122" s="18"/>
      <c r="B122" s="20"/>
      <c r="C122" s="19"/>
      <c r="D122" s="20"/>
      <c r="E122" s="20"/>
      <c r="F122" s="20"/>
      <c r="G122" s="20"/>
      <c r="H122" s="20"/>
      <c r="I122" s="20"/>
      <c r="J122" s="18"/>
      <c r="K122" s="21" t="str">
        <f aca="false">IF(A122="","",IF(I122="",0,LEN(I122)-LEN(SUBSTITUTE(I122,",",""))+1))</f>
        <v/>
      </c>
      <c r="L122" s="21" t="str">
        <f aca="false">IF(A122="","",COUNTIF('Metric to Product'!$A:$A,A122))</f>
        <v/>
      </c>
      <c r="M122" s="21" t="str">
        <f aca="false">IF(A122="","",COUNTIF('Metric to Field'!$A:$A,A122))</f>
        <v/>
      </c>
      <c r="N122" s="21" t="str">
        <f aca="false">IF(B122="","",COUNTIF($B:$B,B122))</f>
        <v/>
      </c>
      <c r="O122" s="21" t="str">
        <f aca="false">IF(A122="","",COUNTIF($S:$S,S122)-1)</f>
        <v/>
      </c>
      <c r="P122" s="20"/>
      <c r="Q122" s="20"/>
      <c r="R122" s="20"/>
      <c r="S122" s="18" t="str">
        <f aca="false">IF(A122="","",LOWER(TRIM(D122&amp;"|"&amp;E122&amp;"|"&amp;F122)))</f>
        <v/>
      </c>
      <c r="T122" s="20"/>
      <c r="U122" s="20"/>
      <c r="V122" s="20"/>
      <c r="W122" s="20"/>
      <c r="X122" s="20"/>
    </row>
    <row r="123" customFormat="false" ht="15" hidden="false" customHeight="false" outlineLevel="0" collapsed="false">
      <c r="A123" s="18"/>
      <c r="B123" s="20"/>
      <c r="C123" s="19"/>
      <c r="D123" s="20"/>
      <c r="E123" s="20"/>
      <c r="F123" s="20"/>
      <c r="G123" s="20"/>
      <c r="H123" s="20"/>
      <c r="I123" s="20"/>
      <c r="J123" s="18"/>
      <c r="K123" s="21" t="str">
        <f aca="false">IF(A123="","",IF(I123="",0,LEN(I123)-LEN(SUBSTITUTE(I123,",",""))+1))</f>
        <v/>
      </c>
      <c r="L123" s="21" t="str">
        <f aca="false">IF(A123="","",COUNTIF('Metric to Product'!$A:$A,A123))</f>
        <v/>
      </c>
      <c r="M123" s="21" t="str">
        <f aca="false">IF(A123="","",COUNTIF('Metric to Field'!$A:$A,A123))</f>
        <v/>
      </c>
      <c r="N123" s="21" t="str">
        <f aca="false">IF(B123="","",COUNTIF($B:$B,B123))</f>
        <v/>
      </c>
      <c r="O123" s="21" t="str">
        <f aca="false">IF(A123="","",COUNTIF($S:$S,S123)-1)</f>
        <v/>
      </c>
      <c r="P123" s="20"/>
      <c r="Q123" s="20"/>
      <c r="R123" s="20"/>
      <c r="S123" s="18" t="str">
        <f aca="false">IF(A123="","",LOWER(TRIM(D123&amp;"|"&amp;E123&amp;"|"&amp;F123)))</f>
        <v/>
      </c>
      <c r="T123" s="20"/>
      <c r="U123" s="20"/>
      <c r="V123" s="20"/>
      <c r="W123" s="20"/>
      <c r="X123" s="20"/>
    </row>
    <row r="124" customFormat="false" ht="15" hidden="false" customHeight="false" outlineLevel="0" collapsed="false">
      <c r="A124" s="18"/>
      <c r="B124" s="20"/>
      <c r="C124" s="19"/>
      <c r="D124" s="20"/>
      <c r="E124" s="20"/>
      <c r="F124" s="20"/>
      <c r="G124" s="20"/>
      <c r="H124" s="20"/>
      <c r="I124" s="20"/>
      <c r="J124" s="18"/>
      <c r="K124" s="21" t="str">
        <f aca="false">IF(A124="","",IF(I124="",0,LEN(I124)-LEN(SUBSTITUTE(I124,",",""))+1))</f>
        <v/>
      </c>
      <c r="L124" s="21" t="str">
        <f aca="false">IF(A124="","",COUNTIF('Metric to Product'!$A:$A,A124))</f>
        <v/>
      </c>
      <c r="M124" s="21" t="str">
        <f aca="false">IF(A124="","",COUNTIF('Metric to Field'!$A:$A,A124))</f>
        <v/>
      </c>
      <c r="N124" s="21" t="str">
        <f aca="false">IF(B124="","",COUNTIF($B:$B,B124))</f>
        <v/>
      </c>
      <c r="O124" s="21" t="str">
        <f aca="false">IF(A124="","",COUNTIF($S:$S,S124)-1)</f>
        <v/>
      </c>
      <c r="P124" s="20"/>
      <c r="Q124" s="20"/>
      <c r="R124" s="20"/>
      <c r="S124" s="18" t="str">
        <f aca="false">IF(A124="","",LOWER(TRIM(D124&amp;"|"&amp;E124&amp;"|"&amp;F124)))</f>
        <v/>
      </c>
      <c r="T124" s="20"/>
      <c r="U124" s="20"/>
      <c r="V124" s="20"/>
      <c r="W124" s="20"/>
      <c r="X124" s="20"/>
    </row>
    <row r="125" customFormat="false" ht="15" hidden="false" customHeight="false" outlineLevel="0" collapsed="false">
      <c r="A125" s="18"/>
      <c r="B125" s="20"/>
      <c r="C125" s="19"/>
      <c r="D125" s="20"/>
      <c r="E125" s="20"/>
      <c r="F125" s="20"/>
      <c r="G125" s="20"/>
      <c r="H125" s="20"/>
      <c r="I125" s="20"/>
      <c r="J125" s="18"/>
      <c r="K125" s="21" t="str">
        <f aca="false">IF(A125="","",IF(I125="",0,LEN(I125)-LEN(SUBSTITUTE(I125,",",""))+1))</f>
        <v/>
      </c>
      <c r="L125" s="21" t="str">
        <f aca="false">IF(A125="","",COUNTIF('Metric to Product'!$A:$A,A125))</f>
        <v/>
      </c>
      <c r="M125" s="21" t="str">
        <f aca="false">IF(A125="","",COUNTIF('Metric to Field'!$A:$A,A125))</f>
        <v/>
      </c>
      <c r="N125" s="21" t="str">
        <f aca="false">IF(B125="","",COUNTIF($B:$B,B125))</f>
        <v/>
      </c>
      <c r="O125" s="21" t="str">
        <f aca="false">IF(A125="","",COUNTIF($S:$S,S125)-1)</f>
        <v/>
      </c>
      <c r="P125" s="20"/>
      <c r="Q125" s="20"/>
      <c r="R125" s="20"/>
      <c r="S125" s="18" t="str">
        <f aca="false">IF(A125="","",LOWER(TRIM(D125&amp;"|"&amp;E125&amp;"|"&amp;F125)))</f>
        <v/>
      </c>
      <c r="T125" s="20"/>
      <c r="U125" s="20"/>
      <c r="V125" s="20"/>
      <c r="W125" s="20"/>
      <c r="X125" s="20"/>
    </row>
    <row r="126" customFormat="false" ht="15" hidden="false" customHeight="false" outlineLevel="0" collapsed="false">
      <c r="A126" s="18"/>
      <c r="B126" s="20"/>
      <c r="C126" s="19"/>
      <c r="D126" s="20"/>
      <c r="E126" s="20"/>
      <c r="F126" s="20"/>
      <c r="G126" s="20"/>
      <c r="H126" s="20"/>
      <c r="I126" s="20"/>
      <c r="J126" s="18"/>
      <c r="K126" s="21" t="str">
        <f aca="false">IF(A126="","",IF(I126="",0,LEN(I126)-LEN(SUBSTITUTE(I126,",",""))+1))</f>
        <v/>
      </c>
      <c r="L126" s="21" t="str">
        <f aca="false">IF(A126="","",COUNTIF('Metric to Product'!$A:$A,A126))</f>
        <v/>
      </c>
      <c r="M126" s="21" t="str">
        <f aca="false">IF(A126="","",COUNTIF('Metric to Field'!$A:$A,A126))</f>
        <v/>
      </c>
      <c r="N126" s="21" t="str">
        <f aca="false">IF(B126="","",COUNTIF($B:$B,B126))</f>
        <v/>
      </c>
      <c r="O126" s="21" t="str">
        <f aca="false">IF(A126="","",COUNTIF($S:$S,S126)-1)</f>
        <v/>
      </c>
      <c r="P126" s="20"/>
      <c r="Q126" s="20"/>
      <c r="R126" s="20"/>
      <c r="S126" s="18" t="str">
        <f aca="false">IF(A126="","",LOWER(TRIM(D126&amp;"|"&amp;E126&amp;"|"&amp;F126)))</f>
        <v/>
      </c>
      <c r="T126" s="20"/>
      <c r="U126" s="20"/>
      <c r="V126" s="20"/>
      <c r="W126" s="20"/>
      <c r="X126" s="20"/>
    </row>
    <row r="127" customFormat="false" ht="15" hidden="false" customHeight="false" outlineLevel="0" collapsed="false">
      <c r="A127" s="18"/>
      <c r="B127" s="20"/>
      <c r="C127" s="19"/>
      <c r="D127" s="20"/>
      <c r="E127" s="20"/>
      <c r="F127" s="20"/>
      <c r="G127" s="20"/>
      <c r="H127" s="20"/>
      <c r="I127" s="20"/>
      <c r="J127" s="18"/>
      <c r="K127" s="21" t="str">
        <f aca="false">IF(A127="","",IF(I127="",0,LEN(I127)-LEN(SUBSTITUTE(I127,",",""))+1))</f>
        <v/>
      </c>
      <c r="L127" s="21" t="str">
        <f aca="false">IF(A127="","",COUNTIF('Metric to Product'!$A:$A,A127))</f>
        <v/>
      </c>
      <c r="M127" s="21" t="str">
        <f aca="false">IF(A127="","",COUNTIF('Metric to Field'!$A:$A,A127))</f>
        <v/>
      </c>
      <c r="N127" s="21" t="str">
        <f aca="false">IF(B127="","",COUNTIF($B:$B,B127))</f>
        <v/>
      </c>
      <c r="O127" s="21" t="str">
        <f aca="false">IF(A127="","",COUNTIF($S:$S,S127)-1)</f>
        <v/>
      </c>
      <c r="P127" s="20"/>
      <c r="Q127" s="20"/>
      <c r="R127" s="20"/>
      <c r="S127" s="18" t="str">
        <f aca="false">IF(A127="","",LOWER(TRIM(D127&amp;"|"&amp;E127&amp;"|"&amp;F127)))</f>
        <v/>
      </c>
      <c r="T127" s="20"/>
      <c r="U127" s="20"/>
      <c r="V127" s="20"/>
      <c r="W127" s="20"/>
      <c r="X127" s="20"/>
    </row>
    <row r="128" customFormat="false" ht="15" hidden="false" customHeight="false" outlineLevel="0" collapsed="false">
      <c r="A128" s="18"/>
      <c r="B128" s="20"/>
      <c r="C128" s="19"/>
      <c r="D128" s="20"/>
      <c r="E128" s="20"/>
      <c r="F128" s="20"/>
      <c r="G128" s="20"/>
      <c r="H128" s="20"/>
      <c r="I128" s="20"/>
      <c r="J128" s="18"/>
      <c r="K128" s="21" t="str">
        <f aca="false">IF(A128="","",IF(I128="",0,LEN(I128)-LEN(SUBSTITUTE(I128,",",""))+1))</f>
        <v/>
      </c>
      <c r="L128" s="21" t="str">
        <f aca="false">IF(A128="","",COUNTIF('Metric to Product'!$A:$A,A128))</f>
        <v/>
      </c>
      <c r="M128" s="21" t="str">
        <f aca="false">IF(A128="","",COUNTIF('Metric to Field'!$A:$A,A128))</f>
        <v/>
      </c>
      <c r="N128" s="21" t="str">
        <f aca="false">IF(B128="","",COUNTIF($B:$B,B128))</f>
        <v/>
      </c>
      <c r="O128" s="21" t="str">
        <f aca="false">IF(A128="","",COUNTIF($S:$S,S128)-1)</f>
        <v/>
      </c>
      <c r="P128" s="20"/>
      <c r="Q128" s="20"/>
      <c r="R128" s="20"/>
      <c r="S128" s="18" t="str">
        <f aca="false">IF(A128="","",LOWER(TRIM(D128&amp;"|"&amp;E128&amp;"|"&amp;F128)))</f>
        <v/>
      </c>
      <c r="T128" s="20"/>
      <c r="U128" s="20"/>
      <c r="V128" s="20"/>
      <c r="W128" s="20"/>
      <c r="X128" s="20"/>
    </row>
    <row r="129" customFormat="false" ht="15" hidden="false" customHeight="false" outlineLevel="0" collapsed="false">
      <c r="A129" s="18"/>
      <c r="B129" s="20"/>
      <c r="C129" s="19"/>
      <c r="D129" s="20"/>
      <c r="E129" s="20"/>
      <c r="F129" s="20"/>
      <c r="G129" s="20"/>
      <c r="H129" s="20"/>
      <c r="I129" s="20"/>
      <c r="J129" s="18"/>
      <c r="K129" s="21" t="str">
        <f aca="false">IF(A129="","",IF(I129="",0,LEN(I129)-LEN(SUBSTITUTE(I129,",",""))+1))</f>
        <v/>
      </c>
      <c r="L129" s="21" t="str">
        <f aca="false">IF(A129="","",COUNTIF('Metric to Product'!$A:$A,A129))</f>
        <v/>
      </c>
      <c r="M129" s="21" t="str">
        <f aca="false">IF(A129="","",COUNTIF('Metric to Field'!$A:$A,A129))</f>
        <v/>
      </c>
      <c r="N129" s="21" t="str">
        <f aca="false">IF(B129="","",COUNTIF($B:$B,B129))</f>
        <v/>
      </c>
      <c r="O129" s="21" t="str">
        <f aca="false">IF(A129="","",COUNTIF($S:$S,S129)-1)</f>
        <v/>
      </c>
      <c r="P129" s="20"/>
      <c r="Q129" s="20"/>
      <c r="R129" s="20"/>
      <c r="S129" s="18" t="str">
        <f aca="false">IF(A129="","",LOWER(TRIM(D129&amp;"|"&amp;E129&amp;"|"&amp;F129)))</f>
        <v/>
      </c>
      <c r="T129" s="20"/>
      <c r="U129" s="20"/>
      <c r="V129" s="20"/>
      <c r="W129" s="20"/>
      <c r="X129" s="20"/>
    </row>
    <row r="130" customFormat="false" ht="15" hidden="false" customHeight="false" outlineLevel="0" collapsed="false">
      <c r="A130" s="18"/>
      <c r="B130" s="20"/>
      <c r="C130" s="19"/>
      <c r="D130" s="20"/>
      <c r="E130" s="20"/>
      <c r="F130" s="20"/>
      <c r="G130" s="20"/>
      <c r="H130" s="20"/>
      <c r="I130" s="20"/>
      <c r="J130" s="18"/>
      <c r="K130" s="21" t="str">
        <f aca="false">IF(A130="","",IF(I130="",0,LEN(I130)-LEN(SUBSTITUTE(I130,",",""))+1))</f>
        <v/>
      </c>
      <c r="L130" s="21" t="str">
        <f aca="false">IF(A130="","",COUNTIF('Metric to Product'!$A:$A,A130))</f>
        <v/>
      </c>
      <c r="M130" s="21" t="str">
        <f aca="false">IF(A130="","",COUNTIF('Metric to Field'!$A:$A,A130))</f>
        <v/>
      </c>
      <c r="N130" s="21" t="str">
        <f aca="false">IF(B130="","",COUNTIF($B:$B,B130))</f>
        <v/>
      </c>
      <c r="O130" s="21" t="str">
        <f aca="false">IF(A130="","",COUNTIF($S:$S,S130)-1)</f>
        <v/>
      </c>
      <c r="P130" s="20"/>
      <c r="Q130" s="20"/>
      <c r="R130" s="20"/>
      <c r="S130" s="18" t="str">
        <f aca="false">IF(A130="","",LOWER(TRIM(D130&amp;"|"&amp;E130&amp;"|"&amp;F130)))</f>
        <v/>
      </c>
      <c r="T130" s="20"/>
      <c r="U130" s="20"/>
      <c r="V130" s="20"/>
      <c r="W130" s="20"/>
      <c r="X130" s="20"/>
    </row>
    <row r="131" customFormat="false" ht="15" hidden="false" customHeight="false" outlineLevel="0" collapsed="false">
      <c r="A131" s="18"/>
      <c r="B131" s="20"/>
      <c r="C131" s="19"/>
      <c r="D131" s="20"/>
      <c r="E131" s="20"/>
      <c r="F131" s="20"/>
      <c r="G131" s="20"/>
      <c r="H131" s="20"/>
      <c r="I131" s="20"/>
      <c r="J131" s="18"/>
      <c r="K131" s="21" t="str">
        <f aca="false">IF(A131="","",IF(I131="",0,LEN(I131)-LEN(SUBSTITUTE(I131,",",""))+1))</f>
        <v/>
      </c>
      <c r="L131" s="21" t="str">
        <f aca="false">IF(A131="","",COUNTIF('Metric to Product'!$A:$A,A131))</f>
        <v/>
      </c>
      <c r="M131" s="21" t="str">
        <f aca="false">IF(A131="","",COUNTIF('Metric to Field'!$A:$A,A131))</f>
        <v/>
      </c>
      <c r="N131" s="21" t="str">
        <f aca="false">IF(B131="","",COUNTIF($B:$B,B131))</f>
        <v/>
      </c>
      <c r="O131" s="21" t="str">
        <f aca="false">IF(A131="","",COUNTIF($S:$S,S131)-1)</f>
        <v/>
      </c>
      <c r="P131" s="20"/>
      <c r="Q131" s="20"/>
      <c r="R131" s="20"/>
      <c r="S131" s="18" t="str">
        <f aca="false">IF(A131="","",LOWER(TRIM(D131&amp;"|"&amp;E131&amp;"|"&amp;F131)))</f>
        <v/>
      </c>
      <c r="T131" s="20"/>
      <c r="U131" s="20"/>
      <c r="V131" s="20"/>
      <c r="W131" s="20"/>
      <c r="X131" s="20"/>
    </row>
    <row r="132" customFormat="false" ht="15" hidden="false" customHeight="false" outlineLevel="0" collapsed="false">
      <c r="A132" s="18"/>
      <c r="B132" s="20"/>
      <c r="C132" s="19"/>
      <c r="D132" s="20"/>
      <c r="E132" s="20"/>
      <c r="F132" s="20"/>
      <c r="G132" s="20"/>
      <c r="H132" s="20"/>
      <c r="I132" s="20"/>
      <c r="J132" s="18"/>
      <c r="K132" s="21" t="str">
        <f aca="false">IF(A132="","",IF(I132="",0,LEN(I132)-LEN(SUBSTITUTE(I132,",",""))+1))</f>
        <v/>
      </c>
      <c r="L132" s="21" t="str">
        <f aca="false">IF(A132="","",COUNTIF('Metric to Product'!$A:$A,A132))</f>
        <v/>
      </c>
      <c r="M132" s="21" t="str">
        <f aca="false">IF(A132="","",COUNTIF('Metric to Field'!$A:$A,A132))</f>
        <v/>
      </c>
      <c r="N132" s="21" t="str">
        <f aca="false">IF(B132="","",COUNTIF($B:$B,B132))</f>
        <v/>
      </c>
      <c r="O132" s="21" t="str">
        <f aca="false">IF(A132="","",COUNTIF($S:$S,S132)-1)</f>
        <v/>
      </c>
      <c r="P132" s="20"/>
      <c r="Q132" s="20"/>
      <c r="R132" s="20"/>
      <c r="S132" s="18" t="str">
        <f aca="false">IF(A132="","",LOWER(TRIM(D132&amp;"|"&amp;E132&amp;"|"&amp;F132)))</f>
        <v/>
      </c>
      <c r="T132" s="20"/>
      <c r="U132" s="20"/>
      <c r="V132" s="20"/>
      <c r="W132" s="20"/>
      <c r="X132" s="20"/>
    </row>
    <row r="133" customFormat="false" ht="15" hidden="false" customHeight="false" outlineLevel="0" collapsed="false">
      <c r="A133" s="18"/>
      <c r="B133" s="20"/>
      <c r="C133" s="19"/>
      <c r="D133" s="20"/>
      <c r="E133" s="20"/>
      <c r="F133" s="20"/>
      <c r="G133" s="20"/>
      <c r="H133" s="20"/>
      <c r="I133" s="20"/>
      <c r="J133" s="18"/>
      <c r="K133" s="21" t="str">
        <f aca="false">IF(A133="","",IF(I133="",0,LEN(I133)-LEN(SUBSTITUTE(I133,",",""))+1))</f>
        <v/>
      </c>
      <c r="L133" s="21" t="str">
        <f aca="false">IF(A133="","",COUNTIF('Metric to Product'!$A:$A,A133))</f>
        <v/>
      </c>
      <c r="M133" s="21" t="str">
        <f aca="false">IF(A133="","",COUNTIF('Metric to Field'!$A:$A,A133))</f>
        <v/>
      </c>
      <c r="N133" s="21" t="str">
        <f aca="false">IF(B133="","",COUNTIF($B:$B,B133))</f>
        <v/>
      </c>
      <c r="O133" s="21" t="str">
        <f aca="false">IF(A133="","",COUNTIF($S:$S,S133)-1)</f>
        <v/>
      </c>
      <c r="P133" s="20"/>
      <c r="Q133" s="20"/>
      <c r="R133" s="20"/>
      <c r="S133" s="18" t="str">
        <f aca="false">IF(A133="","",LOWER(TRIM(D133&amp;"|"&amp;E133&amp;"|"&amp;F133)))</f>
        <v/>
      </c>
      <c r="T133" s="20"/>
      <c r="U133" s="20"/>
      <c r="V133" s="20"/>
      <c r="W133" s="20"/>
      <c r="X133" s="20"/>
    </row>
    <row r="134" customFormat="false" ht="15" hidden="false" customHeight="false" outlineLevel="0" collapsed="false">
      <c r="A134" s="18"/>
      <c r="B134" s="20"/>
      <c r="C134" s="19"/>
      <c r="D134" s="20"/>
      <c r="E134" s="20"/>
      <c r="F134" s="20"/>
      <c r="G134" s="20"/>
      <c r="H134" s="20"/>
      <c r="I134" s="20"/>
      <c r="J134" s="18"/>
      <c r="K134" s="21" t="str">
        <f aca="false">IF(A134="","",IF(I134="",0,LEN(I134)-LEN(SUBSTITUTE(I134,",",""))+1))</f>
        <v/>
      </c>
      <c r="L134" s="21" t="str">
        <f aca="false">IF(A134="","",COUNTIF('Metric to Product'!$A:$A,A134))</f>
        <v/>
      </c>
      <c r="M134" s="21" t="str">
        <f aca="false">IF(A134="","",COUNTIF('Metric to Field'!$A:$A,A134))</f>
        <v/>
      </c>
      <c r="N134" s="21" t="str">
        <f aca="false">IF(B134="","",COUNTIF($B:$B,B134))</f>
        <v/>
      </c>
      <c r="O134" s="21" t="str">
        <f aca="false">IF(A134="","",COUNTIF($S:$S,S134)-1)</f>
        <v/>
      </c>
      <c r="P134" s="20"/>
      <c r="Q134" s="20"/>
      <c r="R134" s="20"/>
      <c r="S134" s="18" t="str">
        <f aca="false">IF(A134="","",LOWER(TRIM(D134&amp;"|"&amp;E134&amp;"|"&amp;F134)))</f>
        <v/>
      </c>
      <c r="T134" s="20"/>
      <c r="U134" s="20"/>
      <c r="V134" s="20"/>
      <c r="W134" s="20"/>
      <c r="X134" s="20"/>
    </row>
    <row r="135" customFormat="false" ht="15" hidden="false" customHeight="false" outlineLevel="0" collapsed="false">
      <c r="A135" s="18"/>
      <c r="B135" s="20"/>
      <c r="C135" s="19"/>
      <c r="D135" s="20"/>
      <c r="E135" s="20"/>
      <c r="F135" s="20"/>
      <c r="G135" s="20"/>
      <c r="H135" s="20"/>
      <c r="I135" s="20"/>
      <c r="J135" s="18"/>
      <c r="K135" s="21" t="str">
        <f aca="false">IF(A135="","",IF(I135="",0,LEN(I135)-LEN(SUBSTITUTE(I135,",",""))+1))</f>
        <v/>
      </c>
      <c r="L135" s="21" t="str">
        <f aca="false">IF(A135="","",COUNTIF('Metric to Product'!$A:$A,A135))</f>
        <v/>
      </c>
      <c r="M135" s="21" t="str">
        <f aca="false">IF(A135="","",COUNTIF('Metric to Field'!$A:$A,A135))</f>
        <v/>
      </c>
      <c r="N135" s="21" t="str">
        <f aca="false">IF(B135="","",COUNTIF($B:$B,B135))</f>
        <v/>
      </c>
      <c r="O135" s="21" t="str">
        <f aca="false">IF(A135="","",COUNTIF($S:$S,S135)-1)</f>
        <v/>
      </c>
      <c r="P135" s="20"/>
      <c r="Q135" s="20"/>
      <c r="R135" s="20"/>
      <c r="S135" s="18" t="str">
        <f aca="false">IF(A135="","",LOWER(TRIM(D135&amp;"|"&amp;E135&amp;"|"&amp;F135)))</f>
        <v/>
      </c>
      <c r="T135" s="20"/>
      <c r="U135" s="20"/>
      <c r="V135" s="20"/>
      <c r="W135" s="20"/>
      <c r="X135" s="20"/>
    </row>
    <row r="136" customFormat="false" ht="15" hidden="false" customHeight="false" outlineLevel="0" collapsed="false">
      <c r="A136" s="18"/>
      <c r="B136" s="20"/>
      <c r="C136" s="19"/>
      <c r="D136" s="20"/>
      <c r="E136" s="20"/>
      <c r="F136" s="20"/>
      <c r="G136" s="20"/>
      <c r="H136" s="20"/>
      <c r="I136" s="20"/>
      <c r="J136" s="18"/>
      <c r="K136" s="21" t="str">
        <f aca="false">IF(A136="","",IF(I136="",0,LEN(I136)-LEN(SUBSTITUTE(I136,",",""))+1))</f>
        <v/>
      </c>
      <c r="L136" s="21" t="str">
        <f aca="false">IF(A136="","",COUNTIF('Metric to Product'!$A:$A,A136))</f>
        <v/>
      </c>
      <c r="M136" s="21" t="str">
        <f aca="false">IF(A136="","",COUNTIF('Metric to Field'!$A:$A,A136))</f>
        <v/>
      </c>
      <c r="N136" s="21" t="str">
        <f aca="false">IF(B136="","",COUNTIF($B:$B,B136))</f>
        <v/>
      </c>
      <c r="O136" s="21" t="str">
        <f aca="false">IF(A136="","",COUNTIF($S:$S,S136)-1)</f>
        <v/>
      </c>
      <c r="P136" s="20"/>
      <c r="Q136" s="20"/>
      <c r="R136" s="20"/>
      <c r="S136" s="18" t="str">
        <f aca="false">IF(A136="","",LOWER(TRIM(D136&amp;"|"&amp;E136&amp;"|"&amp;F136)))</f>
        <v/>
      </c>
      <c r="T136" s="20"/>
      <c r="U136" s="20"/>
      <c r="V136" s="20"/>
      <c r="W136" s="20"/>
      <c r="X136" s="20"/>
    </row>
    <row r="137" customFormat="false" ht="15" hidden="false" customHeight="false" outlineLevel="0" collapsed="false">
      <c r="A137" s="18"/>
      <c r="B137" s="20"/>
      <c r="C137" s="19"/>
      <c r="D137" s="20"/>
      <c r="E137" s="20"/>
      <c r="F137" s="20"/>
      <c r="G137" s="20"/>
      <c r="H137" s="20"/>
      <c r="I137" s="20"/>
      <c r="J137" s="18"/>
      <c r="K137" s="21" t="str">
        <f aca="false">IF(A137="","",IF(I137="",0,LEN(I137)-LEN(SUBSTITUTE(I137,",",""))+1))</f>
        <v/>
      </c>
      <c r="L137" s="21" t="str">
        <f aca="false">IF(A137="","",COUNTIF('Metric to Product'!$A:$A,A137))</f>
        <v/>
      </c>
      <c r="M137" s="21" t="str">
        <f aca="false">IF(A137="","",COUNTIF('Metric to Field'!$A:$A,A137))</f>
        <v/>
      </c>
      <c r="N137" s="21" t="str">
        <f aca="false">IF(B137="","",COUNTIF($B:$B,B137))</f>
        <v/>
      </c>
      <c r="O137" s="21" t="str">
        <f aca="false">IF(A137="","",COUNTIF($S:$S,S137)-1)</f>
        <v/>
      </c>
      <c r="P137" s="20"/>
      <c r="Q137" s="20"/>
      <c r="R137" s="20"/>
      <c r="S137" s="18" t="str">
        <f aca="false">IF(A137="","",LOWER(TRIM(D137&amp;"|"&amp;E137&amp;"|"&amp;F137)))</f>
        <v/>
      </c>
      <c r="T137" s="20"/>
      <c r="U137" s="20"/>
      <c r="V137" s="20"/>
      <c r="W137" s="20"/>
      <c r="X137" s="20"/>
    </row>
    <row r="138" customFormat="false" ht="15" hidden="false" customHeight="false" outlineLevel="0" collapsed="false">
      <c r="A138" s="18"/>
      <c r="B138" s="20"/>
      <c r="C138" s="19"/>
      <c r="D138" s="20"/>
      <c r="E138" s="20"/>
      <c r="F138" s="20"/>
      <c r="G138" s="20"/>
      <c r="H138" s="20"/>
      <c r="I138" s="20"/>
      <c r="J138" s="18"/>
      <c r="K138" s="21" t="str">
        <f aca="false">IF(A138="","",IF(I138="",0,LEN(I138)-LEN(SUBSTITUTE(I138,",",""))+1))</f>
        <v/>
      </c>
      <c r="L138" s="21" t="str">
        <f aca="false">IF(A138="","",COUNTIF('Metric to Product'!$A:$A,A138))</f>
        <v/>
      </c>
      <c r="M138" s="21" t="str">
        <f aca="false">IF(A138="","",COUNTIF('Metric to Field'!$A:$A,A138))</f>
        <v/>
      </c>
      <c r="N138" s="21" t="str">
        <f aca="false">IF(B138="","",COUNTIF($B:$B,B138))</f>
        <v/>
      </c>
      <c r="O138" s="21" t="str">
        <f aca="false">IF(A138="","",COUNTIF($S:$S,S138)-1)</f>
        <v/>
      </c>
      <c r="P138" s="20"/>
      <c r="Q138" s="20"/>
      <c r="R138" s="20"/>
      <c r="S138" s="18" t="str">
        <f aca="false">IF(A138="","",LOWER(TRIM(D138&amp;"|"&amp;E138&amp;"|"&amp;F138)))</f>
        <v/>
      </c>
      <c r="T138" s="20"/>
      <c r="U138" s="20"/>
      <c r="V138" s="20"/>
      <c r="W138" s="20"/>
      <c r="X138" s="20"/>
    </row>
    <row r="139" customFormat="false" ht="15" hidden="false" customHeight="false" outlineLevel="0" collapsed="false">
      <c r="A139" s="18"/>
      <c r="B139" s="20"/>
      <c r="C139" s="19"/>
      <c r="D139" s="20"/>
      <c r="E139" s="20"/>
      <c r="F139" s="20"/>
      <c r="G139" s="20"/>
      <c r="H139" s="20"/>
      <c r="I139" s="20"/>
      <c r="J139" s="18"/>
      <c r="K139" s="21" t="str">
        <f aca="false">IF(A139="","",IF(I139="",0,LEN(I139)-LEN(SUBSTITUTE(I139,",",""))+1))</f>
        <v/>
      </c>
      <c r="L139" s="21" t="str">
        <f aca="false">IF(A139="","",COUNTIF('Metric to Product'!$A:$A,A139))</f>
        <v/>
      </c>
      <c r="M139" s="21" t="str">
        <f aca="false">IF(A139="","",COUNTIF('Metric to Field'!$A:$A,A139))</f>
        <v/>
      </c>
      <c r="N139" s="21" t="str">
        <f aca="false">IF(B139="","",COUNTIF($B:$B,B139))</f>
        <v/>
      </c>
      <c r="O139" s="21" t="str">
        <f aca="false">IF(A139="","",COUNTIF($S:$S,S139)-1)</f>
        <v/>
      </c>
      <c r="P139" s="20"/>
      <c r="Q139" s="20"/>
      <c r="R139" s="20"/>
      <c r="S139" s="18" t="str">
        <f aca="false">IF(A139="","",LOWER(TRIM(D139&amp;"|"&amp;E139&amp;"|"&amp;F139)))</f>
        <v/>
      </c>
      <c r="T139" s="20"/>
      <c r="U139" s="20"/>
      <c r="V139" s="20"/>
      <c r="W139" s="20"/>
      <c r="X139" s="20"/>
    </row>
    <row r="140" customFormat="false" ht="15" hidden="false" customHeight="false" outlineLevel="0" collapsed="false">
      <c r="A140" s="18"/>
      <c r="B140" s="20"/>
      <c r="C140" s="19"/>
      <c r="D140" s="20"/>
      <c r="E140" s="20"/>
      <c r="F140" s="20"/>
      <c r="G140" s="20"/>
      <c r="H140" s="20"/>
      <c r="I140" s="20"/>
      <c r="J140" s="18"/>
      <c r="K140" s="21" t="str">
        <f aca="false">IF(A140="","",IF(I140="",0,LEN(I140)-LEN(SUBSTITUTE(I140,",",""))+1))</f>
        <v/>
      </c>
      <c r="L140" s="21" t="str">
        <f aca="false">IF(A140="","",COUNTIF('Metric to Product'!$A:$A,A140))</f>
        <v/>
      </c>
      <c r="M140" s="21" t="str">
        <f aca="false">IF(A140="","",COUNTIF('Metric to Field'!$A:$A,A140))</f>
        <v/>
      </c>
      <c r="N140" s="21" t="str">
        <f aca="false">IF(B140="","",COUNTIF($B:$B,B140))</f>
        <v/>
      </c>
      <c r="O140" s="21" t="str">
        <f aca="false">IF(A140="","",COUNTIF($S:$S,S140)-1)</f>
        <v/>
      </c>
      <c r="P140" s="20"/>
      <c r="Q140" s="20"/>
      <c r="R140" s="20"/>
      <c r="S140" s="18" t="str">
        <f aca="false">IF(A140="","",LOWER(TRIM(D140&amp;"|"&amp;E140&amp;"|"&amp;F140)))</f>
        <v/>
      </c>
      <c r="T140" s="20"/>
      <c r="U140" s="20"/>
      <c r="V140" s="20"/>
      <c r="W140" s="20"/>
      <c r="X140" s="20"/>
    </row>
    <row r="141" customFormat="false" ht="15" hidden="false" customHeight="false" outlineLevel="0" collapsed="false">
      <c r="A141" s="18"/>
      <c r="B141" s="20"/>
      <c r="C141" s="19"/>
      <c r="D141" s="20"/>
      <c r="E141" s="20"/>
      <c r="F141" s="20"/>
      <c r="G141" s="20"/>
      <c r="H141" s="20"/>
      <c r="I141" s="20"/>
      <c r="J141" s="18"/>
      <c r="K141" s="21" t="str">
        <f aca="false">IF(A141="","",IF(I141="",0,LEN(I141)-LEN(SUBSTITUTE(I141,",",""))+1))</f>
        <v/>
      </c>
      <c r="L141" s="21" t="str">
        <f aca="false">IF(A141="","",COUNTIF('Metric to Product'!$A:$A,A141))</f>
        <v/>
      </c>
      <c r="M141" s="21" t="str">
        <f aca="false">IF(A141="","",COUNTIF('Metric to Field'!$A:$A,A141))</f>
        <v/>
      </c>
      <c r="N141" s="21" t="str">
        <f aca="false">IF(B141="","",COUNTIF($B:$B,B141))</f>
        <v/>
      </c>
      <c r="O141" s="21" t="str">
        <f aca="false">IF(A141="","",COUNTIF($S:$S,S141)-1)</f>
        <v/>
      </c>
      <c r="P141" s="20"/>
      <c r="Q141" s="20"/>
      <c r="R141" s="20"/>
      <c r="S141" s="18" t="str">
        <f aca="false">IF(A141="","",LOWER(TRIM(D141&amp;"|"&amp;E141&amp;"|"&amp;F141)))</f>
        <v/>
      </c>
      <c r="T141" s="20"/>
      <c r="U141" s="20"/>
      <c r="V141" s="20"/>
      <c r="W141" s="20"/>
      <c r="X141" s="20"/>
    </row>
    <row r="142" customFormat="false" ht="15" hidden="false" customHeight="false" outlineLevel="0" collapsed="false">
      <c r="A142" s="18"/>
      <c r="B142" s="20"/>
      <c r="C142" s="19"/>
      <c r="D142" s="20"/>
      <c r="E142" s="20"/>
      <c r="F142" s="20"/>
      <c r="G142" s="20"/>
      <c r="H142" s="20"/>
      <c r="I142" s="20"/>
      <c r="J142" s="18"/>
      <c r="K142" s="21" t="str">
        <f aca="false">IF(A142="","",IF(I142="",0,LEN(I142)-LEN(SUBSTITUTE(I142,",",""))+1))</f>
        <v/>
      </c>
      <c r="L142" s="21" t="str">
        <f aca="false">IF(A142="","",COUNTIF('Metric to Product'!$A:$A,A142))</f>
        <v/>
      </c>
      <c r="M142" s="21" t="str">
        <f aca="false">IF(A142="","",COUNTIF('Metric to Field'!$A:$A,A142))</f>
        <v/>
      </c>
      <c r="N142" s="21" t="str">
        <f aca="false">IF(B142="","",COUNTIF($B:$B,B142))</f>
        <v/>
      </c>
      <c r="O142" s="21" t="str">
        <f aca="false">IF(A142="","",COUNTIF($S:$S,S142)-1)</f>
        <v/>
      </c>
      <c r="P142" s="20"/>
      <c r="Q142" s="20"/>
      <c r="R142" s="20"/>
      <c r="S142" s="18" t="str">
        <f aca="false">IF(A142="","",LOWER(TRIM(D142&amp;"|"&amp;E142&amp;"|"&amp;F142)))</f>
        <v/>
      </c>
      <c r="T142" s="20"/>
      <c r="U142" s="20"/>
      <c r="V142" s="20"/>
      <c r="W142" s="20"/>
      <c r="X142" s="20"/>
    </row>
    <row r="143" customFormat="false" ht="15" hidden="false" customHeight="false" outlineLevel="0" collapsed="false">
      <c r="A143" s="18"/>
      <c r="B143" s="20"/>
      <c r="C143" s="19"/>
      <c r="D143" s="20"/>
      <c r="E143" s="20"/>
      <c r="F143" s="20"/>
      <c r="G143" s="20"/>
      <c r="H143" s="20"/>
      <c r="I143" s="20"/>
      <c r="J143" s="18"/>
      <c r="K143" s="21" t="str">
        <f aca="false">IF(A143="","",IF(I143="",0,LEN(I143)-LEN(SUBSTITUTE(I143,",",""))+1))</f>
        <v/>
      </c>
      <c r="L143" s="21" t="str">
        <f aca="false">IF(A143="","",COUNTIF('Metric to Product'!$A:$A,A143))</f>
        <v/>
      </c>
      <c r="M143" s="21" t="str">
        <f aca="false">IF(A143="","",COUNTIF('Metric to Field'!$A:$A,A143))</f>
        <v/>
      </c>
      <c r="N143" s="21" t="str">
        <f aca="false">IF(B143="","",COUNTIF($B:$B,B143))</f>
        <v/>
      </c>
      <c r="O143" s="21" t="str">
        <f aca="false">IF(A143="","",COUNTIF($S:$S,S143)-1)</f>
        <v/>
      </c>
      <c r="P143" s="20"/>
      <c r="Q143" s="20"/>
      <c r="R143" s="20"/>
      <c r="S143" s="18" t="str">
        <f aca="false">IF(A143="","",LOWER(TRIM(D143&amp;"|"&amp;E143&amp;"|"&amp;F143)))</f>
        <v/>
      </c>
      <c r="T143" s="20"/>
      <c r="U143" s="20"/>
      <c r="V143" s="20"/>
      <c r="W143" s="20"/>
      <c r="X143" s="20"/>
    </row>
    <row r="144" customFormat="false" ht="15" hidden="false" customHeight="false" outlineLevel="0" collapsed="false">
      <c r="A144" s="18"/>
      <c r="B144" s="20"/>
      <c r="C144" s="19"/>
      <c r="D144" s="20"/>
      <c r="E144" s="20"/>
      <c r="F144" s="20"/>
      <c r="G144" s="20"/>
      <c r="H144" s="20"/>
      <c r="I144" s="20"/>
      <c r="J144" s="18"/>
      <c r="K144" s="21" t="str">
        <f aca="false">IF(A144="","",IF(I144="",0,LEN(I144)-LEN(SUBSTITUTE(I144,",",""))+1))</f>
        <v/>
      </c>
      <c r="L144" s="21" t="str">
        <f aca="false">IF(A144="","",COUNTIF('Metric to Product'!$A:$A,A144))</f>
        <v/>
      </c>
      <c r="M144" s="21" t="str">
        <f aca="false">IF(A144="","",COUNTIF('Metric to Field'!$A:$A,A144))</f>
        <v/>
      </c>
      <c r="N144" s="21" t="str">
        <f aca="false">IF(B144="","",COUNTIF($B:$B,B144))</f>
        <v/>
      </c>
      <c r="O144" s="21" t="str">
        <f aca="false">IF(A144="","",COUNTIF($S:$S,S144)-1)</f>
        <v/>
      </c>
      <c r="P144" s="20"/>
      <c r="Q144" s="20"/>
      <c r="R144" s="20"/>
      <c r="S144" s="18" t="str">
        <f aca="false">IF(A144="","",LOWER(TRIM(D144&amp;"|"&amp;E144&amp;"|"&amp;F144)))</f>
        <v/>
      </c>
      <c r="T144" s="20"/>
      <c r="U144" s="20"/>
      <c r="V144" s="20"/>
      <c r="W144" s="20"/>
      <c r="X144" s="20"/>
    </row>
    <row r="145" customFormat="false" ht="15" hidden="false" customHeight="false" outlineLevel="0" collapsed="false">
      <c r="A145" s="18"/>
      <c r="B145" s="20"/>
      <c r="C145" s="19"/>
      <c r="D145" s="20"/>
      <c r="E145" s="20"/>
      <c r="F145" s="20"/>
      <c r="G145" s="20"/>
      <c r="H145" s="20"/>
      <c r="I145" s="20"/>
      <c r="J145" s="18"/>
      <c r="K145" s="21" t="str">
        <f aca="false">IF(A145="","",IF(I145="",0,LEN(I145)-LEN(SUBSTITUTE(I145,",",""))+1))</f>
        <v/>
      </c>
      <c r="L145" s="21" t="str">
        <f aca="false">IF(A145="","",COUNTIF('Metric to Product'!$A:$A,A145))</f>
        <v/>
      </c>
      <c r="M145" s="21" t="str">
        <f aca="false">IF(A145="","",COUNTIF('Metric to Field'!$A:$A,A145))</f>
        <v/>
      </c>
      <c r="N145" s="21" t="str">
        <f aca="false">IF(B145="","",COUNTIF($B:$B,B145))</f>
        <v/>
      </c>
      <c r="O145" s="21" t="str">
        <f aca="false">IF(A145="","",COUNTIF($S:$S,S145)-1)</f>
        <v/>
      </c>
      <c r="P145" s="20"/>
      <c r="Q145" s="20"/>
      <c r="R145" s="20"/>
      <c r="S145" s="18" t="str">
        <f aca="false">IF(A145="","",LOWER(TRIM(D145&amp;"|"&amp;E145&amp;"|"&amp;F145)))</f>
        <v/>
      </c>
      <c r="T145" s="20"/>
      <c r="U145" s="20"/>
      <c r="V145" s="20"/>
      <c r="W145" s="20"/>
      <c r="X145" s="20"/>
    </row>
    <row r="146" customFormat="false" ht="15" hidden="false" customHeight="false" outlineLevel="0" collapsed="false">
      <c r="A146" s="18"/>
      <c r="B146" s="20"/>
      <c r="C146" s="19"/>
      <c r="D146" s="20"/>
      <c r="E146" s="20"/>
      <c r="F146" s="20"/>
      <c r="G146" s="20"/>
      <c r="H146" s="20"/>
      <c r="I146" s="20"/>
      <c r="J146" s="18"/>
      <c r="K146" s="21" t="str">
        <f aca="false">IF(A146="","",IF(I146="",0,LEN(I146)-LEN(SUBSTITUTE(I146,",",""))+1))</f>
        <v/>
      </c>
      <c r="L146" s="21" t="str">
        <f aca="false">IF(A146="","",COUNTIF('Metric to Product'!$A:$A,A146))</f>
        <v/>
      </c>
      <c r="M146" s="21" t="str">
        <f aca="false">IF(A146="","",COUNTIF('Metric to Field'!$A:$A,A146))</f>
        <v/>
      </c>
      <c r="N146" s="21" t="str">
        <f aca="false">IF(B146="","",COUNTIF($B:$B,B146))</f>
        <v/>
      </c>
      <c r="O146" s="21" t="str">
        <f aca="false">IF(A146="","",COUNTIF($S:$S,S146)-1)</f>
        <v/>
      </c>
      <c r="P146" s="20"/>
      <c r="Q146" s="20"/>
      <c r="R146" s="20"/>
      <c r="S146" s="18" t="str">
        <f aca="false">IF(A146="","",LOWER(TRIM(D146&amp;"|"&amp;E146&amp;"|"&amp;F146)))</f>
        <v/>
      </c>
      <c r="T146" s="20"/>
      <c r="U146" s="20"/>
      <c r="V146" s="20"/>
      <c r="W146" s="20"/>
      <c r="X146" s="20"/>
    </row>
    <row r="147" customFormat="false" ht="15" hidden="false" customHeight="false" outlineLevel="0" collapsed="false">
      <c r="A147" s="18"/>
      <c r="B147" s="20"/>
      <c r="C147" s="19"/>
      <c r="D147" s="20"/>
      <c r="E147" s="20"/>
      <c r="F147" s="20"/>
      <c r="G147" s="20"/>
      <c r="H147" s="20"/>
      <c r="I147" s="20"/>
      <c r="J147" s="18"/>
      <c r="K147" s="21" t="str">
        <f aca="false">IF(A147="","",IF(I147="",0,LEN(I147)-LEN(SUBSTITUTE(I147,",",""))+1))</f>
        <v/>
      </c>
      <c r="L147" s="21" t="str">
        <f aca="false">IF(A147="","",COUNTIF('Metric to Product'!$A:$A,A147))</f>
        <v/>
      </c>
      <c r="M147" s="21" t="str">
        <f aca="false">IF(A147="","",COUNTIF('Metric to Field'!$A:$A,A147))</f>
        <v/>
      </c>
      <c r="N147" s="21" t="str">
        <f aca="false">IF(B147="","",COUNTIF($B:$B,B147))</f>
        <v/>
      </c>
      <c r="O147" s="21" t="str">
        <f aca="false">IF(A147="","",COUNTIF($S:$S,S147)-1)</f>
        <v/>
      </c>
      <c r="P147" s="20"/>
      <c r="Q147" s="20"/>
      <c r="R147" s="20"/>
      <c r="S147" s="18" t="str">
        <f aca="false">IF(A147="","",LOWER(TRIM(D147&amp;"|"&amp;E147&amp;"|"&amp;F147)))</f>
        <v/>
      </c>
      <c r="T147" s="20"/>
      <c r="U147" s="20"/>
      <c r="V147" s="20"/>
      <c r="W147" s="20"/>
      <c r="X147" s="20"/>
    </row>
    <row r="148" customFormat="false" ht="15" hidden="false" customHeight="false" outlineLevel="0" collapsed="false">
      <c r="A148" s="18"/>
      <c r="B148" s="20"/>
      <c r="C148" s="19"/>
      <c r="D148" s="20"/>
      <c r="E148" s="20"/>
      <c r="F148" s="20"/>
      <c r="G148" s="20"/>
      <c r="H148" s="20"/>
      <c r="I148" s="20"/>
      <c r="J148" s="18"/>
      <c r="K148" s="21" t="str">
        <f aca="false">IF(A148="","",IF(I148="",0,LEN(I148)-LEN(SUBSTITUTE(I148,",",""))+1))</f>
        <v/>
      </c>
      <c r="L148" s="21" t="str">
        <f aca="false">IF(A148="","",COUNTIF('Metric to Product'!$A:$A,A148))</f>
        <v/>
      </c>
      <c r="M148" s="21" t="str">
        <f aca="false">IF(A148="","",COUNTIF('Metric to Field'!$A:$A,A148))</f>
        <v/>
      </c>
      <c r="N148" s="21" t="str">
        <f aca="false">IF(B148="","",COUNTIF($B:$B,B148))</f>
        <v/>
      </c>
      <c r="O148" s="21" t="str">
        <f aca="false">IF(A148="","",COUNTIF($S:$S,S148)-1)</f>
        <v/>
      </c>
      <c r="P148" s="20"/>
      <c r="Q148" s="20"/>
      <c r="R148" s="20"/>
      <c r="S148" s="18" t="str">
        <f aca="false">IF(A148="","",LOWER(TRIM(D148&amp;"|"&amp;E148&amp;"|"&amp;F148)))</f>
        <v/>
      </c>
      <c r="T148" s="20"/>
      <c r="U148" s="20"/>
      <c r="V148" s="20"/>
      <c r="W148" s="20"/>
      <c r="X148" s="20"/>
    </row>
    <row r="149" customFormat="false" ht="15" hidden="false" customHeight="false" outlineLevel="0" collapsed="false">
      <c r="A149" s="18"/>
      <c r="B149" s="20"/>
      <c r="C149" s="19"/>
      <c r="D149" s="20"/>
      <c r="E149" s="20"/>
      <c r="F149" s="20"/>
      <c r="G149" s="20"/>
      <c r="H149" s="20"/>
      <c r="I149" s="20"/>
      <c r="J149" s="18"/>
      <c r="K149" s="21" t="str">
        <f aca="false">IF(A149="","",IF(I149="",0,LEN(I149)-LEN(SUBSTITUTE(I149,",",""))+1))</f>
        <v/>
      </c>
      <c r="L149" s="21" t="str">
        <f aca="false">IF(A149="","",COUNTIF('Metric to Product'!$A:$A,A149))</f>
        <v/>
      </c>
      <c r="M149" s="21" t="str">
        <f aca="false">IF(A149="","",COUNTIF('Metric to Field'!$A:$A,A149))</f>
        <v/>
      </c>
      <c r="N149" s="21" t="str">
        <f aca="false">IF(B149="","",COUNTIF($B:$B,B149))</f>
        <v/>
      </c>
      <c r="O149" s="21" t="str">
        <f aca="false">IF(A149="","",COUNTIF($S:$S,S149)-1)</f>
        <v/>
      </c>
      <c r="P149" s="20"/>
      <c r="Q149" s="20"/>
      <c r="R149" s="20"/>
      <c r="S149" s="18" t="str">
        <f aca="false">IF(A149="","",LOWER(TRIM(D149&amp;"|"&amp;E149&amp;"|"&amp;F149)))</f>
        <v/>
      </c>
      <c r="T149" s="20"/>
      <c r="U149" s="20"/>
      <c r="V149" s="20"/>
      <c r="W149" s="20"/>
      <c r="X149" s="20"/>
    </row>
    <row r="150" customFormat="false" ht="15" hidden="false" customHeight="false" outlineLevel="0" collapsed="false">
      <c r="A150" s="18"/>
      <c r="B150" s="20"/>
      <c r="C150" s="19"/>
      <c r="D150" s="20"/>
      <c r="E150" s="20"/>
      <c r="F150" s="20"/>
      <c r="G150" s="20"/>
      <c r="H150" s="20"/>
      <c r="I150" s="20"/>
      <c r="J150" s="18"/>
      <c r="K150" s="21" t="str">
        <f aca="false">IF(A150="","",IF(I150="",0,LEN(I150)-LEN(SUBSTITUTE(I150,",",""))+1))</f>
        <v/>
      </c>
      <c r="L150" s="21" t="str">
        <f aca="false">IF(A150="","",COUNTIF('Metric to Product'!$A:$A,A150))</f>
        <v/>
      </c>
      <c r="M150" s="21" t="str">
        <f aca="false">IF(A150="","",COUNTIF('Metric to Field'!$A:$A,A150))</f>
        <v/>
      </c>
      <c r="N150" s="21" t="str">
        <f aca="false">IF(B150="","",COUNTIF($B:$B,B150))</f>
        <v/>
      </c>
      <c r="O150" s="21" t="str">
        <f aca="false">IF(A150="","",COUNTIF($S:$S,S150)-1)</f>
        <v/>
      </c>
      <c r="P150" s="20"/>
      <c r="Q150" s="20"/>
      <c r="R150" s="20"/>
      <c r="S150" s="18" t="str">
        <f aca="false">IF(A150="","",LOWER(TRIM(D150&amp;"|"&amp;E150&amp;"|"&amp;F150)))</f>
        <v/>
      </c>
      <c r="T150" s="20"/>
      <c r="U150" s="20"/>
      <c r="V150" s="20"/>
      <c r="W150" s="20"/>
      <c r="X150" s="20"/>
    </row>
    <row r="151" customFormat="false" ht="15" hidden="false" customHeight="false" outlineLevel="0" collapsed="false">
      <c r="A151" s="18"/>
      <c r="B151" s="20"/>
      <c r="C151" s="19"/>
      <c r="D151" s="20"/>
      <c r="E151" s="20"/>
      <c r="F151" s="20"/>
      <c r="G151" s="20"/>
      <c r="H151" s="20"/>
      <c r="I151" s="20"/>
      <c r="J151" s="18"/>
      <c r="K151" s="21" t="str">
        <f aca="false">IF(A151="","",IF(I151="",0,LEN(I151)-LEN(SUBSTITUTE(I151,",",""))+1))</f>
        <v/>
      </c>
      <c r="L151" s="21" t="str">
        <f aca="false">IF(A151="","",COUNTIF('Metric to Product'!$A:$A,A151))</f>
        <v/>
      </c>
      <c r="M151" s="21" t="str">
        <f aca="false">IF(A151="","",COUNTIF('Metric to Field'!$A:$A,A151))</f>
        <v/>
      </c>
      <c r="N151" s="21" t="str">
        <f aca="false">IF(B151="","",COUNTIF($B:$B,B151))</f>
        <v/>
      </c>
      <c r="O151" s="21" t="str">
        <f aca="false">IF(A151="","",COUNTIF($S:$S,S151)-1)</f>
        <v/>
      </c>
      <c r="P151" s="20"/>
      <c r="Q151" s="20"/>
      <c r="R151" s="20"/>
      <c r="S151" s="18" t="str">
        <f aca="false">IF(A151="","",LOWER(TRIM(D151&amp;"|"&amp;E151&amp;"|"&amp;F151)))</f>
        <v/>
      </c>
      <c r="T151" s="20"/>
      <c r="U151" s="20"/>
      <c r="V151" s="20"/>
      <c r="W151" s="20"/>
      <c r="X151" s="20"/>
    </row>
    <row r="152" customFormat="false" ht="15" hidden="false" customHeight="false" outlineLevel="0" collapsed="false">
      <c r="A152" s="18"/>
      <c r="B152" s="20"/>
      <c r="C152" s="19"/>
      <c r="D152" s="20"/>
      <c r="E152" s="20"/>
      <c r="F152" s="20"/>
      <c r="G152" s="20"/>
      <c r="H152" s="20"/>
      <c r="I152" s="20"/>
      <c r="J152" s="18"/>
      <c r="K152" s="21" t="str">
        <f aca="false">IF(A152="","",IF(I152="",0,LEN(I152)-LEN(SUBSTITUTE(I152,",",""))+1))</f>
        <v/>
      </c>
      <c r="L152" s="21" t="str">
        <f aca="false">IF(A152="","",COUNTIF('Metric to Product'!$A:$A,A152))</f>
        <v/>
      </c>
      <c r="M152" s="21" t="str">
        <f aca="false">IF(A152="","",COUNTIF('Metric to Field'!$A:$A,A152))</f>
        <v/>
      </c>
      <c r="N152" s="21" t="str">
        <f aca="false">IF(B152="","",COUNTIF($B:$B,B152))</f>
        <v/>
      </c>
      <c r="O152" s="21" t="str">
        <f aca="false">IF(A152="","",COUNTIF($S:$S,S152)-1)</f>
        <v/>
      </c>
      <c r="P152" s="20"/>
      <c r="Q152" s="20"/>
      <c r="R152" s="20"/>
      <c r="S152" s="18" t="str">
        <f aca="false">IF(A152="","",LOWER(TRIM(D152&amp;"|"&amp;E152&amp;"|"&amp;F152)))</f>
        <v/>
      </c>
      <c r="T152" s="20"/>
      <c r="U152" s="20"/>
      <c r="V152" s="20"/>
      <c r="W152" s="20"/>
      <c r="X152" s="20"/>
    </row>
    <row r="153" customFormat="false" ht="15" hidden="false" customHeight="false" outlineLevel="0" collapsed="false">
      <c r="A153" s="18"/>
      <c r="B153" s="20"/>
      <c r="C153" s="19"/>
      <c r="D153" s="20"/>
      <c r="E153" s="20"/>
      <c r="F153" s="20"/>
      <c r="G153" s="20"/>
      <c r="H153" s="20"/>
      <c r="I153" s="20"/>
      <c r="J153" s="18"/>
      <c r="K153" s="21" t="str">
        <f aca="false">IF(A153="","",IF(I153="",0,LEN(I153)-LEN(SUBSTITUTE(I153,",",""))+1))</f>
        <v/>
      </c>
      <c r="L153" s="21" t="str">
        <f aca="false">IF(A153="","",COUNTIF('Metric to Product'!$A:$A,A153))</f>
        <v/>
      </c>
      <c r="M153" s="21" t="str">
        <f aca="false">IF(A153="","",COUNTIF('Metric to Field'!$A:$A,A153))</f>
        <v/>
      </c>
      <c r="N153" s="21" t="str">
        <f aca="false">IF(B153="","",COUNTIF($B:$B,B153))</f>
        <v/>
      </c>
      <c r="O153" s="21" t="str">
        <f aca="false">IF(A153="","",COUNTIF($S:$S,S153)-1)</f>
        <v/>
      </c>
      <c r="P153" s="20"/>
      <c r="Q153" s="20"/>
      <c r="R153" s="20"/>
      <c r="S153" s="18" t="str">
        <f aca="false">IF(A153="","",LOWER(TRIM(D153&amp;"|"&amp;E153&amp;"|"&amp;F153)))</f>
        <v/>
      </c>
      <c r="T153" s="20"/>
      <c r="U153" s="20"/>
      <c r="V153" s="20"/>
      <c r="W153" s="20"/>
      <c r="X153" s="20"/>
    </row>
    <row r="154" customFormat="false" ht="15" hidden="false" customHeight="false" outlineLevel="0" collapsed="false">
      <c r="A154" s="18"/>
      <c r="B154" s="20"/>
      <c r="C154" s="19"/>
      <c r="D154" s="20"/>
      <c r="E154" s="20"/>
      <c r="F154" s="20"/>
      <c r="G154" s="20"/>
      <c r="H154" s="20"/>
      <c r="I154" s="20"/>
      <c r="J154" s="18"/>
      <c r="K154" s="21" t="str">
        <f aca="false">IF(A154="","",IF(I154="",0,LEN(I154)-LEN(SUBSTITUTE(I154,",",""))+1))</f>
        <v/>
      </c>
      <c r="L154" s="21" t="str">
        <f aca="false">IF(A154="","",COUNTIF('Metric to Product'!$A:$A,A154))</f>
        <v/>
      </c>
      <c r="M154" s="21" t="str">
        <f aca="false">IF(A154="","",COUNTIF('Metric to Field'!$A:$A,A154))</f>
        <v/>
      </c>
      <c r="N154" s="21" t="str">
        <f aca="false">IF(B154="","",COUNTIF($B:$B,B154))</f>
        <v/>
      </c>
      <c r="O154" s="21" t="str">
        <f aca="false">IF(A154="","",COUNTIF($S:$S,S154)-1)</f>
        <v/>
      </c>
      <c r="P154" s="20"/>
      <c r="Q154" s="20"/>
      <c r="R154" s="20"/>
      <c r="S154" s="18" t="str">
        <f aca="false">IF(A154="","",LOWER(TRIM(D154&amp;"|"&amp;E154&amp;"|"&amp;F154)))</f>
        <v/>
      </c>
      <c r="T154" s="20"/>
      <c r="U154" s="20"/>
      <c r="V154" s="20"/>
      <c r="W154" s="20"/>
      <c r="X154" s="20"/>
    </row>
    <row r="155" customFormat="false" ht="15" hidden="false" customHeight="false" outlineLevel="0" collapsed="false">
      <c r="A155" s="18"/>
      <c r="B155" s="20"/>
      <c r="C155" s="19"/>
      <c r="D155" s="20"/>
      <c r="E155" s="20"/>
      <c r="F155" s="20"/>
      <c r="G155" s="20"/>
      <c r="H155" s="20"/>
      <c r="I155" s="20"/>
      <c r="J155" s="18"/>
      <c r="K155" s="21" t="str">
        <f aca="false">IF(A155="","",IF(I155="",0,LEN(I155)-LEN(SUBSTITUTE(I155,",",""))+1))</f>
        <v/>
      </c>
      <c r="L155" s="21" t="str">
        <f aca="false">IF(A155="","",COUNTIF('Metric to Product'!$A:$A,A155))</f>
        <v/>
      </c>
      <c r="M155" s="21" t="str">
        <f aca="false">IF(A155="","",COUNTIF('Metric to Field'!$A:$A,A155))</f>
        <v/>
      </c>
      <c r="N155" s="21" t="str">
        <f aca="false">IF(B155="","",COUNTIF($B:$B,B155))</f>
        <v/>
      </c>
      <c r="O155" s="21" t="str">
        <f aca="false">IF(A155="","",COUNTIF($S:$S,S155)-1)</f>
        <v/>
      </c>
      <c r="P155" s="20"/>
      <c r="Q155" s="20"/>
      <c r="R155" s="20"/>
      <c r="S155" s="18" t="str">
        <f aca="false">IF(A155="","",LOWER(TRIM(D155&amp;"|"&amp;E155&amp;"|"&amp;F155)))</f>
        <v/>
      </c>
      <c r="T155" s="20"/>
      <c r="U155" s="20"/>
      <c r="V155" s="20"/>
      <c r="W155" s="20"/>
      <c r="X155" s="20"/>
    </row>
    <row r="156" customFormat="false" ht="15" hidden="false" customHeight="false" outlineLevel="0" collapsed="false">
      <c r="A156" s="18"/>
      <c r="B156" s="20"/>
      <c r="C156" s="19"/>
      <c r="D156" s="20"/>
      <c r="E156" s="20"/>
      <c r="F156" s="20"/>
      <c r="G156" s="20"/>
      <c r="H156" s="20"/>
      <c r="I156" s="20"/>
      <c r="J156" s="18"/>
      <c r="K156" s="21" t="str">
        <f aca="false">IF(A156="","",IF(I156="",0,LEN(I156)-LEN(SUBSTITUTE(I156,",",""))+1))</f>
        <v/>
      </c>
      <c r="L156" s="21" t="str">
        <f aca="false">IF(A156="","",COUNTIF('Metric to Product'!$A:$A,A156))</f>
        <v/>
      </c>
      <c r="M156" s="21" t="str">
        <f aca="false">IF(A156="","",COUNTIF('Metric to Field'!$A:$A,A156))</f>
        <v/>
      </c>
      <c r="N156" s="21" t="str">
        <f aca="false">IF(B156="","",COUNTIF($B:$B,B156))</f>
        <v/>
      </c>
      <c r="O156" s="21" t="str">
        <f aca="false">IF(A156="","",COUNTIF($S:$S,S156)-1)</f>
        <v/>
      </c>
      <c r="P156" s="20"/>
      <c r="Q156" s="20"/>
      <c r="R156" s="20"/>
      <c r="S156" s="18" t="str">
        <f aca="false">IF(A156="","",LOWER(TRIM(D156&amp;"|"&amp;E156&amp;"|"&amp;F156)))</f>
        <v/>
      </c>
      <c r="T156" s="20"/>
      <c r="U156" s="20"/>
      <c r="V156" s="20"/>
      <c r="W156" s="20"/>
      <c r="X156" s="20"/>
    </row>
    <row r="157" customFormat="false" ht="15" hidden="false" customHeight="false" outlineLevel="0" collapsed="false">
      <c r="A157" s="18"/>
      <c r="B157" s="20"/>
      <c r="C157" s="19"/>
      <c r="D157" s="20"/>
      <c r="E157" s="20"/>
      <c r="F157" s="20"/>
      <c r="G157" s="20"/>
      <c r="H157" s="20"/>
      <c r="I157" s="20"/>
      <c r="J157" s="18"/>
      <c r="K157" s="21" t="str">
        <f aca="false">IF(A157="","",IF(I157="",0,LEN(I157)-LEN(SUBSTITUTE(I157,",",""))+1))</f>
        <v/>
      </c>
      <c r="L157" s="21" t="str">
        <f aca="false">IF(A157="","",COUNTIF('Metric to Product'!$A:$A,A157))</f>
        <v/>
      </c>
      <c r="M157" s="21" t="str">
        <f aca="false">IF(A157="","",COUNTIF('Metric to Field'!$A:$A,A157))</f>
        <v/>
      </c>
      <c r="N157" s="21" t="str">
        <f aca="false">IF(B157="","",COUNTIF($B:$B,B157))</f>
        <v/>
      </c>
      <c r="O157" s="21" t="str">
        <f aca="false">IF(A157="","",COUNTIF($S:$S,S157)-1)</f>
        <v/>
      </c>
      <c r="P157" s="20"/>
      <c r="Q157" s="20"/>
      <c r="R157" s="20"/>
      <c r="S157" s="18" t="str">
        <f aca="false">IF(A157="","",LOWER(TRIM(D157&amp;"|"&amp;E157&amp;"|"&amp;F157)))</f>
        <v/>
      </c>
      <c r="T157" s="20"/>
      <c r="U157" s="20"/>
      <c r="V157" s="20"/>
      <c r="W157" s="20"/>
      <c r="X157" s="20"/>
    </row>
    <row r="158" customFormat="false" ht="15" hidden="false" customHeight="false" outlineLevel="0" collapsed="false">
      <c r="A158" s="18"/>
      <c r="B158" s="20"/>
      <c r="C158" s="19"/>
      <c r="D158" s="20"/>
      <c r="E158" s="20"/>
      <c r="F158" s="20"/>
      <c r="G158" s="20"/>
      <c r="H158" s="20"/>
      <c r="I158" s="20"/>
      <c r="J158" s="18"/>
      <c r="K158" s="21" t="str">
        <f aca="false">IF(A158="","",IF(I158="",0,LEN(I158)-LEN(SUBSTITUTE(I158,",",""))+1))</f>
        <v/>
      </c>
      <c r="L158" s="21" t="str">
        <f aca="false">IF(A158="","",COUNTIF('Metric to Product'!$A:$A,A158))</f>
        <v/>
      </c>
      <c r="M158" s="21" t="str">
        <f aca="false">IF(A158="","",COUNTIF('Metric to Field'!$A:$A,A158))</f>
        <v/>
      </c>
      <c r="N158" s="21" t="str">
        <f aca="false">IF(B158="","",COUNTIF($B:$B,B158))</f>
        <v/>
      </c>
      <c r="O158" s="21" t="str">
        <f aca="false">IF(A158="","",COUNTIF($S:$S,S158)-1)</f>
        <v/>
      </c>
      <c r="P158" s="20"/>
      <c r="Q158" s="20"/>
      <c r="R158" s="20"/>
      <c r="S158" s="18" t="str">
        <f aca="false">IF(A158="","",LOWER(TRIM(D158&amp;"|"&amp;E158&amp;"|"&amp;F158)))</f>
        <v/>
      </c>
      <c r="T158" s="20"/>
      <c r="U158" s="20"/>
      <c r="V158" s="20"/>
      <c r="W158" s="20"/>
      <c r="X158" s="20"/>
    </row>
    <row r="159" customFormat="false" ht="15" hidden="false" customHeight="false" outlineLevel="0" collapsed="false">
      <c r="A159" s="18"/>
      <c r="B159" s="20"/>
      <c r="C159" s="19"/>
      <c r="D159" s="20"/>
      <c r="E159" s="20"/>
      <c r="F159" s="20"/>
      <c r="G159" s="20"/>
      <c r="H159" s="20"/>
      <c r="I159" s="20"/>
      <c r="J159" s="18"/>
      <c r="K159" s="21" t="str">
        <f aca="false">IF(A159="","",IF(I159="",0,LEN(I159)-LEN(SUBSTITUTE(I159,",",""))+1))</f>
        <v/>
      </c>
      <c r="L159" s="21" t="str">
        <f aca="false">IF(A159="","",COUNTIF('Metric to Product'!$A:$A,A159))</f>
        <v/>
      </c>
      <c r="M159" s="21" t="str">
        <f aca="false">IF(A159="","",COUNTIF('Metric to Field'!$A:$A,A159))</f>
        <v/>
      </c>
      <c r="N159" s="21" t="str">
        <f aca="false">IF(B159="","",COUNTIF($B:$B,B159))</f>
        <v/>
      </c>
      <c r="O159" s="21" t="str">
        <f aca="false">IF(A159="","",COUNTIF($S:$S,S159)-1)</f>
        <v/>
      </c>
      <c r="P159" s="20"/>
      <c r="Q159" s="20"/>
      <c r="R159" s="20"/>
      <c r="S159" s="18" t="str">
        <f aca="false">IF(A159="","",LOWER(TRIM(D159&amp;"|"&amp;E159&amp;"|"&amp;F159)))</f>
        <v/>
      </c>
      <c r="T159" s="20"/>
      <c r="U159" s="20"/>
      <c r="V159" s="20"/>
      <c r="W159" s="20"/>
      <c r="X159" s="20"/>
    </row>
    <row r="160" customFormat="false" ht="15" hidden="false" customHeight="false" outlineLevel="0" collapsed="false">
      <c r="A160" s="18"/>
      <c r="B160" s="20"/>
      <c r="C160" s="19"/>
      <c r="D160" s="20"/>
      <c r="E160" s="20"/>
      <c r="F160" s="20"/>
      <c r="G160" s="20"/>
      <c r="H160" s="20"/>
      <c r="I160" s="20"/>
      <c r="J160" s="18"/>
      <c r="K160" s="21" t="str">
        <f aca="false">IF(A160="","",IF(I160="",0,LEN(I160)-LEN(SUBSTITUTE(I160,",",""))+1))</f>
        <v/>
      </c>
      <c r="L160" s="21" t="str">
        <f aca="false">IF(A160="","",COUNTIF('Metric to Product'!$A:$A,A160))</f>
        <v/>
      </c>
      <c r="M160" s="21" t="str">
        <f aca="false">IF(A160="","",COUNTIF('Metric to Field'!$A:$A,A160))</f>
        <v/>
      </c>
      <c r="N160" s="21" t="str">
        <f aca="false">IF(B160="","",COUNTIF($B:$B,B160))</f>
        <v/>
      </c>
      <c r="O160" s="21" t="str">
        <f aca="false">IF(A160="","",COUNTIF($S:$S,S160)-1)</f>
        <v/>
      </c>
      <c r="P160" s="20"/>
      <c r="Q160" s="20"/>
      <c r="R160" s="20"/>
      <c r="S160" s="18" t="str">
        <f aca="false">IF(A160="","",LOWER(TRIM(D160&amp;"|"&amp;E160&amp;"|"&amp;F160)))</f>
        <v/>
      </c>
      <c r="T160" s="20"/>
      <c r="U160" s="20"/>
      <c r="V160" s="20"/>
      <c r="W160" s="20"/>
      <c r="X160" s="20"/>
    </row>
    <row r="161" customFormat="false" ht="15" hidden="false" customHeight="false" outlineLevel="0" collapsed="false">
      <c r="A161" s="18"/>
      <c r="B161" s="20"/>
      <c r="C161" s="19"/>
      <c r="D161" s="20"/>
      <c r="E161" s="20"/>
      <c r="F161" s="20"/>
      <c r="G161" s="20"/>
      <c r="H161" s="20"/>
      <c r="I161" s="20"/>
      <c r="J161" s="18"/>
      <c r="K161" s="21" t="str">
        <f aca="false">IF(A161="","",IF(I161="",0,LEN(I161)-LEN(SUBSTITUTE(I161,",",""))+1))</f>
        <v/>
      </c>
      <c r="L161" s="21" t="str">
        <f aca="false">IF(A161="","",COUNTIF('Metric to Product'!$A:$A,A161))</f>
        <v/>
      </c>
      <c r="M161" s="21" t="str">
        <f aca="false">IF(A161="","",COUNTIF('Metric to Field'!$A:$A,A161))</f>
        <v/>
      </c>
      <c r="N161" s="21" t="str">
        <f aca="false">IF(B161="","",COUNTIF($B:$B,B161))</f>
        <v/>
      </c>
      <c r="O161" s="21" t="str">
        <f aca="false">IF(A161="","",COUNTIF($S:$S,S161)-1)</f>
        <v/>
      </c>
      <c r="P161" s="20"/>
      <c r="Q161" s="20"/>
      <c r="R161" s="20"/>
      <c r="S161" s="18" t="str">
        <f aca="false">IF(A161="","",LOWER(TRIM(D161&amp;"|"&amp;E161&amp;"|"&amp;F161)))</f>
        <v/>
      </c>
      <c r="T161" s="20"/>
      <c r="U161" s="20"/>
      <c r="V161" s="20"/>
      <c r="W161" s="20"/>
      <c r="X161" s="20"/>
    </row>
    <row r="162" customFormat="false" ht="15" hidden="false" customHeight="false" outlineLevel="0" collapsed="false">
      <c r="A162" s="18"/>
      <c r="B162" s="20"/>
      <c r="C162" s="19"/>
      <c r="D162" s="20"/>
      <c r="E162" s="20"/>
      <c r="F162" s="20"/>
      <c r="G162" s="20"/>
      <c r="H162" s="20"/>
      <c r="I162" s="20"/>
      <c r="J162" s="18"/>
      <c r="K162" s="21" t="str">
        <f aca="false">IF(A162="","",IF(I162="",0,LEN(I162)-LEN(SUBSTITUTE(I162,",",""))+1))</f>
        <v/>
      </c>
      <c r="L162" s="21" t="str">
        <f aca="false">IF(A162="","",COUNTIF('Metric to Product'!$A:$A,A162))</f>
        <v/>
      </c>
      <c r="M162" s="21" t="str">
        <f aca="false">IF(A162="","",COUNTIF('Metric to Field'!$A:$A,A162))</f>
        <v/>
      </c>
      <c r="N162" s="21" t="str">
        <f aca="false">IF(B162="","",COUNTIF($B:$B,B162))</f>
        <v/>
      </c>
      <c r="O162" s="21" t="str">
        <f aca="false">IF(A162="","",COUNTIF($S:$S,S162)-1)</f>
        <v/>
      </c>
      <c r="P162" s="20"/>
      <c r="Q162" s="20"/>
      <c r="R162" s="20"/>
      <c r="S162" s="18" t="str">
        <f aca="false">IF(A162="","",LOWER(TRIM(D162&amp;"|"&amp;E162&amp;"|"&amp;F162)))</f>
        <v/>
      </c>
      <c r="T162" s="20"/>
      <c r="U162" s="20"/>
      <c r="V162" s="20"/>
      <c r="W162" s="20"/>
      <c r="X162" s="20"/>
    </row>
    <row r="163" customFormat="false" ht="15" hidden="false" customHeight="false" outlineLevel="0" collapsed="false">
      <c r="A163" s="18"/>
      <c r="B163" s="20"/>
      <c r="C163" s="19"/>
      <c r="D163" s="20"/>
      <c r="E163" s="20"/>
      <c r="F163" s="20"/>
      <c r="G163" s="20"/>
      <c r="H163" s="20"/>
      <c r="I163" s="20"/>
      <c r="J163" s="18"/>
      <c r="K163" s="21" t="str">
        <f aca="false">IF(A163="","",IF(I163="",0,LEN(I163)-LEN(SUBSTITUTE(I163,",",""))+1))</f>
        <v/>
      </c>
      <c r="L163" s="21" t="str">
        <f aca="false">IF(A163="","",COUNTIF('Metric to Product'!$A:$A,A163))</f>
        <v/>
      </c>
      <c r="M163" s="21" t="str">
        <f aca="false">IF(A163="","",COUNTIF('Metric to Field'!$A:$A,A163))</f>
        <v/>
      </c>
      <c r="N163" s="21" t="str">
        <f aca="false">IF(B163="","",COUNTIF($B:$B,B163))</f>
        <v/>
      </c>
      <c r="O163" s="21" t="str">
        <f aca="false">IF(A163="","",COUNTIF($S:$S,S163)-1)</f>
        <v/>
      </c>
      <c r="P163" s="20"/>
      <c r="Q163" s="20"/>
      <c r="R163" s="20"/>
      <c r="S163" s="18" t="str">
        <f aca="false">IF(A163="","",LOWER(TRIM(D163&amp;"|"&amp;E163&amp;"|"&amp;F163)))</f>
        <v/>
      </c>
      <c r="T163" s="20"/>
      <c r="U163" s="20"/>
      <c r="V163" s="20"/>
      <c r="W163" s="20"/>
      <c r="X163" s="20"/>
    </row>
    <row r="164" customFormat="false" ht="15" hidden="false" customHeight="false" outlineLevel="0" collapsed="false">
      <c r="A164" s="18"/>
      <c r="B164" s="20"/>
      <c r="C164" s="19"/>
      <c r="D164" s="20"/>
      <c r="E164" s="20"/>
      <c r="F164" s="20"/>
      <c r="G164" s="20"/>
      <c r="H164" s="20"/>
      <c r="I164" s="20"/>
      <c r="J164" s="18"/>
      <c r="K164" s="21" t="str">
        <f aca="false">IF(A164="","",IF(I164="",0,LEN(I164)-LEN(SUBSTITUTE(I164,",",""))+1))</f>
        <v/>
      </c>
      <c r="L164" s="21" t="str">
        <f aca="false">IF(A164="","",COUNTIF('Metric to Product'!$A:$A,A164))</f>
        <v/>
      </c>
      <c r="M164" s="21" t="str">
        <f aca="false">IF(A164="","",COUNTIF('Metric to Field'!$A:$A,A164))</f>
        <v/>
      </c>
      <c r="N164" s="21" t="str">
        <f aca="false">IF(B164="","",COUNTIF($B:$B,B164))</f>
        <v/>
      </c>
      <c r="O164" s="21" t="str">
        <f aca="false">IF(A164="","",COUNTIF($S:$S,S164)-1)</f>
        <v/>
      </c>
      <c r="P164" s="20"/>
      <c r="Q164" s="20"/>
      <c r="R164" s="20"/>
      <c r="S164" s="18" t="str">
        <f aca="false">IF(A164="","",LOWER(TRIM(D164&amp;"|"&amp;E164&amp;"|"&amp;F164)))</f>
        <v/>
      </c>
      <c r="T164" s="20"/>
      <c r="U164" s="20"/>
      <c r="V164" s="20"/>
      <c r="W164" s="20"/>
      <c r="X164" s="20"/>
    </row>
    <row r="165" customFormat="false" ht="15" hidden="false" customHeight="false" outlineLevel="0" collapsed="false">
      <c r="A165" s="18"/>
      <c r="B165" s="20"/>
      <c r="C165" s="19"/>
      <c r="D165" s="20"/>
      <c r="E165" s="20"/>
      <c r="F165" s="20"/>
      <c r="G165" s="20"/>
      <c r="H165" s="20"/>
      <c r="I165" s="20"/>
      <c r="J165" s="18"/>
      <c r="K165" s="21" t="str">
        <f aca="false">IF(A165="","",IF(I165="",0,LEN(I165)-LEN(SUBSTITUTE(I165,",",""))+1))</f>
        <v/>
      </c>
      <c r="L165" s="21" t="str">
        <f aca="false">IF(A165="","",COUNTIF('Metric to Product'!$A:$A,A165))</f>
        <v/>
      </c>
      <c r="M165" s="21" t="str">
        <f aca="false">IF(A165="","",COUNTIF('Metric to Field'!$A:$A,A165))</f>
        <v/>
      </c>
      <c r="N165" s="21" t="str">
        <f aca="false">IF(B165="","",COUNTIF($B:$B,B165))</f>
        <v/>
      </c>
      <c r="O165" s="21" t="str">
        <f aca="false">IF(A165="","",COUNTIF($S:$S,S165)-1)</f>
        <v/>
      </c>
      <c r="P165" s="20"/>
      <c r="Q165" s="20"/>
      <c r="R165" s="20"/>
      <c r="S165" s="18" t="str">
        <f aca="false">IF(A165="","",LOWER(TRIM(D165&amp;"|"&amp;E165&amp;"|"&amp;F165)))</f>
        <v/>
      </c>
      <c r="T165" s="20"/>
      <c r="U165" s="20"/>
      <c r="V165" s="20"/>
      <c r="W165" s="20"/>
      <c r="X165" s="20"/>
    </row>
    <row r="166" customFormat="false" ht="15" hidden="false" customHeight="false" outlineLevel="0" collapsed="false">
      <c r="A166" s="18"/>
      <c r="B166" s="20"/>
      <c r="C166" s="19"/>
      <c r="D166" s="20"/>
      <c r="E166" s="20"/>
      <c r="F166" s="20"/>
      <c r="G166" s="20"/>
      <c r="H166" s="20"/>
      <c r="I166" s="20"/>
      <c r="J166" s="18"/>
      <c r="K166" s="21" t="str">
        <f aca="false">IF(A166="","",IF(I166="",0,LEN(I166)-LEN(SUBSTITUTE(I166,",",""))+1))</f>
        <v/>
      </c>
      <c r="L166" s="21" t="str">
        <f aca="false">IF(A166="","",COUNTIF('Metric to Product'!$A:$A,A166))</f>
        <v/>
      </c>
      <c r="M166" s="21" t="str">
        <f aca="false">IF(A166="","",COUNTIF('Metric to Field'!$A:$A,A166))</f>
        <v/>
      </c>
      <c r="N166" s="21" t="str">
        <f aca="false">IF(B166="","",COUNTIF($B:$B,B166))</f>
        <v/>
      </c>
      <c r="O166" s="21" t="str">
        <f aca="false">IF(A166="","",COUNTIF($S:$S,S166)-1)</f>
        <v/>
      </c>
      <c r="P166" s="20"/>
      <c r="Q166" s="20"/>
      <c r="R166" s="20"/>
      <c r="S166" s="18" t="str">
        <f aca="false">IF(A166="","",LOWER(TRIM(D166&amp;"|"&amp;E166&amp;"|"&amp;F166)))</f>
        <v/>
      </c>
      <c r="T166" s="20"/>
      <c r="U166" s="20"/>
      <c r="V166" s="20"/>
      <c r="W166" s="20"/>
      <c r="X166" s="20"/>
    </row>
    <row r="167" customFormat="false" ht="15" hidden="false" customHeight="false" outlineLevel="0" collapsed="false">
      <c r="A167" s="18"/>
      <c r="B167" s="20"/>
      <c r="C167" s="19"/>
      <c r="D167" s="20"/>
      <c r="E167" s="20"/>
      <c r="F167" s="20"/>
      <c r="G167" s="20"/>
      <c r="H167" s="20"/>
      <c r="I167" s="20"/>
      <c r="J167" s="18"/>
      <c r="K167" s="21" t="str">
        <f aca="false">IF(A167="","",IF(I167="",0,LEN(I167)-LEN(SUBSTITUTE(I167,",",""))+1))</f>
        <v/>
      </c>
      <c r="L167" s="21" t="str">
        <f aca="false">IF(A167="","",COUNTIF('Metric to Product'!$A:$A,A167))</f>
        <v/>
      </c>
      <c r="M167" s="21" t="str">
        <f aca="false">IF(A167="","",COUNTIF('Metric to Field'!$A:$A,A167))</f>
        <v/>
      </c>
      <c r="N167" s="21" t="str">
        <f aca="false">IF(B167="","",COUNTIF($B:$B,B167))</f>
        <v/>
      </c>
      <c r="O167" s="21" t="str">
        <f aca="false">IF(A167="","",COUNTIF($S:$S,S167)-1)</f>
        <v/>
      </c>
      <c r="P167" s="20"/>
      <c r="Q167" s="20"/>
      <c r="R167" s="20"/>
      <c r="S167" s="18" t="str">
        <f aca="false">IF(A167="","",LOWER(TRIM(D167&amp;"|"&amp;E167&amp;"|"&amp;F167)))</f>
        <v/>
      </c>
      <c r="T167" s="20"/>
      <c r="U167" s="20"/>
      <c r="V167" s="20"/>
      <c r="W167" s="20"/>
      <c r="X167" s="20"/>
    </row>
    <row r="168" customFormat="false" ht="15" hidden="false" customHeight="false" outlineLevel="0" collapsed="false">
      <c r="A168" s="18"/>
      <c r="B168" s="20"/>
      <c r="C168" s="19"/>
      <c r="D168" s="20"/>
      <c r="E168" s="20"/>
      <c r="F168" s="20"/>
      <c r="G168" s="20"/>
      <c r="H168" s="20"/>
      <c r="I168" s="20"/>
      <c r="J168" s="18"/>
      <c r="K168" s="21" t="str">
        <f aca="false">IF(A168="","",IF(I168="",0,LEN(I168)-LEN(SUBSTITUTE(I168,",",""))+1))</f>
        <v/>
      </c>
      <c r="L168" s="21" t="str">
        <f aca="false">IF(A168="","",COUNTIF('Metric to Product'!$A:$A,A168))</f>
        <v/>
      </c>
      <c r="M168" s="21" t="str">
        <f aca="false">IF(A168="","",COUNTIF('Metric to Field'!$A:$A,A168))</f>
        <v/>
      </c>
      <c r="N168" s="21" t="str">
        <f aca="false">IF(B168="","",COUNTIF($B:$B,B168))</f>
        <v/>
      </c>
      <c r="O168" s="21" t="str">
        <f aca="false">IF(A168="","",COUNTIF($S:$S,S168)-1)</f>
        <v/>
      </c>
      <c r="P168" s="20"/>
      <c r="Q168" s="20"/>
      <c r="R168" s="20"/>
      <c r="S168" s="18" t="str">
        <f aca="false">IF(A168="","",LOWER(TRIM(D168&amp;"|"&amp;E168&amp;"|"&amp;F168)))</f>
        <v/>
      </c>
      <c r="T168" s="20"/>
      <c r="U168" s="20"/>
      <c r="V168" s="20"/>
      <c r="W168" s="20"/>
      <c r="X168" s="20"/>
    </row>
    <row r="169" customFormat="false" ht="15" hidden="false" customHeight="false" outlineLevel="0" collapsed="false">
      <c r="A169" s="18"/>
      <c r="B169" s="20"/>
      <c r="C169" s="19"/>
      <c r="D169" s="20"/>
      <c r="E169" s="20"/>
      <c r="F169" s="20"/>
      <c r="G169" s="20"/>
      <c r="H169" s="20"/>
      <c r="I169" s="20"/>
      <c r="J169" s="18"/>
      <c r="K169" s="21" t="str">
        <f aca="false">IF(A169="","",IF(I169="",0,LEN(I169)-LEN(SUBSTITUTE(I169,",",""))+1))</f>
        <v/>
      </c>
      <c r="L169" s="21" t="str">
        <f aca="false">IF(A169="","",COUNTIF('Metric to Product'!$A:$A,A169))</f>
        <v/>
      </c>
      <c r="M169" s="21" t="str">
        <f aca="false">IF(A169="","",COUNTIF('Metric to Field'!$A:$A,A169))</f>
        <v/>
      </c>
      <c r="N169" s="21" t="str">
        <f aca="false">IF(B169="","",COUNTIF($B:$B,B169))</f>
        <v/>
      </c>
      <c r="O169" s="21" t="str">
        <f aca="false">IF(A169="","",COUNTIF($S:$S,S169)-1)</f>
        <v/>
      </c>
      <c r="P169" s="20"/>
      <c r="Q169" s="20"/>
      <c r="R169" s="20"/>
      <c r="S169" s="18" t="str">
        <f aca="false">IF(A169="","",LOWER(TRIM(D169&amp;"|"&amp;E169&amp;"|"&amp;F169)))</f>
        <v/>
      </c>
      <c r="T169" s="20"/>
      <c r="U169" s="20"/>
      <c r="V169" s="20"/>
      <c r="W169" s="20"/>
      <c r="X169" s="20"/>
    </row>
    <row r="170" customFormat="false" ht="15" hidden="false" customHeight="false" outlineLevel="0" collapsed="false">
      <c r="A170" s="18"/>
      <c r="B170" s="20"/>
      <c r="C170" s="19"/>
      <c r="D170" s="20"/>
      <c r="E170" s="20"/>
      <c r="F170" s="20"/>
      <c r="G170" s="20"/>
      <c r="H170" s="20"/>
      <c r="I170" s="20"/>
      <c r="J170" s="18"/>
      <c r="K170" s="21" t="str">
        <f aca="false">IF(A170="","",IF(I170="",0,LEN(I170)-LEN(SUBSTITUTE(I170,",",""))+1))</f>
        <v/>
      </c>
      <c r="L170" s="21" t="str">
        <f aca="false">IF(A170="","",COUNTIF('Metric to Product'!$A:$A,A170))</f>
        <v/>
      </c>
      <c r="M170" s="21" t="str">
        <f aca="false">IF(A170="","",COUNTIF('Metric to Field'!$A:$A,A170))</f>
        <v/>
      </c>
      <c r="N170" s="21" t="str">
        <f aca="false">IF(B170="","",COUNTIF($B:$B,B170))</f>
        <v/>
      </c>
      <c r="O170" s="21" t="str">
        <f aca="false">IF(A170="","",COUNTIF($S:$S,S170)-1)</f>
        <v/>
      </c>
      <c r="P170" s="20"/>
      <c r="Q170" s="20"/>
      <c r="R170" s="20"/>
      <c r="S170" s="18" t="str">
        <f aca="false">IF(A170="","",LOWER(TRIM(D170&amp;"|"&amp;E170&amp;"|"&amp;F170)))</f>
        <v/>
      </c>
      <c r="T170" s="20"/>
      <c r="U170" s="20"/>
      <c r="V170" s="20"/>
      <c r="W170" s="20"/>
      <c r="X170" s="20"/>
    </row>
    <row r="171" customFormat="false" ht="15" hidden="false" customHeight="false" outlineLevel="0" collapsed="false">
      <c r="A171" s="18"/>
      <c r="B171" s="20"/>
      <c r="C171" s="19"/>
      <c r="D171" s="20"/>
      <c r="E171" s="20"/>
      <c r="F171" s="20"/>
      <c r="G171" s="20"/>
      <c r="H171" s="20"/>
      <c r="I171" s="20"/>
      <c r="J171" s="18"/>
      <c r="K171" s="21" t="str">
        <f aca="false">IF(A171="","",IF(I171="",0,LEN(I171)-LEN(SUBSTITUTE(I171,",",""))+1))</f>
        <v/>
      </c>
      <c r="L171" s="21" t="str">
        <f aca="false">IF(A171="","",COUNTIF('Metric to Product'!$A:$A,A171))</f>
        <v/>
      </c>
      <c r="M171" s="21" t="str">
        <f aca="false">IF(A171="","",COUNTIF('Metric to Field'!$A:$A,A171))</f>
        <v/>
      </c>
      <c r="N171" s="21" t="str">
        <f aca="false">IF(B171="","",COUNTIF($B:$B,B171))</f>
        <v/>
      </c>
      <c r="O171" s="21" t="str">
        <f aca="false">IF(A171="","",COUNTIF($S:$S,S171)-1)</f>
        <v/>
      </c>
      <c r="P171" s="20"/>
      <c r="Q171" s="20"/>
      <c r="R171" s="20"/>
      <c r="S171" s="18" t="str">
        <f aca="false">IF(A171="","",LOWER(TRIM(D171&amp;"|"&amp;E171&amp;"|"&amp;F171)))</f>
        <v/>
      </c>
      <c r="T171" s="20"/>
      <c r="U171" s="20"/>
      <c r="V171" s="20"/>
      <c r="W171" s="20"/>
      <c r="X171" s="20"/>
    </row>
    <row r="172" customFormat="false" ht="15" hidden="false" customHeight="false" outlineLevel="0" collapsed="false">
      <c r="A172" s="18"/>
      <c r="B172" s="20"/>
      <c r="C172" s="19"/>
      <c r="D172" s="20"/>
      <c r="E172" s="20"/>
      <c r="F172" s="20"/>
      <c r="G172" s="20"/>
      <c r="H172" s="20"/>
      <c r="I172" s="20"/>
      <c r="J172" s="18"/>
      <c r="K172" s="21" t="str">
        <f aca="false">IF(A172="","",IF(I172="",0,LEN(I172)-LEN(SUBSTITUTE(I172,",",""))+1))</f>
        <v/>
      </c>
      <c r="L172" s="21" t="str">
        <f aca="false">IF(A172="","",COUNTIF('Metric to Product'!$A:$A,A172))</f>
        <v/>
      </c>
      <c r="M172" s="21" t="str">
        <f aca="false">IF(A172="","",COUNTIF('Metric to Field'!$A:$A,A172))</f>
        <v/>
      </c>
      <c r="N172" s="21" t="str">
        <f aca="false">IF(B172="","",COUNTIF($B:$B,B172))</f>
        <v/>
      </c>
      <c r="O172" s="21" t="str">
        <f aca="false">IF(A172="","",COUNTIF($S:$S,S172)-1)</f>
        <v/>
      </c>
      <c r="P172" s="20"/>
      <c r="Q172" s="20"/>
      <c r="R172" s="20"/>
      <c r="S172" s="18" t="str">
        <f aca="false">IF(A172="","",LOWER(TRIM(D172&amp;"|"&amp;E172&amp;"|"&amp;F172)))</f>
        <v/>
      </c>
      <c r="T172" s="20"/>
      <c r="U172" s="20"/>
      <c r="V172" s="20"/>
      <c r="W172" s="20"/>
      <c r="X172" s="20"/>
    </row>
    <row r="173" customFormat="false" ht="15" hidden="false" customHeight="false" outlineLevel="0" collapsed="false">
      <c r="A173" s="18"/>
      <c r="B173" s="20"/>
      <c r="C173" s="19"/>
      <c r="D173" s="20"/>
      <c r="E173" s="20"/>
      <c r="F173" s="20"/>
      <c r="G173" s="20"/>
      <c r="H173" s="20"/>
      <c r="I173" s="20"/>
      <c r="J173" s="18"/>
      <c r="K173" s="21" t="str">
        <f aca="false">IF(A173="","",IF(I173="",0,LEN(I173)-LEN(SUBSTITUTE(I173,",",""))+1))</f>
        <v/>
      </c>
      <c r="L173" s="21" t="str">
        <f aca="false">IF(A173="","",COUNTIF('Metric to Product'!$A:$A,A173))</f>
        <v/>
      </c>
      <c r="M173" s="21" t="str">
        <f aca="false">IF(A173="","",COUNTIF('Metric to Field'!$A:$A,A173))</f>
        <v/>
      </c>
      <c r="N173" s="21" t="str">
        <f aca="false">IF(B173="","",COUNTIF($B:$B,B173))</f>
        <v/>
      </c>
      <c r="O173" s="21" t="str">
        <f aca="false">IF(A173="","",COUNTIF($S:$S,S173)-1)</f>
        <v/>
      </c>
      <c r="P173" s="20"/>
      <c r="Q173" s="20"/>
      <c r="R173" s="20"/>
      <c r="S173" s="18" t="str">
        <f aca="false">IF(A173="","",LOWER(TRIM(D173&amp;"|"&amp;E173&amp;"|"&amp;F173)))</f>
        <v/>
      </c>
      <c r="T173" s="20"/>
      <c r="U173" s="20"/>
      <c r="V173" s="20"/>
      <c r="W173" s="20"/>
      <c r="X173" s="20"/>
    </row>
    <row r="174" customFormat="false" ht="15" hidden="false" customHeight="false" outlineLevel="0" collapsed="false">
      <c r="A174" s="18"/>
      <c r="B174" s="20"/>
      <c r="C174" s="19"/>
      <c r="D174" s="20"/>
      <c r="E174" s="20"/>
      <c r="F174" s="20"/>
      <c r="G174" s="20"/>
      <c r="H174" s="20"/>
      <c r="I174" s="20"/>
      <c r="J174" s="18"/>
      <c r="K174" s="21" t="str">
        <f aca="false">IF(A174="","",IF(I174="",0,LEN(I174)-LEN(SUBSTITUTE(I174,",",""))+1))</f>
        <v/>
      </c>
      <c r="L174" s="21" t="str">
        <f aca="false">IF(A174="","",COUNTIF('Metric to Product'!$A:$A,A174))</f>
        <v/>
      </c>
      <c r="M174" s="21" t="str">
        <f aca="false">IF(A174="","",COUNTIF('Metric to Field'!$A:$A,A174))</f>
        <v/>
      </c>
      <c r="N174" s="21" t="str">
        <f aca="false">IF(B174="","",COUNTIF($B:$B,B174))</f>
        <v/>
      </c>
      <c r="O174" s="21" t="str">
        <f aca="false">IF(A174="","",COUNTIF($S:$S,S174)-1)</f>
        <v/>
      </c>
      <c r="P174" s="20"/>
      <c r="Q174" s="20"/>
      <c r="R174" s="20"/>
      <c r="S174" s="18" t="str">
        <f aca="false">IF(A174="","",LOWER(TRIM(D174&amp;"|"&amp;E174&amp;"|"&amp;F174)))</f>
        <v/>
      </c>
      <c r="T174" s="20"/>
      <c r="U174" s="20"/>
      <c r="V174" s="20"/>
      <c r="W174" s="20"/>
      <c r="X174" s="20"/>
    </row>
    <row r="175" customFormat="false" ht="15" hidden="false" customHeight="false" outlineLevel="0" collapsed="false">
      <c r="A175" s="18"/>
      <c r="B175" s="20"/>
      <c r="C175" s="19"/>
      <c r="D175" s="20"/>
      <c r="E175" s="20"/>
      <c r="F175" s="20"/>
      <c r="G175" s="20"/>
      <c r="H175" s="20"/>
      <c r="I175" s="20"/>
      <c r="J175" s="18"/>
      <c r="K175" s="21" t="str">
        <f aca="false">IF(A175="","",IF(I175="",0,LEN(I175)-LEN(SUBSTITUTE(I175,",",""))+1))</f>
        <v/>
      </c>
      <c r="L175" s="21" t="str">
        <f aca="false">IF(A175="","",COUNTIF('Metric to Product'!$A:$A,A175))</f>
        <v/>
      </c>
      <c r="M175" s="21" t="str">
        <f aca="false">IF(A175="","",COUNTIF('Metric to Field'!$A:$A,A175))</f>
        <v/>
      </c>
      <c r="N175" s="21" t="str">
        <f aca="false">IF(B175="","",COUNTIF($B:$B,B175))</f>
        <v/>
      </c>
      <c r="O175" s="21" t="str">
        <f aca="false">IF(A175="","",COUNTIF($S:$S,S175)-1)</f>
        <v/>
      </c>
      <c r="P175" s="20"/>
      <c r="Q175" s="20"/>
      <c r="R175" s="20"/>
      <c r="S175" s="18" t="str">
        <f aca="false">IF(A175="","",LOWER(TRIM(D175&amp;"|"&amp;E175&amp;"|"&amp;F175)))</f>
        <v/>
      </c>
      <c r="T175" s="20"/>
      <c r="U175" s="20"/>
      <c r="V175" s="20"/>
      <c r="W175" s="20"/>
      <c r="X175" s="20"/>
    </row>
    <row r="176" customFormat="false" ht="15" hidden="false" customHeight="false" outlineLevel="0" collapsed="false">
      <c r="A176" s="18"/>
      <c r="B176" s="20"/>
      <c r="C176" s="19"/>
      <c r="D176" s="20"/>
      <c r="E176" s="20"/>
      <c r="F176" s="20"/>
      <c r="G176" s="20"/>
      <c r="H176" s="20"/>
      <c r="I176" s="20"/>
      <c r="J176" s="18"/>
      <c r="K176" s="21" t="str">
        <f aca="false">IF(A176="","",IF(I176="",0,LEN(I176)-LEN(SUBSTITUTE(I176,",",""))+1))</f>
        <v/>
      </c>
      <c r="L176" s="21" t="str">
        <f aca="false">IF(A176="","",COUNTIF('Metric to Product'!$A:$A,A176))</f>
        <v/>
      </c>
      <c r="M176" s="21" t="str">
        <f aca="false">IF(A176="","",COUNTIF('Metric to Field'!$A:$A,A176))</f>
        <v/>
      </c>
      <c r="N176" s="21" t="str">
        <f aca="false">IF(B176="","",COUNTIF($B:$B,B176))</f>
        <v/>
      </c>
      <c r="O176" s="21" t="str">
        <f aca="false">IF(A176="","",COUNTIF($S:$S,S176)-1)</f>
        <v/>
      </c>
      <c r="P176" s="20"/>
      <c r="Q176" s="20"/>
      <c r="R176" s="20"/>
      <c r="S176" s="18" t="str">
        <f aca="false">IF(A176="","",LOWER(TRIM(D176&amp;"|"&amp;E176&amp;"|"&amp;F176)))</f>
        <v/>
      </c>
      <c r="T176" s="20"/>
      <c r="U176" s="20"/>
      <c r="V176" s="20"/>
      <c r="W176" s="20"/>
      <c r="X176" s="20"/>
    </row>
    <row r="177" customFormat="false" ht="15" hidden="false" customHeight="false" outlineLevel="0" collapsed="false">
      <c r="A177" s="18"/>
      <c r="B177" s="20"/>
      <c r="C177" s="19"/>
      <c r="D177" s="20"/>
      <c r="E177" s="20"/>
      <c r="F177" s="20"/>
      <c r="G177" s="20"/>
      <c r="H177" s="20"/>
      <c r="I177" s="20"/>
      <c r="J177" s="18"/>
      <c r="K177" s="21" t="str">
        <f aca="false">IF(A177="","",IF(I177="",0,LEN(I177)-LEN(SUBSTITUTE(I177,",",""))+1))</f>
        <v/>
      </c>
      <c r="L177" s="21" t="str">
        <f aca="false">IF(A177="","",COUNTIF('Metric to Product'!$A:$A,A177))</f>
        <v/>
      </c>
      <c r="M177" s="21" t="str">
        <f aca="false">IF(A177="","",COUNTIF('Metric to Field'!$A:$A,A177))</f>
        <v/>
      </c>
      <c r="N177" s="21" t="str">
        <f aca="false">IF(B177="","",COUNTIF($B:$B,B177))</f>
        <v/>
      </c>
      <c r="O177" s="21" t="str">
        <f aca="false">IF(A177="","",COUNTIF($S:$S,S177)-1)</f>
        <v/>
      </c>
      <c r="P177" s="20"/>
      <c r="Q177" s="20"/>
      <c r="R177" s="20"/>
      <c r="S177" s="18" t="str">
        <f aca="false">IF(A177="","",LOWER(TRIM(D177&amp;"|"&amp;E177&amp;"|"&amp;F177)))</f>
        <v/>
      </c>
      <c r="T177" s="20"/>
      <c r="U177" s="20"/>
      <c r="V177" s="20"/>
      <c r="W177" s="20"/>
      <c r="X177" s="20"/>
    </row>
    <row r="178" customFormat="false" ht="15" hidden="false" customHeight="false" outlineLevel="0" collapsed="false">
      <c r="A178" s="18"/>
      <c r="B178" s="20"/>
      <c r="C178" s="19"/>
      <c r="D178" s="20"/>
      <c r="E178" s="20"/>
      <c r="F178" s="20"/>
      <c r="G178" s="20"/>
      <c r="H178" s="20"/>
      <c r="I178" s="20"/>
      <c r="J178" s="18"/>
      <c r="K178" s="21" t="str">
        <f aca="false">IF(A178="","",IF(I178="",0,LEN(I178)-LEN(SUBSTITUTE(I178,",",""))+1))</f>
        <v/>
      </c>
      <c r="L178" s="21" t="str">
        <f aca="false">IF(A178="","",COUNTIF('Metric to Product'!$A:$A,A178))</f>
        <v/>
      </c>
      <c r="M178" s="21" t="str">
        <f aca="false">IF(A178="","",COUNTIF('Metric to Field'!$A:$A,A178))</f>
        <v/>
      </c>
      <c r="N178" s="21" t="str">
        <f aca="false">IF(B178="","",COUNTIF($B:$B,B178))</f>
        <v/>
      </c>
      <c r="O178" s="21" t="str">
        <f aca="false">IF(A178="","",COUNTIF($S:$S,S178)-1)</f>
        <v/>
      </c>
      <c r="P178" s="20"/>
      <c r="Q178" s="20"/>
      <c r="R178" s="20"/>
      <c r="S178" s="18" t="str">
        <f aca="false">IF(A178="","",LOWER(TRIM(D178&amp;"|"&amp;E178&amp;"|"&amp;F178)))</f>
        <v/>
      </c>
      <c r="T178" s="20"/>
      <c r="U178" s="20"/>
      <c r="V178" s="20"/>
      <c r="W178" s="20"/>
      <c r="X178" s="20"/>
    </row>
    <row r="179" customFormat="false" ht="15" hidden="false" customHeight="false" outlineLevel="0" collapsed="false">
      <c r="A179" s="18"/>
      <c r="B179" s="20"/>
      <c r="C179" s="19"/>
      <c r="D179" s="20"/>
      <c r="E179" s="20"/>
      <c r="F179" s="20"/>
      <c r="G179" s="20"/>
      <c r="H179" s="20"/>
      <c r="I179" s="20"/>
      <c r="J179" s="18"/>
      <c r="K179" s="21" t="str">
        <f aca="false">IF(A179="","",IF(I179="",0,LEN(I179)-LEN(SUBSTITUTE(I179,",",""))+1))</f>
        <v/>
      </c>
      <c r="L179" s="21" t="str">
        <f aca="false">IF(A179="","",COUNTIF('Metric to Product'!$A:$A,A179))</f>
        <v/>
      </c>
      <c r="M179" s="21" t="str">
        <f aca="false">IF(A179="","",COUNTIF('Metric to Field'!$A:$A,A179))</f>
        <v/>
      </c>
      <c r="N179" s="21" t="str">
        <f aca="false">IF(B179="","",COUNTIF($B:$B,B179))</f>
        <v/>
      </c>
      <c r="O179" s="21" t="str">
        <f aca="false">IF(A179="","",COUNTIF($S:$S,S179)-1)</f>
        <v/>
      </c>
      <c r="P179" s="20"/>
      <c r="Q179" s="20"/>
      <c r="R179" s="20"/>
      <c r="S179" s="18" t="str">
        <f aca="false">IF(A179="","",LOWER(TRIM(D179&amp;"|"&amp;E179&amp;"|"&amp;F179)))</f>
        <v/>
      </c>
      <c r="T179" s="20"/>
      <c r="U179" s="20"/>
      <c r="V179" s="20"/>
      <c r="W179" s="20"/>
      <c r="X179" s="20"/>
    </row>
    <row r="180" customFormat="false" ht="15" hidden="false" customHeight="false" outlineLevel="0" collapsed="false">
      <c r="A180" s="18"/>
      <c r="B180" s="20"/>
      <c r="C180" s="19"/>
      <c r="D180" s="20"/>
      <c r="E180" s="20"/>
      <c r="F180" s="20"/>
      <c r="G180" s="20"/>
      <c r="H180" s="20"/>
      <c r="I180" s="20"/>
      <c r="J180" s="18"/>
      <c r="K180" s="21" t="str">
        <f aca="false">IF(A180="","",IF(I180="",0,LEN(I180)-LEN(SUBSTITUTE(I180,",",""))+1))</f>
        <v/>
      </c>
      <c r="L180" s="21" t="str">
        <f aca="false">IF(A180="","",COUNTIF('Metric to Product'!$A:$A,A180))</f>
        <v/>
      </c>
      <c r="M180" s="21" t="str">
        <f aca="false">IF(A180="","",COUNTIF('Metric to Field'!$A:$A,A180))</f>
        <v/>
      </c>
      <c r="N180" s="21" t="str">
        <f aca="false">IF(B180="","",COUNTIF($B:$B,B180))</f>
        <v/>
      </c>
      <c r="O180" s="21" t="str">
        <f aca="false">IF(A180="","",COUNTIF($S:$S,S180)-1)</f>
        <v/>
      </c>
      <c r="P180" s="20"/>
      <c r="Q180" s="20"/>
      <c r="R180" s="20"/>
      <c r="S180" s="18" t="str">
        <f aca="false">IF(A180="","",LOWER(TRIM(D180&amp;"|"&amp;E180&amp;"|"&amp;F180)))</f>
        <v/>
      </c>
      <c r="T180" s="20"/>
      <c r="U180" s="20"/>
      <c r="V180" s="20"/>
      <c r="W180" s="20"/>
      <c r="X180" s="20"/>
    </row>
    <row r="181" customFormat="false" ht="15" hidden="false" customHeight="false" outlineLevel="0" collapsed="false">
      <c r="A181" s="18"/>
      <c r="B181" s="20"/>
      <c r="C181" s="19"/>
      <c r="D181" s="20"/>
      <c r="E181" s="20"/>
      <c r="F181" s="20"/>
      <c r="G181" s="20"/>
      <c r="H181" s="20"/>
      <c r="I181" s="20"/>
      <c r="J181" s="18"/>
      <c r="K181" s="21" t="str">
        <f aca="false">IF(A181="","",IF(I181="",0,LEN(I181)-LEN(SUBSTITUTE(I181,",",""))+1))</f>
        <v/>
      </c>
      <c r="L181" s="21" t="str">
        <f aca="false">IF(A181="","",COUNTIF('Metric to Product'!$A:$A,A181))</f>
        <v/>
      </c>
      <c r="M181" s="21" t="str">
        <f aca="false">IF(A181="","",COUNTIF('Metric to Field'!$A:$A,A181))</f>
        <v/>
      </c>
      <c r="N181" s="21" t="str">
        <f aca="false">IF(B181="","",COUNTIF($B:$B,B181))</f>
        <v/>
      </c>
      <c r="O181" s="21" t="str">
        <f aca="false">IF(A181="","",COUNTIF($S:$S,S181)-1)</f>
        <v/>
      </c>
      <c r="P181" s="20"/>
      <c r="Q181" s="20"/>
      <c r="R181" s="20"/>
      <c r="S181" s="18" t="str">
        <f aca="false">IF(A181="","",LOWER(TRIM(D181&amp;"|"&amp;E181&amp;"|"&amp;F181)))</f>
        <v/>
      </c>
      <c r="T181" s="20"/>
      <c r="U181" s="20"/>
      <c r="V181" s="20"/>
      <c r="W181" s="20"/>
      <c r="X181" s="20"/>
    </row>
    <row r="182" customFormat="false" ht="15" hidden="false" customHeight="false" outlineLevel="0" collapsed="false">
      <c r="A182" s="18"/>
      <c r="B182" s="20"/>
      <c r="C182" s="19"/>
      <c r="D182" s="20"/>
      <c r="E182" s="20"/>
      <c r="F182" s="20"/>
      <c r="G182" s="20"/>
      <c r="H182" s="20"/>
      <c r="I182" s="20"/>
      <c r="J182" s="18"/>
      <c r="K182" s="21" t="str">
        <f aca="false">IF(A182="","",IF(I182="",0,LEN(I182)-LEN(SUBSTITUTE(I182,",",""))+1))</f>
        <v/>
      </c>
      <c r="L182" s="21" t="str">
        <f aca="false">IF(A182="","",COUNTIF('Metric to Product'!$A:$A,A182))</f>
        <v/>
      </c>
      <c r="M182" s="21" t="str">
        <f aca="false">IF(A182="","",COUNTIF('Metric to Field'!$A:$A,A182))</f>
        <v/>
      </c>
      <c r="N182" s="21" t="str">
        <f aca="false">IF(B182="","",COUNTIF($B:$B,B182))</f>
        <v/>
      </c>
      <c r="O182" s="21" t="str">
        <f aca="false">IF(A182="","",COUNTIF($S:$S,S182)-1)</f>
        <v/>
      </c>
      <c r="P182" s="20"/>
      <c r="Q182" s="20"/>
      <c r="R182" s="20"/>
      <c r="S182" s="18" t="str">
        <f aca="false">IF(A182="","",LOWER(TRIM(D182&amp;"|"&amp;E182&amp;"|"&amp;F182)))</f>
        <v/>
      </c>
      <c r="T182" s="20"/>
      <c r="U182" s="20"/>
      <c r="V182" s="20"/>
      <c r="W182" s="20"/>
      <c r="X182" s="20"/>
    </row>
    <row r="183" customFormat="false" ht="15" hidden="false" customHeight="false" outlineLevel="0" collapsed="false">
      <c r="A183" s="18"/>
      <c r="B183" s="20"/>
      <c r="C183" s="19"/>
      <c r="D183" s="20"/>
      <c r="E183" s="20"/>
      <c r="F183" s="20"/>
      <c r="G183" s="20"/>
      <c r="H183" s="20"/>
      <c r="I183" s="20"/>
      <c r="J183" s="18"/>
      <c r="K183" s="21" t="str">
        <f aca="false">IF(A183="","",IF(I183="",0,LEN(I183)-LEN(SUBSTITUTE(I183,",",""))+1))</f>
        <v/>
      </c>
      <c r="L183" s="21" t="str">
        <f aca="false">IF(A183="","",COUNTIF('Metric to Product'!$A:$A,A183))</f>
        <v/>
      </c>
      <c r="M183" s="21" t="str">
        <f aca="false">IF(A183="","",COUNTIF('Metric to Field'!$A:$A,A183))</f>
        <v/>
      </c>
      <c r="N183" s="21" t="str">
        <f aca="false">IF(B183="","",COUNTIF($B:$B,B183))</f>
        <v/>
      </c>
      <c r="O183" s="21" t="str">
        <f aca="false">IF(A183="","",COUNTIF($S:$S,S183)-1)</f>
        <v/>
      </c>
      <c r="P183" s="20"/>
      <c r="Q183" s="20"/>
      <c r="R183" s="20"/>
      <c r="S183" s="18" t="str">
        <f aca="false">IF(A183="","",LOWER(TRIM(D183&amp;"|"&amp;E183&amp;"|"&amp;F183)))</f>
        <v/>
      </c>
      <c r="T183" s="20"/>
      <c r="U183" s="20"/>
      <c r="V183" s="20"/>
      <c r="W183" s="20"/>
      <c r="X183" s="20"/>
    </row>
    <row r="184" customFormat="false" ht="15" hidden="false" customHeight="false" outlineLevel="0" collapsed="false">
      <c r="A184" s="18"/>
      <c r="B184" s="20"/>
      <c r="C184" s="19"/>
      <c r="D184" s="20"/>
      <c r="E184" s="20"/>
      <c r="F184" s="20"/>
      <c r="G184" s="20"/>
      <c r="H184" s="20"/>
      <c r="I184" s="20"/>
      <c r="J184" s="18"/>
      <c r="K184" s="21" t="str">
        <f aca="false">IF(A184="","",IF(I184="",0,LEN(I184)-LEN(SUBSTITUTE(I184,",",""))+1))</f>
        <v/>
      </c>
      <c r="L184" s="21" t="str">
        <f aca="false">IF(A184="","",COUNTIF('Metric to Product'!$A:$A,A184))</f>
        <v/>
      </c>
      <c r="M184" s="21" t="str">
        <f aca="false">IF(A184="","",COUNTIF('Metric to Field'!$A:$A,A184))</f>
        <v/>
      </c>
      <c r="N184" s="21" t="str">
        <f aca="false">IF(B184="","",COUNTIF($B:$B,B184))</f>
        <v/>
      </c>
      <c r="O184" s="21" t="str">
        <f aca="false">IF(A184="","",COUNTIF($S:$S,S184)-1)</f>
        <v/>
      </c>
      <c r="P184" s="20"/>
      <c r="Q184" s="20"/>
      <c r="R184" s="20"/>
      <c r="S184" s="18" t="str">
        <f aca="false">IF(A184="","",LOWER(TRIM(D184&amp;"|"&amp;E184&amp;"|"&amp;F184)))</f>
        <v/>
      </c>
      <c r="T184" s="20"/>
      <c r="U184" s="20"/>
      <c r="V184" s="20"/>
      <c r="W184" s="20"/>
      <c r="X184" s="20"/>
    </row>
    <row r="185" customFormat="false" ht="15" hidden="false" customHeight="false" outlineLevel="0" collapsed="false">
      <c r="A185" s="18"/>
      <c r="B185" s="20"/>
      <c r="C185" s="19"/>
      <c r="D185" s="20"/>
      <c r="E185" s="20"/>
      <c r="F185" s="20"/>
      <c r="G185" s="20"/>
      <c r="H185" s="20"/>
      <c r="I185" s="20"/>
      <c r="J185" s="18"/>
      <c r="K185" s="21" t="str">
        <f aca="false">IF(A185="","",IF(I185="",0,LEN(I185)-LEN(SUBSTITUTE(I185,",",""))+1))</f>
        <v/>
      </c>
      <c r="L185" s="21" t="str">
        <f aca="false">IF(A185="","",COUNTIF('Metric to Product'!$A:$A,A185))</f>
        <v/>
      </c>
      <c r="M185" s="21" t="str">
        <f aca="false">IF(A185="","",COUNTIF('Metric to Field'!$A:$A,A185))</f>
        <v/>
      </c>
      <c r="N185" s="21" t="str">
        <f aca="false">IF(B185="","",COUNTIF($B:$B,B185))</f>
        <v/>
      </c>
      <c r="O185" s="21" t="str">
        <f aca="false">IF(A185="","",COUNTIF($S:$S,S185)-1)</f>
        <v/>
      </c>
      <c r="P185" s="20"/>
      <c r="Q185" s="20"/>
      <c r="R185" s="20"/>
      <c r="S185" s="18" t="str">
        <f aca="false">IF(A185="","",LOWER(TRIM(D185&amp;"|"&amp;E185&amp;"|"&amp;F185)))</f>
        <v/>
      </c>
      <c r="T185" s="20"/>
      <c r="U185" s="20"/>
      <c r="V185" s="20"/>
      <c r="W185" s="20"/>
      <c r="X185" s="20"/>
    </row>
    <row r="186" customFormat="false" ht="15" hidden="false" customHeight="false" outlineLevel="0" collapsed="false">
      <c r="A186" s="18"/>
      <c r="B186" s="20"/>
      <c r="C186" s="19"/>
      <c r="D186" s="20"/>
      <c r="E186" s="20"/>
      <c r="F186" s="20"/>
      <c r="G186" s="20"/>
      <c r="H186" s="20"/>
      <c r="I186" s="20"/>
      <c r="J186" s="18"/>
      <c r="K186" s="21" t="str">
        <f aca="false">IF(A186="","",IF(I186="",0,LEN(I186)-LEN(SUBSTITUTE(I186,",",""))+1))</f>
        <v/>
      </c>
      <c r="L186" s="21" t="str">
        <f aca="false">IF(A186="","",COUNTIF('Metric to Product'!$A:$A,A186))</f>
        <v/>
      </c>
      <c r="M186" s="21" t="str">
        <f aca="false">IF(A186="","",COUNTIF('Metric to Field'!$A:$A,A186))</f>
        <v/>
      </c>
      <c r="N186" s="21" t="str">
        <f aca="false">IF(B186="","",COUNTIF($B:$B,B186))</f>
        <v/>
      </c>
      <c r="O186" s="21" t="str">
        <f aca="false">IF(A186="","",COUNTIF($S:$S,S186)-1)</f>
        <v/>
      </c>
      <c r="P186" s="20"/>
      <c r="Q186" s="20"/>
      <c r="R186" s="20"/>
      <c r="S186" s="18" t="str">
        <f aca="false">IF(A186="","",LOWER(TRIM(D186&amp;"|"&amp;E186&amp;"|"&amp;F186)))</f>
        <v/>
      </c>
      <c r="T186" s="20"/>
      <c r="U186" s="20"/>
      <c r="V186" s="20"/>
      <c r="W186" s="20"/>
      <c r="X186" s="20"/>
    </row>
    <row r="187" customFormat="false" ht="15" hidden="false" customHeight="false" outlineLevel="0" collapsed="false">
      <c r="A187" s="18"/>
      <c r="B187" s="20"/>
      <c r="C187" s="19"/>
      <c r="D187" s="20"/>
      <c r="E187" s="20"/>
      <c r="F187" s="20"/>
      <c r="G187" s="20"/>
      <c r="H187" s="20"/>
      <c r="I187" s="20"/>
      <c r="J187" s="18"/>
      <c r="K187" s="21" t="str">
        <f aca="false">IF(A187="","",IF(I187="",0,LEN(I187)-LEN(SUBSTITUTE(I187,",",""))+1))</f>
        <v/>
      </c>
      <c r="L187" s="21" t="str">
        <f aca="false">IF(A187="","",COUNTIF('Metric to Product'!$A:$A,A187))</f>
        <v/>
      </c>
      <c r="M187" s="21" t="str">
        <f aca="false">IF(A187="","",COUNTIF('Metric to Field'!$A:$A,A187))</f>
        <v/>
      </c>
      <c r="N187" s="21" t="str">
        <f aca="false">IF(B187="","",COUNTIF($B:$B,B187))</f>
        <v/>
      </c>
      <c r="O187" s="21" t="str">
        <f aca="false">IF(A187="","",COUNTIF($S:$S,S187)-1)</f>
        <v/>
      </c>
      <c r="P187" s="20"/>
      <c r="Q187" s="20"/>
      <c r="R187" s="20"/>
      <c r="S187" s="18" t="str">
        <f aca="false">IF(A187="","",LOWER(TRIM(D187&amp;"|"&amp;E187&amp;"|"&amp;F187)))</f>
        <v/>
      </c>
      <c r="T187" s="20"/>
      <c r="U187" s="20"/>
      <c r="V187" s="20"/>
      <c r="W187" s="20"/>
      <c r="X187" s="20"/>
    </row>
    <row r="188" customFormat="false" ht="15" hidden="false" customHeight="false" outlineLevel="0" collapsed="false">
      <c r="A188" s="18"/>
      <c r="B188" s="20"/>
      <c r="C188" s="19"/>
      <c r="D188" s="20"/>
      <c r="E188" s="20"/>
      <c r="F188" s="20"/>
      <c r="G188" s="20"/>
      <c r="H188" s="20"/>
      <c r="I188" s="20"/>
      <c r="J188" s="18"/>
      <c r="K188" s="21" t="str">
        <f aca="false">IF(A188="","",IF(I188="",0,LEN(I188)-LEN(SUBSTITUTE(I188,",",""))+1))</f>
        <v/>
      </c>
      <c r="L188" s="21" t="str">
        <f aca="false">IF(A188="","",COUNTIF('Metric to Product'!$A:$A,A188))</f>
        <v/>
      </c>
      <c r="M188" s="21" t="str">
        <f aca="false">IF(A188="","",COUNTIF('Metric to Field'!$A:$A,A188))</f>
        <v/>
      </c>
      <c r="N188" s="21" t="str">
        <f aca="false">IF(B188="","",COUNTIF($B:$B,B188))</f>
        <v/>
      </c>
      <c r="O188" s="21" t="str">
        <f aca="false">IF(A188="","",COUNTIF($S:$S,S188)-1)</f>
        <v/>
      </c>
      <c r="P188" s="20"/>
      <c r="Q188" s="20"/>
      <c r="R188" s="20"/>
      <c r="S188" s="18" t="str">
        <f aca="false">IF(A188="","",LOWER(TRIM(D188&amp;"|"&amp;E188&amp;"|"&amp;F188)))</f>
        <v/>
      </c>
      <c r="T188" s="20"/>
      <c r="U188" s="20"/>
      <c r="V188" s="20"/>
      <c r="W188" s="20"/>
      <c r="X188" s="20"/>
    </row>
    <row r="189" customFormat="false" ht="15" hidden="false" customHeight="false" outlineLevel="0" collapsed="false">
      <c r="A189" s="18"/>
      <c r="B189" s="20"/>
      <c r="C189" s="19"/>
      <c r="D189" s="20"/>
      <c r="E189" s="20"/>
      <c r="F189" s="20"/>
      <c r="G189" s="20"/>
      <c r="H189" s="20"/>
      <c r="I189" s="20"/>
      <c r="J189" s="18"/>
      <c r="K189" s="21" t="str">
        <f aca="false">IF(A189="","",IF(I189="",0,LEN(I189)-LEN(SUBSTITUTE(I189,",",""))+1))</f>
        <v/>
      </c>
      <c r="L189" s="21" t="str">
        <f aca="false">IF(A189="","",COUNTIF('Metric to Product'!$A:$A,A189))</f>
        <v/>
      </c>
      <c r="M189" s="21" t="str">
        <f aca="false">IF(A189="","",COUNTIF('Metric to Field'!$A:$A,A189))</f>
        <v/>
      </c>
      <c r="N189" s="21" t="str">
        <f aca="false">IF(B189="","",COUNTIF($B:$B,B189))</f>
        <v/>
      </c>
      <c r="O189" s="21" t="str">
        <f aca="false">IF(A189="","",COUNTIF($S:$S,S189)-1)</f>
        <v/>
      </c>
      <c r="P189" s="20"/>
      <c r="Q189" s="20"/>
      <c r="R189" s="20"/>
      <c r="S189" s="18" t="str">
        <f aca="false">IF(A189="","",LOWER(TRIM(D189&amp;"|"&amp;E189&amp;"|"&amp;F189)))</f>
        <v/>
      </c>
      <c r="T189" s="20"/>
      <c r="U189" s="20"/>
      <c r="V189" s="20"/>
      <c r="W189" s="20"/>
      <c r="X189" s="20"/>
    </row>
    <row r="190" customFormat="false" ht="15" hidden="false" customHeight="false" outlineLevel="0" collapsed="false">
      <c r="A190" s="18"/>
      <c r="B190" s="20"/>
      <c r="C190" s="19"/>
      <c r="D190" s="20"/>
      <c r="E190" s="20"/>
      <c r="F190" s="20"/>
      <c r="G190" s="20"/>
      <c r="H190" s="20"/>
      <c r="I190" s="20"/>
      <c r="J190" s="18"/>
      <c r="K190" s="21" t="str">
        <f aca="false">IF(A190="","",IF(I190="",0,LEN(I190)-LEN(SUBSTITUTE(I190,",",""))+1))</f>
        <v/>
      </c>
      <c r="L190" s="21" t="str">
        <f aca="false">IF(A190="","",COUNTIF('Metric to Product'!$A:$A,A190))</f>
        <v/>
      </c>
      <c r="M190" s="21" t="str">
        <f aca="false">IF(A190="","",COUNTIF('Metric to Field'!$A:$A,A190))</f>
        <v/>
      </c>
      <c r="N190" s="21" t="str">
        <f aca="false">IF(B190="","",COUNTIF($B:$B,B190))</f>
        <v/>
      </c>
      <c r="O190" s="21" t="str">
        <f aca="false">IF(A190="","",COUNTIF($S:$S,S190)-1)</f>
        <v/>
      </c>
      <c r="P190" s="20"/>
      <c r="Q190" s="20"/>
      <c r="R190" s="20"/>
      <c r="S190" s="18" t="str">
        <f aca="false">IF(A190="","",LOWER(TRIM(D190&amp;"|"&amp;E190&amp;"|"&amp;F190)))</f>
        <v/>
      </c>
      <c r="T190" s="20"/>
      <c r="U190" s="20"/>
      <c r="V190" s="20"/>
      <c r="W190" s="20"/>
      <c r="X190" s="20"/>
    </row>
    <row r="191" customFormat="false" ht="15" hidden="false" customHeight="false" outlineLevel="0" collapsed="false">
      <c r="A191" s="18"/>
      <c r="B191" s="20"/>
      <c r="C191" s="19"/>
      <c r="D191" s="20"/>
      <c r="E191" s="20"/>
      <c r="F191" s="20"/>
      <c r="G191" s="20"/>
      <c r="H191" s="20"/>
      <c r="I191" s="20"/>
      <c r="J191" s="18"/>
      <c r="K191" s="21" t="str">
        <f aca="false">IF(A191="","",IF(I191="",0,LEN(I191)-LEN(SUBSTITUTE(I191,",",""))+1))</f>
        <v/>
      </c>
      <c r="L191" s="21" t="str">
        <f aca="false">IF(A191="","",COUNTIF('Metric to Product'!$A:$A,A191))</f>
        <v/>
      </c>
      <c r="M191" s="21" t="str">
        <f aca="false">IF(A191="","",COUNTIF('Metric to Field'!$A:$A,A191))</f>
        <v/>
      </c>
      <c r="N191" s="21" t="str">
        <f aca="false">IF(B191="","",COUNTIF($B:$B,B191))</f>
        <v/>
      </c>
      <c r="O191" s="21" t="str">
        <f aca="false">IF(A191="","",COUNTIF($S:$S,S191)-1)</f>
        <v/>
      </c>
      <c r="P191" s="20"/>
      <c r="Q191" s="20"/>
      <c r="R191" s="20"/>
      <c r="S191" s="18" t="str">
        <f aca="false">IF(A191="","",LOWER(TRIM(D191&amp;"|"&amp;E191&amp;"|"&amp;F191)))</f>
        <v/>
      </c>
      <c r="T191" s="20"/>
      <c r="U191" s="20"/>
      <c r="V191" s="20"/>
      <c r="W191" s="20"/>
      <c r="X191" s="20"/>
    </row>
    <row r="192" customFormat="false" ht="15" hidden="false" customHeight="false" outlineLevel="0" collapsed="false">
      <c r="A192" s="18"/>
      <c r="B192" s="20"/>
      <c r="C192" s="19"/>
      <c r="D192" s="20"/>
      <c r="E192" s="20"/>
      <c r="F192" s="20"/>
      <c r="G192" s="20"/>
      <c r="H192" s="20"/>
      <c r="I192" s="20"/>
      <c r="J192" s="18"/>
      <c r="K192" s="21" t="str">
        <f aca="false">IF(A192="","",IF(I192="",0,LEN(I192)-LEN(SUBSTITUTE(I192,",",""))+1))</f>
        <v/>
      </c>
      <c r="L192" s="21" t="str">
        <f aca="false">IF(A192="","",COUNTIF('Metric to Product'!$A:$A,A192))</f>
        <v/>
      </c>
      <c r="M192" s="21" t="str">
        <f aca="false">IF(A192="","",COUNTIF('Metric to Field'!$A:$A,A192))</f>
        <v/>
      </c>
      <c r="N192" s="21" t="str">
        <f aca="false">IF(B192="","",COUNTIF($B:$B,B192))</f>
        <v/>
      </c>
      <c r="O192" s="21" t="str">
        <f aca="false">IF(A192="","",COUNTIF($S:$S,S192)-1)</f>
        <v/>
      </c>
      <c r="P192" s="20"/>
      <c r="Q192" s="20"/>
      <c r="R192" s="20"/>
      <c r="S192" s="18" t="str">
        <f aca="false">IF(A192="","",LOWER(TRIM(D192&amp;"|"&amp;E192&amp;"|"&amp;F192)))</f>
        <v/>
      </c>
      <c r="T192" s="20"/>
      <c r="U192" s="20"/>
      <c r="V192" s="20"/>
      <c r="W192" s="20"/>
      <c r="X192" s="20"/>
    </row>
    <row r="193" customFormat="false" ht="15" hidden="false" customHeight="false" outlineLevel="0" collapsed="false">
      <c r="A193" s="18"/>
      <c r="B193" s="20"/>
      <c r="C193" s="19"/>
      <c r="D193" s="20"/>
      <c r="E193" s="20"/>
      <c r="F193" s="20"/>
      <c r="G193" s="20"/>
      <c r="H193" s="20"/>
      <c r="I193" s="20"/>
      <c r="J193" s="18"/>
      <c r="K193" s="21" t="str">
        <f aca="false">IF(A193="","",IF(I193="",0,LEN(I193)-LEN(SUBSTITUTE(I193,",",""))+1))</f>
        <v/>
      </c>
      <c r="L193" s="21" t="str">
        <f aca="false">IF(A193="","",COUNTIF('Metric to Product'!$A:$A,A193))</f>
        <v/>
      </c>
      <c r="M193" s="21" t="str">
        <f aca="false">IF(A193="","",COUNTIF('Metric to Field'!$A:$A,A193))</f>
        <v/>
      </c>
      <c r="N193" s="21" t="str">
        <f aca="false">IF(B193="","",COUNTIF($B:$B,B193))</f>
        <v/>
      </c>
      <c r="O193" s="21" t="str">
        <f aca="false">IF(A193="","",COUNTIF($S:$S,S193)-1)</f>
        <v/>
      </c>
      <c r="P193" s="20"/>
      <c r="Q193" s="20"/>
      <c r="R193" s="20"/>
      <c r="S193" s="18" t="str">
        <f aca="false">IF(A193="","",LOWER(TRIM(D193&amp;"|"&amp;E193&amp;"|"&amp;F193)))</f>
        <v/>
      </c>
      <c r="T193" s="20"/>
      <c r="U193" s="20"/>
      <c r="V193" s="20"/>
      <c r="W193" s="20"/>
      <c r="X193" s="20"/>
    </row>
    <row r="194" customFormat="false" ht="15" hidden="false" customHeight="false" outlineLevel="0" collapsed="false">
      <c r="A194" s="18"/>
      <c r="B194" s="20"/>
      <c r="C194" s="19"/>
      <c r="D194" s="20"/>
      <c r="E194" s="20"/>
      <c r="F194" s="20"/>
      <c r="G194" s="20"/>
      <c r="H194" s="20"/>
      <c r="I194" s="20"/>
      <c r="J194" s="18"/>
      <c r="K194" s="21" t="str">
        <f aca="false">IF(A194="","",IF(I194="",0,LEN(I194)-LEN(SUBSTITUTE(I194,",",""))+1))</f>
        <v/>
      </c>
      <c r="L194" s="21" t="str">
        <f aca="false">IF(A194="","",COUNTIF('Metric to Product'!$A:$A,A194))</f>
        <v/>
      </c>
      <c r="M194" s="21" t="str">
        <f aca="false">IF(A194="","",COUNTIF('Metric to Field'!$A:$A,A194))</f>
        <v/>
      </c>
      <c r="N194" s="21" t="str">
        <f aca="false">IF(B194="","",COUNTIF($B:$B,B194))</f>
        <v/>
      </c>
      <c r="O194" s="21" t="str">
        <f aca="false">IF(A194="","",COUNTIF($S:$S,S194)-1)</f>
        <v/>
      </c>
      <c r="P194" s="20"/>
      <c r="Q194" s="20"/>
      <c r="R194" s="20"/>
      <c r="S194" s="18" t="str">
        <f aca="false">IF(A194="","",LOWER(TRIM(D194&amp;"|"&amp;E194&amp;"|"&amp;F194)))</f>
        <v/>
      </c>
      <c r="T194" s="20"/>
      <c r="U194" s="20"/>
      <c r="V194" s="20"/>
      <c r="W194" s="20"/>
      <c r="X194" s="20"/>
    </row>
    <row r="195" customFormat="false" ht="15" hidden="false" customHeight="false" outlineLevel="0" collapsed="false">
      <c r="A195" s="18"/>
      <c r="B195" s="20"/>
      <c r="C195" s="19"/>
      <c r="D195" s="20"/>
      <c r="E195" s="20"/>
      <c r="F195" s="20"/>
      <c r="G195" s="20"/>
      <c r="H195" s="20"/>
      <c r="I195" s="20"/>
      <c r="J195" s="18"/>
      <c r="K195" s="21" t="str">
        <f aca="false">IF(A195="","",IF(I195="",0,LEN(I195)-LEN(SUBSTITUTE(I195,",",""))+1))</f>
        <v/>
      </c>
      <c r="L195" s="21" t="str">
        <f aca="false">IF(A195="","",COUNTIF('Metric to Product'!$A:$A,A195))</f>
        <v/>
      </c>
      <c r="M195" s="21" t="str">
        <f aca="false">IF(A195="","",COUNTIF('Metric to Field'!$A:$A,A195))</f>
        <v/>
      </c>
      <c r="N195" s="21" t="str">
        <f aca="false">IF(B195="","",COUNTIF($B:$B,B195))</f>
        <v/>
      </c>
      <c r="O195" s="21" t="str">
        <f aca="false">IF(A195="","",COUNTIF($S:$S,S195)-1)</f>
        <v/>
      </c>
      <c r="P195" s="20"/>
      <c r="Q195" s="20"/>
      <c r="R195" s="20"/>
      <c r="S195" s="18" t="str">
        <f aca="false">IF(A195="","",LOWER(TRIM(D195&amp;"|"&amp;E195&amp;"|"&amp;F195)))</f>
        <v/>
      </c>
      <c r="T195" s="20"/>
      <c r="U195" s="20"/>
      <c r="V195" s="20"/>
      <c r="W195" s="20"/>
      <c r="X195" s="20"/>
    </row>
    <row r="196" customFormat="false" ht="15" hidden="false" customHeight="false" outlineLevel="0" collapsed="false">
      <c r="A196" s="18"/>
      <c r="B196" s="20"/>
      <c r="C196" s="19"/>
      <c r="D196" s="20"/>
      <c r="E196" s="20"/>
      <c r="F196" s="20"/>
      <c r="G196" s="20"/>
      <c r="H196" s="20"/>
      <c r="I196" s="20"/>
      <c r="J196" s="18"/>
      <c r="K196" s="21" t="str">
        <f aca="false">IF(A196="","",IF(I196="",0,LEN(I196)-LEN(SUBSTITUTE(I196,",",""))+1))</f>
        <v/>
      </c>
      <c r="L196" s="21" t="str">
        <f aca="false">IF(A196="","",COUNTIF('Metric to Product'!$A:$A,A196))</f>
        <v/>
      </c>
      <c r="M196" s="21" t="str">
        <f aca="false">IF(A196="","",COUNTIF('Metric to Field'!$A:$A,A196))</f>
        <v/>
      </c>
      <c r="N196" s="21" t="str">
        <f aca="false">IF(B196="","",COUNTIF($B:$B,B196))</f>
        <v/>
      </c>
      <c r="O196" s="21" t="str">
        <f aca="false">IF(A196="","",COUNTIF($S:$S,S196)-1)</f>
        <v/>
      </c>
      <c r="P196" s="20"/>
      <c r="Q196" s="20"/>
      <c r="R196" s="20"/>
      <c r="S196" s="18" t="str">
        <f aca="false">IF(A196="","",LOWER(TRIM(D196&amp;"|"&amp;E196&amp;"|"&amp;F196)))</f>
        <v/>
      </c>
      <c r="T196" s="20"/>
      <c r="U196" s="20"/>
      <c r="V196" s="20"/>
      <c r="W196" s="20"/>
      <c r="X196" s="20"/>
    </row>
    <row r="197" customFormat="false" ht="15" hidden="false" customHeight="false" outlineLevel="0" collapsed="false">
      <c r="A197" s="18"/>
      <c r="B197" s="20"/>
      <c r="C197" s="19"/>
      <c r="D197" s="20"/>
      <c r="E197" s="20"/>
      <c r="F197" s="20"/>
      <c r="G197" s="20"/>
      <c r="H197" s="20"/>
      <c r="I197" s="20"/>
      <c r="J197" s="18"/>
      <c r="K197" s="21" t="str">
        <f aca="false">IF(A197="","",IF(I197="",0,LEN(I197)-LEN(SUBSTITUTE(I197,",",""))+1))</f>
        <v/>
      </c>
      <c r="L197" s="21" t="str">
        <f aca="false">IF(A197="","",COUNTIF('Metric to Product'!$A:$A,A197))</f>
        <v/>
      </c>
      <c r="M197" s="21" t="str">
        <f aca="false">IF(A197="","",COUNTIF('Metric to Field'!$A:$A,A197))</f>
        <v/>
      </c>
      <c r="N197" s="21" t="str">
        <f aca="false">IF(B197="","",COUNTIF($B:$B,B197))</f>
        <v/>
      </c>
      <c r="O197" s="21" t="str">
        <f aca="false">IF(A197="","",COUNTIF($S:$S,S197)-1)</f>
        <v/>
      </c>
      <c r="P197" s="20"/>
      <c r="Q197" s="20"/>
      <c r="R197" s="20"/>
      <c r="S197" s="18" t="str">
        <f aca="false">IF(A197="","",LOWER(TRIM(D197&amp;"|"&amp;E197&amp;"|"&amp;F197)))</f>
        <v/>
      </c>
      <c r="T197" s="20"/>
      <c r="U197" s="20"/>
      <c r="V197" s="20"/>
      <c r="W197" s="20"/>
      <c r="X197" s="20"/>
    </row>
    <row r="198" customFormat="false" ht="15" hidden="false" customHeight="false" outlineLevel="0" collapsed="false">
      <c r="A198" s="18"/>
      <c r="B198" s="20"/>
      <c r="C198" s="19"/>
      <c r="D198" s="20"/>
      <c r="E198" s="20"/>
      <c r="F198" s="20"/>
      <c r="G198" s="20"/>
      <c r="H198" s="20"/>
      <c r="I198" s="20"/>
      <c r="J198" s="18"/>
      <c r="K198" s="21" t="str">
        <f aca="false">IF(A198="","",IF(I198="",0,LEN(I198)-LEN(SUBSTITUTE(I198,",",""))+1))</f>
        <v/>
      </c>
      <c r="L198" s="21" t="str">
        <f aca="false">IF(A198="","",COUNTIF('Metric to Product'!$A:$A,A198))</f>
        <v/>
      </c>
      <c r="M198" s="21" t="str">
        <f aca="false">IF(A198="","",COUNTIF('Metric to Field'!$A:$A,A198))</f>
        <v/>
      </c>
      <c r="N198" s="21" t="str">
        <f aca="false">IF(B198="","",COUNTIF($B:$B,B198))</f>
        <v/>
      </c>
      <c r="O198" s="21" t="str">
        <f aca="false">IF(A198="","",COUNTIF($S:$S,S198)-1)</f>
        <v/>
      </c>
      <c r="P198" s="20"/>
      <c r="Q198" s="20"/>
      <c r="R198" s="20"/>
      <c r="S198" s="18" t="str">
        <f aca="false">IF(A198="","",LOWER(TRIM(D198&amp;"|"&amp;E198&amp;"|"&amp;F198)))</f>
        <v/>
      </c>
      <c r="T198" s="20"/>
      <c r="U198" s="20"/>
      <c r="V198" s="20"/>
      <c r="W198" s="20"/>
      <c r="X198" s="20"/>
    </row>
    <row r="199" customFormat="false" ht="15" hidden="false" customHeight="false" outlineLevel="0" collapsed="false">
      <c r="A199" s="18"/>
      <c r="B199" s="20"/>
      <c r="C199" s="19"/>
      <c r="D199" s="20"/>
      <c r="E199" s="20"/>
      <c r="F199" s="20"/>
      <c r="G199" s="20"/>
      <c r="H199" s="20"/>
      <c r="I199" s="20"/>
      <c r="J199" s="18"/>
      <c r="K199" s="21" t="str">
        <f aca="false">IF(A199="","",IF(I199="",0,LEN(I199)-LEN(SUBSTITUTE(I199,",",""))+1))</f>
        <v/>
      </c>
      <c r="L199" s="21" t="str">
        <f aca="false">IF(A199="","",COUNTIF('Metric to Product'!$A:$A,A199))</f>
        <v/>
      </c>
      <c r="M199" s="21" t="str">
        <f aca="false">IF(A199="","",COUNTIF('Metric to Field'!$A:$A,A199))</f>
        <v/>
      </c>
      <c r="N199" s="21" t="str">
        <f aca="false">IF(B199="","",COUNTIF($B:$B,B199))</f>
        <v/>
      </c>
      <c r="O199" s="21" t="str">
        <f aca="false">IF(A199="","",COUNTIF($S:$S,S199)-1)</f>
        <v/>
      </c>
      <c r="P199" s="20"/>
      <c r="Q199" s="20"/>
      <c r="R199" s="20"/>
      <c r="S199" s="18" t="str">
        <f aca="false">IF(A199="","",LOWER(TRIM(D199&amp;"|"&amp;E199&amp;"|"&amp;F199)))</f>
        <v/>
      </c>
      <c r="T199" s="20"/>
      <c r="U199" s="20"/>
      <c r="V199" s="20"/>
      <c r="W199" s="20"/>
      <c r="X199" s="20"/>
    </row>
    <row r="200" customFormat="false" ht="15" hidden="false" customHeight="false" outlineLevel="0" collapsed="false">
      <c r="A200" s="18"/>
      <c r="B200" s="20"/>
      <c r="C200" s="19"/>
      <c r="D200" s="20"/>
      <c r="E200" s="20"/>
      <c r="F200" s="20"/>
      <c r="G200" s="20"/>
      <c r="H200" s="20"/>
      <c r="I200" s="20"/>
      <c r="J200" s="18"/>
      <c r="K200" s="21" t="str">
        <f aca="false">IF(A200="","",IF(I200="",0,LEN(I200)-LEN(SUBSTITUTE(I200,",",""))+1))</f>
        <v/>
      </c>
      <c r="L200" s="21" t="str">
        <f aca="false">IF(A200="","",COUNTIF('Metric to Product'!$A:$A,A200))</f>
        <v/>
      </c>
      <c r="M200" s="21" t="str">
        <f aca="false">IF(A200="","",COUNTIF('Metric to Field'!$A:$A,A200))</f>
        <v/>
      </c>
      <c r="N200" s="21" t="str">
        <f aca="false">IF(B200="","",COUNTIF($B:$B,B200))</f>
        <v/>
      </c>
      <c r="O200" s="21" t="str">
        <f aca="false">IF(A200="","",COUNTIF($S:$S,S200)-1)</f>
        <v/>
      </c>
      <c r="P200" s="20"/>
      <c r="Q200" s="20"/>
      <c r="R200" s="20"/>
      <c r="S200" s="18" t="str">
        <f aca="false">IF(A200="","",LOWER(TRIM(D200&amp;"|"&amp;E200&amp;"|"&amp;F200)))</f>
        <v/>
      </c>
      <c r="T200" s="20"/>
      <c r="U200" s="20"/>
      <c r="V200" s="20"/>
      <c r="W200" s="20"/>
      <c r="X200" s="20"/>
    </row>
    <row r="201" customFormat="false" ht="15" hidden="false" customHeight="false" outlineLevel="0" collapsed="false">
      <c r="A201" s="18"/>
      <c r="B201" s="20"/>
      <c r="C201" s="19"/>
      <c r="D201" s="20"/>
      <c r="E201" s="20"/>
      <c r="F201" s="20"/>
      <c r="G201" s="20"/>
      <c r="H201" s="20"/>
      <c r="I201" s="20"/>
      <c r="J201" s="18"/>
      <c r="K201" s="21" t="str">
        <f aca="false">IF(A201="","",IF(I201="",0,LEN(I201)-LEN(SUBSTITUTE(I201,",",""))+1))</f>
        <v/>
      </c>
      <c r="L201" s="21" t="str">
        <f aca="false">IF(A201="","",COUNTIF('Metric to Product'!$A:$A,A201))</f>
        <v/>
      </c>
      <c r="M201" s="21" t="str">
        <f aca="false">IF(A201="","",COUNTIF('Metric to Field'!$A:$A,A201))</f>
        <v/>
      </c>
      <c r="N201" s="21" t="str">
        <f aca="false">IF(B201="","",COUNTIF($B:$B,B201))</f>
        <v/>
      </c>
      <c r="O201" s="21" t="str">
        <f aca="false">IF(A201="","",COUNTIF($S:$S,S201)-1)</f>
        <v/>
      </c>
      <c r="P201" s="20"/>
      <c r="Q201" s="20"/>
      <c r="R201" s="20"/>
      <c r="S201" s="18" t="str">
        <f aca="false">IF(A201="","",LOWER(TRIM(D201&amp;"|"&amp;E201&amp;"|"&amp;F201)))</f>
        <v/>
      </c>
      <c r="T201" s="20"/>
      <c r="U201" s="20"/>
      <c r="V201" s="20"/>
      <c r="W201" s="20"/>
      <c r="X201" s="20"/>
    </row>
    <row r="202" customFormat="false" ht="15" hidden="false" customHeight="false" outlineLevel="0" collapsed="false">
      <c r="A202" s="18"/>
      <c r="B202" s="20"/>
      <c r="C202" s="19"/>
      <c r="D202" s="20"/>
      <c r="E202" s="20"/>
      <c r="F202" s="20"/>
      <c r="G202" s="20"/>
      <c r="H202" s="20"/>
      <c r="I202" s="20"/>
      <c r="J202" s="18"/>
      <c r="K202" s="21" t="str">
        <f aca="false">IF(A202="","",IF(I202="",0,LEN(I202)-LEN(SUBSTITUTE(I202,",",""))+1))</f>
        <v/>
      </c>
      <c r="L202" s="21" t="str">
        <f aca="false">IF(A202="","",COUNTIF('Metric to Product'!$A:$A,A202))</f>
        <v/>
      </c>
      <c r="M202" s="21" t="str">
        <f aca="false">IF(A202="","",COUNTIF('Metric to Field'!$A:$A,A202))</f>
        <v/>
      </c>
      <c r="N202" s="21" t="str">
        <f aca="false">IF(B202="","",COUNTIF($B:$B,B202))</f>
        <v/>
      </c>
      <c r="O202" s="21" t="str">
        <f aca="false">IF(A202="","",COUNTIF($S:$S,S202)-1)</f>
        <v/>
      </c>
      <c r="P202" s="20"/>
      <c r="Q202" s="20"/>
      <c r="R202" s="20"/>
      <c r="S202" s="18" t="str">
        <f aca="false">IF(A202="","",LOWER(TRIM(D202&amp;"|"&amp;E202&amp;"|"&amp;F202)))</f>
        <v/>
      </c>
      <c r="T202" s="20"/>
      <c r="U202" s="20"/>
      <c r="V202" s="20"/>
      <c r="W202" s="20"/>
      <c r="X202" s="20"/>
    </row>
    <row r="203" customFormat="false" ht="15" hidden="false" customHeight="false" outlineLevel="0" collapsed="false">
      <c r="A203" s="18"/>
      <c r="B203" s="20"/>
      <c r="C203" s="19"/>
      <c r="D203" s="20"/>
      <c r="E203" s="20"/>
      <c r="F203" s="20"/>
      <c r="G203" s="20"/>
      <c r="H203" s="20"/>
      <c r="I203" s="20"/>
      <c r="J203" s="18"/>
      <c r="K203" s="21" t="str">
        <f aca="false">IF(A203="","",IF(I203="",0,LEN(I203)-LEN(SUBSTITUTE(I203,",",""))+1))</f>
        <v/>
      </c>
      <c r="L203" s="21" t="str">
        <f aca="false">IF(A203="","",COUNTIF('Metric to Product'!$A:$A,A203))</f>
        <v/>
      </c>
      <c r="M203" s="21" t="str">
        <f aca="false">IF(A203="","",COUNTIF('Metric to Field'!$A:$A,A203))</f>
        <v/>
      </c>
      <c r="N203" s="21" t="str">
        <f aca="false">IF(B203="","",COUNTIF($B:$B,B203))</f>
        <v/>
      </c>
      <c r="O203" s="21" t="str">
        <f aca="false">IF(A203="","",COUNTIF($S:$S,S203)-1)</f>
        <v/>
      </c>
      <c r="P203" s="20"/>
      <c r="Q203" s="20"/>
      <c r="R203" s="20"/>
      <c r="S203" s="18" t="str">
        <f aca="false">IF(A203="","",LOWER(TRIM(D203&amp;"|"&amp;E203&amp;"|"&amp;F203)))</f>
        <v/>
      </c>
      <c r="T203" s="20"/>
      <c r="U203" s="20"/>
      <c r="V203" s="20"/>
      <c r="W203" s="20"/>
      <c r="X203" s="20"/>
    </row>
    <row r="204" customFormat="false" ht="15" hidden="false" customHeight="false" outlineLevel="0" collapsed="false">
      <c r="A204" s="18"/>
      <c r="B204" s="20"/>
      <c r="C204" s="19"/>
      <c r="D204" s="20"/>
      <c r="E204" s="20"/>
      <c r="F204" s="20"/>
      <c r="G204" s="20"/>
      <c r="H204" s="20"/>
      <c r="I204" s="20"/>
      <c r="J204" s="18"/>
      <c r="K204" s="21" t="str">
        <f aca="false">IF(A204="","",IF(I204="",0,LEN(I204)-LEN(SUBSTITUTE(I204,",",""))+1))</f>
        <v/>
      </c>
      <c r="L204" s="21" t="str">
        <f aca="false">IF(A204="","",COUNTIF('Metric to Product'!$A:$A,A204))</f>
        <v/>
      </c>
      <c r="M204" s="21" t="str">
        <f aca="false">IF(A204="","",COUNTIF('Metric to Field'!$A:$A,A204))</f>
        <v/>
      </c>
      <c r="N204" s="21" t="str">
        <f aca="false">IF(B204="","",COUNTIF($B:$B,B204))</f>
        <v/>
      </c>
      <c r="O204" s="21" t="str">
        <f aca="false">IF(A204="","",COUNTIF($S:$S,S204)-1)</f>
        <v/>
      </c>
      <c r="P204" s="20"/>
      <c r="Q204" s="20"/>
      <c r="R204" s="20"/>
      <c r="S204" s="18" t="str">
        <f aca="false">IF(A204="","",LOWER(TRIM(D204&amp;"|"&amp;E204&amp;"|"&amp;F204)))</f>
        <v/>
      </c>
      <c r="T204" s="20"/>
      <c r="U204" s="20"/>
      <c r="V204" s="20"/>
      <c r="W204" s="20"/>
      <c r="X204" s="20"/>
    </row>
    <row r="205" customFormat="false" ht="15" hidden="false" customHeight="false" outlineLevel="0" collapsed="false">
      <c r="A205" s="18"/>
      <c r="B205" s="20"/>
      <c r="C205" s="19"/>
      <c r="D205" s="20"/>
      <c r="E205" s="20"/>
      <c r="F205" s="20"/>
      <c r="G205" s="20"/>
      <c r="H205" s="20"/>
      <c r="I205" s="20"/>
      <c r="J205" s="18"/>
      <c r="K205" s="21" t="str">
        <f aca="false">IF(A205="","",IF(I205="",0,LEN(I205)-LEN(SUBSTITUTE(I205,",",""))+1))</f>
        <v/>
      </c>
      <c r="L205" s="21" t="str">
        <f aca="false">IF(A205="","",COUNTIF('Metric to Product'!$A:$A,A205))</f>
        <v/>
      </c>
      <c r="M205" s="21" t="str">
        <f aca="false">IF(A205="","",COUNTIF('Metric to Field'!$A:$A,A205))</f>
        <v/>
      </c>
      <c r="N205" s="21" t="str">
        <f aca="false">IF(B205="","",COUNTIF($B:$B,B205))</f>
        <v/>
      </c>
      <c r="O205" s="21" t="str">
        <f aca="false">IF(A205="","",COUNTIF($S:$S,S205)-1)</f>
        <v/>
      </c>
      <c r="P205" s="20"/>
      <c r="Q205" s="20"/>
      <c r="R205" s="20"/>
      <c r="S205" s="18" t="str">
        <f aca="false">IF(A205="","",LOWER(TRIM(D205&amp;"|"&amp;E205&amp;"|"&amp;F205)))</f>
        <v/>
      </c>
      <c r="T205" s="20"/>
      <c r="U205" s="20"/>
      <c r="V205" s="20"/>
      <c r="W205" s="20"/>
      <c r="X205" s="20"/>
    </row>
    <row r="206" customFormat="false" ht="15" hidden="false" customHeight="false" outlineLevel="0" collapsed="false">
      <c r="A206" s="18"/>
      <c r="B206" s="20"/>
      <c r="C206" s="19"/>
      <c r="D206" s="20"/>
      <c r="E206" s="20"/>
      <c r="F206" s="20"/>
      <c r="G206" s="20"/>
      <c r="H206" s="20"/>
      <c r="I206" s="20"/>
      <c r="J206" s="18"/>
      <c r="K206" s="21" t="str">
        <f aca="false">IF(A206="","",IF(I206="",0,LEN(I206)-LEN(SUBSTITUTE(I206,",",""))+1))</f>
        <v/>
      </c>
      <c r="L206" s="21" t="str">
        <f aca="false">IF(A206="","",COUNTIF('Metric to Product'!$A:$A,A206))</f>
        <v/>
      </c>
      <c r="M206" s="21" t="str">
        <f aca="false">IF(A206="","",COUNTIF('Metric to Field'!$A:$A,A206))</f>
        <v/>
      </c>
      <c r="N206" s="21" t="str">
        <f aca="false">IF(B206="","",COUNTIF($B:$B,B206))</f>
        <v/>
      </c>
      <c r="O206" s="21" t="str">
        <f aca="false">IF(A206="","",COUNTIF($S:$S,S206)-1)</f>
        <v/>
      </c>
      <c r="P206" s="20"/>
      <c r="Q206" s="20"/>
      <c r="R206" s="20"/>
      <c r="S206" s="18" t="str">
        <f aca="false">IF(A206="","",LOWER(TRIM(D206&amp;"|"&amp;E206&amp;"|"&amp;F206)))</f>
        <v/>
      </c>
      <c r="T206" s="20"/>
      <c r="U206" s="20"/>
      <c r="V206" s="20"/>
      <c r="W206" s="20"/>
      <c r="X206" s="20"/>
    </row>
    <row r="207" customFormat="false" ht="15" hidden="false" customHeight="false" outlineLevel="0" collapsed="false">
      <c r="A207" s="18"/>
      <c r="B207" s="20"/>
      <c r="C207" s="19"/>
      <c r="D207" s="20"/>
      <c r="E207" s="20"/>
      <c r="F207" s="20"/>
      <c r="G207" s="20"/>
      <c r="H207" s="20"/>
      <c r="I207" s="20"/>
      <c r="J207" s="18"/>
      <c r="K207" s="21" t="str">
        <f aca="false">IF(A207="","",IF(I207="",0,LEN(I207)-LEN(SUBSTITUTE(I207,",",""))+1))</f>
        <v/>
      </c>
      <c r="L207" s="21" t="str">
        <f aca="false">IF(A207="","",COUNTIF('Metric to Product'!$A:$A,A207))</f>
        <v/>
      </c>
      <c r="M207" s="21" t="str">
        <f aca="false">IF(A207="","",COUNTIF('Metric to Field'!$A:$A,A207))</f>
        <v/>
      </c>
      <c r="N207" s="21" t="str">
        <f aca="false">IF(B207="","",COUNTIF($B:$B,B207))</f>
        <v/>
      </c>
      <c r="O207" s="21" t="str">
        <f aca="false">IF(A207="","",COUNTIF($S:$S,S207)-1)</f>
        <v/>
      </c>
      <c r="P207" s="20"/>
      <c r="Q207" s="20"/>
      <c r="R207" s="20"/>
      <c r="S207" s="18" t="str">
        <f aca="false">IF(A207="","",LOWER(TRIM(D207&amp;"|"&amp;E207&amp;"|"&amp;F207)))</f>
        <v/>
      </c>
      <c r="T207" s="20"/>
      <c r="U207" s="20"/>
      <c r="V207" s="20"/>
      <c r="W207" s="20"/>
      <c r="X207" s="20"/>
    </row>
    <row r="208" customFormat="false" ht="15" hidden="false" customHeight="false" outlineLevel="0" collapsed="false">
      <c r="A208" s="18"/>
      <c r="B208" s="20"/>
      <c r="C208" s="19"/>
      <c r="D208" s="20"/>
      <c r="E208" s="20"/>
      <c r="F208" s="20"/>
      <c r="G208" s="20"/>
      <c r="H208" s="20"/>
      <c r="I208" s="20"/>
      <c r="J208" s="18"/>
      <c r="K208" s="21" t="str">
        <f aca="false">IF(A208="","",IF(I208="",0,LEN(I208)-LEN(SUBSTITUTE(I208,",",""))+1))</f>
        <v/>
      </c>
      <c r="L208" s="21" t="str">
        <f aca="false">IF(A208="","",COUNTIF('Metric to Product'!$A:$A,A208))</f>
        <v/>
      </c>
      <c r="M208" s="21" t="str">
        <f aca="false">IF(A208="","",COUNTIF('Metric to Field'!$A:$A,A208))</f>
        <v/>
      </c>
      <c r="N208" s="21" t="str">
        <f aca="false">IF(B208="","",COUNTIF($B:$B,B208))</f>
        <v/>
      </c>
      <c r="O208" s="21" t="str">
        <f aca="false">IF(A208="","",COUNTIF($S:$S,S208)-1)</f>
        <v/>
      </c>
      <c r="P208" s="20"/>
      <c r="Q208" s="20"/>
      <c r="R208" s="20"/>
      <c r="S208" s="18" t="str">
        <f aca="false">IF(A208="","",LOWER(TRIM(D208&amp;"|"&amp;E208&amp;"|"&amp;F208)))</f>
        <v/>
      </c>
      <c r="T208" s="20"/>
      <c r="U208" s="20"/>
      <c r="V208" s="20"/>
      <c r="W208" s="20"/>
      <c r="X208" s="20"/>
    </row>
    <row r="209" customFormat="false" ht="15" hidden="false" customHeight="false" outlineLevel="0" collapsed="false">
      <c r="A209" s="18"/>
      <c r="B209" s="20"/>
      <c r="C209" s="19"/>
      <c r="D209" s="20"/>
      <c r="E209" s="20"/>
      <c r="F209" s="20"/>
      <c r="G209" s="20"/>
      <c r="H209" s="20"/>
      <c r="I209" s="20"/>
      <c r="J209" s="18"/>
      <c r="K209" s="21" t="str">
        <f aca="false">IF(A209="","",IF(I209="",0,LEN(I209)-LEN(SUBSTITUTE(I209,",",""))+1))</f>
        <v/>
      </c>
      <c r="L209" s="21" t="str">
        <f aca="false">IF(A209="","",COUNTIF('Metric to Product'!$A:$A,A209))</f>
        <v/>
      </c>
      <c r="M209" s="21" t="str">
        <f aca="false">IF(A209="","",COUNTIF('Metric to Field'!$A:$A,A209))</f>
        <v/>
      </c>
      <c r="N209" s="21" t="str">
        <f aca="false">IF(B209="","",COUNTIF($B:$B,B209))</f>
        <v/>
      </c>
      <c r="O209" s="21" t="str">
        <f aca="false">IF(A209="","",COUNTIF($S:$S,S209)-1)</f>
        <v/>
      </c>
      <c r="P209" s="20"/>
      <c r="Q209" s="20"/>
      <c r="R209" s="20"/>
      <c r="S209" s="18" t="str">
        <f aca="false">IF(A209="","",LOWER(TRIM(D209&amp;"|"&amp;E209&amp;"|"&amp;F209)))</f>
        <v/>
      </c>
      <c r="T209" s="20"/>
      <c r="U209" s="20"/>
      <c r="V209" s="20"/>
      <c r="W209" s="20"/>
      <c r="X209" s="20"/>
    </row>
    <row r="210" customFormat="false" ht="15" hidden="false" customHeight="false" outlineLevel="0" collapsed="false">
      <c r="A210" s="18"/>
      <c r="B210" s="20"/>
      <c r="C210" s="19"/>
      <c r="D210" s="20"/>
      <c r="E210" s="20"/>
      <c r="F210" s="20"/>
      <c r="G210" s="20"/>
      <c r="H210" s="20"/>
      <c r="I210" s="20"/>
      <c r="J210" s="18"/>
      <c r="K210" s="21" t="str">
        <f aca="false">IF(A210="","",IF(I210="",0,LEN(I210)-LEN(SUBSTITUTE(I210,",",""))+1))</f>
        <v/>
      </c>
      <c r="L210" s="21" t="str">
        <f aca="false">IF(A210="","",COUNTIF('Metric to Product'!$A:$A,A210))</f>
        <v/>
      </c>
      <c r="M210" s="21" t="str">
        <f aca="false">IF(A210="","",COUNTIF('Metric to Field'!$A:$A,A210))</f>
        <v/>
      </c>
      <c r="N210" s="21" t="str">
        <f aca="false">IF(B210="","",COUNTIF($B:$B,B210))</f>
        <v/>
      </c>
      <c r="O210" s="21" t="str">
        <f aca="false">IF(A210="","",COUNTIF($S:$S,S210)-1)</f>
        <v/>
      </c>
      <c r="P210" s="20"/>
      <c r="Q210" s="20"/>
      <c r="R210" s="20"/>
      <c r="S210" s="18" t="str">
        <f aca="false">IF(A210="","",LOWER(TRIM(D210&amp;"|"&amp;E210&amp;"|"&amp;F210)))</f>
        <v/>
      </c>
      <c r="T210" s="20"/>
      <c r="U210" s="20"/>
      <c r="V210" s="20"/>
      <c r="W210" s="20"/>
      <c r="X210" s="20"/>
    </row>
    <row r="211" customFormat="false" ht="15" hidden="false" customHeight="false" outlineLevel="0" collapsed="false">
      <c r="A211" s="18"/>
      <c r="B211" s="20"/>
      <c r="C211" s="19"/>
      <c r="D211" s="20"/>
      <c r="E211" s="20"/>
      <c r="F211" s="20"/>
      <c r="G211" s="20"/>
      <c r="H211" s="20"/>
      <c r="I211" s="20"/>
      <c r="J211" s="18"/>
      <c r="K211" s="21" t="str">
        <f aca="false">IF(A211="","",IF(I211="",0,LEN(I211)-LEN(SUBSTITUTE(I211,",",""))+1))</f>
        <v/>
      </c>
      <c r="L211" s="21" t="str">
        <f aca="false">IF(A211="","",COUNTIF('Metric to Product'!$A:$A,A211))</f>
        <v/>
      </c>
      <c r="M211" s="21" t="str">
        <f aca="false">IF(A211="","",COUNTIF('Metric to Field'!$A:$A,A211))</f>
        <v/>
      </c>
      <c r="N211" s="21" t="str">
        <f aca="false">IF(B211="","",COUNTIF($B:$B,B211))</f>
        <v/>
      </c>
      <c r="O211" s="21" t="str">
        <f aca="false">IF(A211="","",COUNTIF($S:$S,S211)-1)</f>
        <v/>
      </c>
      <c r="P211" s="20"/>
      <c r="Q211" s="20"/>
      <c r="R211" s="20"/>
      <c r="S211" s="18" t="str">
        <f aca="false">IF(A211="","",LOWER(TRIM(D211&amp;"|"&amp;E211&amp;"|"&amp;F211)))</f>
        <v/>
      </c>
      <c r="T211" s="20"/>
      <c r="U211" s="20"/>
      <c r="V211" s="20"/>
      <c r="W211" s="20"/>
      <c r="X211" s="20"/>
    </row>
    <row r="212" customFormat="false" ht="15" hidden="false" customHeight="false" outlineLevel="0" collapsed="false">
      <c r="A212" s="18"/>
      <c r="B212" s="20"/>
      <c r="C212" s="19"/>
      <c r="D212" s="20"/>
      <c r="E212" s="20"/>
      <c r="F212" s="20"/>
      <c r="G212" s="20"/>
      <c r="H212" s="20"/>
      <c r="I212" s="20"/>
      <c r="J212" s="18"/>
      <c r="K212" s="21" t="str">
        <f aca="false">IF(A212="","",IF(I212="",0,LEN(I212)-LEN(SUBSTITUTE(I212,",",""))+1))</f>
        <v/>
      </c>
      <c r="L212" s="21" t="str">
        <f aca="false">IF(A212="","",COUNTIF('Metric to Product'!$A:$A,A212))</f>
        <v/>
      </c>
      <c r="M212" s="21" t="str">
        <f aca="false">IF(A212="","",COUNTIF('Metric to Field'!$A:$A,A212))</f>
        <v/>
      </c>
      <c r="N212" s="21" t="str">
        <f aca="false">IF(B212="","",COUNTIF($B:$B,B212))</f>
        <v/>
      </c>
      <c r="O212" s="21" t="str">
        <f aca="false">IF(A212="","",COUNTIF($S:$S,S212)-1)</f>
        <v/>
      </c>
      <c r="P212" s="20"/>
      <c r="Q212" s="20"/>
      <c r="R212" s="20"/>
      <c r="S212" s="18" t="str">
        <f aca="false">IF(A212="","",LOWER(TRIM(D212&amp;"|"&amp;E212&amp;"|"&amp;F212)))</f>
        <v/>
      </c>
      <c r="T212" s="20"/>
      <c r="U212" s="20"/>
      <c r="V212" s="20"/>
      <c r="W212" s="20"/>
      <c r="X212" s="20"/>
    </row>
    <row r="213" customFormat="false" ht="15" hidden="false" customHeight="false" outlineLevel="0" collapsed="false">
      <c r="A213" s="18"/>
      <c r="B213" s="20"/>
      <c r="C213" s="19"/>
      <c r="D213" s="20"/>
      <c r="E213" s="20"/>
      <c r="F213" s="20"/>
      <c r="G213" s="20"/>
      <c r="H213" s="20"/>
      <c r="I213" s="20"/>
      <c r="J213" s="18"/>
      <c r="K213" s="21" t="str">
        <f aca="false">IF(A213="","",IF(I213="",0,LEN(I213)-LEN(SUBSTITUTE(I213,",",""))+1))</f>
        <v/>
      </c>
      <c r="L213" s="21" t="str">
        <f aca="false">IF(A213="","",COUNTIF('Metric to Product'!$A:$A,A213))</f>
        <v/>
      </c>
      <c r="M213" s="21" t="str">
        <f aca="false">IF(A213="","",COUNTIF('Metric to Field'!$A:$A,A213))</f>
        <v/>
      </c>
      <c r="N213" s="21" t="str">
        <f aca="false">IF(B213="","",COUNTIF($B:$B,B213))</f>
        <v/>
      </c>
      <c r="O213" s="21" t="str">
        <f aca="false">IF(A213="","",COUNTIF($S:$S,S213)-1)</f>
        <v/>
      </c>
      <c r="P213" s="20"/>
      <c r="Q213" s="20"/>
      <c r="R213" s="20"/>
      <c r="S213" s="18" t="str">
        <f aca="false">IF(A213="","",LOWER(TRIM(D213&amp;"|"&amp;E213&amp;"|"&amp;F213)))</f>
        <v/>
      </c>
      <c r="T213" s="20"/>
      <c r="U213" s="20"/>
      <c r="V213" s="20"/>
      <c r="W213" s="20"/>
      <c r="X213" s="20"/>
    </row>
    <row r="214" customFormat="false" ht="15" hidden="false" customHeight="false" outlineLevel="0" collapsed="false">
      <c r="A214" s="18"/>
      <c r="B214" s="20"/>
      <c r="C214" s="19"/>
      <c r="D214" s="20"/>
      <c r="E214" s="20"/>
      <c r="F214" s="20"/>
      <c r="G214" s="20"/>
      <c r="H214" s="20"/>
      <c r="I214" s="20"/>
      <c r="J214" s="18"/>
      <c r="K214" s="21" t="str">
        <f aca="false">IF(A214="","",IF(I214="",0,LEN(I214)-LEN(SUBSTITUTE(I214,",",""))+1))</f>
        <v/>
      </c>
      <c r="L214" s="21" t="str">
        <f aca="false">IF(A214="","",COUNTIF('Metric to Product'!$A:$A,A214))</f>
        <v/>
      </c>
      <c r="M214" s="21" t="str">
        <f aca="false">IF(A214="","",COUNTIF('Metric to Field'!$A:$A,A214))</f>
        <v/>
      </c>
      <c r="N214" s="21" t="str">
        <f aca="false">IF(B214="","",COUNTIF($B:$B,B214))</f>
        <v/>
      </c>
      <c r="O214" s="21" t="str">
        <f aca="false">IF(A214="","",COUNTIF($S:$S,S214)-1)</f>
        <v/>
      </c>
      <c r="P214" s="20"/>
      <c r="Q214" s="20"/>
      <c r="R214" s="20"/>
      <c r="S214" s="18" t="str">
        <f aca="false">IF(A214="","",LOWER(TRIM(D214&amp;"|"&amp;E214&amp;"|"&amp;F214)))</f>
        <v/>
      </c>
      <c r="T214" s="20"/>
      <c r="U214" s="20"/>
      <c r="V214" s="20"/>
      <c r="W214" s="20"/>
      <c r="X214" s="20"/>
    </row>
    <row r="215" customFormat="false" ht="15" hidden="false" customHeight="false" outlineLevel="0" collapsed="false">
      <c r="A215" s="18"/>
      <c r="B215" s="20"/>
      <c r="C215" s="19"/>
      <c r="D215" s="20"/>
      <c r="E215" s="20"/>
      <c r="F215" s="20"/>
      <c r="G215" s="20"/>
      <c r="H215" s="20"/>
      <c r="I215" s="20"/>
      <c r="J215" s="18"/>
      <c r="K215" s="21" t="str">
        <f aca="false">IF(A215="","",IF(I215="",0,LEN(I215)-LEN(SUBSTITUTE(I215,",",""))+1))</f>
        <v/>
      </c>
      <c r="L215" s="21" t="str">
        <f aca="false">IF(A215="","",COUNTIF('Metric to Product'!$A:$A,A215))</f>
        <v/>
      </c>
      <c r="M215" s="21" t="str">
        <f aca="false">IF(A215="","",COUNTIF('Metric to Field'!$A:$A,A215))</f>
        <v/>
      </c>
      <c r="N215" s="21" t="str">
        <f aca="false">IF(B215="","",COUNTIF($B:$B,B215))</f>
        <v/>
      </c>
      <c r="O215" s="21" t="str">
        <f aca="false">IF(A215="","",COUNTIF($S:$S,S215)-1)</f>
        <v/>
      </c>
      <c r="P215" s="20"/>
      <c r="Q215" s="20"/>
      <c r="R215" s="20"/>
      <c r="S215" s="18" t="str">
        <f aca="false">IF(A215="","",LOWER(TRIM(D215&amp;"|"&amp;E215&amp;"|"&amp;F215)))</f>
        <v/>
      </c>
      <c r="T215" s="20"/>
      <c r="U215" s="20"/>
      <c r="V215" s="20"/>
      <c r="W215" s="20"/>
      <c r="X215" s="20"/>
    </row>
    <row r="216" customFormat="false" ht="15" hidden="false" customHeight="false" outlineLevel="0" collapsed="false">
      <c r="A216" s="18"/>
      <c r="B216" s="20"/>
      <c r="C216" s="19"/>
      <c r="D216" s="20"/>
      <c r="E216" s="20"/>
      <c r="F216" s="20"/>
      <c r="G216" s="20"/>
      <c r="H216" s="20"/>
      <c r="I216" s="20"/>
      <c r="J216" s="18"/>
      <c r="K216" s="21" t="str">
        <f aca="false">IF(A216="","",IF(I216="",0,LEN(I216)-LEN(SUBSTITUTE(I216,",",""))+1))</f>
        <v/>
      </c>
      <c r="L216" s="21" t="str">
        <f aca="false">IF(A216="","",COUNTIF('Metric to Product'!$A:$A,A216))</f>
        <v/>
      </c>
      <c r="M216" s="21" t="str">
        <f aca="false">IF(A216="","",COUNTIF('Metric to Field'!$A:$A,A216))</f>
        <v/>
      </c>
      <c r="N216" s="21" t="str">
        <f aca="false">IF(B216="","",COUNTIF($B:$B,B216))</f>
        <v/>
      </c>
      <c r="O216" s="21" t="str">
        <f aca="false">IF(A216="","",COUNTIF($S:$S,S216)-1)</f>
        <v/>
      </c>
      <c r="P216" s="20"/>
      <c r="Q216" s="20"/>
      <c r="R216" s="20"/>
      <c r="S216" s="18" t="str">
        <f aca="false">IF(A216="","",LOWER(TRIM(D216&amp;"|"&amp;E216&amp;"|"&amp;F216)))</f>
        <v/>
      </c>
      <c r="T216" s="20"/>
      <c r="U216" s="20"/>
      <c r="V216" s="20"/>
      <c r="W216" s="20"/>
      <c r="X216" s="20"/>
    </row>
    <row r="217" customFormat="false" ht="15" hidden="false" customHeight="false" outlineLevel="0" collapsed="false">
      <c r="A217" s="18"/>
      <c r="B217" s="20"/>
      <c r="C217" s="19"/>
      <c r="D217" s="20"/>
      <c r="E217" s="20"/>
      <c r="F217" s="20"/>
      <c r="G217" s="20"/>
      <c r="H217" s="20"/>
      <c r="I217" s="20"/>
      <c r="J217" s="18"/>
      <c r="K217" s="21" t="str">
        <f aca="false">IF(A217="","",IF(I217="",0,LEN(I217)-LEN(SUBSTITUTE(I217,",",""))+1))</f>
        <v/>
      </c>
      <c r="L217" s="21" t="str">
        <f aca="false">IF(A217="","",COUNTIF('Metric to Product'!$A:$A,A217))</f>
        <v/>
      </c>
      <c r="M217" s="21" t="str">
        <f aca="false">IF(A217="","",COUNTIF('Metric to Field'!$A:$A,A217))</f>
        <v/>
      </c>
      <c r="N217" s="21" t="str">
        <f aca="false">IF(B217="","",COUNTIF($B:$B,B217))</f>
        <v/>
      </c>
      <c r="O217" s="21" t="str">
        <f aca="false">IF(A217="","",COUNTIF($S:$S,S217)-1)</f>
        <v/>
      </c>
      <c r="P217" s="20"/>
      <c r="Q217" s="20"/>
      <c r="R217" s="20"/>
      <c r="S217" s="18" t="str">
        <f aca="false">IF(A217="","",LOWER(TRIM(D217&amp;"|"&amp;E217&amp;"|"&amp;F217)))</f>
        <v/>
      </c>
      <c r="T217" s="20"/>
      <c r="U217" s="20"/>
      <c r="V217" s="20"/>
      <c r="W217" s="20"/>
      <c r="X217" s="20"/>
    </row>
    <row r="218" customFormat="false" ht="15" hidden="false" customHeight="false" outlineLevel="0" collapsed="false">
      <c r="A218" s="18"/>
      <c r="B218" s="20"/>
      <c r="C218" s="19"/>
      <c r="D218" s="20"/>
      <c r="E218" s="20"/>
      <c r="F218" s="20"/>
      <c r="G218" s="20"/>
      <c r="H218" s="20"/>
      <c r="I218" s="20"/>
      <c r="J218" s="18"/>
      <c r="K218" s="21" t="str">
        <f aca="false">IF(A218="","",IF(I218="",0,LEN(I218)-LEN(SUBSTITUTE(I218,",",""))+1))</f>
        <v/>
      </c>
      <c r="L218" s="21" t="str">
        <f aca="false">IF(A218="","",COUNTIF('Metric to Product'!$A:$A,A218))</f>
        <v/>
      </c>
      <c r="M218" s="21" t="str">
        <f aca="false">IF(A218="","",COUNTIF('Metric to Field'!$A:$A,A218))</f>
        <v/>
      </c>
      <c r="N218" s="21" t="str">
        <f aca="false">IF(B218="","",COUNTIF($B:$B,B218))</f>
        <v/>
      </c>
      <c r="O218" s="21" t="str">
        <f aca="false">IF(A218="","",COUNTIF($S:$S,S218)-1)</f>
        <v/>
      </c>
      <c r="P218" s="20"/>
      <c r="Q218" s="20"/>
      <c r="R218" s="20"/>
      <c r="S218" s="18" t="str">
        <f aca="false">IF(A218="","",LOWER(TRIM(D218&amp;"|"&amp;E218&amp;"|"&amp;F218)))</f>
        <v/>
      </c>
      <c r="T218" s="20"/>
      <c r="U218" s="20"/>
      <c r="V218" s="20"/>
      <c r="W218" s="20"/>
      <c r="X218" s="20"/>
    </row>
    <row r="219" customFormat="false" ht="15" hidden="false" customHeight="false" outlineLevel="0" collapsed="false">
      <c r="A219" s="18"/>
      <c r="B219" s="20"/>
      <c r="C219" s="19"/>
      <c r="D219" s="20"/>
      <c r="E219" s="20"/>
      <c r="F219" s="20"/>
      <c r="G219" s="20"/>
      <c r="H219" s="20"/>
      <c r="I219" s="20"/>
      <c r="J219" s="18"/>
      <c r="K219" s="21" t="str">
        <f aca="false">IF(A219="","",IF(I219="",0,LEN(I219)-LEN(SUBSTITUTE(I219,",",""))+1))</f>
        <v/>
      </c>
      <c r="L219" s="21" t="str">
        <f aca="false">IF(A219="","",COUNTIF('Metric to Product'!$A:$A,A219))</f>
        <v/>
      </c>
      <c r="M219" s="21" t="str">
        <f aca="false">IF(A219="","",COUNTIF('Metric to Field'!$A:$A,A219))</f>
        <v/>
      </c>
      <c r="N219" s="21" t="str">
        <f aca="false">IF(B219="","",COUNTIF($B:$B,B219))</f>
        <v/>
      </c>
      <c r="O219" s="21" t="str">
        <f aca="false">IF(A219="","",COUNTIF($S:$S,S219)-1)</f>
        <v/>
      </c>
      <c r="P219" s="20"/>
      <c r="Q219" s="20"/>
      <c r="R219" s="20"/>
      <c r="S219" s="18" t="str">
        <f aca="false">IF(A219="","",LOWER(TRIM(D219&amp;"|"&amp;E219&amp;"|"&amp;F219)))</f>
        <v/>
      </c>
      <c r="T219" s="20"/>
      <c r="U219" s="20"/>
      <c r="V219" s="20"/>
      <c r="W219" s="20"/>
      <c r="X219" s="20"/>
    </row>
    <row r="220" customFormat="false" ht="15" hidden="false" customHeight="false" outlineLevel="0" collapsed="false">
      <c r="A220" s="18"/>
      <c r="B220" s="20"/>
      <c r="C220" s="19"/>
      <c r="D220" s="20"/>
      <c r="E220" s="20"/>
      <c r="F220" s="20"/>
      <c r="G220" s="20"/>
      <c r="H220" s="20"/>
      <c r="I220" s="20"/>
      <c r="J220" s="18"/>
      <c r="K220" s="21" t="str">
        <f aca="false">IF(A220="","",IF(I220="",0,LEN(I220)-LEN(SUBSTITUTE(I220,",",""))+1))</f>
        <v/>
      </c>
      <c r="L220" s="21" t="str">
        <f aca="false">IF(A220="","",COUNTIF('Metric to Product'!$A:$A,A220))</f>
        <v/>
      </c>
      <c r="M220" s="21" t="str">
        <f aca="false">IF(A220="","",COUNTIF('Metric to Field'!$A:$A,A220))</f>
        <v/>
      </c>
      <c r="N220" s="21" t="str">
        <f aca="false">IF(B220="","",COUNTIF($B:$B,B220))</f>
        <v/>
      </c>
      <c r="O220" s="21" t="str">
        <f aca="false">IF(A220="","",COUNTIF($S:$S,S220)-1)</f>
        <v/>
      </c>
      <c r="P220" s="20"/>
      <c r="Q220" s="20"/>
      <c r="R220" s="20"/>
      <c r="S220" s="18" t="str">
        <f aca="false">IF(A220="","",LOWER(TRIM(D220&amp;"|"&amp;E220&amp;"|"&amp;F220)))</f>
        <v/>
      </c>
      <c r="T220" s="20"/>
      <c r="U220" s="20"/>
      <c r="V220" s="20"/>
      <c r="W220" s="20"/>
      <c r="X220" s="20"/>
    </row>
    <row r="221" customFormat="false" ht="15" hidden="false" customHeight="false" outlineLevel="0" collapsed="false">
      <c r="A221" s="18"/>
      <c r="B221" s="20"/>
      <c r="C221" s="19"/>
      <c r="D221" s="20"/>
      <c r="E221" s="20"/>
      <c r="F221" s="20"/>
      <c r="G221" s="20"/>
      <c r="H221" s="20"/>
      <c r="I221" s="20"/>
      <c r="J221" s="18"/>
      <c r="K221" s="21" t="str">
        <f aca="false">IF(A221="","",IF(I221="",0,LEN(I221)-LEN(SUBSTITUTE(I221,",",""))+1))</f>
        <v/>
      </c>
      <c r="L221" s="21" t="str">
        <f aca="false">IF(A221="","",COUNTIF('Metric to Product'!$A:$A,A221))</f>
        <v/>
      </c>
      <c r="M221" s="21" t="str">
        <f aca="false">IF(A221="","",COUNTIF('Metric to Field'!$A:$A,A221))</f>
        <v/>
      </c>
      <c r="N221" s="21" t="str">
        <f aca="false">IF(B221="","",COUNTIF($B:$B,B221))</f>
        <v/>
      </c>
      <c r="O221" s="21" t="str">
        <f aca="false">IF(A221="","",COUNTIF($S:$S,S221)-1)</f>
        <v/>
      </c>
      <c r="P221" s="20"/>
      <c r="Q221" s="20"/>
      <c r="R221" s="20"/>
      <c r="S221" s="18" t="str">
        <f aca="false">IF(A221="","",LOWER(TRIM(D221&amp;"|"&amp;E221&amp;"|"&amp;F221)))</f>
        <v/>
      </c>
      <c r="T221" s="20"/>
      <c r="U221" s="20"/>
      <c r="V221" s="20"/>
      <c r="W221" s="20"/>
      <c r="X221" s="20"/>
    </row>
    <row r="222" customFormat="false" ht="15" hidden="false" customHeight="false" outlineLevel="0" collapsed="false">
      <c r="A222" s="18"/>
      <c r="B222" s="20"/>
      <c r="C222" s="19"/>
      <c r="D222" s="20"/>
      <c r="E222" s="20"/>
      <c r="F222" s="20"/>
      <c r="G222" s="20"/>
      <c r="H222" s="20"/>
      <c r="I222" s="20"/>
      <c r="J222" s="18"/>
      <c r="K222" s="21" t="str">
        <f aca="false">IF(A222="","",IF(I222="",0,LEN(I222)-LEN(SUBSTITUTE(I222,",",""))+1))</f>
        <v/>
      </c>
      <c r="L222" s="21" t="str">
        <f aca="false">IF(A222="","",COUNTIF('Metric to Product'!$A:$A,A222))</f>
        <v/>
      </c>
      <c r="M222" s="21" t="str">
        <f aca="false">IF(A222="","",COUNTIF('Metric to Field'!$A:$A,A222))</f>
        <v/>
      </c>
      <c r="N222" s="21" t="str">
        <f aca="false">IF(B222="","",COUNTIF($B:$B,B222))</f>
        <v/>
      </c>
      <c r="O222" s="21" t="str">
        <f aca="false">IF(A222="","",COUNTIF($S:$S,S222)-1)</f>
        <v/>
      </c>
      <c r="P222" s="20"/>
      <c r="Q222" s="20"/>
      <c r="R222" s="20"/>
      <c r="S222" s="18" t="str">
        <f aca="false">IF(A222="","",LOWER(TRIM(D222&amp;"|"&amp;E222&amp;"|"&amp;F222)))</f>
        <v/>
      </c>
      <c r="T222" s="20"/>
      <c r="U222" s="20"/>
      <c r="V222" s="20"/>
      <c r="W222" s="20"/>
      <c r="X222" s="20"/>
    </row>
    <row r="223" customFormat="false" ht="15" hidden="false" customHeight="false" outlineLevel="0" collapsed="false">
      <c r="A223" s="18"/>
      <c r="B223" s="20"/>
      <c r="C223" s="19"/>
      <c r="D223" s="20"/>
      <c r="E223" s="20"/>
      <c r="F223" s="20"/>
      <c r="G223" s="20"/>
      <c r="H223" s="20"/>
      <c r="I223" s="20"/>
      <c r="J223" s="18"/>
      <c r="K223" s="21" t="str">
        <f aca="false">IF(A223="","",IF(I223="",0,LEN(I223)-LEN(SUBSTITUTE(I223,",",""))+1))</f>
        <v/>
      </c>
      <c r="L223" s="21" t="str">
        <f aca="false">IF(A223="","",COUNTIF('Metric to Product'!$A:$A,A223))</f>
        <v/>
      </c>
      <c r="M223" s="21" t="str">
        <f aca="false">IF(A223="","",COUNTIF('Metric to Field'!$A:$A,A223))</f>
        <v/>
      </c>
      <c r="N223" s="21" t="str">
        <f aca="false">IF(B223="","",COUNTIF($B:$B,B223))</f>
        <v/>
      </c>
      <c r="O223" s="21" t="str">
        <f aca="false">IF(A223="","",COUNTIF($S:$S,S223)-1)</f>
        <v/>
      </c>
      <c r="P223" s="20"/>
      <c r="Q223" s="20"/>
      <c r="R223" s="20"/>
      <c r="S223" s="18" t="str">
        <f aca="false">IF(A223="","",LOWER(TRIM(D223&amp;"|"&amp;E223&amp;"|"&amp;F223)))</f>
        <v/>
      </c>
      <c r="T223" s="20"/>
      <c r="U223" s="20"/>
      <c r="V223" s="20"/>
      <c r="W223" s="20"/>
      <c r="X223" s="20"/>
    </row>
    <row r="224" customFormat="false" ht="15" hidden="false" customHeight="false" outlineLevel="0" collapsed="false">
      <c r="A224" s="18"/>
      <c r="B224" s="20"/>
      <c r="C224" s="19"/>
      <c r="D224" s="20"/>
      <c r="E224" s="20"/>
      <c r="F224" s="20"/>
      <c r="G224" s="20"/>
      <c r="H224" s="20"/>
      <c r="I224" s="20"/>
      <c r="J224" s="18"/>
      <c r="K224" s="21" t="str">
        <f aca="false">IF(A224="","",IF(I224="",0,LEN(I224)-LEN(SUBSTITUTE(I224,",",""))+1))</f>
        <v/>
      </c>
      <c r="L224" s="21" t="str">
        <f aca="false">IF(A224="","",COUNTIF('Metric to Product'!$A:$A,A224))</f>
        <v/>
      </c>
      <c r="M224" s="21" t="str">
        <f aca="false">IF(A224="","",COUNTIF('Metric to Field'!$A:$A,A224))</f>
        <v/>
      </c>
      <c r="N224" s="21" t="str">
        <f aca="false">IF(B224="","",COUNTIF($B:$B,B224))</f>
        <v/>
      </c>
      <c r="O224" s="21" t="str">
        <f aca="false">IF(A224="","",COUNTIF($S:$S,S224)-1)</f>
        <v/>
      </c>
      <c r="P224" s="20"/>
      <c r="Q224" s="20"/>
      <c r="R224" s="20"/>
      <c r="S224" s="18" t="str">
        <f aca="false">IF(A224="","",LOWER(TRIM(D224&amp;"|"&amp;E224&amp;"|"&amp;F224)))</f>
        <v/>
      </c>
      <c r="T224" s="20"/>
      <c r="U224" s="20"/>
      <c r="V224" s="20"/>
      <c r="W224" s="20"/>
      <c r="X224" s="20"/>
    </row>
    <row r="225" customFormat="false" ht="15" hidden="false" customHeight="false" outlineLevel="0" collapsed="false">
      <c r="A225" s="18"/>
      <c r="B225" s="20"/>
      <c r="C225" s="19"/>
      <c r="D225" s="20"/>
      <c r="E225" s="20"/>
      <c r="F225" s="20"/>
      <c r="G225" s="20"/>
      <c r="H225" s="20"/>
      <c r="I225" s="20"/>
      <c r="J225" s="18"/>
      <c r="K225" s="21" t="str">
        <f aca="false">IF(A225="","",IF(I225="",0,LEN(I225)-LEN(SUBSTITUTE(I225,",",""))+1))</f>
        <v/>
      </c>
      <c r="L225" s="21" t="str">
        <f aca="false">IF(A225="","",COUNTIF('Metric to Product'!$A:$A,A225))</f>
        <v/>
      </c>
      <c r="M225" s="21" t="str">
        <f aca="false">IF(A225="","",COUNTIF('Metric to Field'!$A:$A,A225))</f>
        <v/>
      </c>
      <c r="N225" s="21" t="str">
        <f aca="false">IF(B225="","",COUNTIF($B:$B,B225))</f>
        <v/>
      </c>
      <c r="O225" s="21" t="str">
        <f aca="false">IF(A225="","",COUNTIF($S:$S,S225)-1)</f>
        <v/>
      </c>
      <c r="P225" s="20"/>
      <c r="Q225" s="20"/>
      <c r="R225" s="20"/>
      <c r="S225" s="18" t="str">
        <f aca="false">IF(A225="","",LOWER(TRIM(D225&amp;"|"&amp;E225&amp;"|"&amp;F225)))</f>
        <v/>
      </c>
      <c r="T225" s="20"/>
      <c r="U225" s="20"/>
      <c r="V225" s="20"/>
      <c r="W225" s="20"/>
      <c r="X225" s="20"/>
    </row>
    <row r="226" customFormat="false" ht="15" hidden="false" customHeight="false" outlineLevel="0" collapsed="false">
      <c r="A226" s="18"/>
      <c r="B226" s="20"/>
      <c r="C226" s="19"/>
      <c r="D226" s="20"/>
      <c r="E226" s="20"/>
      <c r="F226" s="20"/>
      <c r="G226" s="20"/>
      <c r="H226" s="20"/>
      <c r="I226" s="20"/>
      <c r="J226" s="18"/>
      <c r="K226" s="21" t="str">
        <f aca="false">IF(A226="","",IF(I226="",0,LEN(I226)-LEN(SUBSTITUTE(I226,",",""))+1))</f>
        <v/>
      </c>
      <c r="L226" s="21" t="str">
        <f aca="false">IF(A226="","",COUNTIF('Metric to Product'!$A:$A,A226))</f>
        <v/>
      </c>
      <c r="M226" s="21" t="str">
        <f aca="false">IF(A226="","",COUNTIF('Metric to Field'!$A:$A,A226))</f>
        <v/>
      </c>
      <c r="N226" s="21" t="str">
        <f aca="false">IF(B226="","",COUNTIF($B:$B,B226))</f>
        <v/>
      </c>
      <c r="O226" s="21" t="str">
        <f aca="false">IF(A226="","",COUNTIF($S:$S,S226)-1)</f>
        <v/>
      </c>
      <c r="P226" s="20"/>
      <c r="Q226" s="20"/>
      <c r="R226" s="20"/>
      <c r="S226" s="18" t="str">
        <f aca="false">IF(A226="","",LOWER(TRIM(D226&amp;"|"&amp;E226&amp;"|"&amp;F226)))</f>
        <v/>
      </c>
      <c r="T226" s="20"/>
      <c r="U226" s="20"/>
      <c r="V226" s="20"/>
      <c r="W226" s="20"/>
      <c r="X226" s="20"/>
    </row>
    <row r="227" customFormat="false" ht="15" hidden="false" customHeight="false" outlineLevel="0" collapsed="false">
      <c r="A227" s="18"/>
      <c r="B227" s="20"/>
      <c r="C227" s="19"/>
      <c r="D227" s="20"/>
      <c r="E227" s="20"/>
      <c r="F227" s="20"/>
      <c r="G227" s="20"/>
      <c r="H227" s="20"/>
      <c r="I227" s="20"/>
      <c r="J227" s="18"/>
      <c r="K227" s="21" t="str">
        <f aca="false">IF(A227="","",IF(I227="",0,LEN(I227)-LEN(SUBSTITUTE(I227,",",""))+1))</f>
        <v/>
      </c>
      <c r="L227" s="21" t="str">
        <f aca="false">IF(A227="","",COUNTIF('Metric to Product'!$A:$A,A227))</f>
        <v/>
      </c>
      <c r="M227" s="21" t="str">
        <f aca="false">IF(A227="","",COUNTIF('Metric to Field'!$A:$A,A227))</f>
        <v/>
      </c>
      <c r="N227" s="21" t="str">
        <f aca="false">IF(B227="","",COUNTIF($B:$B,B227))</f>
        <v/>
      </c>
      <c r="O227" s="21" t="str">
        <f aca="false">IF(A227="","",COUNTIF($S:$S,S227)-1)</f>
        <v/>
      </c>
      <c r="P227" s="20"/>
      <c r="Q227" s="20"/>
      <c r="R227" s="20"/>
      <c r="S227" s="18" t="str">
        <f aca="false">IF(A227="","",LOWER(TRIM(D227&amp;"|"&amp;E227&amp;"|"&amp;F227)))</f>
        <v/>
      </c>
      <c r="T227" s="20"/>
      <c r="U227" s="20"/>
      <c r="V227" s="20"/>
      <c r="W227" s="20"/>
      <c r="X227" s="20"/>
    </row>
    <row r="228" customFormat="false" ht="15" hidden="false" customHeight="false" outlineLevel="0" collapsed="false">
      <c r="A228" s="18"/>
      <c r="B228" s="20"/>
      <c r="C228" s="19"/>
      <c r="D228" s="20"/>
      <c r="E228" s="20"/>
      <c r="F228" s="20"/>
      <c r="G228" s="20"/>
      <c r="H228" s="20"/>
      <c r="I228" s="20"/>
      <c r="J228" s="18"/>
      <c r="K228" s="21" t="str">
        <f aca="false">IF(A228="","",IF(I228="",0,LEN(I228)-LEN(SUBSTITUTE(I228,",",""))+1))</f>
        <v/>
      </c>
      <c r="L228" s="21" t="str">
        <f aca="false">IF(A228="","",COUNTIF('Metric to Product'!$A:$A,A228))</f>
        <v/>
      </c>
      <c r="M228" s="21" t="str">
        <f aca="false">IF(A228="","",COUNTIF('Metric to Field'!$A:$A,A228))</f>
        <v/>
      </c>
      <c r="N228" s="21" t="str">
        <f aca="false">IF(B228="","",COUNTIF($B:$B,B228))</f>
        <v/>
      </c>
      <c r="O228" s="21" t="str">
        <f aca="false">IF(A228="","",COUNTIF($S:$S,S228)-1)</f>
        <v/>
      </c>
      <c r="P228" s="20"/>
      <c r="Q228" s="20"/>
      <c r="R228" s="20"/>
      <c r="S228" s="18" t="str">
        <f aca="false">IF(A228="","",LOWER(TRIM(D228&amp;"|"&amp;E228&amp;"|"&amp;F228)))</f>
        <v/>
      </c>
      <c r="T228" s="20"/>
      <c r="U228" s="20"/>
      <c r="V228" s="20"/>
      <c r="W228" s="20"/>
      <c r="X228" s="20"/>
    </row>
    <row r="229" customFormat="false" ht="15" hidden="false" customHeight="false" outlineLevel="0" collapsed="false">
      <c r="A229" s="18"/>
      <c r="B229" s="20"/>
      <c r="C229" s="19"/>
      <c r="D229" s="20"/>
      <c r="E229" s="20"/>
      <c r="F229" s="20"/>
      <c r="G229" s="20"/>
      <c r="H229" s="20"/>
      <c r="I229" s="20"/>
      <c r="J229" s="18"/>
      <c r="K229" s="21" t="str">
        <f aca="false">IF(A229="","",IF(I229="",0,LEN(I229)-LEN(SUBSTITUTE(I229,",",""))+1))</f>
        <v/>
      </c>
      <c r="L229" s="21" t="str">
        <f aca="false">IF(A229="","",COUNTIF('Metric to Product'!$A:$A,A229))</f>
        <v/>
      </c>
      <c r="M229" s="21" t="str">
        <f aca="false">IF(A229="","",COUNTIF('Metric to Field'!$A:$A,A229))</f>
        <v/>
      </c>
      <c r="N229" s="21" t="str">
        <f aca="false">IF(B229="","",COUNTIF($B:$B,B229))</f>
        <v/>
      </c>
      <c r="O229" s="21" t="str">
        <f aca="false">IF(A229="","",COUNTIF($S:$S,S229)-1)</f>
        <v/>
      </c>
      <c r="P229" s="20"/>
      <c r="Q229" s="20"/>
      <c r="R229" s="20"/>
      <c r="S229" s="18" t="str">
        <f aca="false">IF(A229="","",LOWER(TRIM(D229&amp;"|"&amp;E229&amp;"|"&amp;F229)))</f>
        <v/>
      </c>
      <c r="T229" s="20"/>
      <c r="U229" s="20"/>
      <c r="V229" s="20"/>
      <c r="W229" s="20"/>
      <c r="X229" s="20"/>
    </row>
    <row r="230" customFormat="false" ht="15" hidden="false" customHeight="false" outlineLevel="0" collapsed="false">
      <c r="A230" s="18"/>
      <c r="B230" s="20"/>
      <c r="C230" s="19"/>
      <c r="D230" s="20"/>
      <c r="E230" s="20"/>
      <c r="F230" s="20"/>
      <c r="G230" s="20"/>
      <c r="H230" s="20"/>
      <c r="I230" s="20"/>
      <c r="J230" s="18"/>
      <c r="K230" s="21" t="str">
        <f aca="false">IF(A230="","",IF(I230="",0,LEN(I230)-LEN(SUBSTITUTE(I230,",",""))+1))</f>
        <v/>
      </c>
      <c r="L230" s="21" t="str">
        <f aca="false">IF(A230="","",COUNTIF('Metric to Product'!$A:$A,A230))</f>
        <v/>
      </c>
      <c r="M230" s="21" t="str">
        <f aca="false">IF(A230="","",COUNTIF('Metric to Field'!$A:$A,A230))</f>
        <v/>
      </c>
      <c r="N230" s="21" t="str">
        <f aca="false">IF(B230="","",COUNTIF($B:$B,B230))</f>
        <v/>
      </c>
      <c r="O230" s="21" t="str">
        <f aca="false">IF(A230="","",COUNTIF($S:$S,S230)-1)</f>
        <v/>
      </c>
      <c r="P230" s="20"/>
      <c r="Q230" s="20"/>
      <c r="R230" s="20"/>
      <c r="S230" s="18" t="str">
        <f aca="false">IF(A230="","",LOWER(TRIM(D230&amp;"|"&amp;E230&amp;"|"&amp;F230)))</f>
        <v/>
      </c>
      <c r="T230" s="20"/>
      <c r="U230" s="20"/>
      <c r="V230" s="20"/>
      <c r="W230" s="20"/>
      <c r="X230" s="20"/>
    </row>
    <row r="231" customFormat="false" ht="15" hidden="false" customHeight="false" outlineLevel="0" collapsed="false">
      <c r="A231" s="18"/>
      <c r="B231" s="20"/>
      <c r="C231" s="19"/>
      <c r="D231" s="20"/>
      <c r="E231" s="20"/>
      <c r="F231" s="20"/>
      <c r="G231" s="20"/>
      <c r="H231" s="20"/>
      <c r="I231" s="20"/>
      <c r="J231" s="18"/>
      <c r="K231" s="21" t="str">
        <f aca="false">IF(A231="","",IF(I231="",0,LEN(I231)-LEN(SUBSTITUTE(I231,",",""))+1))</f>
        <v/>
      </c>
      <c r="L231" s="21" t="str">
        <f aca="false">IF(A231="","",COUNTIF('Metric to Product'!$A:$A,A231))</f>
        <v/>
      </c>
      <c r="M231" s="21" t="str">
        <f aca="false">IF(A231="","",COUNTIF('Metric to Field'!$A:$A,A231))</f>
        <v/>
      </c>
      <c r="N231" s="21" t="str">
        <f aca="false">IF(B231="","",COUNTIF($B:$B,B231))</f>
        <v/>
      </c>
      <c r="O231" s="21" t="str">
        <f aca="false">IF(A231="","",COUNTIF($S:$S,S231)-1)</f>
        <v/>
      </c>
      <c r="P231" s="20"/>
      <c r="Q231" s="20"/>
      <c r="R231" s="20"/>
      <c r="S231" s="18" t="str">
        <f aca="false">IF(A231="","",LOWER(TRIM(D231&amp;"|"&amp;E231&amp;"|"&amp;F231)))</f>
        <v/>
      </c>
      <c r="T231" s="20"/>
      <c r="U231" s="20"/>
      <c r="V231" s="20"/>
      <c r="W231" s="20"/>
      <c r="X231" s="20"/>
    </row>
    <row r="232" customFormat="false" ht="15" hidden="false" customHeight="false" outlineLevel="0" collapsed="false">
      <c r="A232" s="18"/>
      <c r="B232" s="20"/>
      <c r="C232" s="19"/>
      <c r="D232" s="20"/>
      <c r="E232" s="20"/>
      <c r="F232" s="20"/>
      <c r="G232" s="20"/>
      <c r="H232" s="20"/>
      <c r="I232" s="20"/>
      <c r="J232" s="18"/>
      <c r="K232" s="21" t="str">
        <f aca="false">IF(A232="","",IF(I232="",0,LEN(I232)-LEN(SUBSTITUTE(I232,",",""))+1))</f>
        <v/>
      </c>
      <c r="L232" s="21" t="str">
        <f aca="false">IF(A232="","",COUNTIF('Metric to Product'!$A:$A,A232))</f>
        <v/>
      </c>
      <c r="M232" s="21" t="str">
        <f aca="false">IF(A232="","",COUNTIF('Metric to Field'!$A:$A,A232))</f>
        <v/>
      </c>
      <c r="N232" s="21" t="str">
        <f aca="false">IF(B232="","",COUNTIF($B:$B,B232))</f>
        <v/>
      </c>
      <c r="O232" s="21" t="str">
        <f aca="false">IF(A232="","",COUNTIF($S:$S,S232)-1)</f>
        <v/>
      </c>
      <c r="P232" s="20"/>
      <c r="Q232" s="20"/>
      <c r="R232" s="20"/>
      <c r="S232" s="18" t="str">
        <f aca="false">IF(A232="","",LOWER(TRIM(D232&amp;"|"&amp;E232&amp;"|"&amp;F232)))</f>
        <v/>
      </c>
      <c r="T232" s="20"/>
      <c r="U232" s="20"/>
      <c r="V232" s="20"/>
      <c r="W232" s="20"/>
      <c r="X232" s="20"/>
    </row>
    <row r="233" customFormat="false" ht="15" hidden="false" customHeight="false" outlineLevel="0" collapsed="false">
      <c r="A233" s="18"/>
      <c r="B233" s="20"/>
      <c r="C233" s="19"/>
      <c r="D233" s="20"/>
      <c r="E233" s="20"/>
      <c r="F233" s="20"/>
      <c r="G233" s="20"/>
      <c r="H233" s="20"/>
      <c r="I233" s="20"/>
      <c r="J233" s="18"/>
      <c r="K233" s="21" t="str">
        <f aca="false">IF(A233="","",IF(I233="",0,LEN(I233)-LEN(SUBSTITUTE(I233,",",""))+1))</f>
        <v/>
      </c>
      <c r="L233" s="21" t="str">
        <f aca="false">IF(A233="","",COUNTIF('Metric to Product'!$A:$A,A233))</f>
        <v/>
      </c>
      <c r="M233" s="21" t="str">
        <f aca="false">IF(A233="","",COUNTIF('Metric to Field'!$A:$A,A233))</f>
        <v/>
      </c>
      <c r="N233" s="21" t="str">
        <f aca="false">IF(B233="","",COUNTIF($B:$B,B233))</f>
        <v/>
      </c>
      <c r="O233" s="21" t="str">
        <f aca="false">IF(A233="","",COUNTIF($S:$S,S233)-1)</f>
        <v/>
      </c>
      <c r="P233" s="20"/>
      <c r="Q233" s="20"/>
      <c r="R233" s="20"/>
      <c r="S233" s="18" t="str">
        <f aca="false">IF(A233="","",LOWER(TRIM(D233&amp;"|"&amp;E233&amp;"|"&amp;F233)))</f>
        <v/>
      </c>
      <c r="T233" s="20"/>
      <c r="U233" s="20"/>
      <c r="V233" s="20"/>
      <c r="W233" s="20"/>
      <c r="X233" s="20"/>
    </row>
    <row r="234" customFormat="false" ht="15" hidden="false" customHeight="false" outlineLevel="0" collapsed="false">
      <c r="A234" s="18"/>
      <c r="B234" s="20"/>
      <c r="C234" s="19"/>
      <c r="D234" s="20"/>
      <c r="E234" s="20"/>
      <c r="F234" s="20"/>
      <c r="G234" s="20"/>
      <c r="H234" s="20"/>
      <c r="I234" s="20"/>
      <c r="J234" s="18"/>
      <c r="K234" s="21" t="str">
        <f aca="false">IF(A234="","",IF(I234="",0,LEN(I234)-LEN(SUBSTITUTE(I234,",",""))+1))</f>
        <v/>
      </c>
      <c r="L234" s="21" t="str">
        <f aca="false">IF(A234="","",COUNTIF('Metric to Product'!$A:$A,A234))</f>
        <v/>
      </c>
      <c r="M234" s="21" t="str">
        <f aca="false">IF(A234="","",COUNTIF('Metric to Field'!$A:$A,A234))</f>
        <v/>
      </c>
      <c r="N234" s="21" t="str">
        <f aca="false">IF(B234="","",COUNTIF($B:$B,B234))</f>
        <v/>
      </c>
      <c r="O234" s="21" t="str">
        <f aca="false">IF(A234="","",COUNTIF($S:$S,S234)-1)</f>
        <v/>
      </c>
      <c r="P234" s="20"/>
      <c r="Q234" s="20"/>
      <c r="R234" s="20"/>
      <c r="S234" s="18" t="str">
        <f aca="false">IF(A234="","",LOWER(TRIM(D234&amp;"|"&amp;E234&amp;"|"&amp;F234)))</f>
        <v/>
      </c>
      <c r="T234" s="20"/>
      <c r="U234" s="20"/>
      <c r="V234" s="20"/>
      <c r="W234" s="20"/>
      <c r="X234" s="20"/>
    </row>
    <row r="235" customFormat="false" ht="15" hidden="false" customHeight="false" outlineLevel="0" collapsed="false">
      <c r="A235" s="18"/>
      <c r="B235" s="20"/>
      <c r="C235" s="19"/>
      <c r="D235" s="20"/>
      <c r="E235" s="20"/>
      <c r="F235" s="20"/>
      <c r="G235" s="20"/>
      <c r="H235" s="20"/>
      <c r="I235" s="20"/>
      <c r="J235" s="18"/>
      <c r="K235" s="21" t="str">
        <f aca="false">IF(A235="","",IF(I235="",0,LEN(I235)-LEN(SUBSTITUTE(I235,",",""))+1))</f>
        <v/>
      </c>
      <c r="L235" s="21" t="str">
        <f aca="false">IF(A235="","",COUNTIF('Metric to Product'!$A:$A,A235))</f>
        <v/>
      </c>
      <c r="M235" s="21" t="str">
        <f aca="false">IF(A235="","",COUNTIF('Metric to Field'!$A:$A,A235))</f>
        <v/>
      </c>
      <c r="N235" s="21" t="str">
        <f aca="false">IF(B235="","",COUNTIF($B:$B,B235))</f>
        <v/>
      </c>
      <c r="O235" s="21" t="str">
        <f aca="false">IF(A235="","",COUNTIF($S:$S,S235)-1)</f>
        <v/>
      </c>
      <c r="P235" s="20"/>
      <c r="Q235" s="20"/>
      <c r="R235" s="20"/>
      <c r="S235" s="18" t="str">
        <f aca="false">IF(A235="","",LOWER(TRIM(D235&amp;"|"&amp;E235&amp;"|"&amp;F235)))</f>
        <v/>
      </c>
      <c r="T235" s="20"/>
      <c r="U235" s="20"/>
      <c r="V235" s="20"/>
      <c r="W235" s="20"/>
      <c r="X235" s="20"/>
    </row>
    <row r="236" customFormat="false" ht="15" hidden="false" customHeight="false" outlineLevel="0" collapsed="false">
      <c r="A236" s="18"/>
      <c r="B236" s="20"/>
      <c r="C236" s="19"/>
      <c r="D236" s="20"/>
      <c r="E236" s="20"/>
      <c r="F236" s="20"/>
      <c r="G236" s="20"/>
      <c r="H236" s="20"/>
      <c r="I236" s="20"/>
      <c r="J236" s="18"/>
      <c r="K236" s="21" t="str">
        <f aca="false">IF(A236="","",IF(I236="",0,LEN(I236)-LEN(SUBSTITUTE(I236,",",""))+1))</f>
        <v/>
      </c>
      <c r="L236" s="21" t="str">
        <f aca="false">IF(A236="","",COUNTIF('Metric to Product'!$A:$A,A236))</f>
        <v/>
      </c>
      <c r="M236" s="21" t="str">
        <f aca="false">IF(A236="","",COUNTIF('Metric to Field'!$A:$A,A236))</f>
        <v/>
      </c>
      <c r="N236" s="21" t="str">
        <f aca="false">IF(B236="","",COUNTIF($B:$B,B236))</f>
        <v/>
      </c>
      <c r="O236" s="21" t="str">
        <f aca="false">IF(A236="","",COUNTIF($S:$S,S236)-1)</f>
        <v/>
      </c>
      <c r="P236" s="20"/>
      <c r="Q236" s="20"/>
      <c r="R236" s="20"/>
      <c r="S236" s="18" t="str">
        <f aca="false">IF(A236="","",LOWER(TRIM(D236&amp;"|"&amp;E236&amp;"|"&amp;F236)))</f>
        <v/>
      </c>
      <c r="T236" s="20"/>
      <c r="U236" s="20"/>
      <c r="V236" s="20"/>
      <c r="W236" s="20"/>
      <c r="X236" s="20"/>
    </row>
    <row r="237" customFormat="false" ht="15" hidden="false" customHeight="false" outlineLevel="0" collapsed="false">
      <c r="A237" s="18"/>
      <c r="B237" s="20"/>
      <c r="C237" s="19"/>
      <c r="D237" s="20"/>
      <c r="E237" s="20"/>
      <c r="F237" s="20"/>
      <c r="G237" s="20"/>
      <c r="H237" s="20"/>
      <c r="I237" s="20"/>
      <c r="J237" s="18"/>
      <c r="K237" s="21" t="str">
        <f aca="false">IF(A237="","",IF(I237="",0,LEN(I237)-LEN(SUBSTITUTE(I237,",",""))+1))</f>
        <v/>
      </c>
      <c r="L237" s="21" t="str">
        <f aca="false">IF(A237="","",COUNTIF('Metric to Product'!$A:$A,A237))</f>
        <v/>
      </c>
      <c r="M237" s="21" t="str">
        <f aca="false">IF(A237="","",COUNTIF('Metric to Field'!$A:$A,A237))</f>
        <v/>
      </c>
      <c r="N237" s="21" t="str">
        <f aca="false">IF(B237="","",COUNTIF($B:$B,B237))</f>
        <v/>
      </c>
      <c r="O237" s="21" t="str">
        <f aca="false">IF(A237="","",COUNTIF($S:$S,S237)-1)</f>
        <v/>
      </c>
      <c r="P237" s="20"/>
      <c r="Q237" s="20"/>
      <c r="R237" s="20"/>
      <c r="S237" s="18" t="str">
        <f aca="false">IF(A237="","",LOWER(TRIM(D237&amp;"|"&amp;E237&amp;"|"&amp;F237)))</f>
        <v/>
      </c>
      <c r="T237" s="20"/>
      <c r="U237" s="20"/>
      <c r="V237" s="20"/>
      <c r="W237" s="20"/>
      <c r="X237" s="20"/>
    </row>
    <row r="238" customFormat="false" ht="15" hidden="false" customHeight="false" outlineLevel="0" collapsed="false">
      <c r="A238" s="18"/>
      <c r="B238" s="20"/>
      <c r="C238" s="19"/>
      <c r="D238" s="20"/>
      <c r="E238" s="20"/>
      <c r="F238" s="20"/>
      <c r="G238" s="20"/>
      <c r="H238" s="20"/>
      <c r="I238" s="20"/>
      <c r="J238" s="18"/>
      <c r="K238" s="21" t="str">
        <f aca="false">IF(A238="","",IF(I238="",0,LEN(I238)-LEN(SUBSTITUTE(I238,",",""))+1))</f>
        <v/>
      </c>
      <c r="L238" s="21" t="str">
        <f aca="false">IF(A238="","",COUNTIF('Metric to Product'!$A:$A,A238))</f>
        <v/>
      </c>
      <c r="M238" s="21" t="str">
        <f aca="false">IF(A238="","",COUNTIF('Metric to Field'!$A:$A,A238))</f>
        <v/>
      </c>
      <c r="N238" s="21" t="str">
        <f aca="false">IF(B238="","",COUNTIF($B:$B,B238))</f>
        <v/>
      </c>
      <c r="O238" s="21" t="str">
        <f aca="false">IF(A238="","",COUNTIF($S:$S,S238)-1)</f>
        <v/>
      </c>
      <c r="P238" s="20"/>
      <c r="Q238" s="20"/>
      <c r="R238" s="20"/>
      <c r="S238" s="18" t="str">
        <f aca="false">IF(A238="","",LOWER(TRIM(D238&amp;"|"&amp;E238&amp;"|"&amp;F238)))</f>
        <v/>
      </c>
      <c r="T238" s="20"/>
      <c r="U238" s="20"/>
      <c r="V238" s="20"/>
      <c r="W238" s="20"/>
      <c r="X238" s="20"/>
    </row>
    <row r="239" customFormat="false" ht="15" hidden="false" customHeight="false" outlineLevel="0" collapsed="false">
      <c r="A239" s="18"/>
      <c r="B239" s="20"/>
      <c r="C239" s="19"/>
      <c r="D239" s="20"/>
      <c r="E239" s="20"/>
      <c r="F239" s="20"/>
      <c r="G239" s="20"/>
      <c r="H239" s="20"/>
      <c r="I239" s="20"/>
      <c r="J239" s="18"/>
      <c r="K239" s="21" t="str">
        <f aca="false">IF(A239="","",IF(I239="",0,LEN(I239)-LEN(SUBSTITUTE(I239,",",""))+1))</f>
        <v/>
      </c>
      <c r="L239" s="21" t="str">
        <f aca="false">IF(A239="","",COUNTIF('Metric to Product'!$A:$A,A239))</f>
        <v/>
      </c>
      <c r="M239" s="21" t="str">
        <f aca="false">IF(A239="","",COUNTIF('Metric to Field'!$A:$A,A239))</f>
        <v/>
      </c>
      <c r="N239" s="21" t="str">
        <f aca="false">IF(B239="","",COUNTIF($B:$B,B239))</f>
        <v/>
      </c>
      <c r="O239" s="21" t="str">
        <f aca="false">IF(A239="","",COUNTIF($S:$S,S239)-1)</f>
        <v/>
      </c>
      <c r="P239" s="20"/>
      <c r="Q239" s="20"/>
      <c r="R239" s="20"/>
      <c r="S239" s="18" t="str">
        <f aca="false">IF(A239="","",LOWER(TRIM(D239&amp;"|"&amp;E239&amp;"|"&amp;F239)))</f>
        <v/>
      </c>
      <c r="T239" s="20"/>
      <c r="U239" s="20"/>
      <c r="V239" s="20"/>
      <c r="W239" s="20"/>
      <c r="X239" s="20"/>
    </row>
    <row r="240" customFormat="false" ht="15" hidden="false" customHeight="false" outlineLevel="0" collapsed="false">
      <c r="A240" s="18"/>
      <c r="B240" s="20"/>
      <c r="C240" s="19"/>
      <c r="D240" s="20"/>
      <c r="E240" s="20"/>
      <c r="F240" s="20"/>
      <c r="G240" s="20"/>
      <c r="H240" s="20"/>
      <c r="I240" s="20"/>
      <c r="J240" s="18"/>
      <c r="K240" s="21" t="str">
        <f aca="false">IF(A240="","",IF(I240="",0,LEN(I240)-LEN(SUBSTITUTE(I240,",",""))+1))</f>
        <v/>
      </c>
      <c r="L240" s="21" t="str">
        <f aca="false">IF(A240="","",COUNTIF('Metric to Product'!$A:$A,A240))</f>
        <v/>
      </c>
      <c r="M240" s="21" t="str">
        <f aca="false">IF(A240="","",COUNTIF('Metric to Field'!$A:$A,A240))</f>
        <v/>
      </c>
      <c r="N240" s="21" t="str">
        <f aca="false">IF(B240="","",COUNTIF($B:$B,B240))</f>
        <v/>
      </c>
      <c r="O240" s="21" t="str">
        <f aca="false">IF(A240="","",COUNTIF($S:$S,S240)-1)</f>
        <v/>
      </c>
      <c r="P240" s="20"/>
      <c r="Q240" s="20"/>
      <c r="R240" s="20"/>
      <c r="S240" s="18" t="str">
        <f aca="false">IF(A240="","",LOWER(TRIM(D240&amp;"|"&amp;E240&amp;"|"&amp;F240)))</f>
        <v/>
      </c>
      <c r="T240" s="20"/>
      <c r="U240" s="20"/>
      <c r="V240" s="20"/>
      <c r="W240" s="20"/>
      <c r="X240" s="20"/>
    </row>
    <row r="241" customFormat="false" ht="15" hidden="false" customHeight="false" outlineLevel="0" collapsed="false">
      <c r="A241" s="18"/>
      <c r="B241" s="20"/>
      <c r="C241" s="19"/>
      <c r="D241" s="20"/>
      <c r="E241" s="20"/>
      <c r="F241" s="20"/>
      <c r="G241" s="20"/>
      <c r="H241" s="20"/>
      <c r="I241" s="20"/>
      <c r="J241" s="18"/>
      <c r="K241" s="21" t="str">
        <f aca="false">IF(A241="","",IF(I241="",0,LEN(I241)-LEN(SUBSTITUTE(I241,",",""))+1))</f>
        <v/>
      </c>
      <c r="L241" s="21" t="str">
        <f aca="false">IF(A241="","",COUNTIF('Metric to Product'!$A:$A,A241))</f>
        <v/>
      </c>
      <c r="M241" s="21" t="str">
        <f aca="false">IF(A241="","",COUNTIF('Metric to Field'!$A:$A,A241))</f>
        <v/>
      </c>
      <c r="N241" s="21" t="str">
        <f aca="false">IF(B241="","",COUNTIF($B:$B,B241))</f>
        <v/>
      </c>
      <c r="O241" s="21" t="str">
        <f aca="false">IF(A241="","",COUNTIF($S:$S,S241)-1)</f>
        <v/>
      </c>
      <c r="P241" s="20"/>
      <c r="Q241" s="20"/>
      <c r="R241" s="20"/>
      <c r="S241" s="18" t="str">
        <f aca="false">IF(A241="","",LOWER(TRIM(D241&amp;"|"&amp;E241&amp;"|"&amp;F241)))</f>
        <v/>
      </c>
      <c r="T241" s="20"/>
      <c r="U241" s="20"/>
      <c r="V241" s="20"/>
      <c r="W241" s="20"/>
      <c r="X241" s="20"/>
    </row>
    <row r="242" customFormat="false" ht="15" hidden="false" customHeight="false" outlineLevel="0" collapsed="false">
      <c r="A242" s="18"/>
      <c r="B242" s="20"/>
      <c r="C242" s="19"/>
      <c r="D242" s="20"/>
      <c r="E242" s="20"/>
      <c r="F242" s="20"/>
      <c r="G242" s="20"/>
      <c r="H242" s="20"/>
      <c r="I242" s="20"/>
      <c r="J242" s="18"/>
      <c r="K242" s="21" t="str">
        <f aca="false">IF(A242="","",IF(I242="",0,LEN(I242)-LEN(SUBSTITUTE(I242,",",""))+1))</f>
        <v/>
      </c>
      <c r="L242" s="21" t="str">
        <f aca="false">IF(A242="","",COUNTIF('Metric to Product'!$A:$A,A242))</f>
        <v/>
      </c>
      <c r="M242" s="21" t="str">
        <f aca="false">IF(A242="","",COUNTIF('Metric to Field'!$A:$A,A242))</f>
        <v/>
      </c>
      <c r="N242" s="21" t="str">
        <f aca="false">IF(B242="","",COUNTIF($B:$B,B242))</f>
        <v/>
      </c>
      <c r="O242" s="21" t="str">
        <f aca="false">IF(A242="","",COUNTIF($S:$S,S242)-1)</f>
        <v/>
      </c>
      <c r="P242" s="20"/>
      <c r="Q242" s="20"/>
      <c r="R242" s="20"/>
      <c r="S242" s="18" t="str">
        <f aca="false">IF(A242="","",LOWER(TRIM(D242&amp;"|"&amp;E242&amp;"|"&amp;F242)))</f>
        <v/>
      </c>
      <c r="T242" s="20"/>
      <c r="U242" s="20"/>
      <c r="V242" s="20"/>
      <c r="W242" s="20"/>
      <c r="X242" s="20"/>
    </row>
    <row r="243" customFormat="false" ht="15" hidden="false" customHeight="false" outlineLevel="0" collapsed="false">
      <c r="A243" s="18"/>
      <c r="B243" s="20"/>
      <c r="C243" s="19"/>
      <c r="D243" s="20"/>
      <c r="E243" s="20"/>
      <c r="F243" s="20"/>
      <c r="G243" s="20"/>
      <c r="H243" s="20"/>
      <c r="I243" s="20"/>
      <c r="J243" s="18"/>
      <c r="K243" s="21" t="str">
        <f aca="false">IF(A243="","",IF(I243="",0,LEN(I243)-LEN(SUBSTITUTE(I243,",",""))+1))</f>
        <v/>
      </c>
      <c r="L243" s="21" t="str">
        <f aca="false">IF(A243="","",COUNTIF('Metric to Product'!$A:$A,A243))</f>
        <v/>
      </c>
      <c r="M243" s="21" t="str">
        <f aca="false">IF(A243="","",COUNTIF('Metric to Field'!$A:$A,A243))</f>
        <v/>
      </c>
      <c r="N243" s="21" t="str">
        <f aca="false">IF(B243="","",COUNTIF($B:$B,B243))</f>
        <v/>
      </c>
      <c r="O243" s="21" t="str">
        <f aca="false">IF(A243="","",COUNTIF($S:$S,S243)-1)</f>
        <v/>
      </c>
      <c r="P243" s="20"/>
      <c r="Q243" s="20"/>
      <c r="R243" s="20"/>
      <c r="S243" s="18" t="str">
        <f aca="false">IF(A243="","",LOWER(TRIM(D243&amp;"|"&amp;E243&amp;"|"&amp;F243)))</f>
        <v/>
      </c>
      <c r="T243" s="20"/>
      <c r="U243" s="20"/>
      <c r="V243" s="20"/>
      <c r="W243" s="20"/>
      <c r="X243" s="20"/>
    </row>
    <row r="244" customFormat="false" ht="15" hidden="false" customHeight="false" outlineLevel="0" collapsed="false">
      <c r="A244" s="18"/>
      <c r="B244" s="20"/>
      <c r="C244" s="19"/>
      <c r="D244" s="20"/>
      <c r="E244" s="20"/>
      <c r="F244" s="20"/>
      <c r="G244" s="20"/>
      <c r="H244" s="20"/>
      <c r="I244" s="20"/>
      <c r="J244" s="18"/>
      <c r="K244" s="21" t="str">
        <f aca="false">IF(A244="","",IF(I244="",0,LEN(I244)-LEN(SUBSTITUTE(I244,",",""))+1))</f>
        <v/>
      </c>
      <c r="L244" s="21" t="str">
        <f aca="false">IF(A244="","",COUNTIF('Metric to Product'!$A:$A,A244))</f>
        <v/>
      </c>
      <c r="M244" s="21" t="str">
        <f aca="false">IF(A244="","",COUNTIF('Metric to Field'!$A:$A,A244))</f>
        <v/>
      </c>
      <c r="N244" s="21" t="str">
        <f aca="false">IF(B244="","",COUNTIF($B:$B,B244))</f>
        <v/>
      </c>
      <c r="O244" s="21" t="str">
        <f aca="false">IF(A244="","",COUNTIF($S:$S,S244)-1)</f>
        <v/>
      </c>
      <c r="P244" s="20"/>
      <c r="Q244" s="20"/>
      <c r="R244" s="20"/>
      <c r="S244" s="18" t="str">
        <f aca="false">IF(A244="","",LOWER(TRIM(D244&amp;"|"&amp;E244&amp;"|"&amp;F244)))</f>
        <v/>
      </c>
      <c r="T244" s="20"/>
      <c r="U244" s="20"/>
      <c r="V244" s="20"/>
      <c r="W244" s="20"/>
      <c r="X244" s="20"/>
    </row>
    <row r="245" customFormat="false" ht="15" hidden="false" customHeight="false" outlineLevel="0" collapsed="false">
      <c r="A245" s="18"/>
      <c r="B245" s="20"/>
      <c r="C245" s="19"/>
      <c r="D245" s="20"/>
      <c r="E245" s="20"/>
      <c r="F245" s="20"/>
      <c r="G245" s="20"/>
      <c r="H245" s="20"/>
      <c r="I245" s="20"/>
      <c r="J245" s="18"/>
      <c r="K245" s="21" t="str">
        <f aca="false">IF(A245="","",IF(I245="",0,LEN(I245)-LEN(SUBSTITUTE(I245,",",""))+1))</f>
        <v/>
      </c>
      <c r="L245" s="21" t="str">
        <f aca="false">IF(A245="","",COUNTIF('Metric to Product'!$A:$A,A245))</f>
        <v/>
      </c>
      <c r="M245" s="21" t="str">
        <f aca="false">IF(A245="","",COUNTIF('Metric to Field'!$A:$A,A245))</f>
        <v/>
      </c>
      <c r="N245" s="21" t="str">
        <f aca="false">IF(B245="","",COUNTIF($B:$B,B245))</f>
        <v/>
      </c>
      <c r="O245" s="21" t="str">
        <f aca="false">IF(A245="","",COUNTIF($S:$S,S245)-1)</f>
        <v/>
      </c>
      <c r="P245" s="20"/>
      <c r="Q245" s="20"/>
      <c r="R245" s="20"/>
      <c r="S245" s="18" t="str">
        <f aca="false">IF(A245="","",LOWER(TRIM(D245&amp;"|"&amp;E245&amp;"|"&amp;F245)))</f>
        <v/>
      </c>
      <c r="T245" s="20"/>
      <c r="U245" s="20"/>
      <c r="V245" s="20"/>
      <c r="W245" s="20"/>
      <c r="X245" s="20"/>
    </row>
    <row r="246" customFormat="false" ht="15" hidden="false" customHeight="false" outlineLevel="0" collapsed="false">
      <c r="A246" s="18"/>
      <c r="B246" s="20"/>
      <c r="C246" s="19"/>
      <c r="D246" s="20"/>
      <c r="E246" s="20"/>
      <c r="F246" s="20"/>
      <c r="G246" s="20"/>
      <c r="H246" s="20"/>
      <c r="I246" s="20"/>
      <c r="J246" s="18"/>
      <c r="K246" s="21" t="str">
        <f aca="false">IF(A246="","",IF(I246="",0,LEN(I246)-LEN(SUBSTITUTE(I246,",",""))+1))</f>
        <v/>
      </c>
      <c r="L246" s="21" t="str">
        <f aca="false">IF(A246="","",COUNTIF('Metric to Product'!$A:$A,A246))</f>
        <v/>
      </c>
      <c r="M246" s="21" t="str">
        <f aca="false">IF(A246="","",COUNTIF('Metric to Field'!$A:$A,A246))</f>
        <v/>
      </c>
      <c r="N246" s="21" t="str">
        <f aca="false">IF(B246="","",COUNTIF($B:$B,B246))</f>
        <v/>
      </c>
      <c r="O246" s="21" t="str">
        <f aca="false">IF(A246="","",COUNTIF($S:$S,S246)-1)</f>
        <v/>
      </c>
      <c r="P246" s="20"/>
      <c r="Q246" s="20"/>
      <c r="R246" s="20"/>
      <c r="S246" s="18" t="str">
        <f aca="false">IF(A246="","",LOWER(TRIM(D246&amp;"|"&amp;E246&amp;"|"&amp;F246)))</f>
        <v/>
      </c>
      <c r="T246" s="20"/>
      <c r="U246" s="20"/>
      <c r="V246" s="20"/>
      <c r="W246" s="20"/>
      <c r="X246" s="20"/>
    </row>
    <row r="247" customFormat="false" ht="15" hidden="false" customHeight="false" outlineLevel="0" collapsed="false">
      <c r="A247" s="18"/>
      <c r="B247" s="20"/>
      <c r="C247" s="19"/>
      <c r="D247" s="20"/>
      <c r="E247" s="20"/>
      <c r="F247" s="20"/>
      <c r="G247" s="20"/>
      <c r="H247" s="20"/>
      <c r="I247" s="20"/>
      <c r="J247" s="18"/>
      <c r="K247" s="21" t="str">
        <f aca="false">IF(A247="","",IF(I247="",0,LEN(I247)-LEN(SUBSTITUTE(I247,",",""))+1))</f>
        <v/>
      </c>
      <c r="L247" s="21" t="str">
        <f aca="false">IF(A247="","",COUNTIF('Metric to Product'!$A:$A,A247))</f>
        <v/>
      </c>
      <c r="M247" s="21" t="str">
        <f aca="false">IF(A247="","",COUNTIF('Metric to Field'!$A:$A,A247))</f>
        <v/>
      </c>
      <c r="N247" s="21" t="str">
        <f aca="false">IF(B247="","",COUNTIF($B:$B,B247))</f>
        <v/>
      </c>
      <c r="O247" s="21" t="str">
        <f aca="false">IF(A247="","",COUNTIF($S:$S,S247)-1)</f>
        <v/>
      </c>
      <c r="P247" s="20"/>
      <c r="Q247" s="20"/>
      <c r="R247" s="20"/>
      <c r="S247" s="18" t="str">
        <f aca="false">IF(A247="","",LOWER(TRIM(D247&amp;"|"&amp;E247&amp;"|"&amp;F247)))</f>
        <v/>
      </c>
      <c r="T247" s="20"/>
      <c r="U247" s="20"/>
      <c r="V247" s="20"/>
      <c r="W247" s="20"/>
      <c r="X247" s="20"/>
    </row>
    <row r="248" customFormat="false" ht="15" hidden="false" customHeight="false" outlineLevel="0" collapsed="false">
      <c r="A248" s="18"/>
      <c r="B248" s="20"/>
      <c r="C248" s="19"/>
      <c r="D248" s="20"/>
      <c r="E248" s="20"/>
      <c r="F248" s="20"/>
      <c r="G248" s="20"/>
      <c r="H248" s="20"/>
      <c r="I248" s="20"/>
      <c r="J248" s="18"/>
      <c r="K248" s="21" t="str">
        <f aca="false">IF(A248="","",IF(I248="",0,LEN(I248)-LEN(SUBSTITUTE(I248,",",""))+1))</f>
        <v/>
      </c>
      <c r="L248" s="21" t="str">
        <f aca="false">IF(A248="","",COUNTIF('Metric to Product'!$A:$A,A248))</f>
        <v/>
      </c>
      <c r="M248" s="21" t="str">
        <f aca="false">IF(A248="","",COUNTIF('Metric to Field'!$A:$A,A248))</f>
        <v/>
      </c>
      <c r="N248" s="21" t="str">
        <f aca="false">IF(B248="","",COUNTIF($B:$B,B248))</f>
        <v/>
      </c>
      <c r="O248" s="21" t="str">
        <f aca="false">IF(A248="","",COUNTIF($S:$S,S248)-1)</f>
        <v/>
      </c>
      <c r="P248" s="20"/>
      <c r="Q248" s="20"/>
      <c r="R248" s="20"/>
      <c r="S248" s="18" t="str">
        <f aca="false">IF(A248="","",LOWER(TRIM(D248&amp;"|"&amp;E248&amp;"|"&amp;F248)))</f>
        <v/>
      </c>
      <c r="T248" s="20"/>
      <c r="U248" s="20"/>
      <c r="V248" s="20"/>
      <c r="W248" s="20"/>
      <c r="X248" s="20"/>
    </row>
    <row r="249" customFormat="false" ht="15" hidden="false" customHeight="false" outlineLevel="0" collapsed="false">
      <c r="A249" s="18"/>
      <c r="B249" s="20"/>
      <c r="C249" s="19"/>
      <c r="D249" s="20"/>
      <c r="E249" s="20"/>
      <c r="F249" s="20"/>
      <c r="G249" s="20"/>
      <c r="H249" s="20"/>
      <c r="I249" s="20"/>
      <c r="J249" s="18"/>
      <c r="K249" s="21" t="str">
        <f aca="false">IF(A249="","",IF(I249="",0,LEN(I249)-LEN(SUBSTITUTE(I249,",",""))+1))</f>
        <v/>
      </c>
      <c r="L249" s="21" t="str">
        <f aca="false">IF(A249="","",COUNTIF('Metric to Product'!$A:$A,A249))</f>
        <v/>
      </c>
      <c r="M249" s="21" t="str">
        <f aca="false">IF(A249="","",COUNTIF('Metric to Field'!$A:$A,A249))</f>
        <v/>
      </c>
      <c r="N249" s="21" t="str">
        <f aca="false">IF(B249="","",COUNTIF($B:$B,B249))</f>
        <v/>
      </c>
      <c r="O249" s="21" t="str">
        <f aca="false">IF(A249="","",COUNTIF($S:$S,S249)-1)</f>
        <v/>
      </c>
      <c r="P249" s="20"/>
      <c r="Q249" s="20"/>
      <c r="R249" s="20"/>
      <c r="S249" s="18" t="str">
        <f aca="false">IF(A249="","",LOWER(TRIM(D249&amp;"|"&amp;E249&amp;"|"&amp;F249)))</f>
        <v/>
      </c>
      <c r="T249" s="20"/>
      <c r="U249" s="20"/>
      <c r="V249" s="20"/>
      <c r="W249" s="20"/>
      <c r="X249" s="20"/>
    </row>
    <row r="250" customFormat="false" ht="15" hidden="false" customHeight="false" outlineLevel="0" collapsed="false">
      <c r="A250" s="18"/>
      <c r="B250" s="20"/>
      <c r="C250" s="19"/>
      <c r="D250" s="20"/>
      <c r="E250" s="20"/>
      <c r="F250" s="20"/>
      <c r="G250" s="20"/>
      <c r="H250" s="20"/>
      <c r="I250" s="20"/>
      <c r="J250" s="18"/>
      <c r="K250" s="21" t="str">
        <f aca="false">IF(A250="","",IF(I250="",0,LEN(I250)-LEN(SUBSTITUTE(I250,",",""))+1))</f>
        <v/>
      </c>
      <c r="L250" s="21" t="str">
        <f aca="false">IF(A250="","",COUNTIF('Metric to Product'!$A:$A,A250))</f>
        <v/>
      </c>
      <c r="M250" s="21" t="str">
        <f aca="false">IF(A250="","",COUNTIF('Metric to Field'!$A:$A,A250))</f>
        <v/>
      </c>
      <c r="N250" s="21" t="str">
        <f aca="false">IF(B250="","",COUNTIF($B:$B,B250))</f>
        <v/>
      </c>
      <c r="O250" s="21" t="str">
        <f aca="false">IF(A250="","",COUNTIF($S:$S,S250)-1)</f>
        <v/>
      </c>
      <c r="P250" s="20"/>
      <c r="Q250" s="20"/>
      <c r="R250" s="20"/>
      <c r="S250" s="18" t="str">
        <f aca="false">IF(A250="","",LOWER(TRIM(D250&amp;"|"&amp;E250&amp;"|"&amp;F250)))</f>
        <v/>
      </c>
      <c r="T250" s="20"/>
      <c r="U250" s="20"/>
      <c r="V250" s="20"/>
      <c r="W250" s="20"/>
      <c r="X250" s="20"/>
    </row>
    <row r="251" customFormat="false" ht="15" hidden="false" customHeight="false" outlineLevel="0" collapsed="false">
      <c r="A251" s="18"/>
      <c r="B251" s="20"/>
      <c r="C251" s="19"/>
      <c r="D251" s="20"/>
      <c r="E251" s="20"/>
      <c r="F251" s="20"/>
      <c r="G251" s="20"/>
      <c r="H251" s="20"/>
      <c r="I251" s="20"/>
      <c r="J251" s="18"/>
      <c r="K251" s="21" t="str">
        <f aca="false">IF(A251="","",IF(I251="",0,LEN(I251)-LEN(SUBSTITUTE(I251,",",""))+1))</f>
        <v/>
      </c>
      <c r="L251" s="21" t="str">
        <f aca="false">IF(A251="","",COUNTIF('Metric to Product'!$A:$A,A251))</f>
        <v/>
      </c>
      <c r="M251" s="21" t="str">
        <f aca="false">IF(A251="","",COUNTIF('Metric to Field'!$A:$A,A251))</f>
        <v/>
      </c>
      <c r="N251" s="21" t="str">
        <f aca="false">IF(B251="","",COUNTIF($B:$B,B251))</f>
        <v/>
      </c>
      <c r="O251" s="21" t="str">
        <f aca="false">IF(A251="","",COUNTIF($S:$S,S251)-1)</f>
        <v/>
      </c>
      <c r="P251" s="20"/>
      <c r="Q251" s="20"/>
      <c r="R251" s="20"/>
      <c r="S251" s="18" t="str">
        <f aca="false">IF(A251="","",LOWER(TRIM(D251&amp;"|"&amp;E251&amp;"|"&amp;F251)))</f>
        <v/>
      </c>
      <c r="T251" s="20"/>
      <c r="U251" s="20"/>
      <c r="V251" s="20"/>
      <c r="W251" s="20"/>
      <c r="X251" s="20"/>
    </row>
    <row r="252" customFormat="false" ht="15" hidden="false" customHeight="false" outlineLevel="0" collapsed="false">
      <c r="A252" s="18"/>
      <c r="B252" s="20"/>
      <c r="C252" s="19"/>
      <c r="D252" s="20"/>
      <c r="E252" s="20"/>
      <c r="F252" s="20"/>
      <c r="G252" s="20"/>
      <c r="H252" s="20"/>
      <c r="I252" s="20"/>
      <c r="J252" s="18"/>
      <c r="K252" s="21" t="str">
        <f aca="false">IF(A252="","",IF(I252="",0,LEN(I252)-LEN(SUBSTITUTE(I252,",",""))+1))</f>
        <v/>
      </c>
      <c r="L252" s="21" t="str">
        <f aca="false">IF(A252="","",COUNTIF('Metric to Product'!$A:$A,A252))</f>
        <v/>
      </c>
      <c r="M252" s="21" t="str">
        <f aca="false">IF(A252="","",COUNTIF('Metric to Field'!$A:$A,A252))</f>
        <v/>
      </c>
      <c r="N252" s="21" t="str">
        <f aca="false">IF(B252="","",COUNTIF($B:$B,B252))</f>
        <v/>
      </c>
      <c r="O252" s="21" t="str">
        <f aca="false">IF(A252="","",COUNTIF($S:$S,S252)-1)</f>
        <v/>
      </c>
      <c r="P252" s="20"/>
      <c r="Q252" s="20"/>
      <c r="R252" s="20"/>
      <c r="S252" s="18" t="str">
        <f aca="false">IF(A252="","",LOWER(TRIM(D252&amp;"|"&amp;E252&amp;"|"&amp;F252)))</f>
        <v/>
      </c>
      <c r="T252" s="20"/>
      <c r="U252" s="20"/>
      <c r="V252" s="20"/>
      <c r="W252" s="20"/>
      <c r="X252" s="20"/>
    </row>
    <row r="253" customFormat="false" ht="15" hidden="false" customHeight="false" outlineLevel="0" collapsed="false">
      <c r="A253" s="18"/>
      <c r="B253" s="20"/>
      <c r="C253" s="19"/>
      <c r="D253" s="20"/>
      <c r="E253" s="20"/>
      <c r="F253" s="20"/>
      <c r="G253" s="20"/>
      <c r="H253" s="20"/>
      <c r="I253" s="20"/>
      <c r="J253" s="18"/>
      <c r="K253" s="21" t="str">
        <f aca="false">IF(A253="","",IF(I253="",0,LEN(I253)-LEN(SUBSTITUTE(I253,",",""))+1))</f>
        <v/>
      </c>
      <c r="L253" s="21" t="str">
        <f aca="false">IF(A253="","",COUNTIF('Metric to Product'!$A:$A,A253))</f>
        <v/>
      </c>
      <c r="M253" s="21" t="str">
        <f aca="false">IF(A253="","",COUNTIF('Metric to Field'!$A:$A,A253))</f>
        <v/>
      </c>
      <c r="N253" s="21" t="str">
        <f aca="false">IF(B253="","",COUNTIF($B:$B,B253))</f>
        <v/>
      </c>
      <c r="O253" s="21" t="str">
        <f aca="false">IF(A253="","",COUNTIF($S:$S,S253)-1)</f>
        <v/>
      </c>
      <c r="P253" s="20"/>
      <c r="Q253" s="20"/>
      <c r="R253" s="20"/>
      <c r="S253" s="18" t="str">
        <f aca="false">IF(A253="","",LOWER(TRIM(D253&amp;"|"&amp;E253&amp;"|"&amp;F253)))</f>
        <v/>
      </c>
      <c r="T253" s="20"/>
      <c r="U253" s="20"/>
      <c r="V253" s="20"/>
      <c r="W253" s="20"/>
      <c r="X253" s="20"/>
    </row>
    <row r="254" customFormat="false" ht="15" hidden="false" customHeight="false" outlineLevel="0" collapsed="false">
      <c r="A254" s="18"/>
      <c r="B254" s="20"/>
      <c r="C254" s="19"/>
      <c r="D254" s="20"/>
      <c r="E254" s="20"/>
      <c r="F254" s="20"/>
      <c r="G254" s="20"/>
      <c r="H254" s="20"/>
      <c r="I254" s="20"/>
      <c r="J254" s="18"/>
      <c r="K254" s="21" t="str">
        <f aca="false">IF(A254="","",IF(I254="",0,LEN(I254)-LEN(SUBSTITUTE(I254,",",""))+1))</f>
        <v/>
      </c>
      <c r="L254" s="21" t="str">
        <f aca="false">IF(A254="","",COUNTIF('Metric to Product'!$A:$A,A254))</f>
        <v/>
      </c>
      <c r="M254" s="21" t="str">
        <f aca="false">IF(A254="","",COUNTIF('Metric to Field'!$A:$A,A254))</f>
        <v/>
      </c>
      <c r="N254" s="21" t="str">
        <f aca="false">IF(B254="","",COUNTIF($B:$B,B254))</f>
        <v/>
      </c>
      <c r="O254" s="21" t="str">
        <f aca="false">IF(A254="","",COUNTIF($S:$S,S254)-1)</f>
        <v/>
      </c>
      <c r="P254" s="20"/>
      <c r="Q254" s="20"/>
      <c r="R254" s="20"/>
      <c r="S254" s="18" t="str">
        <f aca="false">IF(A254="","",LOWER(TRIM(D254&amp;"|"&amp;E254&amp;"|"&amp;F254)))</f>
        <v/>
      </c>
      <c r="T254" s="20"/>
      <c r="U254" s="20"/>
      <c r="V254" s="20"/>
      <c r="W254" s="20"/>
      <c r="X254" s="20"/>
    </row>
    <row r="255" customFormat="false" ht="15" hidden="false" customHeight="false" outlineLevel="0" collapsed="false">
      <c r="A255" s="18"/>
      <c r="B255" s="20"/>
      <c r="C255" s="19"/>
      <c r="D255" s="20"/>
      <c r="E255" s="20"/>
      <c r="F255" s="20"/>
      <c r="G255" s="20"/>
      <c r="H255" s="20"/>
      <c r="I255" s="20"/>
      <c r="J255" s="18"/>
      <c r="K255" s="21" t="str">
        <f aca="false">IF(A255="","",IF(I255="",0,LEN(I255)-LEN(SUBSTITUTE(I255,",",""))+1))</f>
        <v/>
      </c>
      <c r="L255" s="21" t="str">
        <f aca="false">IF(A255="","",COUNTIF('Metric to Product'!$A:$A,A255))</f>
        <v/>
      </c>
      <c r="M255" s="21" t="str">
        <f aca="false">IF(A255="","",COUNTIF('Metric to Field'!$A:$A,A255))</f>
        <v/>
      </c>
      <c r="N255" s="21" t="str">
        <f aca="false">IF(B255="","",COUNTIF($B:$B,B255))</f>
        <v/>
      </c>
      <c r="O255" s="21" t="str">
        <f aca="false">IF(A255="","",COUNTIF($S:$S,S255)-1)</f>
        <v/>
      </c>
      <c r="P255" s="20"/>
      <c r="Q255" s="20"/>
      <c r="R255" s="20"/>
      <c r="S255" s="18" t="str">
        <f aca="false">IF(A255="","",LOWER(TRIM(D255&amp;"|"&amp;E255&amp;"|"&amp;F255)))</f>
        <v/>
      </c>
      <c r="T255" s="20"/>
      <c r="U255" s="20"/>
      <c r="V255" s="20"/>
      <c r="W255" s="20"/>
      <c r="X255" s="20"/>
    </row>
    <row r="256" customFormat="false" ht="15" hidden="false" customHeight="false" outlineLevel="0" collapsed="false">
      <c r="A256" s="18"/>
      <c r="B256" s="20"/>
      <c r="C256" s="19"/>
      <c r="D256" s="20"/>
      <c r="E256" s="20"/>
      <c r="F256" s="20"/>
      <c r="G256" s="20"/>
      <c r="H256" s="20"/>
      <c r="I256" s="20"/>
      <c r="J256" s="18"/>
      <c r="K256" s="21" t="str">
        <f aca="false">IF(A256="","",IF(I256="",0,LEN(I256)-LEN(SUBSTITUTE(I256,",",""))+1))</f>
        <v/>
      </c>
      <c r="L256" s="21" t="str">
        <f aca="false">IF(A256="","",COUNTIF('Metric to Product'!$A:$A,A256))</f>
        <v/>
      </c>
      <c r="M256" s="21" t="str">
        <f aca="false">IF(A256="","",COUNTIF('Metric to Field'!$A:$A,A256))</f>
        <v/>
      </c>
      <c r="N256" s="21" t="str">
        <f aca="false">IF(B256="","",COUNTIF($B:$B,B256))</f>
        <v/>
      </c>
      <c r="O256" s="21" t="str">
        <f aca="false">IF(A256="","",COUNTIF($S:$S,S256)-1)</f>
        <v/>
      </c>
      <c r="P256" s="20"/>
      <c r="Q256" s="20"/>
      <c r="R256" s="20"/>
      <c r="S256" s="18" t="str">
        <f aca="false">IF(A256="","",LOWER(TRIM(D256&amp;"|"&amp;E256&amp;"|"&amp;F256)))</f>
        <v/>
      </c>
      <c r="T256" s="20"/>
      <c r="U256" s="20"/>
      <c r="V256" s="20"/>
      <c r="W256" s="20"/>
      <c r="X256" s="20"/>
    </row>
    <row r="257" customFormat="false" ht="15" hidden="false" customHeight="false" outlineLevel="0" collapsed="false">
      <c r="A257" s="18"/>
      <c r="B257" s="20"/>
      <c r="C257" s="19"/>
      <c r="D257" s="20"/>
      <c r="E257" s="20"/>
      <c r="F257" s="20"/>
      <c r="G257" s="20"/>
      <c r="H257" s="20"/>
      <c r="I257" s="20"/>
      <c r="J257" s="18"/>
      <c r="K257" s="21" t="str">
        <f aca="false">IF(A257="","",IF(I257="",0,LEN(I257)-LEN(SUBSTITUTE(I257,",",""))+1))</f>
        <v/>
      </c>
      <c r="L257" s="21" t="str">
        <f aca="false">IF(A257="","",COUNTIF('Metric to Product'!$A:$A,A257))</f>
        <v/>
      </c>
      <c r="M257" s="21" t="str">
        <f aca="false">IF(A257="","",COUNTIF('Metric to Field'!$A:$A,A257))</f>
        <v/>
      </c>
      <c r="N257" s="21" t="str">
        <f aca="false">IF(B257="","",COUNTIF($B:$B,B257))</f>
        <v/>
      </c>
      <c r="O257" s="21" t="str">
        <f aca="false">IF(A257="","",COUNTIF($S:$S,S257)-1)</f>
        <v/>
      </c>
      <c r="P257" s="20"/>
      <c r="Q257" s="20"/>
      <c r="R257" s="20"/>
      <c r="S257" s="18" t="str">
        <f aca="false">IF(A257="","",LOWER(TRIM(D257&amp;"|"&amp;E257&amp;"|"&amp;F257)))</f>
        <v/>
      </c>
      <c r="T257" s="20"/>
      <c r="U257" s="20"/>
      <c r="V257" s="20"/>
      <c r="W257" s="20"/>
      <c r="X257" s="20"/>
    </row>
    <row r="258" customFormat="false" ht="15" hidden="false" customHeight="false" outlineLevel="0" collapsed="false">
      <c r="A258" s="18"/>
      <c r="B258" s="20"/>
      <c r="C258" s="19"/>
      <c r="D258" s="20"/>
      <c r="E258" s="20"/>
      <c r="F258" s="20"/>
      <c r="G258" s="20"/>
      <c r="H258" s="20"/>
      <c r="I258" s="20"/>
      <c r="J258" s="18"/>
      <c r="K258" s="21" t="str">
        <f aca="false">IF(A258="","",IF(I258="",0,LEN(I258)-LEN(SUBSTITUTE(I258,",",""))+1))</f>
        <v/>
      </c>
      <c r="L258" s="21" t="str">
        <f aca="false">IF(A258="","",COUNTIF('Metric to Product'!$A:$A,A258))</f>
        <v/>
      </c>
      <c r="M258" s="21" t="str">
        <f aca="false">IF(A258="","",COUNTIF('Metric to Field'!$A:$A,A258))</f>
        <v/>
      </c>
      <c r="N258" s="21" t="str">
        <f aca="false">IF(B258="","",COUNTIF($B:$B,B258))</f>
        <v/>
      </c>
      <c r="O258" s="21" t="str">
        <f aca="false">IF(A258="","",COUNTIF($S:$S,S258)-1)</f>
        <v/>
      </c>
      <c r="P258" s="20"/>
      <c r="Q258" s="20"/>
      <c r="R258" s="20"/>
      <c r="S258" s="18" t="str">
        <f aca="false">IF(A258="","",LOWER(TRIM(D258&amp;"|"&amp;E258&amp;"|"&amp;F258)))</f>
        <v/>
      </c>
      <c r="T258" s="20"/>
      <c r="U258" s="20"/>
      <c r="V258" s="20"/>
      <c r="W258" s="20"/>
      <c r="X258" s="20"/>
    </row>
    <row r="259" customFormat="false" ht="15" hidden="false" customHeight="false" outlineLevel="0" collapsed="false">
      <c r="A259" s="18"/>
      <c r="B259" s="20"/>
      <c r="C259" s="19"/>
      <c r="D259" s="20"/>
      <c r="E259" s="20"/>
      <c r="F259" s="20"/>
      <c r="G259" s="20"/>
      <c r="H259" s="20"/>
      <c r="I259" s="20"/>
      <c r="J259" s="18"/>
      <c r="K259" s="21" t="str">
        <f aca="false">IF(A259="","",IF(I259="",0,LEN(I259)-LEN(SUBSTITUTE(I259,",",""))+1))</f>
        <v/>
      </c>
      <c r="L259" s="21" t="str">
        <f aca="false">IF(A259="","",COUNTIF('Metric to Product'!$A:$A,A259))</f>
        <v/>
      </c>
      <c r="M259" s="21" t="str">
        <f aca="false">IF(A259="","",COUNTIF('Metric to Field'!$A:$A,A259))</f>
        <v/>
      </c>
      <c r="N259" s="21" t="str">
        <f aca="false">IF(B259="","",COUNTIF($B:$B,B259))</f>
        <v/>
      </c>
      <c r="O259" s="21" t="str">
        <f aca="false">IF(A259="","",COUNTIF($S:$S,S259)-1)</f>
        <v/>
      </c>
      <c r="P259" s="20"/>
      <c r="Q259" s="20"/>
      <c r="R259" s="20"/>
      <c r="S259" s="18" t="str">
        <f aca="false">IF(A259="","",LOWER(TRIM(D259&amp;"|"&amp;E259&amp;"|"&amp;F259)))</f>
        <v/>
      </c>
      <c r="T259" s="20"/>
      <c r="U259" s="20"/>
      <c r="V259" s="20"/>
      <c r="W259" s="20"/>
      <c r="X259" s="20"/>
    </row>
    <row r="260" customFormat="false" ht="15" hidden="false" customHeight="false" outlineLevel="0" collapsed="false">
      <c r="A260" s="18"/>
      <c r="B260" s="20"/>
      <c r="C260" s="19"/>
      <c r="D260" s="20"/>
      <c r="E260" s="20"/>
      <c r="F260" s="20"/>
      <c r="G260" s="20"/>
      <c r="H260" s="20"/>
      <c r="I260" s="20"/>
      <c r="J260" s="18"/>
      <c r="K260" s="21" t="str">
        <f aca="false">IF(A260="","",IF(I260="",0,LEN(I260)-LEN(SUBSTITUTE(I260,",",""))+1))</f>
        <v/>
      </c>
      <c r="L260" s="21" t="str">
        <f aca="false">IF(A260="","",COUNTIF('Metric to Product'!$A:$A,A260))</f>
        <v/>
      </c>
      <c r="M260" s="21" t="str">
        <f aca="false">IF(A260="","",COUNTIF('Metric to Field'!$A:$A,A260))</f>
        <v/>
      </c>
      <c r="N260" s="21" t="str">
        <f aca="false">IF(B260="","",COUNTIF($B:$B,B260))</f>
        <v/>
      </c>
      <c r="O260" s="21" t="str">
        <f aca="false">IF(A260="","",COUNTIF($S:$S,S260)-1)</f>
        <v/>
      </c>
      <c r="P260" s="20"/>
      <c r="Q260" s="20"/>
      <c r="R260" s="20"/>
      <c r="S260" s="18" t="str">
        <f aca="false">IF(A260="","",LOWER(TRIM(D260&amp;"|"&amp;E260&amp;"|"&amp;F260)))</f>
        <v/>
      </c>
      <c r="T260" s="20"/>
      <c r="U260" s="20"/>
      <c r="V260" s="20"/>
      <c r="W260" s="20"/>
      <c r="X260" s="20"/>
    </row>
    <row r="261" customFormat="false" ht="15" hidden="false" customHeight="false" outlineLevel="0" collapsed="false">
      <c r="A261" s="18"/>
      <c r="B261" s="20"/>
      <c r="C261" s="19"/>
      <c r="D261" s="20"/>
      <c r="E261" s="20"/>
      <c r="F261" s="20"/>
      <c r="G261" s="20"/>
      <c r="H261" s="20"/>
      <c r="I261" s="20"/>
      <c r="J261" s="18"/>
      <c r="K261" s="21" t="str">
        <f aca="false">IF(A261="","",IF(I261="",0,LEN(I261)-LEN(SUBSTITUTE(I261,",",""))+1))</f>
        <v/>
      </c>
      <c r="L261" s="21" t="str">
        <f aca="false">IF(A261="","",COUNTIF('Metric to Product'!$A:$A,A261))</f>
        <v/>
      </c>
      <c r="M261" s="21" t="str">
        <f aca="false">IF(A261="","",COUNTIF('Metric to Field'!$A:$A,A261))</f>
        <v/>
      </c>
      <c r="N261" s="21" t="str">
        <f aca="false">IF(B261="","",COUNTIF($B:$B,B261))</f>
        <v/>
      </c>
      <c r="O261" s="21" t="str">
        <f aca="false">IF(A261="","",COUNTIF($S:$S,S261)-1)</f>
        <v/>
      </c>
      <c r="P261" s="20"/>
      <c r="Q261" s="20"/>
      <c r="R261" s="20"/>
      <c r="S261" s="18" t="str">
        <f aca="false">IF(A261="","",LOWER(TRIM(D261&amp;"|"&amp;E261&amp;"|"&amp;F261)))</f>
        <v/>
      </c>
      <c r="T261" s="20"/>
      <c r="U261" s="20"/>
      <c r="V261" s="20"/>
      <c r="W261" s="20"/>
      <c r="X261" s="20"/>
    </row>
    <row r="262" customFormat="false" ht="15" hidden="false" customHeight="false" outlineLevel="0" collapsed="false">
      <c r="A262" s="18"/>
      <c r="B262" s="20"/>
      <c r="C262" s="19"/>
      <c r="D262" s="20"/>
      <c r="E262" s="20"/>
      <c r="F262" s="20"/>
      <c r="G262" s="20"/>
      <c r="H262" s="20"/>
      <c r="I262" s="20"/>
      <c r="J262" s="18"/>
      <c r="K262" s="21" t="str">
        <f aca="false">IF(A262="","",IF(I262="",0,LEN(I262)-LEN(SUBSTITUTE(I262,",",""))+1))</f>
        <v/>
      </c>
      <c r="L262" s="21" t="str">
        <f aca="false">IF(A262="","",COUNTIF('Metric to Product'!$A:$A,A262))</f>
        <v/>
      </c>
      <c r="M262" s="21" t="str">
        <f aca="false">IF(A262="","",COUNTIF('Metric to Field'!$A:$A,A262))</f>
        <v/>
      </c>
      <c r="N262" s="21" t="str">
        <f aca="false">IF(B262="","",COUNTIF($B:$B,B262))</f>
        <v/>
      </c>
      <c r="O262" s="21" t="str">
        <f aca="false">IF(A262="","",COUNTIF($S:$S,S262)-1)</f>
        <v/>
      </c>
      <c r="P262" s="20"/>
      <c r="Q262" s="20"/>
      <c r="R262" s="20"/>
      <c r="S262" s="18" t="str">
        <f aca="false">IF(A262="","",LOWER(TRIM(D262&amp;"|"&amp;E262&amp;"|"&amp;F262)))</f>
        <v/>
      </c>
      <c r="T262" s="20"/>
      <c r="U262" s="20"/>
      <c r="V262" s="20"/>
      <c r="W262" s="20"/>
      <c r="X262" s="20"/>
    </row>
    <row r="263" customFormat="false" ht="15" hidden="false" customHeight="false" outlineLevel="0" collapsed="false">
      <c r="A263" s="18"/>
      <c r="B263" s="20"/>
      <c r="C263" s="19"/>
      <c r="D263" s="20"/>
      <c r="E263" s="20"/>
      <c r="F263" s="20"/>
      <c r="G263" s="20"/>
      <c r="H263" s="20"/>
      <c r="I263" s="20"/>
      <c r="J263" s="18"/>
      <c r="K263" s="21" t="str">
        <f aca="false">IF(A263="","",IF(I263="",0,LEN(I263)-LEN(SUBSTITUTE(I263,",",""))+1))</f>
        <v/>
      </c>
      <c r="L263" s="21" t="str">
        <f aca="false">IF(A263="","",COUNTIF('Metric to Product'!$A:$A,A263))</f>
        <v/>
      </c>
      <c r="M263" s="21" t="str">
        <f aca="false">IF(A263="","",COUNTIF('Metric to Field'!$A:$A,A263))</f>
        <v/>
      </c>
      <c r="N263" s="21" t="str">
        <f aca="false">IF(B263="","",COUNTIF($B:$B,B263))</f>
        <v/>
      </c>
      <c r="O263" s="21" t="str">
        <f aca="false">IF(A263="","",COUNTIF($S:$S,S263)-1)</f>
        <v/>
      </c>
      <c r="P263" s="20"/>
      <c r="Q263" s="20"/>
      <c r="R263" s="20"/>
      <c r="S263" s="18" t="str">
        <f aca="false">IF(A263="","",LOWER(TRIM(D263&amp;"|"&amp;E263&amp;"|"&amp;F263)))</f>
        <v/>
      </c>
      <c r="T263" s="20"/>
      <c r="U263" s="20"/>
      <c r="V263" s="20"/>
      <c r="W263" s="20"/>
      <c r="X263" s="20"/>
    </row>
    <row r="264" customFormat="false" ht="15" hidden="false" customHeight="false" outlineLevel="0" collapsed="false">
      <c r="A264" s="18"/>
      <c r="B264" s="20"/>
      <c r="C264" s="19"/>
      <c r="D264" s="20"/>
      <c r="E264" s="20"/>
      <c r="F264" s="20"/>
      <c r="G264" s="20"/>
      <c r="H264" s="20"/>
      <c r="I264" s="20"/>
      <c r="J264" s="18"/>
      <c r="K264" s="21" t="str">
        <f aca="false">IF(A264="","",IF(I264="",0,LEN(I264)-LEN(SUBSTITUTE(I264,",",""))+1))</f>
        <v/>
      </c>
      <c r="L264" s="21" t="str">
        <f aca="false">IF(A264="","",COUNTIF('Metric to Product'!$A:$A,A264))</f>
        <v/>
      </c>
      <c r="M264" s="21" t="str">
        <f aca="false">IF(A264="","",COUNTIF('Metric to Field'!$A:$A,A264))</f>
        <v/>
      </c>
      <c r="N264" s="21" t="str">
        <f aca="false">IF(B264="","",COUNTIF($B:$B,B264))</f>
        <v/>
      </c>
      <c r="O264" s="21" t="str">
        <f aca="false">IF(A264="","",COUNTIF($S:$S,S264)-1)</f>
        <v/>
      </c>
      <c r="P264" s="20"/>
      <c r="Q264" s="20"/>
      <c r="R264" s="20"/>
      <c r="S264" s="18" t="str">
        <f aca="false">IF(A264="","",LOWER(TRIM(D264&amp;"|"&amp;E264&amp;"|"&amp;F264)))</f>
        <v/>
      </c>
      <c r="T264" s="20"/>
      <c r="U264" s="20"/>
      <c r="V264" s="20"/>
      <c r="W264" s="20"/>
      <c r="X264" s="20"/>
    </row>
    <row r="265" customFormat="false" ht="15" hidden="false" customHeight="false" outlineLevel="0" collapsed="false">
      <c r="A265" s="18"/>
      <c r="B265" s="20"/>
      <c r="C265" s="19"/>
      <c r="D265" s="20"/>
      <c r="E265" s="20"/>
      <c r="F265" s="20"/>
      <c r="G265" s="20"/>
      <c r="H265" s="20"/>
      <c r="I265" s="20"/>
      <c r="J265" s="18"/>
      <c r="K265" s="21" t="str">
        <f aca="false">IF(A265="","",IF(I265="",0,LEN(I265)-LEN(SUBSTITUTE(I265,",",""))+1))</f>
        <v/>
      </c>
      <c r="L265" s="21" t="str">
        <f aca="false">IF(A265="","",COUNTIF('Metric to Product'!$A:$A,A265))</f>
        <v/>
      </c>
      <c r="M265" s="21" t="str">
        <f aca="false">IF(A265="","",COUNTIF('Metric to Field'!$A:$A,A265))</f>
        <v/>
      </c>
      <c r="N265" s="21" t="str">
        <f aca="false">IF(B265="","",COUNTIF($B:$B,B265))</f>
        <v/>
      </c>
      <c r="O265" s="21" t="str">
        <f aca="false">IF(A265="","",COUNTIF($S:$S,S265)-1)</f>
        <v/>
      </c>
      <c r="P265" s="20"/>
      <c r="Q265" s="20"/>
      <c r="R265" s="20"/>
      <c r="S265" s="18" t="str">
        <f aca="false">IF(A265="","",LOWER(TRIM(D265&amp;"|"&amp;E265&amp;"|"&amp;F265)))</f>
        <v/>
      </c>
      <c r="T265" s="20"/>
      <c r="U265" s="20"/>
      <c r="V265" s="20"/>
      <c r="W265" s="20"/>
      <c r="X265" s="20"/>
    </row>
    <row r="266" customFormat="false" ht="15" hidden="false" customHeight="false" outlineLevel="0" collapsed="false">
      <c r="A266" s="18"/>
      <c r="B266" s="20"/>
      <c r="C266" s="19"/>
      <c r="D266" s="20"/>
      <c r="E266" s="20"/>
      <c r="F266" s="20"/>
      <c r="G266" s="20"/>
      <c r="H266" s="20"/>
      <c r="I266" s="20"/>
      <c r="J266" s="18"/>
      <c r="K266" s="21" t="str">
        <f aca="false">IF(A266="","",IF(I266="",0,LEN(I266)-LEN(SUBSTITUTE(I266,",",""))+1))</f>
        <v/>
      </c>
      <c r="L266" s="21" t="str">
        <f aca="false">IF(A266="","",COUNTIF('Metric to Product'!$A:$A,A266))</f>
        <v/>
      </c>
      <c r="M266" s="21" t="str">
        <f aca="false">IF(A266="","",COUNTIF('Metric to Field'!$A:$A,A266))</f>
        <v/>
      </c>
      <c r="N266" s="21" t="str">
        <f aca="false">IF(B266="","",COUNTIF($B:$B,B266))</f>
        <v/>
      </c>
      <c r="O266" s="21" t="str">
        <f aca="false">IF(A266="","",COUNTIF($S:$S,S266)-1)</f>
        <v/>
      </c>
      <c r="P266" s="20"/>
      <c r="Q266" s="20"/>
      <c r="R266" s="20"/>
      <c r="S266" s="18" t="str">
        <f aca="false">IF(A266="","",LOWER(TRIM(D266&amp;"|"&amp;E266&amp;"|"&amp;F266)))</f>
        <v/>
      </c>
      <c r="T266" s="20"/>
      <c r="U266" s="20"/>
      <c r="V266" s="20"/>
      <c r="W266" s="20"/>
      <c r="X266" s="20"/>
    </row>
    <row r="267" customFormat="false" ht="15" hidden="false" customHeight="false" outlineLevel="0" collapsed="false">
      <c r="A267" s="18"/>
      <c r="B267" s="20"/>
      <c r="C267" s="19"/>
      <c r="D267" s="20"/>
      <c r="E267" s="20"/>
      <c r="F267" s="20"/>
      <c r="G267" s="20"/>
      <c r="H267" s="20"/>
      <c r="I267" s="20"/>
      <c r="J267" s="18"/>
      <c r="K267" s="21" t="str">
        <f aca="false">IF(A267="","",IF(I267="",0,LEN(I267)-LEN(SUBSTITUTE(I267,",",""))+1))</f>
        <v/>
      </c>
      <c r="L267" s="21" t="str">
        <f aca="false">IF(A267="","",COUNTIF('Metric to Product'!$A:$A,A267))</f>
        <v/>
      </c>
      <c r="M267" s="21" t="str">
        <f aca="false">IF(A267="","",COUNTIF('Metric to Field'!$A:$A,A267))</f>
        <v/>
      </c>
      <c r="N267" s="21" t="str">
        <f aca="false">IF(B267="","",COUNTIF($B:$B,B267))</f>
        <v/>
      </c>
      <c r="O267" s="21" t="str">
        <f aca="false">IF(A267="","",COUNTIF($S:$S,S267)-1)</f>
        <v/>
      </c>
      <c r="P267" s="20"/>
      <c r="Q267" s="20"/>
      <c r="R267" s="20"/>
      <c r="S267" s="18" t="str">
        <f aca="false">IF(A267="","",LOWER(TRIM(D267&amp;"|"&amp;E267&amp;"|"&amp;F267)))</f>
        <v/>
      </c>
      <c r="T267" s="20"/>
      <c r="U267" s="20"/>
      <c r="V267" s="20"/>
      <c r="W267" s="20"/>
      <c r="X267" s="20"/>
    </row>
    <row r="268" customFormat="false" ht="15" hidden="false" customHeight="false" outlineLevel="0" collapsed="false">
      <c r="A268" s="18"/>
      <c r="B268" s="20"/>
      <c r="C268" s="19"/>
      <c r="D268" s="20"/>
      <c r="E268" s="20"/>
      <c r="F268" s="20"/>
      <c r="G268" s="20"/>
      <c r="H268" s="20"/>
      <c r="I268" s="20"/>
      <c r="J268" s="18"/>
      <c r="K268" s="21" t="str">
        <f aca="false">IF(A268="","",IF(I268="",0,LEN(I268)-LEN(SUBSTITUTE(I268,",",""))+1))</f>
        <v/>
      </c>
      <c r="L268" s="21" t="str">
        <f aca="false">IF(A268="","",COUNTIF('Metric to Product'!$A:$A,A268))</f>
        <v/>
      </c>
      <c r="M268" s="21" t="str">
        <f aca="false">IF(A268="","",COUNTIF('Metric to Field'!$A:$A,A268))</f>
        <v/>
      </c>
      <c r="N268" s="21" t="str">
        <f aca="false">IF(B268="","",COUNTIF($B:$B,B268))</f>
        <v/>
      </c>
      <c r="O268" s="21" t="str">
        <f aca="false">IF(A268="","",COUNTIF($S:$S,S268)-1)</f>
        <v/>
      </c>
      <c r="P268" s="20"/>
      <c r="Q268" s="20"/>
      <c r="R268" s="20"/>
      <c r="S268" s="18" t="str">
        <f aca="false">IF(A268="","",LOWER(TRIM(D268&amp;"|"&amp;E268&amp;"|"&amp;F268)))</f>
        <v/>
      </c>
      <c r="T268" s="20"/>
      <c r="U268" s="20"/>
      <c r="V268" s="20"/>
      <c r="W268" s="20"/>
      <c r="X268" s="20"/>
    </row>
    <row r="269" customFormat="false" ht="15" hidden="false" customHeight="false" outlineLevel="0" collapsed="false">
      <c r="A269" s="18"/>
      <c r="B269" s="20"/>
      <c r="C269" s="19"/>
      <c r="D269" s="20"/>
      <c r="E269" s="20"/>
      <c r="F269" s="20"/>
      <c r="G269" s="20"/>
      <c r="H269" s="20"/>
      <c r="I269" s="20"/>
      <c r="J269" s="18"/>
      <c r="K269" s="21" t="str">
        <f aca="false">IF(A269="","",IF(I269="",0,LEN(I269)-LEN(SUBSTITUTE(I269,",",""))+1))</f>
        <v/>
      </c>
      <c r="L269" s="21" t="str">
        <f aca="false">IF(A269="","",COUNTIF('Metric to Product'!$A:$A,A269))</f>
        <v/>
      </c>
      <c r="M269" s="21" t="str">
        <f aca="false">IF(A269="","",COUNTIF('Metric to Field'!$A:$A,A269))</f>
        <v/>
      </c>
      <c r="N269" s="21" t="str">
        <f aca="false">IF(B269="","",COUNTIF($B:$B,B269))</f>
        <v/>
      </c>
      <c r="O269" s="21" t="str">
        <f aca="false">IF(A269="","",COUNTIF($S:$S,S269)-1)</f>
        <v/>
      </c>
      <c r="P269" s="20"/>
      <c r="Q269" s="20"/>
      <c r="R269" s="20"/>
      <c r="S269" s="18" t="str">
        <f aca="false">IF(A269="","",LOWER(TRIM(D269&amp;"|"&amp;E269&amp;"|"&amp;F269)))</f>
        <v/>
      </c>
      <c r="T269" s="20"/>
      <c r="U269" s="20"/>
      <c r="V269" s="20"/>
      <c r="W269" s="20"/>
      <c r="X269" s="20"/>
    </row>
    <row r="270" customFormat="false" ht="15" hidden="false" customHeight="false" outlineLevel="0" collapsed="false">
      <c r="A270" s="18"/>
      <c r="B270" s="20"/>
      <c r="C270" s="19"/>
      <c r="D270" s="20"/>
      <c r="E270" s="20"/>
      <c r="F270" s="20"/>
      <c r="G270" s="20"/>
      <c r="H270" s="20"/>
      <c r="I270" s="20"/>
      <c r="J270" s="18"/>
      <c r="K270" s="21" t="str">
        <f aca="false">IF(A270="","",IF(I270="",0,LEN(I270)-LEN(SUBSTITUTE(I270,",",""))+1))</f>
        <v/>
      </c>
      <c r="L270" s="21" t="str">
        <f aca="false">IF(A270="","",COUNTIF('Metric to Product'!$A:$A,A270))</f>
        <v/>
      </c>
      <c r="M270" s="21" t="str">
        <f aca="false">IF(A270="","",COUNTIF('Metric to Field'!$A:$A,A270))</f>
        <v/>
      </c>
      <c r="N270" s="21" t="str">
        <f aca="false">IF(B270="","",COUNTIF($B:$B,B270))</f>
        <v/>
      </c>
      <c r="O270" s="21" t="str">
        <f aca="false">IF(A270="","",COUNTIF($S:$S,S270)-1)</f>
        <v/>
      </c>
      <c r="P270" s="20"/>
      <c r="Q270" s="20"/>
      <c r="R270" s="20"/>
      <c r="S270" s="18" t="str">
        <f aca="false">IF(A270="","",LOWER(TRIM(D270&amp;"|"&amp;E270&amp;"|"&amp;F270)))</f>
        <v/>
      </c>
      <c r="T270" s="20"/>
      <c r="U270" s="20"/>
      <c r="V270" s="20"/>
      <c r="W270" s="20"/>
      <c r="X270" s="20"/>
    </row>
    <row r="271" customFormat="false" ht="15" hidden="false" customHeight="false" outlineLevel="0" collapsed="false">
      <c r="A271" s="18"/>
      <c r="B271" s="20"/>
      <c r="C271" s="19"/>
      <c r="D271" s="20"/>
      <c r="E271" s="20"/>
      <c r="F271" s="20"/>
      <c r="G271" s="20"/>
      <c r="H271" s="20"/>
      <c r="I271" s="20"/>
      <c r="J271" s="18"/>
      <c r="K271" s="21" t="str">
        <f aca="false">IF(A271="","",IF(I271="",0,LEN(I271)-LEN(SUBSTITUTE(I271,",",""))+1))</f>
        <v/>
      </c>
      <c r="L271" s="21" t="str">
        <f aca="false">IF(A271="","",COUNTIF('Metric to Product'!$A:$A,A271))</f>
        <v/>
      </c>
      <c r="M271" s="21" t="str">
        <f aca="false">IF(A271="","",COUNTIF('Metric to Field'!$A:$A,A271))</f>
        <v/>
      </c>
      <c r="N271" s="21" t="str">
        <f aca="false">IF(B271="","",COUNTIF($B:$B,B271))</f>
        <v/>
      </c>
      <c r="O271" s="21" t="str">
        <f aca="false">IF(A271="","",COUNTIF($S:$S,S271)-1)</f>
        <v/>
      </c>
      <c r="P271" s="20"/>
      <c r="Q271" s="20"/>
      <c r="R271" s="20"/>
      <c r="S271" s="18" t="str">
        <f aca="false">IF(A271="","",LOWER(TRIM(D271&amp;"|"&amp;E271&amp;"|"&amp;F271)))</f>
        <v/>
      </c>
      <c r="T271" s="20"/>
      <c r="U271" s="20"/>
      <c r="V271" s="20"/>
      <c r="W271" s="20"/>
      <c r="X271" s="20"/>
    </row>
    <row r="272" customFormat="false" ht="15" hidden="false" customHeight="false" outlineLevel="0" collapsed="false">
      <c r="A272" s="18"/>
      <c r="B272" s="20"/>
      <c r="C272" s="19"/>
      <c r="D272" s="20"/>
      <c r="E272" s="20"/>
      <c r="F272" s="20"/>
      <c r="G272" s="20"/>
      <c r="H272" s="20"/>
      <c r="I272" s="20"/>
      <c r="J272" s="18"/>
      <c r="K272" s="21" t="str">
        <f aca="false">IF(A272="","",IF(I272="",0,LEN(I272)-LEN(SUBSTITUTE(I272,",",""))+1))</f>
        <v/>
      </c>
      <c r="L272" s="21" t="str">
        <f aca="false">IF(A272="","",COUNTIF('Metric to Product'!$A:$A,A272))</f>
        <v/>
      </c>
      <c r="M272" s="21" t="str">
        <f aca="false">IF(A272="","",COUNTIF('Metric to Field'!$A:$A,A272))</f>
        <v/>
      </c>
      <c r="N272" s="21" t="str">
        <f aca="false">IF(B272="","",COUNTIF($B:$B,B272))</f>
        <v/>
      </c>
      <c r="O272" s="21" t="str">
        <f aca="false">IF(A272="","",COUNTIF($S:$S,S272)-1)</f>
        <v/>
      </c>
      <c r="P272" s="20"/>
      <c r="Q272" s="20"/>
      <c r="R272" s="20"/>
      <c r="S272" s="18" t="str">
        <f aca="false">IF(A272="","",LOWER(TRIM(D272&amp;"|"&amp;E272&amp;"|"&amp;F272)))</f>
        <v/>
      </c>
      <c r="T272" s="20"/>
      <c r="U272" s="20"/>
      <c r="V272" s="20"/>
      <c r="W272" s="20"/>
      <c r="X272" s="20"/>
    </row>
    <row r="273" customFormat="false" ht="15" hidden="false" customHeight="false" outlineLevel="0" collapsed="false">
      <c r="A273" s="18"/>
      <c r="B273" s="20"/>
      <c r="C273" s="19"/>
      <c r="D273" s="20"/>
      <c r="E273" s="20"/>
      <c r="F273" s="20"/>
      <c r="G273" s="20"/>
      <c r="H273" s="20"/>
      <c r="I273" s="20"/>
      <c r="J273" s="18"/>
      <c r="K273" s="21" t="str">
        <f aca="false">IF(A273="","",IF(I273="",0,LEN(I273)-LEN(SUBSTITUTE(I273,",",""))+1))</f>
        <v/>
      </c>
      <c r="L273" s="21" t="str">
        <f aca="false">IF(A273="","",COUNTIF('Metric to Product'!$A:$A,A273))</f>
        <v/>
      </c>
      <c r="M273" s="21" t="str">
        <f aca="false">IF(A273="","",COUNTIF('Metric to Field'!$A:$A,A273))</f>
        <v/>
      </c>
      <c r="N273" s="21" t="str">
        <f aca="false">IF(B273="","",COUNTIF($B:$B,B273))</f>
        <v/>
      </c>
      <c r="O273" s="21" t="str">
        <f aca="false">IF(A273="","",COUNTIF($S:$S,S273)-1)</f>
        <v/>
      </c>
      <c r="P273" s="20"/>
      <c r="Q273" s="20"/>
      <c r="R273" s="20"/>
      <c r="S273" s="18" t="str">
        <f aca="false">IF(A273="","",LOWER(TRIM(D273&amp;"|"&amp;E273&amp;"|"&amp;F273)))</f>
        <v/>
      </c>
      <c r="T273" s="20"/>
      <c r="U273" s="20"/>
      <c r="V273" s="20"/>
      <c r="W273" s="20"/>
      <c r="X273" s="20"/>
    </row>
    <row r="274" customFormat="false" ht="15" hidden="false" customHeight="false" outlineLevel="0" collapsed="false">
      <c r="A274" s="18"/>
      <c r="B274" s="20"/>
      <c r="C274" s="19"/>
      <c r="D274" s="20"/>
      <c r="E274" s="20"/>
      <c r="F274" s="20"/>
      <c r="G274" s="20"/>
      <c r="H274" s="20"/>
      <c r="I274" s="20"/>
      <c r="J274" s="18"/>
      <c r="K274" s="21" t="str">
        <f aca="false">IF(A274="","",IF(I274="",0,LEN(I274)-LEN(SUBSTITUTE(I274,",",""))+1))</f>
        <v/>
      </c>
      <c r="L274" s="21" t="str">
        <f aca="false">IF(A274="","",COUNTIF('Metric to Product'!$A:$A,A274))</f>
        <v/>
      </c>
      <c r="M274" s="21" t="str">
        <f aca="false">IF(A274="","",COUNTIF('Metric to Field'!$A:$A,A274))</f>
        <v/>
      </c>
      <c r="N274" s="21" t="str">
        <f aca="false">IF(B274="","",COUNTIF($B:$B,B274))</f>
        <v/>
      </c>
      <c r="O274" s="21" t="str">
        <f aca="false">IF(A274="","",COUNTIF($S:$S,S274)-1)</f>
        <v/>
      </c>
      <c r="P274" s="20"/>
      <c r="Q274" s="20"/>
      <c r="R274" s="20"/>
      <c r="S274" s="18" t="str">
        <f aca="false">IF(A274="","",LOWER(TRIM(D274&amp;"|"&amp;E274&amp;"|"&amp;F274)))</f>
        <v/>
      </c>
      <c r="T274" s="20"/>
      <c r="U274" s="20"/>
      <c r="V274" s="20"/>
      <c r="W274" s="20"/>
      <c r="X274" s="20"/>
    </row>
    <row r="275" customFormat="false" ht="15" hidden="false" customHeight="false" outlineLevel="0" collapsed="false">
      <c r="A275" s="18"/>
      <c r="B275" s="20"/>
      <c r="C275" s="19"/>
      <c r="D275" s="20"/>
      <c r="E275" s="20"/>
      <c r="F275" s="20"/>
      <c r="G275" s="20"/>
      <c r="H275" s="20"/>
      <c r="I275" s="20"/>
      <c r="J275" s="18"/>
      <c r="K275" s="21" t="str">
        <f aca="false">IF(A275="","",IF(I275="",0,LEN(I275)-LEN(SUBSTITUTE(I275,",",""))+1))</f>
        <v/>
      </c>
      <c r="L275" s="21" t="str">
        <f aca="false">IF(A275="","",COUNTIF('Metric to Product'!$A:$A,A275))</f>
        <v/>
      </c>
      <c r="M275" s="21" t="str">
        <f aca="false">IF(A275="","",COUNTIF('Metric to Field'!$A:$A,A275))</f>
        <v/>
      </c>
      <c r="N275" s="21" t="str">
        <f aca="false">IF(B275="","",COUNTIF($B:$B,B275))</f>
        <v/>
      </c>
      <c r="O275" s="21" t="str">
        <f aca="false">IF(A275="","",COUNTIF($S:$S,S275)-1)</f>
        <v/>
      </c>
      <c r="P275" s="20"/>
      <c r="Q275" s="20"/>
      <c r="R275" s="20"/>
      <c r="S275" s="18" t="str">
        <f aca="false">IF(A275="","",LOWER(TRIM(D275&amp;"|"&amp;E275&amp;"|"&amp;F275)))</f>
        <v/>
      </c>
      <c r="T275" s="20"/>
      <c r="U275" s="20"/>
      <c r="V275" s="20"/>
      <c r="W275" s="20"/>
      <c r="X275" s="20"/>
    </row>
    <row r="276" customFormat="false" ht="15" hidden="false" customHeight="false" outlineLevel="0" collapsed="false">
      <c r="A276" s="18"/>
      <c r="B276" s="20"/>
      <c r="C276" s="19"/>
      <c r="D276" s="20"/>
      <c r="E276" s="20"/>
      <c r="F276" s="20"/>
      <c r="G276" s="20"/>
      <c r="H276" s="20"/>
      <c r="I276" s="20"/>
      <c r="J276" s="18"/>
      <c r="K276" s="21" t="str">
        <f aca="false">IF(A276="","",IF(I276="",0,LEN(I276)-LEN(SUBSTITUTE(I276,",",""))+1))</f>
        <v/>
      </c>
      <c r="L276" s="21" t="str">
        <f aca="false">IF(A276="","",COUNTIF('Metric to Product'!$A:$A,A276))</f>
        <v/>
      </c>
      <c r="M276" s="21" t="str">
        <f aca="false">IF(A276="","",COUNTIF('Metric to Field'!$A:$A,A276))</f>
        <v/>
      </c>
      <c r="N276" s="21" t="str">
        <f aca="false">IF(B276="","",COUNTIF($B:$B,B276))</f>
        <v/>
      </c>
      <c r="O276" s="21" t="str">
        <f aca="false">IF(A276="","",COUNTIF($S:$S,S276)-1)</f>
        <v/>
      </c>
      <c r="P276" s="20"/>
      <c r="Q276" s="20"/>
      <c r="R276" s="20"/>
      <c r="S276" s="18" t="str">
        <f aca="false">IF(A276="","",LOWER(TRIM(D276&amp;"|"&amp;E276&amp;"|"&amp;F276)))</f>
        <v/>
      </c>
      <c r="T276" s="20"/>
      <c r="U276" s="20"/>
      <c r="V276" s="20"/>
      <c r="W276" s="20"/>
      <c r="X276" s="20"/>
    </row>
    <row r="277" customFormat="false" ht="15" hidden="false" customHeight="false" outlineLevel="0" collapsed="false">
      <c r="A277" s="18"/>
      <c r="B277" s="20"/>
      <c r="C277" s="19"/>
      <c r="D277" s="20"/>
      <c r="E277" s="20"/>
      <c r="F277" s="20"/>
      <c r="G277" s="20"/>
      <c r="H277" s="20"/>
      <c r="I277" s="20"/>
      <c r="J277" s="18"/>
      <c r="K277" s="21" t="str">
        <f aca="false">IF(A277="","",IF(I277="",0,LEN(I277)-LEN(SUBSTITUTE(I277,",",""))+1))</f>
        <v/>
      </c>
      <c r="L277" s="21" t="str">
        <f aca="false">IF(A277="","",COUNTIF('Metric to Product'!$A:$A,A277))</f>
        <v/>
      </c>
      <c r="M277" s="21" t="str">
        <f aca="false">IF(A277="","",COUNTIF('Metric to Field'!$A:$A,A277))</f>
        <v/>
      </c>
      <c r="N277" s="21" t="str">
        <f aca="false">IF(B277="","",COUNTIF($B:$B,B277))</f>
        <v/>
      </c>
      <c r="O277" s="21" t="str">
        <f aca="false">IF(A277="","",COUNTIF($S:$S,S277)-1)</f>
        <v/>
      </c>
      <c r="P277" s="20"/>
      <c r="Q277" s="20"/>
      <c r="R277" s="20"/>
      <c r="S277" s="18" t="str">
        <f aca="false">IF(A277="","",LOWER(TRIM(D277&amp;"|"&amp;E277&amp;"|"&amp;F277)))</f>
        <v/>
      </c>
      <c r="T277" s="20"/>
      <c r="U277" s="20"/>
      <c r="V277" s="20"/>
      <c r="W277" s="20"/>
      <c r="X277" s="20"/>
    </row>
    <row r="278" customFormat="false" ht="15" hidden="false" customHeight="false" outlineLevel="0" collapsed="false">
      <c r="A278" s="18"/>
      <c r="B278" s="20"/>
      <c r="C278" s="19"/>
      <c r="D278" s="20"/>
      <c r="E278" s="20"/>
      <c r="F278" s="20"/>
      <c r="G278" s="20"/>
      <c r="H278" s="20"/>
      <c r="I278" s="20"/>
      <c r="J278" s="18"/>
      <c r="K278" s="21" t="str">
        <f aca="false">IF(A278="","",IF(I278="",0,LEN(I278)-LEN(SUBSTITUTE(I278,",",""))+1))</f>
        <v/>
      </c>
      <c r="L278" s="21" t="str">
        <f aca="false">IF(A278="","",COUNTIF('Metric to Product'!$A:$A,A278))</f>
        <v/>
      </c>
      <c r="M278" s="21" t="str">
        <f aca="false">IF(A278="","",COUNTIF('Metric to Field'!$A:$A,A278))</f>
        <v/>
      </c>
      <c r="N278" s="21" t="str">
        <f aca="false">IF(B278="","",COUNTIF($B:$B,B278))</f>
        <v/>
      </c>
      <c r="O278" s="21" t="str">
        <f aca="false">IF(A278="","",COUNTIF($S:$S,S278)-1)</f>
        <v/>
      </c>
      <c r="P278" s="20"/>
      <c r="Q278" s="20"/>
      <c r="R278" s="20"/>
      <c r="S278" s="18" t="str">
        <f aca="false">IF(A278="","",LOWER(TRIM(D278&amp;"|"&amp;E278&amp;"|"&amp;F278)))</f>
        <v/>
      </c>
      <c r="T278" s="20"/>
      <c r="U278" s="20"/>
      <c r="V278" s="20"/>
      <c r="W278" s="20"/>
      <c r="X278" s="20"/>
    </row>
    <row r="279" customFormat="false" ht="15" hidden="false" customHeight="false" outlineLevel="0" collapsed="false">
      <c r="A279" s="18"/>
      <c r="B279" s="20"/>
      <c r="C279" s="19"/>
      <c r="D279" s="20"/>
      <c r="E279" s="20"/>
      <c r="F279" s="20"/>
      <c r="G279" s="20"/>
      <c r="H279" s="20"/>
      <c r="I279" s="20"/>
      <c r="J279" s="18"/>
      <c r="K279" s="21" t="str">
        <f aca="false">IF(A279="","",IF(I279="",0,LEN(I279)-LEN(SUBSTITUTE(I279,",",""))+1))</f>
        <v/>
      </c>
      <c r="L279" s="21" t="str">
        <f aca="false">IF(A279="","",COUNTIF('Metric to Product'!$A:$A,A279))</f>
        <v/>
      </c>
      <c r="M279" s="21" t="str">
        <f aca="false">IF(A279="","",COUNTIF('Metric to Field'!$A:$A,A279))</f>
        <v/>
      </c>
      <c r="N279" s="21" t="str">
        <f aca="false">IF(B279="","",COUNTIF($B:$B,B279))</f>
        <v/>
      </c>
      <c r="O279" s="21" t="str">
        <f aca="false">IF(A279="","",COUNTIF($S:$S,S279)-1)</f>
        <v/>
      </c>
      <c r="P279" s="20"/>
      <c r="Q279" s="20"/>
      <c r="R279" s="20"/>
      <c r="S279" s="18" t="str">
        <f aca="false">IF(A279="","",LOWER(TRIM(D279&amp;"|"&amp;E279&amp;"|"&amp;F279)))</f>
        <v/>
      </c>
      <c r="T279" s="20"/>
      <c r="U279" s="20"/>
      <c r="V279" s="20"/>
      <c r="W279" s="20"/>
      <c r="X279" s="20"/>
    </row>
    <row r="280" customFormat="false" ht="15" hidden="false" customHeight="false" outlineLevel="0" collapsed="false">
      <c r="A280" s="18"/>
      <c r="B280" s="20"/>
      <c r="C280" s="19"/>
      <c r="D280" s="20"/>
      <c r="E280" s="20"/>
      <c r="F280" s="20"/>
      <c r="G280" s="20"/>
      <c r="H280" s="20"/>
      <c r="I280" s="20"/>
      <c r="J280" s="18"/>
      <c r="K280" s="21" t="str">
        <f aca="false">IF(A280="","",IF(I280="",0,LEN(I280)-LEN(SUBSTITUTE(I280,",",""))+1))</f>
        <v/>
      </c>
      <c r="L280" s="21" t="str">
        <f aca="false">IF(A280="","",COUNTIF('Metric to Product'!$A:$A,A280))</f>
        <v/>
      </c>
      <c r="M280" s="21" t="str">
        <f aca="false">IF(A280="","",COUNTIF('Metric to Field'!$A:$A,A280))</f>
        <v/>
      </c>
      <c r="N280" s="21" t="str">
        <f aca="false">IF(B280="","",COUNTIF($B:$B,B280))</f>
        <v/>
      </c>
      <c r="O280" s="21" t="str">
        <f aca="false">IF(A280="","",COUNTIF($S:$S,S280)-1)</f>
        <v/>
      </c>
      <c r="P280" s="20"/>
      <c r="Q280" s="20"/>
      <c r="R280" s="20"/>
      <c r="S280" s="18" t="str">
        <f aca="false">IF(A280="","",LOWER(TRIM(D280&amp;"|"&amp;E280&amp;"|"&amp;F280)))</f>
        <v/>
      </c>
      <c r="T280" s="20"/>
      <c r="U280" s="20"/>
      <c r="V280" s="20"/>
      <c r="W280" s="20"/>
      <c r="X280" s="20"/>
    </row>
    <row r="281" customFormat="false" ht="15" hidden="false" customHeight="false" outlineLevel="0" collapsed="false">
      <c r="A281" s="18"/>
      <c r="B281" s="20"/>
      <c r="C281" s="19"/>
      <c r="D281" s="20"/>
      <c r="E281" s="20"/>
      <c r="F281" s="20"/>
      <c r="G281" s="20"/>
      <c r="H281" s="20"/>
      <c r="I281" s="20"/>
      <c r="J281" s="18"/>
      <c r="K281" s="21" t="str">
        <f aca="false">IF(A281="","",IF(I281="",0,LEN(I281)-LEN(SUBSTITUTE(I281,",",""))+1))</f>
        <v/>
      </c>
      <c r="L281" s="21" t="str">
        <f aca="false">IF(A281="","",COUNTIF('Metric to Product'!$A:$A,A281))</f>
        <v/>
      </c>
      <c r="M281" s="21" t="str">
        <f aca="false">IF(A281="","",COUNTIF('Metric to Field'!$A:$A,A281))</f>
        <v/>
      </c>
      <c r="N281" s="21" t="str">
        <f aca="false">IF(B281="","",COUNTIF($B:$B,B281))</f>
        <v/>
      </c>
      <c r="O281" s="21" t="str">
        <f aca="false">IF(A281="","",COUNTIF($S:$S,S281)-1)</f>
        <v/>
      </c>
      <c r="P281" s="20"/>
      <c r="Q281" s="20"/>
      <c r="R281" s="20"/>
      <c r="S281" s="18" t="str">
        <f aca="false">IF(A281="","",LOWER(TRIM(D281&amp;"|"&amp;E281&amp;"|"&amp;F281)))</f>
        <v/>
      </c>
      <c r="T281" s="20"/>
      <c r="U281" s="20"/>
      <c r="V281" s="20"/>
      <c r="W281" s="20"/>
      <c r="X281" s="20"/>
    </row>
    <row r="282" customFormat="false" ht="15" hidden="false" customHeight="false" outlineLevel="0" collapsed="false">
      <c r="A282" s="18"/>
      <c r="B282" s="20"/>
      <c r="C282" s="19"/>
      <c r="D282" s="20"/>
      <c r="E282" s="20"/>
      <c r="F282" s="20"/>
      <c r="G282" s="20"/>
      <c r="H282" s="20"/>
      <c r="I282" s="20"/>
      <c r="J282" s="18"/>
      <c r="K282" s="21" t="str">
        <f aca="false">IF(A282="","",IF(I282="",0,LEN(I282)-LEN(SUBSTITUTE(I282,",",""))+1))</f>
        <v/>
      </c>
      <c r="L282" s="21" t="str">
        <f aca="false">IF(A282="","",COUNTIF('Metric to Product'!$A:$A,A282))</f>
        <v/>
      </c>
      <c r="M282" s="21" t="str">
        <f aca="false">IF(A282="","",COUNTIF('Metric to Field'!$A:$A,A282))</f>
        <v/>
      </c>
      <c r="N282" s="21" t="str">
        <f aca="false">IF(B282="","",COUNTIF($B:$B,B282))</f>
        <v/>
      </c>
      <c r="O282" s="21" t="str">
        <f aca="false">IF(A282="","",COUNTIF($S:$S,S282)-1)</f>
        <v/>
      </c>
      <c r="P282" s="20"/>
      <c r="Q282" s="20"/>
      <c r="R282" s="20"/>
      <c r="S282" s="18" t="str">
        <f aca="false">IF(A282="","",LOWER(TRIM(D282&amp;"|"&amp;E282&amp;"|"&amp;F282)))</f>
        <v/>
      </c>
      <c r="T282" s="20"/>
      <c r="U282" s="20"/>
      <c r="V282" s="20"/>
      <c r="W282" s="20"/>
      <c r="X282" s="20"/>
    </row>
    <row r="283" customFormat="false" ht="15" hidden="false" customHeight="false" outlineLevel="0" collapsed="false">
      <c r="A283" s="18"/>
      <c r="B283" s="20"/>
      <c r="C283" s="19"/>
      <c r="D283" s="20"/>
      <c r="E283" s="20"/>
      <c r="F283" s="20"/>
      <c r="G283" s="20"/>
      <c r="H283" s="20"/>
      <c r="I283" s="20"/>
      <c r="J283" s="18"/>
      <c r="K283" s="21" t="str">
        <f aca="false">IF(A283="","",IF(I283="",0,LEN(I283)-LEN(SUBSTITUTE(I283,",",""))+1))</f>
        <v/>
      </c>
      <c r="L283" s="21" t="str">
        <f aca="false">IF(A283="","",COUNTIF('Metric to Product'!$A:$A,A283))</f>
        <v/>
      </c>
      <c r="M283" s="21" t="str">
        <f aca="false">IF(A283="","",COUNTIF('Metric to Field'!$A:$A,A283))</f>
        <v/>
      </c>
      <c r="N283" s="21" t="str">
        <f aca="false">IF(B283="","",COUNTIF($B:$B,B283))</f>
        <v/>
      </c>
      <c r="O283" s="21" t="str">
        <f aca="false">IF(A283="","",COUNTIF($S:$S,S283)-1)</f>
        <v/>
      </c>
      <c r="P283" s="20"/>
      <c r="Q283" s="20"/>
      <c r="R283" s="20"/>
      <c r="S283" s="18" t="str">
        <f aca="false">IF(A283="","",LOWER(TRIM(D283&amp;"|"&amp;E283&amp;"|"&amp;F283)))</f>
        <v/>
      </c>
      <c r="T283" s="20"/>
      <c r="U283" s="20"/>
      <c r="V283" s="20"/>
      <c r="W283" s="20"/>
      <c r="X283" s="20"/>
    </row>
    <row r="284" customFormat="false" ht="15" hidden="false" customHeight="false" outlineLevel="0" collapsed="false">
      <c r="A284" s="18"/>
      <c r="B284" s="20"/>
      <c r="C284" s="19"/>
      <c r="D284" s="20"/>
      <c r="E284" s="20"/>
      <c r="F284" s="20"/>
      <c r="G284" s="20"/>
      <c r="H284" s="20"/>
      <c r="I284" s="20"/>
      <c r="J284" s="18"/>
      <c r="K284" s="21" t="str">
        <f aca="false">IF(A284="","",IF(I284="",0,LEN(I284)-LEN(SUBSTITUTE(I284,",",""))+1))</f>
        <v/>
      </c>
      <c r="L284" s="21" t="str">
        <f aca="false">IF(A284="","",COUNTIF('Metric to Product'!$A:$A,A284))</f>
        <v/>
      </c>
      <c r="M284" s="21" t="str">
        <f aca="false">IF(A284="","",COUNTIF('Metric to Field'!$A:$A,A284))</f>
        <v/>
      </c>
      <c r="N284" s="21" t="str">
        <f aca="false">IF(B284="","",COUNTIF($B:$B,B284))</f>
        <v/>
      </c>
      <c r="O284" s="21" t="str">
        <f aca="false">IF(A284="","",COUNTIF($S:$S,S284)-1)</f>
        <v/>
      </c>
      <c r="P284" s="20"/>
      <c r="Q284" s="20"/>
      <c r="R284" s="20"/>
      <c r="S284" s="18" t="str">
        <f aca="false">IF(A284="","",LOWER(TRIM(D284&amp;"|"&amp;E284&amp;"|"&amp;F284)))</f>
        <v/>
      </c>
      <c r="T284" s="20"/>
      <c r="U284" s="20"/>
      <c r="V284" s="20"/>
      <c r="W284" s="20"/>
      <c r="X284" s="20"/>
    </row>
    <row r="285" customFormat="false" ht="15" hidden="false" customHeight="false" outlineLevel="0" collapsed="false">
      <c r="A285" s="18"/>
      <c r="B285" s="20"/>
      <c r="C285" s="19"/>
      <c r="D285" s="20"/>
      <c r="E285" s="20"/>
      <c r="F285" s="20"/>
      <c r="G285" s="20"/>
      <c r="H285" s="20"/>
      <c r="I285" s="20"/>
      <c r="J285" s="18"/>
      <c r="K285" s="21" t="str">
        <f aca="false">IF(A285="","",IF(I285="",0,LEN(I285)-LEN(SUBSTITUTE(I285,",",""))+1))</f>
        <v/>
      </c>
      <c r="L285" s="21" t="str">
        <f aca="false">IF(A285="","",COUNTIF('Metric to Product'!$A:$A,A285))</f>
        <v/>
      </c>
      <c r="M285" s="21" t="str">
        <f aca="false">IF(A285="","",COUNTIF('Metric to Field'!$A:$A,A285))</f>
        <v/>
      </c>
      <c r="N285" s="21" t="str">
        <f aca="false">IF(B285="","",COUNTIF($B:$B,B285))</f>
        <v/>
      </c>
      <c r="O285" s="21" t="str">
        <f aca="false">IF(A285="","",COUNTIF($S:$S,S285)-1)</f>
        <v/>
      </c>
      <c r="P285" s="20"/>
      <c r="Q285" s="20"/>
      <c r="R285" s="20"/>
      <c r="S285" s="18" t="str">
        <f aca="false">IF(A285="","",LOWER(TRIM(D285&amp;"|"&amp;E285&amp;"|"&amp;F285)))</f>
        <v/>
      </c>
      <c r="T285" s="20"/>
      <c r="U285" s="20"/>
      <c r="V285" s="20"/>
      <c r="W285" s="20"/>
      <c r="X285" s="20"/>
    </row>
    <row r="286" customFormat="false" ht="15" hidden="false" customHeight="false" outlineLevel="0" collapsed="false">
      <c r="A286" s="18"/>
      <c r="B286" s="20"/>
      <c r="C286" s="19"/>
      <c r="D286" s="20"/>
      <c r="E286" s="20"/>
      <c r="F286" s="20"/>
      <c r="G286" s="20"/>
      <c r="H286" s="20"/>
      <c r="I286" s="20"/>
      <c r="J286" s="18"/>
      <c r="K286" s="21" t="str">
        <f aca="false">IF(A286="","",IF(I286="",0,LEN(I286)-LEN(SUBSTITUTE(I286,",",""))+1))</f>
        <v/>
      </c>
      <c r="L286" s="21" t="str">
        <f aca="false">IF(A286="","",COUNTIF('Metric to Product'!$A:$A,A286))</f>
        <v/>
      </c>
      <c r="M286" s="21" t="str">
        <f aca="false">IF(A286="","",COUNTIF('Metric to Field'!$A:$A,A286))</f>
        <v/>
      </c>
      <c r="N286" s="21" t="str">
        <f aca="false">IF(B286="","",COUNTIF($B:$B,B286))</f>
        <v/>
      </c>
      <c r="O286" s="21" t="str">
        <f aca="false">IF(A286="","",COUNTIF($S:$S,S286)-1)</f>
        <v/>
      </c>
      <c r="P286" s="20"/>
      <c r="Q286" s="20"/>
      <c r="R286" s="20"/>
      <c r="S286" s="18" t="str">
        <f aca="false">IF(A286="","",LOWER(TRIM(D286&amp;"|"&amp;E286&amp;"|"&amp;F286)))</f>
        <v/>
      </c>
      <c r="T286" s="20"/>
      <c r="U286" s="20"/>
      <c r="V286" s="20"/>
      <c r="W286" s="20"/>
      <c r="X286" s="20"/>
    </row>
    <row r="287" customFormat="false" ht="15" hidden="false" customHeight="false" outlineLevel="0" collapsed="false">
      <c r="A287" s="18"/>
      <c r="B287" s="20"/>
      <c r="C287" s="19"/>
      <c r="D287" s="20"/>
      <c r="E287" s="20"/>
      <c r="F287" s="20"/>
      <c r="G287" s="20"/>
      <c r="H287" s="20"/>
      <c r="I287" s="20"/>
      <c r="J287" s="18"/>
      <c r="K287" s="21" t="str">
        <f aca="false">IF(A287="","",IF(I287="",0,LEN(I287)-LEN(SUBSTITUTE(I287,",",""))+1))</f>
        <v/>
      </c>
      <c r="L287" s="21" t="str">
        <f aca="false">IF(A287="","",COUNTIF('Metric to Product'!$A:$A,A287))</f>
        <v/>
      </c>
      <c r="M287" s="21" t="str">
        <f aca="false">IF(A287="","",COUNTIF('Metric to Field'!$A:$A,A287))</f>
        <v/>
      </c>
      <c r="N287" s="21" t="str">
        <f aca="false">IF(B287="","",COUNTIF($B:$B,B287))</f>
        <v/>
      </c>
      <c r="O287" s="21" t="str">
        <f aca="false">IF(A287="","",COUNTIF($S:$S,S287)-1)</f>
        <v/>
      </c>
      <c r="P287" s="20"/>
      <c r="Q287" s="20"/>
      <c r="R287" s="20"/>
      <c r="S287" s="18" t="str">
        <f aca="false">IF(A287="","",LOWER(TRIM(D287&amp;"|"&amp;E287&amp;"|"&amp;F287)))</f>
        <v/>
      </c>
      <c r="T287" s="20"/>
      <c r="U287" s="20"/>
      <c r="V287" s="20"/>
      <c r="W287" s="20"/>
      <c r="X287" s="20"/>
    </row>
    <row r="288" customFormat="false" ht="15" hidden="false" customHeight="false" outlineLevel="0" collapsed="false">
      <c r="A288" s="18"/>
      <c r="B288" s="20"/>
      <c r="C288" s="19"/>
      <c r="D288" s="20"/>
      <c r="E288" s="20"/>
      <c r="F288" s="20"/>
      <c r="G288" s="20"/>
      <c r="H288" s="20"/>
      <c r="I288" s="20"/>
      <c r="J288" s="18"/>
      <c r="K288" s="21" t="str">
        <f aca="false">IF(A288="","",IF(I288="",0,LEN(I288)-LEN(SUBSTITUTE(I288,",",""))+1))</f>
        <v/>
      </c>
      <c r="L288" s="21" t="str">
        <f aca="false">IF(A288="","",COUNTIF('Metric to Product'!$A:$A,A288))</f>
        <v/>
      </c>
      <c r="M288" s="21" t="str">
        <f aca="false">IF(A288="","",COUNTIF('Metric to Field'!$A:$A,A288))</f>
        <v/>
      </c>
      <c r="N288" s="21" t="str">
        <f aca="false">IF(B288="","",COUNTIF($B:$B,B288))</f>
        <v/>
      </c>
      <c r="O288" s="21" t="str">
        <f aca="false">IF(A288="","",COUNTIF($S:$S,S288)-1)</f>
        <v/>
      </c>
      <c r="P288" s="20"/>
      <c r="Q288" s="20"/>
      <c r="R288" s="20"/>
      <c r="S288" s="18" t="str">
        <f aca="false">IF(A288="","",LOWER(TRIM(D288&amp;"|"&amp;E288&amp;"|"&amp;F288)))</f>
        <v/>
      </c>
      <c r="T288" s="20"/>
      <c r="U288" s="20"/>
      <c r="V288" s="20"/>
      <c r="W288" s="20"/>
      <c r="X288" s="20"/>
    </row>
    <row r="289" customFormat="false" ht="15" hidden="false" customHeight="false" outlineLevel="0" collapsed="false">
      <c r="A289" s="18"/>
      <c r="B289" s="20"/>
      <c r="C289" s="19"/>
      <c r="D289" s="20"/>
      <c r="E289" s="20"/>
      <c r="F289" s="20"/>
      <c r="G289" s="20"/>
      <c r="H289" s="20"/>
      <c r="I289" s="20"/>
      <c r="J289" s="18"/>
      <c r="K289" s="21" t="str">
        <f aca="false">IF(A289="","",IF(I289="",0,LEN(I289)-LEN(SUBSTITUTE(I289,",",""))+1))</f>
        <v/>
      </c>
      <c r="L289" s="21" t="str">
        <f aca="false">IF(A289="","",COUNTIF('Metric to Product'!$A:$A,A289))</f>
        <v/>
      </c>
      <c r="M289" s="21" t="str">
        <f aca="false">IF(A289="","",COUNTIF('Metric to Field'!$A:$A,A289))</f>
        <v/>
      </c>
      <c r="N289" s="21" t="str">
        <f aca="false">IF(B289="","",COUNTIF($B:$B,B289))</f>
        <v/>
      </c>
      <c r="O289" s="21" t="str">
        <f aca="false">IF(A289="","",COUNTIF($S:$S,S289)-1)</f>
        <v/>
      </c>
      <c r="P289" s="20"/>
      <c r="Q289" s="20"/>
      <c r="R289" s="20"/>
      <c r="S289" s="18" t="str">
        <f aca="false">IF(A289="","",LOWER(TRIM(D289&amp;"|"&amp;E289&amp;"|"&amp;F289)))</f>
        <v/>
      </c>
      <c r="T289" s="20"/>
      <c r="U289" s="20"/>
      <c r="V289" s="20"/>
      <c r="W289" s="20"/>
      <c r="X289" s="20"/>
    </row>
    <row r="290" customFormat="false" ht="15" hidden="false" customHeight="false" outlineLevel="0" collapsed="false">
      <c r="A290" s="18"/>
      <c r="B290" s="20"/>
      <c r="C290" s="19"/>
      <c r="D290" s="20"/>
      <c r="E290" s="20"/>
      <c r="F290" s="20"/>
      <c r="G290" s="20"/>
      <c r="H290" s="20"/>
      <c r="I290" s="20"/>
      <c r="J290" s="18"/>
      <c r="K290" s="21" t="str">
        <f aca="false">IF(A290="","",IF(I290="",0,LEN(I290)-LEN(SUBSTITUTE(I290,",",""))+1))</f>
        <v/>
      </c>
      <c r="L290" s="21" t="str">
        <f aca="false">IF(A290="","",COUNTIF('Metric to Product'!$A:$A,A290))</f>
        <v/>
      </c>
      <c r="M290" s="21" t="str">
        <f aca="false">IF(A290="","",COUNTIF('Metric to Field'!$A:$A,A290))</f>
        <v/>
      </c>
      <c r="N290" s="21" t="str">
        <f aca="false">IF(B290="","",COUNTIF($B:$B,B290))</f>
        <v/>
      </c>
      <c r="O290" s="21" t="str">
        <f aca="false">IF(A290="","",COUNTIF($S:$S,S290)-1)</f>
        <v/>
      </c>
      <c r="P290" s="20"/>
      <c r="Q290" s="20"/>
      <c r="R290" s="20"/>
      <c r="S290" s="18" t="str">
        <f aca="false">IF(A290="","",LOWER(TRIM(D290&amp;"|"&amp;E290&amp;"|"&amp;F290)))</f>
        <v/>
      </c>
      <c r="T290" s="20"/>
      <c r="U290" s="20"/>
      <c r="V290" s="20"/>
      <c r="W290" s="20"/>
      <c r="X290" s="20"/>
    </row>
    <row r="291" customFormat="false" ht="15" hidden="false" customHeight="false" outlineLevel="0" collapsed="false">
      <c r="A291" s="18"/>
      <c r="B291" s="20"/>
      <c r="C291" s="19"/>
      <c r="D291" s="20"/>
      <c r="E291" s="20"/>
      <c r="F291" s="20"/>
      <c r="G291" s="20"/>
      <c r="H291" s="20"/>
      <c r="I291" s="20"/>
      <c r="J291" s="18"/>
      <c r="K291" s="21" t="str">
        <f aca="false">IF(A291="","",IF(I291="",0,LEN(I291)-LEN(SUBSTITUTE(I291,",",""))+1))</f>
        <v/>
      </c>
      <c r="L291" s="21" t="str">
        <f aca="false">IF(A291="","",COUNTIF('Metric to Product'!$A:$A,A291))</f>
        <v/>
      </c>
      <c r="M291" s="21" t="str">
        <f aca="false">IF(A291="","",COUNTIF('Metric to Field'!$A:$A,A291))</f>
        <v/>
      </c>
      <c r="N291" s="21" t="str">
        <f aca="false">IF(B291="","",COUNTIF($B:$B,B291))</f>
        <v/>
      </c>
      <c r="O291" s="21" t="str">
        <f aca="false">IF(A291="","",COUNTIF($S:$S,S291)-1)</f>
        <v/>
      </c>
      <c r="P291" s="20"/>
      <c r="Q291" s="20"/>
      <c r="R291" s="20"/>
      <c r="S291" s="18" t="str">
        <f aca="false">IF(A291="","",LOWER(TRIM(D291&amp;"|"&amp;E291&amp;"|"&amp;F291)))</f>
        <v/>
      </c>
      <c r="T291" s="20"/>
      <c r="U291" s="20"/>
      <c r="V291" s="20"/>
      <c r="W291" s="20"/>
      <c r="X291" s="20"/>
    </row>
    <row r="292" customFormat="false" ht="15" hidden="false" customHeight="false" outlineLevel="0" collapsed="false">
      <c r="A292" s="18"/>
      <c r="B292" s="20"/>
      <c r="C292" s="19"/>
      <c r="D292" s="20"/>
      <c r="E292" s="20"/>
      <c r="F292" s="20"/>
      <c r="G292" s="20"/>
      <c r="H292" s="20"/>
      <c r="I292" s="20"/>
      <c r="J292" s="18"/>
      <c r="K292" s="21" t="str">
        <f aca="false">IF(A292="","",IF(I292="",0,LEN(I292)-LEN(SUBSTITUTE(I292,",",""))+1))</f>
        <v/>
      </c>
      <c r="L292" s="21" t="str">
        <f aca="false">IF(A292="","",COUNTIF('Metric to Product'!$A:$A,A292))</f>
        <v/>
      </c>
      <c r="M292" s="21" t="str">
        <f aca="false">IF(A292="","",COUNTIF('Metric to Field'!$A:$A,A292))</f>
        <v/>
      </c>
      <c r="N292" s="21" t="str">
        <f aca="false">IF(B292="","",COUNTIF($B:$B,B292))</f>
        <v/>
      </c>
      <c r="O292" s="21" t="str">
        <f aca="false">IF(A292="","",COUNTIF($S:$S,S292)-1)</f>
        <v/>
      </c>
      <c r="P292" s="20"/>
      <c r="Q292" s="20"/>
      <c r="R292" s="20"/>
      <c r="S292" s="18" t="str">
        <f aca="false">IF(A292="","",LOWER(TRIM(D292&amp;"|"&amp;E292&amp;"|"&amp;F292)))</f>
        <v/>
      </c>
      <c r="T292" s="20"/>
      <c r="U292" s="20"/>
      <c r="V292" s="20"/>
      <c r="W292" s="20"/>
      <c r="X292" s="20"/>
    </row>
    <row r="293" customFormat="false" ht="15" hidden="false" customHeight="false" outlineLevel="0" collapsed="false">
      <c r="A293" s="18"/>
      <c r="B293" s="20"/>
      <c r="C293" s="19"/>
      <c r="D293" s="20"/>
      <c r="E293" s="20"/>
      <c r="F293" s="20"/>
      <c r="G293" s="20"/>
      <c r="H293" s="20"/>
      <c r="I293" s="20"/>
      <c r="J293" s="18"/>
      <c r="K293" s="21" t="str">
        <f aca="false">IF(A293="","",IF(I293="",0,LEN(I293)-LEN(SUBSTITUTE(I293,",",""))+1))</f>
        <v/>
      </c>
      <c r="L293" s="21" t="str">
        <f aca="false">IF(A293="","",COUNTIF('Metric to Product'!$A:$A,A293))</f>
        <v/>
      </c>
      <c r="M293" s="21" t="str">
        <f aca="false">IF(A293="","",COUNTIF('Metric to Field'!$A:$A,A293))</f>
        <v/>
      </c>
      <c r="N293" s="21" t="str">
        <f aca="false">IF(B293="","",COUNTIF($B:$B,B293))</f>
        <v/>
      </c>
      <c r="O293" s="21" t="str">
        <f aca="false">IF(A293="","",COUNTIF($S:$S,S293)-1)</f>
        <v/>
      </c>
      <c r="P293" s="20"/>
      <c r="Q293" s="20"/>
      <c r="R293" s="20"/>
      <c r="S293" s="18" t="str">
        <f aca="false">IF(A293="","",LOWER(TRIM(D293&amp;"|"&amp;E293&amp;"|"&amp;F293)))</f>
        <v/>
      </c>
      <c r="T293" s="20"/>
      <c r="U293" s="20"/>
      <c r="V293" s="20"/>
      <c r="W293" s="20"/>
      <c r="X293" s="20"/>
    </row>
    <row r="294" customFormat="false" ht="15" hidden="false" customHeight="false" outlineLevel="0" collapsed="false">
      <c r="A294" s="18"/>
      <c r="B294" s="20"/>
      <c r="C294" s="19"/>
      <c r="D294" s="20"/>
      <c r="E294" s="20"/>
      <c r="F294" s="20"/>
      <c r="G294" s="20"/>
      <c r="H294" s="20"/>
      <c r="I294" s="20"/>
      <c r="J294" s="18"/>
      <c r="K294" s="21" t="str">
        <f aca="false">IF(A294="","",IF(I294="",0,LEN(I294)-LEN(SUBSTITUTE(I294,",",""))+1))</f>
        <v/>
      </c>
      <c r="L294" s="21" t="str">
        <f aca="false">IF(A294="","",COUNTIF('Metric to Product'!$A:$A,A294))</f>
        <v/>
      </c>
      <c r="M294" s="21" t="str">
        <f aca="false">IF(A294="","",COUNTIF('Metric to Field'!$A:$A,A294))</f>
        <v/>
      </c>
      <c r="N294" s="21" t="str">
        <f aca="false">IF(B294="","",COUNTIF($B:$B,B294))</f>
        <v/>
      </c>
      <c r="O294" s="21" t="str">
        <f aca="false">IF(A294="","",COUNTIF($S:$S,S294)-1)</f>
        <v/>
      </c>
      <c r="P294" s="20"/>
      <c r="Q294" s="20"/>
      <c r="R294" s="20"/>
      <c r="S294" s="18" t="str">
        <f aca="false">IF(A294="","",LOWER(TRIM(D294&amp;"|"&amp;E294&amp;"|"&amp;F294)))</f>
        <v/>
      </c>
      <c r="T294" s="20"/>
      <c r="U294" s="20"/>
      <c r="V294" s="20"/>
      <c r="W294" s="20"/>
      <c r="X294" s="20"/>
    </row>
    <row r="295" customFormat="false" ht="15" hidden="false" customHeight="false" outlineLevel="0" collapsed="false">
      <c r="A295" s="18"/>
      <c r="B295" s="20"/>
      <c r="C295" s="19"/>
      <c r="D295" s="20"/>
      <c r="E295" s="20"/>
      <c r="F295" s="20"/>
      <c r="G295" s="20"/>
      <c r="H295" s="20"/>
      <c r="I295" s="20"/>
      <c r="J295" s="18"/>
      <c r="K295" s="21" t="str">
        <f aca="false">IF(A295="","",IF(I295="",0,LEN(I295)-LEN(SUBSTITUTE(I295,",",""))+1))</f>
        <v/>
      </c>
      <c r="L295" s="21" t="str">
        <f aca="false">IF(A295="","",COUNTIF('Metric to Product'!$A:$A,A295))</f>
        <v/>
      </c>
      <c r="M295" s="21" t="str">
        <f aca="false">IF(A295="","",COUNTIF('Metric to Field'!$A:$A,A295))</f>
        <v/>
      </c>
      <c r="N295" s="21" t="str">
        <f aca="false">IF(B295="","",COUNTIF($B:$B,B295))</f>
        <v/>
      </c>
      <c r="O295" s="21" t="str">
        <f aca="false">IF(A295="","",COUNTIF($S:$S,S295)-1)</f>
        <v/>
      </c>
      <c r="P295" s="20"/>
      <c r="Q295" s="20"/>
      <c r="R295" s="20"/>
      <c r="S295" s="18" t="str">
        <f aca="false">IF(A295="","",LOWER(TRIM(D295&amp;"|"&amp;E295&amp;"|"&amp;F295)))</f>
        <v/>
      </c>
      <c r="T295" s="20"/>
      <c r="U295" s="20"/>
      <c r="V295" s="20"/>
      <c r="W295" s="20"/>
      <c r="X295" s="20"/>
    </row>
    <row r="296" customFormat="false" ht="15" hidden="false" customHeight="false" outlineLevel="0" collapsed="false">
      <c r="A296" s="18"/>
      <c r="B296" s="20"/>
      <c r="C296" s="19"/>
      <c r="D296" s="20"/>
      <c r="E296" s="20"/>
      <c r="F296" s="20"/>
      <c r="G296" s="20"/>
      <c r="H296" s="20"/>
      <c r="I296" s="20"/>
      <c r="J296" s="18"/>
      <c r="K296" s="21" t="str">
        <f aca="false">IF(A296="","",IF(I296="",0,LEN(I296)-LEN(SUBSTITUTE(I296,",",""))+1))</f>
        <v/>
      </c>
      <c r="L296" s="21" t="str">
        <f aca="false">IF(A296="","",COUNTIF('Metric to Product'!$A:$A,A296))</f>
        <v/>
      </c>
      <c r="M296" s="21" t="str">
        <f aca="false">IF(A296="","",COUNTIF('Metric to Field'!$A:$A,A296))</f>
        <v/>
      </c>
      <c r="N296" s="21" t="str">
        <f aca="false">IF(B296="","",COUNTIF($B:$B,B296))</f>
        <v/>
      </c>
      <c r="O296" s="21" t="str">
        <f aca="false">IF(A296="","",COUNTIF($S:$S,S296)-1)</f>
        <v/>
      </c>
      <c r="P296" s="20"/>
      <c r="Q296" s="20"/>
      <c r="R296" s="20"/>
      <c r="S296" s="18" t="str">
        <f aca="false">IF(A296="","",LOWER(TRIM(D296&amp;"|"&amp;E296&amp;"|"&amp;F296)))</f>
        <v/>
      </c>
      <c r="T296" s="20"/>
      <c r="U296" s="20"/>
      <c r="V296" s="20"/>
      <c r="W296" s="20"/>
      <c r="X296" s="20"/>
    </row>
    <row r="297" customFormat="false" ht="15" hidden="false" customHeight="false" outlineLevel="0" collapsed="false">
      <c r="A297" s="18"/>
      <c r="B297" s="20"/>
      <c r="C297" s="19"/>
      <c r="D297" s="20"/>
      <c r="E297" s="20"/>
      <c r="F297" s="20"/>
      <c r="G297" s="20"/>
      <c r="H297" s="20"/>
      <c r="I297" s="20"/>
      <c r="J297" s="18"/>
      <c r="K297" s="21" t="str">
        <f aca="false">IF(A297="","",IF(I297="",0,LEN(I297)-LEN(SUBSTITUTE(I297,",",""))+1))</f>
        <v/>
      </c>
      <c r="L297" s="21" t="str">
        <f aca="false">IF(A297="","",COUNTIF('Metric to Product'!$A:$A,A297))</f>
        <v/>
      </c>
      <c r="M297" s="21" t="str">
        <f aca="false">IF(A297="","",COUNTIF('Metric to Field'!$A:$A,A297))</f>
        <v/>
      </c>
      <c r="N297" s="21" t="str">
        <f aca="false">IF(B297="","",COUNTIF($B:$B,B297))</f>
        <v/>
      </c>
      <c r="O297" s="21" t="str">
        <f aca="false">IF(A297="","",COUNTIF($S:$S,S297)-1)</f>
        <v/>
      </c>
      <c r="P297" s="20"/>
      <c r="Q297" s="20"/>
      <c r="R297" s="20"/>
      <c r="S297" s="18" t="str">
        <f aca="false">IF(A297="","",LOWER(TRIM(D297&amp;"|"&amp;E297&amp;"|"&amp;F297)))</f>
        <v/>
      </c>
      <c r="T297" s="20"/>
      <c r="U297" s="20"/>
      <c r="V297" s="20"/>
      <c r="W297" s="20"/>
      <c r="X297" s="20"/>
    </row>
    <row r="298" customFormat="false" ht="15" hidden="false" customHeight="false" outlineLevel="0" collapsed="false">
      <c r="A298" s="18"/>
      <c r="B298" s="20"/>
      <c r="C298" s="19"/>
      <c r="D298" s="20"/>
      <c r="E298" s="20"/>
      <c r="F298" s="20"/>
      <c r="G298" s="20"/>
      <c r="H298" s="20"/>
      <c r="I298" s="20"/>
      <c r="J298" s="18"/>
      <c r="K298" s="21" t="str">
        <f aca="false">IF(A298="","",IF(I298="",0,LEN(I298)-LEN(SUBSTITUTE(I298,",",""))+1))</f>
        <v/>
      </c>
      <c r="L298" s="21" t="str">
        <f aca="false">IF(A298="","",COUNTIF('Metric to Product'!$A:$A,A298))</f>
        <v/>
      </c>
      <c r="M298" s="21" t="str">
        <f aca="false">IF(A298="","",COUNTIF('Metric to Field'!$A:$A,A298))</f>
        <v/>
      </c>
      <c r="N298" s="21" t="str">
        <f aca="false">IF(B298="","",COUNTIF($B:$B,B298))</f>
        <v/>
      </c>
      <c r="O298" s="21" t="str">
        <f aca="false">IF(A298="","",COUNTIF($S:$S,S298)-1)</f>
        <v/>
      </c>
      <c r="P298" s="20"/>
      <c r="Q298" s="20"/>
      <c r="R298" s="20"/>
      <c r="S298" s="18" t="str">
        <f aca="false">IF(A298="","",LOWER(TRIM(D298&amp;"|"&amp;E298&amp;"|"&amp;F298)))</f>
        <v/>
      </c>
      <c r="T298" s="20"/>
      <c r="U298" s="20"/>
      <c r="V298" s="20"/>
      <c r="W298" s="20"/>
      <c r="X298" s="20"/>
    </row>
    <row r="299" customFormat="false" ht="15" hidden="false" customHeight="false" outlineLevel="0" collapsed="false">
      <c r="A299" s="18"/>
      <c r="B299" s="20"/>
      <c r="C299" s="19"/>
      <c r="D299" s="20"/>
      <c r="E299" s="20"/>
      <c r="F299" s="20"/>
      <c r="G299" s="20"/>
      <c r="H299" s="20"/>
      <c r="I299" s="20"/>
      <c r="J299" s="18"/>
      <c r="K299" s="21" t="str">
        <f aca="false">IF(A299="","",IF(I299="",0,LEN(I299)-LEN(SUBSTITUTE(I299,",",""))+1))</f>
        <v/>
      </c>
      <c r="L299" s="21" t="str">
        <f aca="false">IF(A299="","",COUNTIF('Metric to Product'!$A:$A,A299))</f>
        <v/>
      </c>
      <c r="M299" s="21" t="str">
        <f aca="false">IF(A299="","",COUNTIF('Metric to Field'!$A:$A,A299))</f>
        <v/>
      </c>
      <c r="N299" s="21" t="str">
        <f aca="false">IF(B299="","",COUNTIF($B:$B,B299))</f>
        <v/>
      </c>
      <c r="O299" s="21" t="str">
        <f aca="false">IF(A299="","",COUNTIF($S:$S,S299)-1)</f>
        <v/>
      </c>
      <c r="P299" s="20"/>
      <c r="Q299" s="20"/>
      <c r="R299" s="20"/>
      <c r="S299" s="18" t="str">
        <f aca="false">IF(A299="","",LOWER(TRIM(D299&amp;"|"&amp;E299&amp;"|"&amp;F299)))</f>
        <v/>
      </c>
      <c r="T299" s="20"/>
      <c r="U299" s="20"/>
      <c r="V299" s="20"/>
      <c r="W299" s="20"/>
      <c r="X299" s="20"/>
    </row>
    <row r="300" customFormat="false" ht="15" hidden="false" customHeight="false" outlineLevel="0" collapsed="false">
      <c r="A300" s="18"/>
      <c r="B300" s="20"/>
      <c r="C300" s="19"/>
      <c r="D300" s="20"/>
      <c r="E300" s="20"/>
      <c r="F300" s="20"/>
      <c r="G300" s="20"/>
      <c r="H300" s="20"/>
      <c r="I300" s="20"/>
      <c r="J300" s="18"/>
      <c r="K300" s="21" t="str">
        <f aca="false">IF(A300="","",IF(I300="",0,LEN(I300)-LEN(SUBSTITUTE(I300,",",""))+1))</f>
        <v/>
      </c>
      <c r="L300" s="21" t="str">
        <f aca="false">IF(A300="","",COUNTIF('Metric to Product'!$A:$A,A300))</f>
        <v/>
      </c>
      <c r="M300" s="21" t="str">
        <f aca="false">IF(A300="","",COUNTIF('Metric to Field'!$A:$A,A300))</f>
        <v/>
      </c>
      <c r="N300" s="21" t="str">
        <f aca="false">IF(B300="","",COUNTIF($B:$B,B300))</f>
        <v/>
      </c>
      <c r="O300" s="21" t="str">
        <f aca="false">IF(A300="","",COUNTIF($S:$S,S300)-1)</f>
        <v/>
      </c>
      <c r="P300" s="20"/>
      <c r="Q300" s="20"/>
      <c r="R300" s="20"/>
      <c r="S300" s="18" t="str">
        <f aca="false">IF(A300="","",LOWER(TRIM(D300&amp;"|"&amp;E300&amp;"|"&amp;F300)))</f>
        <v/>
      </c>
      <c r="T300" s="20"/>
      <c r="U300" s="20"/>
      <c r="V300" s="20"/>
      <c r="W300" s="20"/>
      <c r="X300" s="20"/>
    </row>
    <row r="301" customFormat="false" ht="15" hidden="false" customHeight="false" outlineLevel="0" collapsed="false">
      <c r="A301" s="18"/>
      <c r="B301" s="20"/>
      <c r="C301" s="19"/>
      <c r="D301" s="20"/>
      <c r="E301" s="20"/>
      <c r="F301" s="20"/>
      <c r="G301" s="20"/>
      <c r="H301" s="20"/>
      <c r="I301" s="20"/>
      <c r="J301" s="18"/>
      <c r="K301" s="21" t="str">
        <f aca="false">IF(A301="","",IF(I301="",0,LEN(I301)-LEN(SUBSTITUTE(I301,",",""))+1))</f>
        <v/>
      </c>
      <c r="L301" s="21" t="str">
        <f aca="false">IF(A301="","",COUNTIF('Metric to Product'!$A:$A,A301))</f>
        <v/>
      </c>
      <c r="M301" s="21" t="str">
        <f aca="false">IF(A301="","",COUNTIF('Metric to Field'!$A:$A,A301))</f>
        <v/>
      </c>
      <c r="N301" s="21" t="str">
        <f aca="false">IF(B301="","",COUNTIF($B:$B,B301))</f>
        <v/>
      </c>
      <c r="O301" s="21" t="str">
        <f aca="false">IF(A301="","",COUNTIF($S:$S,S301)-1)</f>
        <v/>
      </c>
      <c r="P301" s="20"/>
      <c r="Q301" s="20"/>
      <c r="R301" s="20"/>
      <c r="S301" s="18" t="str">
        <f aca="false">IF(A301="","",LOWER(TRIM(D301&amp;"|"&amp;E301&amp;"|"&amp;F301)))</f>
        <v/>
      </c>
      <c r="T301" s="20"/>
      <c r="U301" s="20"/>
      <c r="V301" s="20"/>
      <c r="W301" s="20"/>
      <c r="X301" s="20"/>
    </row>
    <row r="302" customFormat="false" ht="15" hidden="false" customHeight="false" outlineLevel="0" collapsed="false">
      <c r="A302" s="18"/>
      <c r="B302" s="20"/>
      <c r="C302" s="19"/>
      <c r="D302" s="20"/>
      <c r="E302" s="20"/>
      <c r="F302" s="20"/>
      <c r="G302" s="20"/>
      <c r="H302" s="20"/>
      <c r="I302" s="20"/>
      <c r="J302" s="18"/>
      <c r="K302" s="21" t="str">
        <f aca="false">IF(A302="","",IF(I302="",0,LEN(I302)-LEN(SUBSTITUTE(I302,",",""))+1))</f>
        <v/>
      </c>
      <c r="L302" s="21" t="str">
        <f aca="false">IF(A302="","",COUNTIF('Metric to Product'!$A:$A,A302))</f>
        <v/>
      </c>
      <c r="M302" s="21" t="str">
        <f aca="false">IF(A302="","",COUNTIF('Metric to Field'!$A:$A,A302))</f>
        <v/>
      </c>
      <c r="N302" s="21" t="str">
        <f aca="false">IF(B302="","",COUNTIF($B:$B,B302))</f>
        <v/>
      </c>
      <c r="O302" s="21" t="str">
        <f aca="false">IF(A302="","",COUNTIF($S:$S,S302)-1)</f>
        <v/>
      </c>
      <c r="P302" s="20"/>
      <c r="Q302" s="20"/>
      <c r="R302" s="20"/>
      <c r="S302" s="18" t="str">
        <f aca="false">IF(A302="","",LOWER(TRIM(D302&amp;"|"&amp;E302&amp;"|"&amp;F302)))</f>
        <v/>
      </c>
      <c r="T302" s="20"/>
      <c r="U302" s="20"/>
      <c r="V302" s="20"/>
      <c r="W302" s="20"/>
      <c r="X302" s="20"/>
    </row>
    <row r="303" customFormat="false" ht="15" hidden="false" customHeight="false" outlineLevel="0" collapsed="false">
      <c r="A303" s="18"/>
      <c r="B303" s="20"/>
      <c r="C303" s="19"/>
      <c r="D303" s="20"/>
      <c r="E303" s="20"/>
      <c r="F303" s="20"/>
      <c r="G303" s="20"/>
      <c r="H303" s="20"/>
      <c r="I303" s="20"/>
      <c r="J303" s="18"/>
      <c r="K303" s="21" t="str">
        <f aca="false">IF(A303="","",IF(I303="",0,LEN(I303)-LEN(SUBSTITUTE(I303,",",""))+1))</f>
        <v/>
      </c>
      <c r="L303" s="21" t="str">
        <f aca="false">IF(A303="","",COUNTIF('Metric to Product'!$A:$A,A303))</f>
        <v/>
      </c>
      <c r="M303" s="21" t="str">
        <f aca="false">IF(A303="","",COUNTIF('Metric to Field'!$A:$A,A303))</f>
        <v/>
      </c>
      <c r="N303" s="21" t="str">
        <f aca="false">IF(B303="","",COUNTIF($B:$B,B303))</f>
        <v/>
      </c>
      <c r="O303" s="21" t="str">
        <f aca="false">IF(A303="","",COUNTIF($S:$S,S303)-1)</f>
        <v/>
      </c>
      <c r="P303" s="20"/>
      <c r="Q303" s="20"/>
      <c r="R303" s="20"/>
      <c r="S303" s="18" t="str">
        <f aca="false">IF(A303="","",LOWER(TRIM(D303&amp;"|"&amp;E303&amp;"|"&amp;F303)))</f>
        <v/>
      </c>
      <c r="T303" s="20"/>
      <c r="U303" s="20"/>
      <c r="V303" s="20"/>
      <c r="W303" s="20"/>
      <c r="X303" s="20"/>
    </row>
    <row r="304" customFormat="false" ht="15" hidden="false" customHeight="false" outlineLevel="0" collapsed="false">
      <c r="A304" s="18"/>
      <c r="B304" s="20"/>
      <c r="C304" s="19"/>
      <c r="D304" s="20"/>
      <c r="E304" s="20"/>
      <c r="F304" s="20"/>
      <c r="G304" s="20"/>
      <c r="H304" s="20"/>
      <c r="I304" s="20"/>
      <c r="J304" s="18"/>
      <c r="K304" s="21" t="str">
        <f aca="false">IF(A304="","",IF(I304="",0,LEN(I304)-LEN(SUBSTITUTE(I304,",",""))+1))</f>
        <v/>
      </c>
      <c r="L304" s="21" t="str">
        <f aca="false">IF(A304="","",COUNTIF('Metric to Product'!$A:$A,A304))</f>
        <v/>
      </c>
      <c r="M304" s="21" t="str">
        <f aca="false">IF(A304="","",COUNTIF('Metric to Field'!$A:$A,A304))</f>
        <v/>
      </c>
      <c r="N304" s="21" t="str">
        <f aca="false">IF(B304="","",COUNTIF($B:$B,B304))</f>
        <v/>
      </c>
      <c r="O304" s="21" t="str">
        <f aca="false">IF(A304="","",COUNTIF($S:$S,S304)-1)</f>
        <v/>
      </c>
      <c r="P304" s="20"/>
      <c r="Q304" s="20"/>
      <c r="R304" s="20"/>
      <c r="S304" s="18" t="str">
        <f aca="false">IF(A304="","",LOWER(TRIM(D304&amp;"|"&amp;E304&amp;"|"&amp;F304)))</f>
        <v/>
      </c>
      <c r="T304" s="20"/>
      <c r="U304" s="20"/>
      <c r="V304" s="20"/>
      <c r="W304" s="20"/>
      <c r="X304" s="20"/>
    </row>
  </sheetData>
  <autoFilter ref="A4:X304"/>
  <conditionalFormatting sqref="N5:N304">
    <cfRule type="cellIs" priority="2" operator="greaterThan" aboveAverage="0" equalAverage="0" bottom="0" percent="0" rank="0" text="" dxfId="9">
      <formula>1</formula>
    </cfRule>
  </conditionalFormatting>
  <conditionalFormatting sqref="O5:O304">
    <cfRule type="cellIs" priority="3" operator="greaterThan" aboveAverage="0" equalAverage="0" bottom="0" percent="0" rank="0" text="" dxfId="9">
      <formula>0</formula>
    </cfRule>
  </conditionalFormatting>
  <conditionalFormatting sqref="K5:K304">
    <cfRule type="cellIs" priority="4" operator="greaterThan" aboveAverage="0" equalAverage="0" bottom="0" percent="0" rank="0" text="" dxfId="10">
      <formula>1</formula>
    </cfRule>
  </conditionalFormatting>
  <conditionalFormatting sqref="T5:T304">
    <cfRule type="cellIs" priority="5" operator="equal" aboveAverage="0" equalAverage="0" bottom="0" percent="0" rank="0" text="" dxfId="10">
      <formula>"Proposed"</formula>
    </cfRule>
  </conditionalFormatting>
  <dataValidations count="6">
    <dataValidation allowBlank="true" errorStyle="stop" operator="between" showDropDown="false" showErrorMessage="false" showInputMessage="false" sqref="B5:B304" type="list">
      <formula1>Families!$A$5:$A$44</formula1>
      <formula2>0</formula2>
    </dataValidation>
    <dataValidation allowBlank="true" errorStyle="stop" operator="between" showDropDown="false" showErrorMessage="false" showInputMessage="false" sqref="G5:G304" type="list">
      <formula1>"Requisition,Opening,Application,Offer,Hire,Interview,Recruiter,Other"</formula1>
      <formula2>0</formula2>
    </dataValidation>
    <dataValidation allowBlank="true" errorStyle="stop" operator="between" showDropDown="false" showErrorMessage="false" showInputMessage="false" sqref="H5:H304" type="list">
      <formula1>"Days,Count,Percent,Dollars,Other"</formula1>
      <formula2>0</formula2>
    </dataValidation>
    <dataValidation allowBlank="true" errorStyle="stop" operator="between" showDropDown="false" showErrorMessage="false" showInputMessage="false" sqref="Q5:Q304" type="list">
      <formula1>"Phase 1,Later,Not traced,Out of scope"</formula1>
      <formula2>0</formula2>
    </dataValidation>
    <dataValidation allowBlank="true" errorStyle="stop" operator="between" showDropDown="false" showErrorMessage="false" showInputMessage="false" sqref="T5:T304" type="list">
      <formula1>"Proposed,Accepted,Corrected,Rejected"</formula1>
      <formula2>0</formula2>
    </dataValidation>
    <dataValidation allowBlank="true" errorStyle="stop" operator="between" showDropDown="false" showErrorMessage="false" showInputMessage="false" sqref="V5:V304" type="list">
      <formula1>"Found,Inferred,Proposed,Human"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36"/>
    <col collapsed="false" customWidth="true" hidden="false" outlineLevel="0" max="6" min="6" style="0" width="28"/>
    <col collapsed="false" customWidth="true" hidden="false" outlineLevel="0" max="7" min="7" style="0" width="11"/>
    <col collapsed="false" customWidth="true" hidden="false" outlineLevel="0" max="8" min="8" style="0" width="26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" t="s">
        <v>228</v>
      </c>
    </row>
    <row r="2" customFormat="false" ht="15" hidden="false" customHeight="false" outlineLevel="0" collapsed="false">
      <c r="A2" s="2" t="s">
        <v>460</v>
      </c>
    </row>
    <row r="4" customFormat="false" ht="33.75" hidden="false" customHeight="true" outlineLevel="0" collapsed="false">
      <c r="A4" s="16" t="s">
        <v>461</v>
      </c>
      <c r="B4" s="16" t="s">
        <v>455</v>
      </c>
      <c r="C4" s="17" t="s">
        <v>229</v>
      </c>
      <c r="D4" s="17" t="s">
        <v>168</v>
      </c>
      <c r="E4" s="17" t="s">
        <v>232</v>
      </c>
      <c r="F4" s="17" t="s">
        <v>75</v>
      </c>
      <c r="G4" s="17" t="s">
        <v>153</v>
      </c>
      <c r="H4" s="17" t="s">
        <v>156</v>
      </c>
      <c r="I4" s="17" t="s">
        <v>159</v>
      </c>
    </row>
    <row r="5" customFormat="false" ht="15" hidden="false" customHeight="false" outlineLevel="0" collapsed="false">
      <c r="A5" s="18" t="str">
        <f aca="false">IF(C5="","",IFERROR(INDEX(Metrics!$A:$A,MATCH(C5,Metrics!$C:$C,0)),"Not found"))</f>
        <v/>
      </c>
      <c r="B5" s="18" t="str">
        <f aca="false">IF(D5="","",IFERROR(INDEX(Products!$A:$A,MATCH(D5,Products!$B:$B,0)),"Not found"))</f>
        <v/>
      </c>
      <c r="C5" s="20"/>
      <c r="D5" s="20"/>
      <c r="E5" s="20"/>
      <c r="F5" s="20"/>
      <c r="G5" s="20"/>
      <c r="H5" s="20"/>
      <c r="I5" s="20"/>
    </row>
    <row r="6" customFormat="false" ht="15" hidden="false" customHeight="false" outlineLevel="0" collapsed="false">
      <c r="A6" s="18" t="str">
        <f aca="false">IF(C6="","",IFERROR(INDEX(Metrics!$A:$A,MATCH(C6,Metrics!$C:$C,0)),"Not found"))</f>
        <v/>
      </c>
      <c r="B6" s="18" t="str">
        <f aca="false">IF(D6="","",IFERROR(INDEX(Products!$A:$A,MATCH(D6,Products!$B:$B,0)),"Not found"))</f>
        <v/>
      </c>
      <c r="C6" s="20"/>
      <c r="D6" s="20"/>
      <c r="E6" s="20"/>
      <c r="F6" s="20"/>
      <c r="G6" s="20"/>
      <c r="H6" s="20"/>
      <c r="I6" s="20"/>
    </row>
    <row r="7" customFormat="false" ht="15" hidden="false" customHeight="false" outlineLevel="0" collapsed="false">
      <c r="A7" s="18" t="str">
        <f aca="false">IF(C7="","",IFERROR(INDEX(Metrics!$A:$A,MATCH(C7,Metrics!$C:$C,0)),"Not found"))</f>
        <v/>
      </c>
      <c r="B7" s="18" t="str">
        <f aca="false">IF(D7="","",IFERROR(INDEX(Products!$A:$A,MATCH(D7,Products!$B:$B,0)),"Not found"))</f>
        <v/>
      </c>
      <c r="C7" s="20"/>
      <c r="D7" s="20"/>
      <c r="E7" s="20"/>
      <c r="F7" s="20"/>
      <c r="G7" s="20"/>
      <c r="H7" s="20"/>
      <c r="I7" s="20"/>
    </row>
    <row r="8" customFormat="false" ht="15" hidden="false" customHeight="false" outlineLevel="0" collapsed="false">
      <c r="A8" s="18" t="str">
        <f aca="false">IF(C8="","",IFERROR(INDEX(Metrics!$A:$A,MATCH(C8,Metrics!$C:$C,0)),"Not found"))</f>
        <v/>
      </c>
      <c r="B8" s="18" t="str">
        <f aca="false">IF(D8="","",IFERROR(INDEX(Products!$A:$A,MATCH(D8,Products!$B:$B,0)),"Not found"))</f>
        <v/>
      </c>
      <c r="C8" s="20"/>
      <c r="D8" s="20"/>
      <c r="E8" s="20"/>
      <c r="F8" s="20"/>
      <c r="G8" s="20"/>
      <c r="H8" s="20"/>
      <c r="I8" s="20"/>
    </row>
    <row r="9" customFormat="false" ht="15" hidden="false" customHeight="false" outlineLevel="0" collapsed="false">
      <c r="A9" s="18" t="str">
        <f aca="false">IF(C9="","",IFERROR(INDEX(Metrics!$A:$A,MATCH(C9,Metrics!$C:$C,0)),"Not found"))</f>
        <v/>
      </c>
      <c r="B9" s="18" t="str">
        <f aca="false">IF(D9="","",IFERROR(INDEX(Products!$A:$A,MATCH(D9,Products!$B:$B,0)),"Not found"))</f>
        <v/>
      </c>
      <c r="C9" s="20"/>
      <c r="D9" s="20"/>
      <c r="E9" s="20"/>
      <c r="F9" s="20"/>
      <c r="G9" s="20"/>
      <c r="H9" s="20"/>
      <c r="I9" s="20"/>
    </row>
    <row r="10" customFormat="false" ht="15" hidden="false" customHeight="false" outlineLevel="0" collapsed="false">
      <c r="A10" s="18" t="str">
        <f aca="false">IF(C10="","",IFERROR(INDEX(Metrics!$A:$A,MATCH(C10,Metrics!$C:$C,0)),"Not found"))</f>
        <v/>
      </c>
      <c r="B10" s="18" t="str">
        <f aca="false">IF(D10="","",IFERROR(INDEX(Products!$A:$A,MATCH(D10,Products!$B:$B,0)),"Not found"))</f>
        <v/>
      </c>
      <c r="C10" s="20"/>
      <c r="D10" s="20"/>
      <c r="E10" s="20"/>
      <c r="F10" s="20"/>
      <c r="G10" s="20"/>
      <c r="H10" s="20"/>
      <c r="I10" s="20"/>
    </row>
    <row r="11" customFormat="false" ht="15" hidden="false" customHeight="false" outlineLevel="0" collapsed="false">
      <c r="A11" s="18" t="str">
        <f aca="false">IF(C11="","",IFERROR(INDEX(Metrics!$A:$A,MATCH(C11,Metrics!$C:$C,0)),"Not found"))</f>
        <v/>
      </c>
      <c r="B11" s="18" t="str">
        <f aca="false">IF(D11="","",IFERROR(INDEX(Products!$A:$A,MATCH(D11,Products!$B:$B,0)),"Not found"))</f>
        <v/>
      </c>
      <c r="C11" s="20"/>
      <c r="D11" s="20"/>
      <c r="E11" s="20"/>
      <c r="F11" s="20"/>
      <c r="G11" s="20"/>
      <c r="H11" s="20"/>
      <c r="I11" s="20"/>
    </row>
    <row r="12" customFormat="false" ht="15" hidden="false" customHeight="false" outlineLevel="0" collapsed="false">
      <c r="A12" s="18" t="str">
        <f aca="false">IF(C12="","",IFERROR(INDEX(Metrics!$A:$A,MATCH(C12,Metrics!$C:$C,0)),"Not found"))</f>
        <v/>
      </c>
      <c r="B12" s="18" t="str">
        <f aca="false">IF(D12="","",IFERROR(INDEX(Products!$A:$A,MATCH(D12,Products!$B:$B,0)),"Not found"))</f>
        <v/>
      </c>
      <c r="C12" s="20"/>
      <c r="D12" s="20"/>
      <c r="E12" s="20"/>
      <c r="F12" s="20"/>
      <c r="G12" s="20"/>
      <c r="H12" s="20"/>
      <c r="I12" s="20"/>
    </row>
    <row r="13" customFormat="false" ht="15" hidden="false" customHeight="false" outlineLevel="0" collapsed="false">
      <c r="A13" s="18" t="str">
        <f aca="false">IF(C13="","",IFERROR(INDEX(Metrics!$A:$A,MATCH(C13,Metrics!$C:$C,0)),"Not found"))</f>
        <v/>
      </c>
      <c r="B13" s="18" t="str">
        <f aca="false">IF(D13="","",IFERROR(INDEX(Products!$A:$A,MATCH(D13,Products!$B:$B,0)),"Not found"))</f>
        <v/>
      </c>
      <c r="C13" s="20"/>
      <c r="D13" s="20"/>
      <c r="E13" s="20"/>
      <c r="F13" s="20"/>
      <c r="G13" s="20"/>
      <c r="H13" s="20"/>
      <c r="I13" s="20"/>
    </row>
    <row r="14" customFormat="false" ht="15" hidden="false" customHeight="false" outlineLevel="0" collapsed="false">
      <c r="A14" s="18" t="str">
        <f aca="false">IF(C14="","",IFERROR(INDEX(Metrics!$A:$A,MATCH(C14,Metrics!$C:$C,0)),"Not found"))</f>
        <v/>
      </c>
      <c r="B14" s="18" t="str">
        <f aca="false">IF(D14="","",IFERROR(INDEX(Products!$A:$A,MATCH(D14,Products!$B:$B,0)),"Not found"))</f>
        <v/>
      </c>
      <c r="C14" s="20"/>
      <c r="D14" s="20"/>
      <c r="E14" s="20"/>
      <c r="F14" s="20"/>
      <c r="G14" s="20"/>
      <c r="H14" s="20"/>
      <c r="I14" s="20"/>
    </row>
    <row r="15" customFormat="false" ht="15" hidden="false" customHeight="false" outlineLevel="0" collapsed="false">
      <c r="A15" s="18" t="str">
        <f aca="false">IF(C15="","",IFERROR(INDEX(Metrics!$A:$A,MATCH(C15,Metrics!$C:$C,0)),"Not found"))</f>
        <v/>
      </c>
      <c r="B15" s="18" t="str">
        <f aca="false">IF(D15="","",IFERROR(INDEX(Products!$A:$A,MATCH(D15,Products!$B:$B,0)),"Not found"))</f>
        <v/>
      </c>
      <c r="C15" s="20"/>
      <c r="D15" s="20"/>
      <c r="E15" s="20"/>
      <c r="F15" s="20"/>
      <c r="G15" s="20"/>
      <c r="H15" s="20"/>
      <c r="I15" s="20"/>
    </row>
    <row r="16" customFormat="false" ht="15" hidden="false" customHeight="false" outlineLevel="0" collapsed="false">
      <c r="A16" s="18" t="str">
        <f aca="false">IF(C16="","",IFERROR(INDEX(Metrics!$A:$A,MATCH(C16,Metrics!$C:$C,0)),"Not found"))</f>
        <v/>
      </c>
      <c r="B16" s="18" t="str">
        <f aca="false">IF(D16="","",IFERROR(INDEX(Products!$A:$A,MATCH(D16,Products!$B:$B,0)),"Not found"))</f>
        <v/>
      </c>
      <c r="C16" s="20"/>
      <c r="D16" s="20"/>
      <c r="E16" s="20"/>
      <c r="F16" s="20"/>
      <c r="G16" s="20"/>
      <c r="H16" s="20"/>
      <c r="I16" s="20"/>
    </row>
    <row r="17" customFormat="false" ht="15" hidden="false" customHeight="false" outlineLevel="0" collapsed="false">
      <c r="A17" s="18" t="str">
        <f aca="false">IF(C17="","",IFERROR(INDEX(Metrics!$A:$A,MATCH(C17,Metrics!$C:$C,0)),"Not found"))</f>
        <v/>
      </c>
      <c r="B17" s="18" t="str">
        <f aca="false">IF(D17="","",IFERROR(INDEX(Products!$A:$A,MATCH(D17,Products!$B:$B,0)),"Not found"))</f>
        <v/>
      </c>
      <c r="C17" s="20"/>
      <c r="D17" s="20"/>
      <c r="E17" s="20"/>
      <c r="F17" s="20"/>
      <c r="G17" s="20"/>
      <c r="H17" s="20"/>
      <c r="I17" s="20"/>
    </row>
    <row r="18" customFormat="false" ht="15" hidden="false" customHeight="false" outlineLevel="0" collapsed="false">
      <c r="A18" s="18" t="str">
        <f aca="false">IF(C18="","",IFERROR(INDEX(Metrics!$A:$A,MATCH(C18,Metrics!$C:$C,0)),"Not found"))</f>
        <v/>
      </c>
      <c r="B18" s="18" t="str">
        <f aca="false">IF(D18="","",IFERROR(INDEX(Products!$A:$A,MATCH(D18,Products!$B:$B,0)),"Not found"))</f>
        <v/>
      </c>
      <c r="C18" s="20"/>
      <c r="D18" s="20"/>
      <c r="E18" s="20"/>
      <c r="F18" s="20"/>
      <c r="G18" s="20"/>
      <c r="H18" s="20"/>
      <c r="I18" s="20"/>
    </row>
    <row r="19" customFormat="false" ht="15" hidden="false" customHeight="false" outlineLevel="0" collapsed="false">
      <c r="A19" s="18" t="str">
        <f aca="false">IF(C19="","",IFERROR(INDEX(Metrics!$A:$A,MATCH(C19,Metrics!$C:$C,0)),"Not found"))</f>
        <v/>
      </c>
      <c r="B19" s="18" t="str">
        <f aca="false">IF(D19="","",IFERROR(INDEX(Products!$A:$A,MATCH(D19,Products!$B:$B,0)),"Not found"))</f>
        <v/>
      </c>
      <c r="C19" s="20"/>
      <c r="D19" s="20"/>
      <c r="E19" s="20"/>
      <c r="F19" s="20"/>
      <c r="G19" s="20"/>
      <c r="H19" s="20"/>
      <c r="I19" s="20"/>
    </row>
    <row r="20" customFormat="false" ht="15" hidden="false" customHeight="false" outlineLevel="0" collapsed="false">
      <c r="A20" s="18" t="str">
        <f aca="false">IF(C20="","",IFERROR(INDEX(Metrics!$A:$A,MATCH(C20,Metrics!$C:$C,0)),"Not found"))</f>
        <v/>
      </c>
      <c r="B20" s="18" t="str">
        <f aca="false">IF(D20="","",IFERROR(INDEX(Products!$A:$A,MATCH(D20,Products!$B:$B,0)),"Not found"))</f>
        <v/>
      </c>
      <c r="C20" s="20"/>
      <c r="D20" s="20"/>
      <c r="E20" s="20"/>
      <c r="F20" s="20"/>
      <c r="G20" s="20"/>
      <c r="H20" s="20"/>
      <c r="I20" s="20"/>
    </row>
    <row r="21" customFormat="false" ht="15" hidden="false" customHeight="false" outlineLevel="0" collapsed="false">
      <c r="A21" s="18" t="str">
        <f aca="false">IF(C21="","",IFERROR(INDEX(Metrics!$A:$A,MATCH(C21,Metrics!$C:$C,0)),"Not found"))</f>
        <v/>
      </c>
      <c r="B21" s="18" t="str">
        <f aca="false">IF(D21="","",IFERROR(INDEX(Products!$A:$A,MATCH(D21,Products!$B:$B,0)),"Not found"))</f>
        <v/>
      </c>
      <c r="C21" s="20"/>
      <c r="D21" s="20"/>
      <c r="E21" s="20"/>
      <c r="F21" s="20"/>
      <c r="G21" s="20"/>
      <c r="H21" s="20"/>
      <c r="I21" s="20"/>
    </row>
    <row r="22" customFormat="false" ht="15" hidden="false" customHeight="false" outlineLevel="0" collapsed="false">
      <c r="A22" s="18" t="str">
        <f aca="false">IF(C22="","",IFERROR(INDEX(Metrics!$A:$A,MATCH(C22,Metrics!$C:$C,0)),"Not found"))</f>
        <v/>
      </c>
      <c r="B22" s="18" t="str">
        <f aca="false">IF(D22="","",IFERROR(INDEX(Products!$A:$A,MATCH(D22,Products!$B:$B,0)),"Not found"))</f>
        <v/>
      </c>
      <c r="C22" s="20"/>
      <c r="D22" s="20"/>
      <c r="E22" s="20"/>
      <c r="F22" s="20"/>
      <c r="G22" s="20"/>
      <c r="H22" s="20"/>
      <c r="I22" s="20"/>
    </row>
    <row r="23" customFormat="false" ht="15" hidden="false" customHeight="false" outlineLevel="0" collapsed="false">
      <c r="A23" s="18" t="str">
        <f aca="false">IF(C23="","",IFERROR(INDEX(Metrics!$A:$A,MATCH(C23,Metrics!$C:$C,0)),"Not found"))</f>
        <v/>
      </c>
      <c r="B23" s="18" t="str">
        <f aca="false">IF(D23="","",IFERROR(INDEX(Products!$A:$A,MATCH(D23,Products!$B:$B,0)),"Not found"))</f>
        <v/>
      </c>
      <c r="C23" s="20"/>
      <c r="D23" s="20"/>
      <c r="E23" s="20"/>
      <c r="F23" s="20"/>
      <c r="G23" s="20"/>
      <c r="H23" s="20"/>
      <c r="I23" s="20"/>
    </row>
    <row r="24" customFormat="false" ht="15" hidden="false" customHeight="false" outlineLevel="0" collapsed="false">
      <c r="A24" s="18" t="str">
        <f aca="false">IF(C24="","",IFERROR(INDEX(Metrics!$A:$A,MATCH(C24,Metrics!$C:$C,0)),"Not found"))</f>
        <v/>
      </c>
      <c r="B24" s="18" t="str">
        <f aca="false">IF(D24="","",IFERROR(INDEX(Products!$A:$A,MATCH(D24,Products!$B:$B,0)),"Not found"))</f>
        <v/>
      </c>
      <c r="C24" s="20"/>
      <c r="D24" s="20"/>
      <c r="E24" s="20"/>
      <c r="F24" s="20"/>
      <c r="G24" s="20"/>
      <c r="H24" s="20"/>
      <c r="I24" s="20"/>
    </row>
    <row r="25" customFormat="false" ht="15" hidden="false" customHeight="false" outlineLevel="0" collapsed="false">
      <c r="A25" s="18" t="str">
        <f aca="false">IF(C25="","",IFERROR(INDEX(Metrics!$A:$A,MATCH(C25,Metrics!$C:$C,0)),"Not found"))</f>
        <v/>
      </c>
      <c r="B25" s="18" t="str">
        <f aca="false">IF(D25="","",IFERROR(INDEX(Products!$A:$A,MATCH(D25,Products!$B:$B,0)),"Not found"))</f>
        <v/>
      </c>
      <c r="C25" s="20"/>
      <c r="D25" s="20"/>
      <c r="E25" s="20"/>
      <c r="F25" s="20"/>
      <c r="G25" s="20"/>
      <c r="H25" s="20"/>
      <c r="I25" s="20"/>
    </row>
    <row r="26" customFormat="false" ht="15" hidden="false" customHeight="false" outlineLevel="0" collapsed="false">
      <c r="A26" s="18" t="str">
        <f aca="false">IF(C26="","",IFERROR(INDEX(Metrics!$A:$A,MATCH(C26,Metrics!$C:$C,0)),"Not found"))</f>
        <v/>
      </c>
      <c r="B26" s="18" t="str">
        <f aca="false">IF(D26="","",IFERROR(INDEX(Products!$A:$A,MATCH(D26,Products!$B:$B,0)),"Not found"))</f>
        <v/>
      </c>
      <c r="C26" s="20"/>
      <c r="D26" s="20"/>
      <c r="E26" s="20"/>
      <c r="F26" s="20"/>
      <c r="G26" s="20"/>
      <c r="H26" s="20"/>
      <c r="I26" s="20"/>
    </row>
    <row r="27" customFormat="false" ht="15" hidden="false" customHeight="false" outlineLevel="0" collapsed="false">
      <c r="A27" s="18" t="str">
        <f aca="false">IF(C27="","",IFERROR(INDEX(Metrics!$A:$A,MATCH(C27,Metrics!$C:$C,0)),"Not found"))</f>
        <v/>
      </c>
      <c r="B27" s="18" t="str">
        <f aca="false">IF(D27="","",IFERROR(INDEX(Products!$A:$A,MATCH(D27,Products!$B:$B,0)),"Not found"))</f>
        <v/>
      </c>
      <c r="C27" s="20"/>
      <c r="D27" s="20"/>
      <c r="E27" s="20"/>
      <c r="F27" s="20"/>
      <c r="G27" s="20"/>
      <c r="H27" s="20"/>
      <c r="I27" s="20"/>
    </row>
    <row r="28" customFormat="false" ht="15" hidden="false" customHeight="false" outlineLevel="0" collapsed="false">
      <c r="A28" s="18" t="str">
        <f aca="false">IF(C28="","",IFERROR(INDEX(Metrics!$A:$A,MATCH(C28,Metrics!$C:$C,0)),"Not found"))</f>
        <v/>
      </c>
      <c r="B28" s="18" t="str">
        <f aca="false">IF(D28="","",IFERROR(INDEX(Products!$A:$A,MATCH(D28,Products!$B:$B,0)),"Not found"))</f>
        <v/>
      </c>
      <c r="C28" s="20"/>
      <c r="D28" s="20"/>
      <c r="E28" s="20"/>
      <c r="F28" s="20"/>
      <c r="G28" s="20"/>
      <c r="H28" s="20"/>
      <c r="I28" s="20"/>
    </row>
    <row r="29" customFormat="false" ht="15" hidden="false" customHeight="false" outlineLevel="0" collapsed="false">
      <c r="A29" s="18" t="str">
        <f aca="false">IF(C29="","",IFERROR(INDEX(Metrics!$A:$A,MATCH(C29,Metrics!$C:$C,0)),"Not found"))</f>
        <v/>
      </c>
      <c r="B29" s="18" t="str">
        <f aca="false">IF(D29="","",IFERROR(INDEX(Products!$A:$A,MATCH(D29,Products!$B:$B,0)),"Not found"))</f>
        <v/>
      </c>
      <c r="C29" s="20"/>
      <c r="D29" s="20"/>
      <c r="E29" s="20"/>
      <c r="F29" s="20"/>
      <c r="G29" s="20"/>
      <c r="H29" s="20"/>
      <c r="I29" s="20"/>
    </row>
    <row r="30" customFormat="false" ht="15" hidden="false" customHeight="false" outlineLevel="0" collapsed="false">
      <c r="A30" s="18" t="str">
        <f aca="false">IF(C30="","",IFERROR(INDEX(Metrics!$A:$A,MATCH(C30,Metrics!$C:$C,0)),"Not found"))</f>
        <v/>
      </c>
      <c r="B30" s="18" t="str">
        <f aca="false">IF(D30="","",IFERROR(INDEX(Products!$A:$A,MATCH(D30,Products!$B:$B,0)),"Not found"))</f>
        <v/>
      </c>
      <c r="C30" s="20"/>
      <c r="D30" s="20"/>
      <c r="E30" s="20"/>
      <c r="F30" s="20"/>
      <c r="G30" s="20"/>
      <c r="H30" s="20"/>
      <c r="I30" s="20"/>
    </row>
    <row r="31" customFormat="false" ht="15" hidden="false" customHeight="false" outlineLevel="0" collapsed="false">
      <c r="A31" s="18" t="str">
        <f aca="false">IF(C31="","",IFERROR(INDEX(Metrics!$A:$A,MATCH(C31,Metrics!$C:$C,0)),"Not found"))</f>
        <v/>
      </c>
      <c r="B31" s="18" t="str">
        <f aca="false">IF(D31="","",IFERROR(INDEX(Products!$A:$A,MATCH(D31,Products!$B:$B,0)),"Not found"))</f>
        <v/>
      </c>
      <c r="C31" s="20"/>
      <c r="D31" s="20"/>
      <c r="E31" s="20"/>
      <c r="F31" s="20"/>
      <c r="G31" s="20"/>
      <c r="H31" s="20"/>
      <c r="I31" s="20"/>
    </row>
    <row r="32" customFormat="false" ht="15" hidden="false" customHeight="false" outlineLevel="0" collapsed="false">
      <c r="A32" s="18" t="str">
        <f aca="false">IF(C32="","",IFERROR(INDEX(Metrics!$A:$A,MATCH(C32,Metrics!$C:$C,0)),"Not found"))</f>
        <v/>
      </c>
      <c r="B32" s="18" t="str">
        <f aca="false">IF(D32="","",IFERROR(INDEX(Products!$A:$A,MATCH(D32,Products!$B:$B,0)),"Not found"))</f>
        <v/>
      </c>
      <c r="C32" s="20"/>
      <c r="D32" s="20"/>
      <c r="E32" s="20"/>
      <c r="F32" s="20"/>
      <c r="G32" s="20"/>
      <c r="H32" s="20"/>
      <c r="I32" s="20"/>
    </row>
    <row r="33" customFormat="false" ht="15" hidden="false" customHeight="false" outlineLevel="0" collapsed="false">
      <c r="A33" s="18" t="str">
        <f aca="false">IF(C33="","",IFERROR(INDEX(Metrics!$A:$A,MATCH(C33,Metrics!$C:$C,0)),"Not found"))</f>
        <v/>
      </c>
      <c r="B33" s="18" t="str">
        <f aca="false">IF(D33="","",IFERROR(INDEX(Products!$A:$A,MATCH(D33,Products!$B:$B,0)),"Not found"))</f>
        <v/>
      </c>
      <c r="C33" s="20"/>
      <c r="D33" s="20"/>
      <c r="E33" s="20"/>
      <c r="F33" s="20"/>
      <c r="G33" s="20"/>
      <c r="H33" s="20"/>
      <c r="I33" s="20"/>
    </row>
    <row r="34" customFormat="false" ht="15" hidden="false" customHeight="false" outlineLevel="0" collapsed="false">
      <c r="A34" s="18" t="str">
        <f aca="false">IF(C34="","",IFERROR(INDEX(Metrics!$A:$A,MATCH(C34,Metrics!$C:$C,0)),"Not found"))</f>
        <v/>
      </c>
      <c r="B34" s="18" t="str">
        <f aca="false">IF(D34="","",IFERROR(INDEX(Products!$A:$A,MATCH(D34,Products!$B:$B,0)),"Not found"))</f>
        <v/>
      </c>
      <c r="C34" s="20"/>
      <c r="D34" s="20"/>
      <c r="E34" s="20"/>
      <c r="F34" s="20"/>
      <c r="G34" s="20"/>
      <c r="H34" s="20"/>
      <c r="I34" s="20"/>
    </row>
    <row r="35" customFormat="false" ht="15" hidden="false" customHeight="false" outlineLevel="0" collapsed="false">
      <c r="A35" s="18" t="str">
        <f aca="false">IF(C35="","",IFERROR(INDEX(Metrics!$A:$A,MATCH(C35,Metrics!$C:$C,0)),"Not found"))</f>
        <v/>
      </c>
      <c r="B35" s="18" t="str">
        <f aca="false">IF(D35="","",IFERROR(INDEX(Products!$A:$A,MATCH(D35,Products!$B:$B,0)),"Not found"))</f>
        <v/>
      </c>
      <c r="C35" s="20"/>
      <c r="D35" s="20"/>
      <c r="E35" s="20"/>
      <c r="F35" s="20"/>
      <c r="G35" s="20"/>
      <c r="H35" s="20"/>
      <c r="I35" s="20"/>
    </row>
    <row r="36" customFormat="false" ht="15" hidden="false" customHeight="false" outlineLevel="0" collapsed="false">
      <c r="A36" s="18" t="str">
        <f aca="false">IF(C36="","",IFERROR(INDEX(Metrics!$A:$A,MATCH(C36,Metrics!$C:$C,0)),"Not found"))</f>
        <v/>
      </c>
      <c r="B36" s="18" t="str">
        <f aca="false">IF(D36="","",IFERROR(INDEX(Products!$A:$A,MATCH(D36,Products!$B:$B,0)),"Not found"))</f>
        <v/>
      </c>
      <c r="C36" s="20"/>
      <c r="D36" s="20"/>
      <c r="E36" s="20"/>
      <c r="F36" s="20"/>
      <c r="G36" s="20"/>
      <c r="H36" s="20"/>
      <c r="I36" s="20"/>
    </row>
    <row r="37" customFormat="false" ht="15" hidden="false" customHeight="false" outlineLevel="0" collapsed="false">
      <c r="A37" s="18" t="str">
        <f aca="false">IF(C37="","",IFERROR(INDEX(Metrics!$A:$A,MATCH(C37,Metrics!$C:$C,0)),"Not found"))</f>
        <v/>
      </c>
      <c r="B37" s="18" t="str">
        <f aca="false">IF(D37="","",IFERROR(INDEX(Products!$A:$A,MATCH(D37,Products!$B:$B,0)),"Not found"))</f>
        <v/>
      </c>
      <c r="C37" s="20"/>
      <c r="D37" s="20"/>
      <c r="E37" s="20"/>
      <c r="F37" s="20"/>
      <c r="G37" s="20"/>
      <c r="H37" s="20"/>
      <c r="I37" s="20"/>
    </row>
    <row r="38" customFormat="false" ht="15" hidden="false" customHeight="false" outlineLevel="0" collapsed="false">
      <c r="A38" s="18" t="str">
        <f aca="false">IF(C38="","",IFERROR(INDEX(Metrics!$A:$A,MATCH(C38,Metrics!$C:$C,0)),"Not found"))</f>
        <v/>
      </c>
      <c r="B38" s="18" t="str">
        <f aca="false">IF(D38="","",IFERROR(INDEX(Products!$A:$A,MATCH(D38,Products!$B:$B,0)),"Not found"))</f>
        <v/>
      </c>
      <c r="C38" s="20"/>
      <c r="D38" s="20"/>
      <c r="E38" s="20"/>
      <c r="F38" s="20"/>
      <c r="G38" s="20"/>
      <c r="H38" s="20"/>
      <c r="I38" s="20"/>
    </row>
    <row r="39" customFormat="false" ht="15" hidden="false" customHeight="false" outlineLevel="0" collapsed="false">
      <c r="A39" s="18" t="str">
        <f aca="false">IF(C39="","",IFERROR(INDEX(Metrics!$A:$A,MATCH(C39,Metrics!$C:$C,0)),"Not found"))</f>
        <v/>
      </c>
      <c r="B39" s="18" t="str">
        <f aca="false">IF(D39="","",IFERROR(INDEX(Products!$A:$A,MATCH(D39,Products!$B:$B,0)),"Not found"))</f>
        <v/>
      </c>
      <c r="C39" s="20"/>
      <c r="D39" s="20"/>
      <c r="E39" s="20"/>
      <c r="F39" s="20"/>
      <c r="G39" s="20"/>
      <c r="H39" s="20"/>
      <c r="I39" s="20"/>
    </row>
    <row r="40" customFormat="false" ht="15" hidden="false" customHeight="false" outlineLevel="0" collapsed="false">
      <c r="A40" s="18" t="str">
        <f aca="false">IF(C40="","",IFERROR(INDEX(Metrics!$A:$A,MATCH(C40,Metrics!$C:$C,0)),"Not found"))</f>
        <v/>
      </c>
      <c r="B40" s="18" t="str">
        <f aca="false">IF(D40="","",IFERROR(INDEX(Products!$A:$A,MATCH(D40,Products!$B:$B,0)),"Not found"))</f>
        <v/>
      </c>
      <c r="C40" s="20"/>
      <c r="D40" s="20"/>
      <c r="E40" s="20"/>
      <c r="F40" s="20"/>
      <c r="G40" s="20"/>
      <c r="H40" s="20"/>
      <c r="I40" s="20"/>
    </row>
    <row r="41" customFormat="false" ht="15" hidden="false" customHeight="false" outlineLevel="0" collapsed="false">
      <c r="A41" s="18" t="str">
        <f aca="false">IF(C41="","",IFERROR(INDEX(Metrics!$A:$A,MATCH(C41,Metrics!$C:$C,0)),"Not found"))</f>
        <v/>
      </c>
      <c r="B41" s="18" t="str">
        <f aca="false">IF(D41="","",IFERROR(INDEX(Products!$A:$A,MATCH(D41,Products!$B:$B,0)),"Not found"))</f>
        <v/>
      </c>
      <c r="C41" s="20"/>
      <c r="D41" s="20"/>
      <c r="E41" s="20"/>
      <c r="F41" s="20"/>
      <c r="G41" s="20"/>
      <c r="H41" s="20"/>
      <c r="I41" s="20"/>
    </row>
    <row r="42" customFormat="false" ht="15" hidden="false" customHeight="false" outlineLevel="0" collapsed="false">
      <c r="A42" s="18" t="str">
        <f aca="false">IF(C42="","",IFERROR(INDEX(Metrics!$A:$A,MATCH(C42,Metrics!$C:$C,0)),"Not found"))</f>
        <v/>
      </c>
      <c r="B42" s="18" t="str">
        <f aca="false">IF(D42="","",IFERROR(INDEX(Products!$A:$A,MATCH(D42,Products!$B:$B,0)),"Not found"))</f>
        <v/>
      </c>
      <c r="C42" s="20"/>
      <c r="D42" s="20"/>
      <c r="E42" s="20"/>
      <c r="F42" s="20"/>
      <c r="G42" s="20"/>
      <c r="H42" s="20"/>
      <c r="I42" s="20"/>
    </row>
    <row r="43" customFormat="false" ht="15" hidden="false" customHeight="false" outlineLevel="0" collapsed="false">
      <c r="A43" s="18" t="str">
        <f aca="false">IF(C43="","",IFERROR(INDEX(Metrics!$A:$A,MATCH(C43,Metrics!$C:$C,0)),"Not found"))</f>
        <v/>
      </c>
      <c r="B43" s="18" t="str">
        <f aca="false">IF(D43="","",IFERROR(INDEX(Products!$A:$A,MATCH(D43,Products!$B:$B,0)),"Not found"))</f>
        <v/>
      </c>
      <c r="C43" s="20"/>
      <c r="D43" s="20"/>
      <c r="E43" s="20"/>
      <c r="F43" s="20"/>
      <c r="G43" s="20"/>
      <c r="H43" s="20"/>
      <c r="I43" s="20"/>
    </row>
    <row r="44" customFormat="false" ht="15" hidden="false" customHeight="false" outlineLevel="0" collapsed="false">
      <c r="A44" s="18" t="str">
        <f aca="false">IF(C44="","",IFERROR(INDEX(Metrics!$A:$A,MATCH(C44,Metrics!$C:$C,0)),"Not found"))</f>
        <v/>
      </c>
      <c r="B44" s="18" t="str">
        <f aca="false">IF(D44="","",IFERROR(INDEX(Products!$A:$A,MATCH(D44,Products!$B:$B,0)),"Not found"))</f>
        <v/>
      </c>
      <c r="C44" s="20"/>
      <c r="D44" s="20"/>
      <c r="E44" s="20"/>
      <c r="F44" s="20"/>
      <c r="G44" s="20"/>
      <c r="H44" s="20"/>
      <c r="I44" s="20"/>
    </row>
    <row r="45" customFormat="false" ht="15" hidden="false" customHeight="false" outlineLevel="0" collapsed="false">
      <c r="A45" s="18" t="str">
        <f aca="false">IF(C45="","",IFERROR(INDEX(Metrics!$A:$A,MATCH(C45,Metrics!$C:$C,0)),"Not found"))</f>
        <v/>
      </c>
      <c r="B45" s="18" t="str">
        <f aca="false">IF(D45="","",IFERROR(INDEX(Products!$A:$A,MATCH(D45,Products!$B:$B,0)),"Not found"))</f>
        <v/>
      </c>
      <c r="C45" s="20"/>
      <c r="D45" s="20"/>
      <c r="E45" s="20"/>
      <c r="F45" s="20"/>
      <c r="G45" s="20"/>
      <c r="H45" s="20"/>
      <c r="I45" s="20"/>
    </row>
    <row r="46" customFormat="false" ht="15" hidden="false" customHeight="false" outlineLevel="0" collapsed="false">
      <c r="A46" s="18" t="str">
        <f aca="false">IF(C46="","",IFERROR(INDEX(Metrics!$A:$A,MATCH(C46,Metrics!$C:$C,0)),"Not found"))</f>
        <v/>
      </c>
      <c r="B46" s="18" t="str">
        <f aca="false">IF(D46="","",IFERROR(INDEX(Products!$A:$A,MATCH(D46,Products!$B:$B,0)),"Not found"))</f>
        <v/>
      </c>
      <c r="C46" s="20"/>
      <c r="D46" s="20"/>
      <c r="E46" s="20"/>
      <c r="F46" s="20"/>
      <c r="G46" s="20"/>
      <c r="H46" s="20"/>
      <c r="I46" s="20"/>
    </row>
    <row r="47" customFormat="false" ht="15" hidden="false" customHeight="false" outlineLevel="0" collapsed="false">
      <c r="A47" s="18" t="str">
        <f aca="false">IF(C47="","",IFERROR(INDEX(Metrics!$A:$A,MATCH(C47,Metrics!$C:$C,0)),"Not found"))</f>
        <v/>
      </c>
      <c r="B47" s="18" t="str">
        <f aca="false">IF(D47="","",IFERROR(INDEX(Products!$A:$A,MATCH(D47,Products!$B:$B,0)),"Not found"))</f>
        <v/>
      </c>
      <c r="C47" s="20"/>
      <c r="D47" s="20"/>
      <c r="E47" s="20"/>
      <c r="F47" s="20"/>
      <c r="G47" s="20"/>
      <c r="H47" s="20"/>
      <c r="I47" s="20"/>
    </row>
    <row r="48" customFormat="false" ht="15" hidden="false" customHeight="false" outlineLevel="0" collapsed="false">
      <c r="A48" s="18" t="str">
        <f aca="false">IF(C48="","",IFERROR(INDEX(Metrics!$A:$A,MATCH(C48,Metrics!$C:$C,0)),"Not found"))</f>
        <v/>
      </c>
      <c r="B48" s="18" t="str">
        <f aca="false">IF(D48="","",IFERROR(INDEX(Products!$A:$A,MATCH(D48,Products!$B:$B,0)),"Not found"))</f>
        <v/>
      </c>
      <c r="C48" s="20"/>
      <c r="D48" s="20"/>
      <c r="E48" s="20"/>
      <c r="F48" s="20"/>
      <c r="G48" s="20"/>
      <c r="H48" s="20"/>
      <c r="I48" s="20"/>
    </row>
    <row r="49" customFormat="false" ht="15" hidden="false" customHeight="false" outlineLevel="0" collapsed="false">
      <c r="A49" s="18" t="str">
        <f aca="false">IF(C49="","",IFERROR(INDEX(Metrics!$A:$A,MATCH(C49,Metrics!$C:$C,0)),"Not found"))</f>
        <v/>
      </c>
      <c r="B49" s="18" t="str">
        <f aca="false">IF(D49="","",IFERROR(INDEX(Products!$A:$A,MATCH(D49,Products!$B:$B,0)),"Not found"))</f>
        <v/>
      </c>
      <c r="C49" s="20"/>
      <c r="D49" s="20"/>
      <c r="E49" s="20"/>
      <c r="F49" s="20"/>
      <c r="G49" s="20"/>
      <c r="H49" s="20"/>
      <c r="I49" s="20"/>
    </row>
    <row r="50" customFormat="false" ht="15" hidden="false" customHeight="false" outlineLevel="0" collapsed="false">
      <c r="A50" s="18" t="str">
        <f aca="false">IF(C50="","",IFERROR(INDEX(Metrics!$A:$A,MATCH(C50,Metrics!$C:$C,0)),"Not found"))</f>
        <v/>
      </c>
      <c r="B50" s="18" t="str">
        <f aca="false">IF(D50="","",IFERROR(INDEX(Products!$A:$A,MATCH(D50,Products!$B:$B,0)),"Not found"))</f>
        <v/>
      </c>
      <c r="C50" s="20"/>
      <c r="D50" s="20"/>
      <c r="E50" s="20"/>
      <c r="F50" s="20"/>
      <c r="G50" s="20"/>
      <c r="H50" s="20"/>
      <c r="I50" s="20"/>
    </row>
    <row r="51" customFormat="false" ht="15" hidden="false" customHeight="false" outlineLevel="0" collapsed="false">
      <c r="A51" s="18" t="str">
        <f aca="false">IF(C51="","",IFERROR(INDEX(Metrics!$A:$A,MATCH(C51,Metrics!$C:$C,0)),"Not found"))</f>
        <v/>
      </c>
      <c r="B51" s="18" t="str">
        <f aca="false">IF(D51="","",IFERROR(INDEX(Products!$A:$A,MATCH(D51,Products!$B:$B,0)),"Not found"))</f>
        <v/>
      </c>
      <c r="C51" s="20"/>
      <c r="D51" s="20"/>
      <c r="E51" s="20"/>
      <c r="F51" s="20"/>
      <c r="G51" s="20"/>
      <c r="H51" s="20"/>
      <c r="I51" s="20"/>
    </row>
    <row r="52" customFormat="false" ht="15" hidden="false" customHeight="false" outlineLevel="0" collapsed="false">
      <c r="A52" s="18" t="str">
        <f aca="false">IF(C52="","",IFERROR(INDEX(Metrics!$A:$A,MATCH(C52,Metrics!$C:$C,0)),"Not found"))</f>
        <v/>
      </c>
      <c r="B52" s="18" t="str">
        <f aca="false">IF(D52="","",IFERROR(INDEX(Products!$A:$A,MATCH(D52,Products!$B:$B,0)),"Not found"))</f>
        <v/>
      </c>
      <c r="C52" s="20"/>
      <c r="D52" s="20"/>
      <c r="E52" s="20"/>
      <c r="F52" s="20"/>
      <c r="G52" s="20"/>
      <c r="H52" s="20"/>
      <c r="I52" s="20"/>
    </row>
    <row r="53" customFormat="false" ht="15" hidden="false" customHeight="false" outlineLevel="0" collapsed="false">
      <c r="A53" s="18" t="str">
        <f aca="false">IF(C53="","",IFERROR(INDEX(Metrics!$A:$A,MATCH(C53,Metrics!$C:$C,0)),"Not found"))</f>
        <v/>
      </c>
      <c r="B53" s="18" t="str">
        <f aca="false">IF(D53="","",IFERROR(INDEX(Products!$A:$A,MATCH(D53,Products!$B:$B,0)),"Not found"))</f>
        <v/>
      </c>
      <c r="C53" s="20"/>
      <c r="D53" s="20"/>
      <c r="E53" s="20"/>
      <c r="F53" s="20"/>
      <c r="G53" s="20"/>
      <c r="H53" s="20"/>
      <c r="I53" s="20"/>
    </row>
    <row r="54" customFormat="false" ht="15" hidden="false" customHeight="false" outlineLevel="0" collapsed="false">
      <c r="A54" s="18" t="str">
        <f aca="false">IF(C54="","",IFERROR(INDEX(Metrics!$A:$A,MATCH(C54,Metrics!$C:$C,0)),"Not found"))</f>
        <v/>
      </c>
      <c r="B54" s="18" t="str">
        <f aca="false">IF(D54="","",IFERROR(INDEX(Products!$A:$A,MATCH(D54,Products!$B:$B,0)),"Not found"))</f>
        <v/>
      </c>
      <c r="C54" s="20"/>
      <c r="D54" s="20"/>
      <c r="E54" s="20"/>
      <c r="F54" s="20"/>
      <c r="G54" s="20"/>
      <c r="H54" s="20"/>
      <c r="I54" s="20"/>
    </row>
    <row r="55" customFormat="false" ht="15" hidden="false" customHeight="false" outlineLevel="0" collapsed="false">
      <c r="A55" s="18" t="str">
        <f aca="false">IF(C55="","",IFERROR(INDEX(Metrics!$A:$A,MATCH(C55,Metrics!$C:$C,0)),"Not found"))</f>
        <v/>
      </c>
      <c r="B55" s="18" t="str">
        <f aca="false">IF(D55="","",IFERROR(INDEX(Products!$A:$A,MATCH(D55,Products!$B:$B,0)),"Not found"))</f>
        <v/>
      </c>
      <c r="C55" s="20"/>
      <c r="D55" s="20"/>
      <c r="E55" s="20"/>
      <c r="F55" s="20"/>
      <c r="G55" s="20"/>
      <c r="H55" s="20"/>
      <c r="I55" s="20"/>
    </row>
    <row r="56" customFormat="false" ht="15" hidden="false" customHeight="false" outlineLevel="0" collapsed="false">
      <c r="A56" s="18" t="str">
        <f aca="false">IF(C56="","",IFERROR(INDEX(Metrics!$A:$A,MATCH(C56,Metrics!$C:$C,0)),"Not found"))</f>
        <v/>
      </c>
      <c r="B56" s="18" t="str">
        <f aca="false">IF(D56="","",IFERROR(INDEX(Products!$A:$A,MATCH(D56,Products!$B:$B,0)),"Not found"))</f>
        <v/>
      </c>
      <c r="C56" s="20"/>
      <c r="D56" s="20"/>
      <c r="E56" s="20"/>
      <c r="F56" s="20"/>
      <c r="G56" s="20"/>
      <c r="H56" s="20"/>
      <c r="I56" s="20"/>
    </row>
    <row r="57" customFormat="false" ht="15" hidden="false" customHeight="false" outlineLevel="0" collapsed="false">
      <c r="A57" s="18" t="str">
        <f aca="false">IF(C57="","",IFERROR(INDEX(Metrics!$A:$A,MATCH(C57,Metrics!$C:$C,0)),"Not found"))</f>
        <v/>
      </c>
      <c r="B57" s="18" t="str">
        <f aca="false">IF(D57="","",IFERROR(INDEX(Products!$A:$A,MATCH(D57,Products!$B:$B,0)),"Not found"))</f>
        <v/>
      </c>
      <c r="C57" s="20"/>
      <c r="D57" s="20"/>
      <c r="E57" s="20"/>
      <c r="F57" s="20"/>
      <c r="G57" s="20"/>
      <c r="H57" s="20"/>
      <c r="I57" s="20"/>
    </row>
    <row r="58" customFormat="false" ht="15" hidden="false" customHeight="false" outlineLevel="0" collapsed="false">
      <c r="A58" s="18" t="str">
        <f aca="false">IF(C58="","",IFERROR(INDEX(Metrics!$A:$A,MATCH(C58,Metrics!$C:$C,0)),"Not found"))</f>
        <v/>
      </c>
      <c r="B58" s="18" t="str">
        <f aca="false">IF(D58="","",IFERROR(INDEX(Products!$A:$A,MATCH(D58,Products!$B:$B,0)),"Not found"))</f>
        <v/>
      </c>
      <c r="C58" s="20"/>
      <c r="D58" s="20"/>
      <c r="E58" s="20"/>
      <c r="F58" s="20"/>
      <c r="G58" s="20"/>
      <c r="H58" s="20"/>
      <c r="I58" s="20"/>
    </row>
    <row r="59" customFormat="false" ht="15" hidden="false" customHeight="false" outlineLevel="0" collapsed="false">
      <c r="A59" s="18" t="str">
        <f aca="false">IF(C59="","",IFERROR(INDEX(Metrics!$A:$A,MATCH(C59,Metrics!$C:$C,0)),"Not found"))</f>
        <v/>
      </c>
      <c r="B59" s="18" t="str">
        <f aca="false">IF(D59="","",IFERROR(INDEX(Products!$A:$A,MATCH(D59,Products!$B:$B,0)),"Not found"))</f>
        <v/>
      </c>
      <c r="C59" s="20"/>
      <c r="D59" s="20"/>
      <c r="E59" s="20"/>
      <c r="F59" s="20"/>
      <c r="G59" s="20"/>
      <c r="H59" s="20"/>
      <c r="I59" s="20"/>
    </row>
    <row r="60" customFormat="false" ht="15" hidden="false" customHeight="false" outlineLevel="0" collapsed="false">
      <c r="A60" s="18" t="str">
        <f aca="false">IF(C60="","",IFERROR(INDEX(Metrics!$A:$A,MATCH(C60,Metrics!$C:$C,0)),"Not found"))</f>
        <v/>
      </c>
      <c r="B60" s="18" t="str">
        <f aca="false">IF(D60="","",IFERROR(INDEX(Products!$A:$A,MATCH(D60,Products!$B:$B,0)),"Not found"))</f>
        <v/>
      </c>
      <c r="C60" s="20"/>
      <c r="D60" s="20"/>
      <c r="E60" s="20"/>
      <c r="F60" s="20"/>
      <c r="G60" s="20"/>
      <c r="H60" s="20"/>
      <c r="I60" s="20"/>
    </row>
    <row r="61" customFormat="false" ht="15" hidden="false" customHeight="false" outlineLevel="0" collapsed="false">
      <c r="A61" s="18" t="str">
        <f aca="false">IF(C61="","",IFERROR(INDEX(Metrics!$A:$A,MATCH(C61,Metrics!$C:$C,0)),"Not found"))</f>
        <v/>
      </c>
      <c r="B61" s="18" t="str">
        <f aca="false">IF(D61="","",IFERROR(INDEX(Products!$A:$A,MATCH(D61,Products!$B:$B,0)),"Not found"))</f>
        <v/>
      </c>
      <c r="C61" s="20"/>
      <c r="D61" s="20"/>
      <c r="E61" s="20"/>
      <c r="F61" s="20"/>
      <c r="G61" s="20"/>
      <c r="H61" s="20"/>
      <c r="I61" s="20"/>
    </row>
    <row r="62" customFormat="false" ht="15" hidden="false" customHeight="false" outlineLevel="0" collapsed="false">
      <c r="A62" s="18" t="str">
        <f aca="false">IF(C62="","",IFERROR(INDEX(Metrics!$A:$A,MATCH(C62,Metrics!$C:$C,0)),"Not found"))</f>
        <v/>
      </c>
      <c r="B62" s="18" t="str">
        <f aca="false">IF(D62="","",IFERROR(INDEX(Products!$A:$A,MATCH(D62,Products!$B:$B,0)),"Not found"))</f>
        <v/>
      </c>
      <c r="C62" s="20"/>
      <c r="D62" s="20"/>
      <c r="E62" s="20"/>
      <c r="F62" s="20"/>
      <c r="G62" s="20"/>
      <c r="H62" s="20"/>
      <c r="I62" s="20"/>
    </row>
    <row r="63" customFormat="false" ht="15" hidden="false" customHeight="false" outlineLevel="0" collapsed="false">
      <c r="A63" s="18" t="str">
        <f aca="false">IF(C63="","",IFERROR(INDEX(Metrics!$A:$A,MATCH(C63,Metrics!$C:$C,0)),"Not found"))</f>
        <v/>
      </c>
      <c r="B63" s="18" t="str">
        <f aca="false">IF(D63="","",IFERROR(INDEX(Products!$A:$A,MATCH(D63,Products!$B:$B,0)),"Not found"))</f>
        <v/>
      </c>
      <c r="C63" s="20"/>
      <c r="D63" s="20"/>
      <c r="E63" s="20"/>
      <c r="F63" s="20"/>
      <c r="G63" s="20"/>
      <c r="H63" s="20"/>
      <c r="I63" s="20"/>
    </row>
    <row r="64" customFormat="false" ht="15" hidden="false" customHeight="false" outlineLevel="0" collapsed="false">
      <c r="A64" s="18" t="str">
        <f aca="false">IF(C64="","",IFERROR(INDEX(Metrics!$A:$A,MATCH(C64,Metrics!$C:$C,0)),"Not found"))</f>
        <v/>
      </c>
      <c r="B64" s="18" t="str">
        <f aca="false">IF(D64="","",IFERROR(INDEX(Products!$A:$A,MATCH(D64,Products!$B:$B,0)),"Not found"))</f>
        <v/>
      </c>
      <c r="C64" s="20"/>
      <c r="D64" s="20"/>
      <c r="E64" s="20"/>
      <c r="F64" s="20"/>
      <c r="G64" s="20"/>
      <c r="H64" s="20"/>
      <c r="I64" s="20"/>
    </row>
    <row r="65" customFormat="false" ht="15" hidden="false" customHeight="false" outlineLevel="0" collapsed="false">
      <c r="A65" s="18" t="str">
        <f aca="false">IF(C65="","",IFERROR(INDEX(Metrics!$A:$A,MATCH(C65,Metrics!$C:$C,0)),"Not found"))</f>
        <v/>
      </c>
      <c r="B65" s="18" t="str">
        <f aca="false">IF(D65="","",IFERROR(INDEX(Products!$A:$A,MATCH(D65,Products!$B:$B,0)),"Not found"))</f>
        <v/>
      </c>
      <c r="C65" s="20"/>
      <c r="D65" s="20"/>
      <c r="E65" s="20"/>
      <c r="F65" s="20"/>
      <c r="G65" s="20"/>
      <c r="H65" s="20"/>
      <c r="I65" s="20"/>
    </row>
    <row r="66" customFormat="false" ht="15" hidden="false" customHeight="false" outlineLevel="0" collapsed="false">
      <c r="A66" s="18" t="str">
        <f aca="false">IF(C66="","",IFERROR(INDEX(Metrics!$A:$A,MATCH(C66,Metrics!$C:$C,0)),"Not found"))</f>
        <v/>
      </c>
      <c r="B66" s="18" t="str">
        <f aca="false">IF(D66="","",IFERROR(INDEX(Products!$A:$A,MATCH(D66,Products!$B:$B,0)),"Not found"))</f>
        <v/>
      </c>
      <c r="C66" s="20"/>
      <c r="D66" s="20"/>
      <c r="E66" s="20"/>
      <c r="F66" s="20"/>
      <c r="G66" s="20"/>
      <c r="H66" s="20"/>
      <c r="I66" s="20"/>
    </row>
    <row r="67" customFormat="false" ht="15" hidden="false" customHeight="false" outlineLevel="0" collapsed="false">
      <c r="A67" s="18" t="str">
        <f aca="false">IF(C67="","",IFERROR(INDEX(Metrics!$A:$A,MATCH(C67,Metrics!$C:$C,0)),"Not found"))</f>
        <v/>
      </c>
      <c r="B67" s="18" t="str">
        <f aca="false">IF(D67="","",IFERROR(INDEX(Products!$A:$A,MATCH(D67,Products!$B:$B,0)),"Not found"))</f>
        <v/>
      </c>
      <c r="C67" s="20"/>
      <c r="D67" s="20"/>
      <c r="E67" s="20"/>
      <c r="F67" s="20"/>
      <c r="G67" s="20"/>
      <c r="H67" s="20"/>
      <c r="I67" s="20"/>
    </row>
    <row r="68" customFormat="false" ht="15" hidden="false" customHeight="false" outlineLevel="0" collapsed="false">
      <c r="A68" s="18" t="str">
        <f aca="false">IF(C68="","",IFERROR(INDEX(Metrics!$A:$A,MATCH(C68,Metrics!$C:$C,0)),"Not found"))</f>
        <v/>
      </c>
      <c r="B68" s="18" t="str">
        <f aca="false">IF(D68="","",IFERROR(INDEX(Products!$A:$A,MATCH(D68,Products!$B:$B,0)),"Not found"))</f>
        <v/>
      </c>
      <c r="C68" s="20"/>
      <c r="D68" s="20"/>
      <c r="E68" s="20"/>
      <c r="F68" s="20"/>
      <c r="G68" s="20"/>
      <c r="H68" s="20"/>
      <c r="I68" s="20"/>
    </row>
    <row r="69" customFormat="false" ht="15" hidden="false" customHeight="false" outlineLevel="0" collapsed="false">
      <c r="A69" s="18" t="str">
        <f aca="false">IF(C69="","",IFERROR(INDEX(Metrics!$A:$A,MATCH(C69,Metrics!$C:$C,0)),"Not found"))</f>
        <v/>
      </c>
      <c r="B69" s="18" t="str">
        <f aca="false">IF(D69="","",IFERROR(INDEX(Products!$A:$A,MATCH(D69,Products!$B:$B,0)),"Not found"))</f>
        <v/>
      </c>
      <c r="C69" s="20"/>
      <c r="D69" s="20"/>
      <c r="E69" s="20"/>
      <c r="F69" s="20"/>
      <c r="G69" s="20"/>
      <c r="H69" s="20"/>
      <c r="I69" s="20"/>
    </row>
    <row r="70" customFormat="false" ht="15" hidden="false" customHeight="false" outlineLevel="0" collapsed="false">
      <c r="A70" s="18" t="str">
        <f aca="false">IF(C70="","",IFERROR(INDEX(Metrics!$A:$A,MATCH(C70,Metrics!$C:$C,0)),"Not found"))</f>
        <v/>
      </c>
      <c r="B70" s="18" t="str">
        <f aca="false">IF(D70="","",IFERROR(INDEX(Products!$A:$A,MATCH(D70,Products!$B:$B,0)),"Not found"))</f>
        <v/>
      </c>
      <c r="C70" s="20"/>
      <c r="D70" s="20"/>
      <c r="E70" s="20"/>
      <c r="F70" s="20"/>
      <c r="G70" s="20"/>
      <c r="H70" s="20"/>
      <c r="I70" s="20"/>
    </row>
    <row r="71" customFormat="false" ht="15" hidden="false" customHeight="false" outlineLevel="0" collapsed="false">
      <c r="A71" s="18" t="str">
        <f aca="false">IF(C71="","",IFERROR(INDEX(Metrics!$A:$A,MATCH(C71,Metrics!$C:$C,0)),"Not found"))</f>
        <v/>
      </c>
      <c r="B71" s="18" t="str">
        <f aca="false">IF(D71="","",IFERROR(INDEX(Products!$A:$A,MATCH(D71,Products!$B:$B,0)),"Not found"))</f>
        <v/>
      </c>
      <c r="C71" s="20"/>
      <c r="D71" s="20"/>
      <c r="E71" s="20"/>
      <c r="F71" s="20"/>
      <c r="G71" s="20"/>
      <c r="H71" s="20"/>
      <c r="I71" s="20"/>
    </row>
    <row r="72" customFormat="false" ht="15" hidden="false" customHeight="false" outlineLevel="0" collapsed="false">
      <c r="A72" s="18" t="str">
        <f aca="false">IF(C72="","",IFERROR(INDEX(Metrics!$A:$A,MATCH(C72,Metrics!$C:$C,0)),"Not found"))</f>
        <v/>
      </c>
      <c r="B72" s="18" t="str">
        <f aca="false">IF(D72="","",IFERROR(INDEX(Products!$A:$A,MATCH(D72,Products!$B:$B,0)),"Not found"))</f>
        <v/>
      </c>
      <c r="C72" s="20"/>
      <c r="D72" s="20"/>
      <c r="E72" s="20"/>
      <c r="F72" s="20"/>
      <c r="G72" s="20"/>
      <c r="H72" s="20"/>
      <c r="I72" s="20"/>
    </row>
    <row r="73" customFormat="false" ht="15" hidden="false" customHeight="false" outlineLevel="0" collapsed="false">
      <c r="A73" s="18" t="str">
        <f aca="false">IF(C73="","",IFERROR(INDEX(Metrics!$A:$A,MATCH(C73,Metrics!$C:$C,0)),"Not found"))</f>
        <v/>
      </c>
      <c r="B73" s="18" t="str">
        <f aca="false">IF(D73="","",IFERROR(INDEX(Products!$A:$A,MATCH(D73,Products!$B:$B,0)),"Not found"))</f>
        <v/>
      </c>
      <c r="C73" s="20"/>
      <c r="D73" s="20"/>
      <c r="E73" s="20"/>
      <c r="F73" s="20"/>
      <c r="G73" s="20"/>
      <c r="H73" s="20"/>
      <c r="I73" s="20"/>
    </row>
    <row r="74" customFormat="false" ht="15" hidden="false" customHeight="false" outlineLevel="0" collapsed="false">
      <c r="A74" s="18" t="str">
        <f aca="false">IF(C74="","",IFERROR(INDEX(Metrics!$A:$A,MATCH(C74,Metrics!$C:$C,0)),"Not found"))</f>
        <v/>
      </c>
      <c r="B74" s="18" t="str">
        <f aca="false">IF(D74="","",IFERROR(INDEX(Products!$A:$A,MATCH(D74,Products!$B:$B,0)),"Not found"))</f>
        <v/>
      </c>
      <c r="C74" s="20"/>
      <c r="D74" s="20"/>
      <c r="E74" s="20"/>
      <c r="F74" s="20"/>
      <c r="G74" s="20"/>
      <c r="H74" s="20"/>
      <c r="I74" s="20"/>
    </row>
    <row r="75" customFormat="false" ht="15" hidden="false" customHeight="false" outlineLevel="0" collapsed="false">
      <c r="A75" s="18" t="str">
        <f aca="false">IF(C75="","",IFERROR(INDEX(Metrics!$A:$A,MATCH(C75,Metrics!$C:$C,0)),"Not found"))</f>
        <v/>
      </c>
      <c r="B75" s="18" t="str">
        <f aca="false">IF(D75="","",IFERROR(INDEX(Products!$A:$A,MATCH(D75,Products!$B:$B,0)),"Not found"))</f>
        <v/>
      </c>
      <c r="C75" s="20"/>
      <c r="D75" s="20"/>
      <c r="E75" s="20"/>
      <c r="F75" s="20"/>
      <c r="G75" s="20"/>
      <c r="H75" s="20"/>
      <c r="I75" s="20"/>
    </row>
    <row r="76" customFormat="false" ht="15" hidden="false" customHeight="false" outlineLevel="0" collapsed="false">
      <c r="A76" s="18" t="str">
        <f aca="false">IF(C76="","",IFERROR(INDEX(Metrics!$A:$A,MATCH(C76,Metrics!$C:$C,0)),"Not found"))</f>
        <v/>
      </c>
      <c r="B76" s="18" t="str">
        <f aca="false">IF(D76="","",IFERROR(INDEX(Products!$A:$A,MATCH(D76,Products!$B:$B,0)),"Not found"))</f>
        <v/>
      </c>
      <c r="C76" s="20"/>
      <c r="D76" s="20"/>
      <c r="E76" s="20"/>
      <c r="F76" s="20"/>
      <c r="G76" s="20"/>
      <c r="H76" s="20"/>
      <c r="I76" s="20"/>
    </row>
    <row r="77" customFormat="false" ht="15" hidden="false" customHeight="false" outlineLevel="0" collapsed="false">
      <c r="A77" s="18" t="str">
        <f aca="false">IF(C77="","",IFERROR(INDEX(Metrics!$A:$A,MATCH(C77,Metrics!$C:$C,0)),"Not found"))</f>
        <v/>
      </c>
      <c r="B77" s="18" t="str">
        <f aca="false">IF(D77="","",IFERROR(INDEX(Products!$A:$A,MATCH(D77,Products!$B:$B,0)),"Not found"))</f>
        <v/>
      </c>
      <c r="C77" s="20"/>
      <c r="D77" s="20"/>
      <c r="E77" s="20"/>
      <c r="F77" s="20"/>
      <c r="G77" s="20"/>
      <c r="H77" s="20"/>
      <c r="I77" s="20"/>
    </row>
    <row r="78" customFormat="false" ht="15" hidden="false" customHeight="false" outlineLevel="0" collapsed="false">
      <c r="A78" s="18" t="str">
        <f aca="false">IF(C78="","",IFERROR(INDEX(Metrics!$A:$A,MATCH(C78,Metrics!$C:$C,0)),"Not found"))</f>
        <v/>
      </c>
      <c r="B78" s="18" t="str">
        <f aca="false">IF(D78="","",IFERROR(INDEX(Products!$A:$A,MATCH(D78,Products!$B:$B,0)),"Not found"))</f>
        <v/>
      </c>
      <c r="C78" s="20"/>
      <c r="D78" s="20"/>
      <c r="E78" s="20"/>
      <c r="F78" s="20"/>
      <c r="G78" s="20"/>
      <c r="H78" s="20"/>
      <c r="I78" s="20"/>
    </row>
    <row r="79" customFormat="false" ht="15" hidden="false" customHeight="false" outlineLevel="0" collapsed="false">
      <c r="A79" s="18" t="str">
        <f aca="false">IF(C79="","",IFERROR(INDEX(Metrics!$A:$A,MATCH(C79,Metrics!$C:$C,0)),"Not found"))</f>
        <v/>
      </c>
      <c r="B79" s="18" t="str">
        <f aca="false">IF(D79="","",IFERROR(INDEX(Products!$A:$A,MATCH(D79,Products!$B:$B,0)),"Not found"))</f>
        <v/>
      </c>
      <c r="C79" s="20"/>
      <c r="D79" s="20"/>
      <c r="E79" s="20"/>
      <c r="F79" s="20"/>
      <c r="G79" s="20"/>
      <c r="H79" s="20"/>
      <c r="I79" s="20"/>
    </row>
    <row r="80" customFormat="false" ht="15" hidden="false" customHeight="false" outlineLevel="0" collapsed="false">
      <c r="A80" s="18" t="str">
        <f aca="false">IF(C80="","",IFERROR(INDEX(Metrics!$A:$A,MATCH(C80,Metrics!$C:$C,0)),"Not found"))</f>
        <v/>
      </c>
      <c r="B80" s="18" t="str">
        <f aca="false">IF(D80="","",IFERROR(INDEX(Products!$A:$A,MATCH(D80,Products!$B:$B,0)),"Not found"))</f>
        <v/>
      </c>
      <c r="C80" s="20"/>
      <c r="D80" s="20"/>
      <c r="E80" s="20"/>
      <c r="F80" s="20"/>
      <c r="G80" s="20"/>
      <c r="H80" s="20"/>
      <c r="I80" s="20"/>
    </row>
    <row r="81" customFormat="false" ht="15" hidden="false" customHeight="false" outlineLevel="0" collapsed="false">
      <c r="A81" s="18" t="str">
        <f aca="false">IF(C81="","",IFERROR(INDEX(Metrics!$A:$A,MATCH(C81,Metrics!$C:$C,0)),"Not found"))</f>
        <v/>
      </c>
      <c r="B81" s="18" t="str">
        <f aca="false">IF(D81="","",IFERROR(INDEX(Products!$A:$A,MATCH(D81,Products!$B:$B,0)),"Not found"))</f>
        <v/>
      </c>
      <c r="C81" s="20"/>
      <c r="D81" s="20"/>
      <c r="E81" s="20"/>
      <c r="F81" s="20"/>
      <c r="G81" s="20"/>
      <c r="H81" s="20"/>
      <c r="I81" s="20"/>
    </row>
    <row r="82" customFormat="false" ht="15" hidden="false" customHeight="false" outlineLevel="0" collapsed="false">
      <c r="A82" s="18" t="str">
        <f aca="false">IF(C82="","",IFERROR(INDEX(Metrics!$A:$A,MATCH(C82,Metrics!$C:$C,0)),"Not found"))</f>
        <v/>
      </c>
      <c r="B82" s="18" t="str">
        <f aca="false">IF(D82="","",IFERROR(INDEX(Products!$A:$A,MATCH(D82,Products!$B:$B,0)),"Not found"))</f>
        <v/>
      </c>
      <c r="C82" s="20"/>
      <c r="D82" s="20"/>
      <c r="E82" s="20"/>
      <c r="F82" s="20"/>
      <c r="G82" s="20"/>
      <c r="H82" s="20"/>
      <c r="I82" s="20"/>
    </row>
    <row r="83" customFormat="false" ht="15" hidden="false" customHeight="false" outlineLevel="0" collapsed="false">
      <c r="A83" s="18" t="str">
        <f aca="false">IF(C83="","",IFERROR(INDEX(Metrics!$A:$A,MATCH(C83,Metrics!$C:$C,0)),"Not found"))</f>
        <v/>
      </c>
      <c r="B83" s="18" t="str">
        <f aca="false">IF(D83="","",IFERROR(INDEX(Products!$A:$A,MATCH(D83,Products!$B:$B,0)),"Not found"))</f>
        <v/>
      </c>
      <c r="C83" s="20"/>
      <c r="D83" s="20"/>
      <c r="E83" s="20"/>
      <c r="F83" s="20"/>
      <c r="G83" s="20"/>
      <c r="H83" s="20"/>
      <c r="I83" s="20"/>
    </row>
    <row r="84" customFormat="false" ht="15" hidden="false" customHeight="false" outlineLevel="0" collapsed="false">
      <c r="A84" s="18" t="str">
        <f aca="false">IF(C84="","",IFERROR(INDEX(Metrics!$A:$A,MATCH(C84,Metrics!$C:$C,0)),"Not found"))</f>
        <v/>
      </c>
      <c r="B84" s="18" t="str">
        <f aca="false">IF(D84="","",IFERROR(INDEX(Products!$A:$A,MATCH(D84,Products!$B:$B,0)),"Not found"))</f>
        <v/>
      </c>
      <c r="C84" s="20"/>
      <c r="D84" s="20"/>
      <c r="E84" s="20"/>
      <c r="F84" s="20"/>
      <c r="G84" s="20"/>
      <c r="H84" s="20"/>
      <c r="I84" s="20"/>
    </row>
    <row r="85" customFormat="false" ht="15" hidden="false" customHeight="false" outlineLevel="0" collapsed="false">
      <c r="A85" s="18" t="str">
        <f aca="false">IF(C85="","",IFERROR(INDEX(Metrics!$A:$A,MATCH(C85,Metrics!$C:$C,0)),"Not found"))</f>
        <v/>
      </c>
      <c r="B85" s="18" t="str">
        <f aca="false">IF(D85="","",IFERROR(INDEX(Products!$A:$A,MATCH(D85,Products!$B:$B,0)),"Not found"))</f>
        <v/>
      </c>
      <c r="C85" s="20"/>
      <c r="D85" s="20"/>
      <c r="E85" s="20"/>
      <c r="F85" s="20"/>
      <c r="G85" s="20"/>
      <c r="H85" s="20"/>
      <c r="I85" s="20"/>
    </row>
    <row r="86" customFormat="false" ht="15" hidden="false" customHeight="false" outlineLevel="0" collapsed="false">
      <c r="A86" s="18" t="str">
        <f aca="false">IF(C86="","",IFERROR(INDEX(Metrics!$A:$A,MATCH(C86,Metrics!$C:$C,0)),"Not found"))</f>
        <v/>
      </c>
      <c r="B86" s="18" t="str">
        <f aca="false">IF(D86="","",IFERROR(INDEX(Products!$A:$A,MATCH(D86,Products!$B:$B,0)),"Not found"))</f>
        <v/>
      </c>
      <c r="C86" s="20"/>
      <c r="D86" s="20"/>
      <c r="E86" s="20"/>
      <c r="F86" s="20"/>
      <c r="G86" s="20"/>
      <c r="H86" s="20"/>
      <c r="I86" s="20"/>
    </row>
    <row r="87" customFormat="false" ht="15" hidden="false" customHeight="false" outlineLevel="0" collapsed="false">
      <c r="A87" s="18" t="str">
        <f aca="false">IF(C87="","",IFERROR(INDEX(Metrics!$A:$A,MATCH(C87,Metrics!$C:$C,0)),"Not found"))</f>
        <v/>
      </c>
      <c r="B87" s="18" t="str">
        <f aca="false">IF(D87="","",IFERROR(INDEX(Products!$A:$A,MATCH(D87,Products!$B:$B,0)),"Not found"))</f>
        <v/>
      </c>
      <c r="C87" s="20"/>
      <c r="D87" s="20"/>
      <c r="E87" s="20"/>
      <c r="F87" s="20"/>
      <c r="G87" s="20"/>
      <c r="H87" s="20"/>
      <c r="I87" s="20"/>
    </row>
    <row r="88" customFormat="false" ht="15" hidden="false" customHeight="false" outlineLevel="0" collapsed="false">
      <c r="A88" s="18" t="str">
        <f aca="false">IF(C88="","",IFERROR(INDEX(Metrics!$A:$A,MATCH(C88,Metrics!$C:$C,0)),"Not found"))</f>
        <v/>
      </c>
      <c r="B88" s="18" t="str">
        <f aca="false">IF(D88="","",IFERROR(INDEX(Products!$A:$A,MATCH(D88,Products!$B:$B,0)),"Not found"))</f>
        <v/>
      </c>
      <c r="C88" s="20"/>
      <c r="D88" s="20"/>
      <c r="E88" s="20"/>
      <c r="F88" s="20"/>
      <c r="G88" s="20"/>
      <c r="H88" s="20"/>
      <c r="I88" s="20"/>
    </row>
    <row r="89" customFormat="false" ht="15" hidden="false" customHeight="false" outlineLevel="0" collapsed="false">
      <c r="A89" s="18" t="str">
        <f aca="false">IF(C89="","",IFERROR(INDEX(Metrics!$A:$A,MATCH(C89,Metrics!$C:$C,0)),"Not found"))</f>
        <v/>
      </c>
      <c r="B89" s="18" t="str">
        <f aca="false">IF(D89="","",IFERROR(INDEX(Products!$A:$A,MATCH(D89,Products!$B:$B,0)),"Not found"))</f>
        <v/>
      </c>
      <c r="C89" s="20"/>
      <c r="D89" s="20"/>
      <c r="E89" s="20"/>
      <c r="F89" s="20"/>
      <c r="G89" s="20"/>
      <c r="H89" s="20"/>
      <c r="I89" s="20"/>
    </row>
    <row r="90" customFormat="false" ht="15" hidden="false" customHeight="false" outlineLevel="0" collapsed="false">
      <c r="A90" s="18" t="str">
        <f aca="false">IF(C90="","",IFERROR(INDEX(Metrics!$A:$A,MATCH(C90,Metrics!$C:$C,0)),"Not found"))</f>
        <v/>
      </c>
      <c r="B90" s="18" t="str">
        <f aca="false">IF(D90="","",IFERROR(INDEX(Products!$A:$A,MATCH(D90,Products!$B:$B,0)),"Not found"))</f>
        <v/>
      </c>
      <c r="C90" s="20"/>
      <c r="D90" s="20"/>
      <c r="E90" s="20"/>
      <c r="F90" s="20"/>
      <c r="G90" s="20"/>
      <c r="H90" s="20"/>
      <c r="I90" s="20"/>
    </row>
    <row r="91" customFormat="false" ht="15" hidden="false" customHeight="false" outlineLevel="0" collapsed="false">
      <c r="A91" s="18" t="str">
        <f aca="false">IF(C91="","",IFERROR(INDEX(Metrics!$A:$A,MATCH(C91,Metrics!$C:$C,0)),"Not found"))</f>
        <v/>
      </c>
      <c r="B91" s="18" t="str">
        <f aca="false">IF(D91="","",IFERROR(INDEX(Products!$A:$A,MATCH(D91,Products!$B:$B,0)),"Not found"))</f>
        <v/>
      </c>
      <c r="C91" s="20"/>
      <c r="D91" s="20"/>
      <c r="E91" s="20"/>
      <c r="F91" s="20"/>
      <c r="G91" s="20"/>
      <c r="H91" s="20"/>
      <c r="I91" s="20"/>
    </row>
    <row r="92" customFormat="false" ht="15" hidden="false" customHeight="false" outlineLevel="0" collapsed="false">
      <c r="A92" s="18" t="str">
        <f aca="false">IF(C92="","",IFERROR(INDEX(Metrics!$A:$A,MATCH(C92,Metrics!$C:$C,0)),"Not found"))</f>
        <v/>
      </c>
      <c r="B92" s="18" t="str">
        <f aca="false">IF(D92="","",IFERROR(INDEX(Products!$A:$A,MATCH(D92,Products!$B:$B,0)),"Not found"))</f>
        <v/>
      </c>
      <c r="C92" s="20"/>
      <c r="D92" s="20"/>
      <c r="E92" s="20"/>
      <c r="F92" s="20"/>
      <c r="G92" s="20"/>
      <c r="H92" s="20"/>
      <c r="I92" s="20"/>
    </row>
    <row r="93" customFormat="false" ht="15" hidden="false" customHeight="false" outlineLevel="0" collapsed="false">
      <c r="A93" s="18" t="str">
        <f aca="false">IF(C93="","",IFERROR(INDEX(Metrics!$A:$A,MATCH(C93,Metrics!$C:$C,0)),"Not found"))</f>
        <v/>
      </c>
      <c r="B93" s="18" t="str">
        <f aca="false">IF(D93="","",IFERROR(INDEX(Products!$A:$A,MATCH(D93,Products!$B:$B,0)),"Not found"))</f>
        <v/>
      </c>
      <c r="C93" s="20"/>
      <c r="D93" s="20"/>
      <c r="E93" s="20"/>
      <c r="F93" s="20"/>
      <c r="G93" s="20"/>
      <c r="H93" s="20"/>
      <c r="I93" s="20"/>
    </row>
    <row r="94" customFormat="false" ht="15" hidden="false" customHeight="false" outlineLevel="0" collapsed="false">
      <c r="A94" s="18" t="str">
        <f aca="false">IF(C94="","",IFERROR(INDEX(Metrics!$A:$A,MATCH(C94,Metrics!$C:$C,0)),"Not found"))</f>
        <v/>
      </c>
      <c r="B94" s="18" t="str">
        <f aca="false">IF(D94="","",IFERROR(INDEX(Products!$A:$A,MATCH(D94,Products!$B:$B,0)),"Not found"))</f>
        <v/>
      </c>
      <c r="C94" s="20"/>
      <c r="D94" s="20"/>
      <c r="E94" s="20"/>
      <c r="F94" s="20"/>
      <c r="G94" s="20"/>
      <c r="H94" s="20"/>
      <c r="I94" s="20"/>
    </row>
    <row r="95" customFormat="false" ht="15" hidden="false" customHeight="false" outlineLevel="0" collapsed="false">
      <c r="A95" s="18" t="str">
        <f aca="false">IF(C95="","",IFERROR(INDEX(Metrics!$A:$A,MATCH(C95,Metrics!$C:$C,0)),"Not found"))</f>
        <v/>
      </c>
      <c r="B95" s="18" t="str">
        <f aca="false">IF(D95="","",IFERROR(INDEX(Products!$A:$A,MATCH(D95,Products!$B:$B,0)),"Not found"))</f>
        <v/>
      </c>
      <c r="C95" s="20"/>
      <c r="D95" s="20"/>
      <c r="E95" s="20"/>
      <c r="F95" s="20"/>
      <c r="G95" s="20"/>
      <c r="H95" s="20"/>
      <c r="I95" s="20"/>
    </row>
    <row r="96" customFormat="false" ht="15" hidden="false" customHeight="false" outlineLevel="0" collapsed="false">
      <c r="A96" s="18" t="str">
        <f aca="false">IF(C96="","",IFERROR(INDEX(Metrics!$A:$A,MATCH(C96,Metrics!$C:$C,0)),"Not found"))</f>
        <v/>
      </c>
      <c r="B96" s="18" t="str">
        <f aca="false">IF(D96="","",IFERROR(INDEX(Products!$A:$A,MATCH(D96,Products!$B:$B,0)),"Not found"))</f>
        <v/>
      </c>
      <c r="C96" s="20"/>
      <c r="D96" s="20"/>
      <c r="E96" s="20"/>
      <c r="F96" s="20"/>
      <c r="G96" s="20"/>
      <c r="H96" s="20"/>
      <c r="I96" s="20"/>
    </row>
    <row r="97" customFormat="false" ht="15" hidden="false" customHeight="false" outlineLevel="0" collapsed="false">
      <c r="A97" s="18" t="str">
        <f aca="false">IF(C97="","",IFERROR(INDEX(Metrics!$A:$A,MATCH(C97,Metrics!$C:$C,0)),"Not found"))</f>
        <v/>
      </c>
      <c r="B97" s="18" t="str">
        <f aca="false">IF(D97="","",IFERROR(INDEX(Products!$A:$A,MATCH(D97,Products!$B:$B,0)),"Not found"))</f>
        <v/>
      </c>
      <c r="C97" s="20"/>
      <c r="D97" s="20"/>
      <c r="E97" s="20"/>
      <c r="F97" s="20"/>
      <c r="G97" s="20"/>
      <c r="H97" s="20"/>
      <c r="I97" s="20"/>
    </row>
    <row r="98" customFormat="false" ht="15" hidden="false" customHeight="false" outlineLevel="0" collapsed="false">
      <c r="A98" s="18" t="str">
        <f aca="false">IF(C98="","",IFERROR(INDEX(Metrics!$A:$A,MATCH(C98,Metrics!$C:$C,0)),"Not found"))</f>
        <v/>
      </c>
      <c r="B98" s="18" t="str">
        <f aca="false">IF(D98="","",IFERROR(INDEX(Products!$A:$A,MATCH(D98,Products!$B:$B,0)),"Not found"))</f>
        <v/>
      </c>
      <c r="C98" s="20"/>
      <c r="D98" s="20"/>
      <c r="E98" s="20"/>
      <c r="F98" s="20"/>
      <c r="G98" s="20"/>
      <c r="H98" s="20"/>
      <c r="I98" s="20"/>
    </row>
    <row r="99" customFormat="false" ht="15" hidden="false" customHeight="false" outlineLevel="0" collapsed="false">
      <c r="A99" s="18" t="str">
        <f aca="false">IF(C99="","",IFERROR(INDEX(Metrics!$A:$A,MATCH(C99,Metrics!$C:$C,0)),"Not found"))</f>
        <v/>
      </c>
      <c r="B99" s="18" t="str">
        <f aca="false">IF(D99="","",IFERROR(INDEX(Products!$A:$A,MATCH(D99,Products!$B:$B,0)),"Not found"))</f>
        <v/>
      </c>
      <c r="C99" s="20"/>
      <c r="D99" s="20"/>
      <c r="E99" s="20"/>
      <c r="F99" s="20"/>
      <c r="G99" s="20"/>
      <c r="H99" s="20"/>
      <c r="I99" s="20"/>
    </row>
    <row r="100" customFormat="false" ht="15" hidden="false" customHeight="false" outlineLevel="0" collapsed="false">
      <c r="A100" s="18" t="str">
        <f aca="false">IF(C100="","",IFERROR(INDEX(Metrics!$A:$A,MATCH(C100,Metrics!$C:$C,0)),"Not found"))</f>
        <v/>
      </c>
      <c r="B100" s="18" t="str">
        <f aca="false">IF(D100="","",IFERROR(INDEX(Products!$A:$A,MATCH(D100,Products!$B:$B,0)),"Not found"))</f>
        <v/>
      </c>
      <c r="C100" s="20"/>
      <c r="D100" s="20"/>
      <c r="E100" s="20"/>
      <c r="F100" s="20"/>
      <c r="G100" s="20"/>
      <c r="H100" s="20"/>
      <c r="I100" s="20"/>
    </row>
    <row r="101" customFormat="false" ht="15" hidden="false" customHeight="false" outlineLevel="0" collapsed="false">
      <c r="A101" s="18" t="str">
        <f aca="false">IF(C101="","",IFERROR(INDEX(Metrics!$A:$A,MATCH(C101,Metrics!$C:$C,0)),"Not found"))</f>
        <v/>
      </c>
      <c r="B101" s="18" t="str">
        <f aca="false">IF(D101="","",IFERROR(INDEX(Products!$A:$A,MATCH(D101,Products!$B:$B,0)),"Not found"))</f>
        <v/>
      </c>
      <c r="C101" s="20"/>
      <c r="D101" s="20"/>
      <c r="E101" s="20"/>
      <c r="F101" s="20"/>
      <c r="G101" s="20"/>
      <c r="H101" s="20"/>
      <c r="I101" s="20"/>
    </row>
    <row r="102" customFormat="false" ht="15" hidden="false" customHeight="false" outlineLevel="0" collapsed="false">
      <c r="A102" s="18" t="str">
        <f aca="false">IF(C102="","",IFERROR(INDEX(Metrics!$A:$A,MATCH(C102,Metrics!$C:$C,0)),"Not found"))</f>
        <v/>
      </c>
      <c r="B102" s="18" t="str">
        <f aca="false">IF(D102="","",IFERROR(INDEX(Products!$A:$A,MATCH(D102,Products!$B:$B,0)),"Not found"))</f>
        <v/>
      </c>
      <c r="C102" s="20"/>
      <c r="D102" s="20"/>
      <c r="E102" s="20"/>
      <c r="F102" s="20"/>
      <c r="G102" s="20"/>
      <c r="H102" s="20"/>
      <c r="I102" s="20"/>
    </row>
    <row r="103" customFormat="false" ht="15" hidden="false" customHeight="false" outlineLevel="0" collapsed="false">
      <c r="A103" s="18" t="str">
        <f aca="false">IF(C103="","",IFERROR(INDEX(Metrics!$A:$A,MATCH(C103,Metrics!$C:$C,0)),"Not found"))</f>
        <v/>
      </c>
      <c r="B103" s="18" t="str">
        <f aca="false">IF(D103="","",IFERROR(INDEX(Products!$A:$A,MATCH(D103,Products!$B:$B,0)),"Not found"))</f>
        <v/>
      </c>
      <c r="C103" s="20"/>
      <c r="D103" s="20"/>
      <c r="E103" s="20"/>
      <c r="F103" s="20"/>
      <c r="G103" s="20"/>
      <c r="H103" s="20"/>
      <c r="I103" s="20"/>
    </row>
    <row r="104" customFormat="false" ht="15" hidden="false" customHeight="false" outlineLevel="0" collapsed="false">
      <c r="A104" s="18" t="str">
        <f aca="false">IF(C104="","",IFERROR(INDEX(Metrics!$A:$A,MATCH(C104,Metrics!$C:$C,0)),"Not found"))</f>
        <v/>
      </c>
      <c r="B104" s="18" t="str">
        <f aca="false">IF(D104="","",IFERROR(INDEX(Products!$A:$A,MATCH(D104,Products!$B:$B,0)),"Not found"))</f>
        <v/>
      </c>
      <c r="C104" s="20"/>
      <c r="D104" s="20"/>
      <c r="E104" s="20"/>
      <c r="F104" s="20"/>
      <c r="G104" s="20"/>
      <c r="H104" s="20"/>
      <c r="I104" s="20"/>
    </row>
    <row r="105" customFormat="false" ht="15" hidden="false" customHeight="false" outlineLevel="0" collapsed="false">
      <c r="A105" s="18" t="str">
        <f aca="false">IF(C105="","",IFERROR(INDEX(Metrics!$A:$A,MATCH(C105,Metrics!$C:$C,0)),"Not found"))</f>
        <v/>
      </c>
      <c r="B105" s="18" t="str">
        <f aca="false">IF(D105="","",IFERROR(INDEX(Products!$A:$A,MATCH(D105,Products!$B:$B,0)),"Not found"))</f>
        <v/>
      </c>
      <c r="C105" s="20"/>
      <c r="D105" s="20"/>
      <c r="E105" s="20"/>
      <c r="F105" s="20"/>
      <c r="G105" s="20"/>
      <c r="H105" s="20"/>
      <c r="I105" s="20"/>
    </row>
    <row r="106" customFormat="false" ht="15" hidden="false" customHeight="false" outlineLevel="0" collapsed="false">
      <c r="A106" s="18" t="str">
        <f aca="false">IF(C106="","",IFERROR(INDEX(Metrics!$A:$A,MATCH(C106,Metrics!$C:$C,0)),"Not found"))</f>
        <v/>
      </c>
      <c r="B106" s="18" t="str">
        <f aca="false">IF(D106="","",IFERROR(INDEX(Products!$A:$A,MATCH(D106,Products!$B:$B,0)),"Not found"))</f>
        <v/>
      </c>
      <c r="C106" s="20"/>
      <c r="D106" s="20"/>
      <c r="E106" s="20"/>
      <c r="F106" s="20"/>
      <c r="G106" s="20"/>
      <c r="H106" s="20"/>
      <c r="I106" s="20"/>
    </row>
    <row r="107" customFormat="false" ht="15" hidden="false" customHeight="false" outlineLevel="0" collapsed="false">
      <c r="A107" s="18" t="str">
        <f aca="false">IF(C107="","",IFERROR(INDEX(Metrics!$A:$A,MATCH(C107,Metrics!$C:$C,0)),"Not found"))</f>
        <v/>
      </c>
      <c r="B107" s="18" t="str">
        <f aca="false">IF(D107="","",IFERROR(INDEX(Products!$A:$A,MATCH(D107,Products!$B:$B,0)),"Not found"))</f>
        <v/>
      </c>
      <c r="C107" s="20"/>
      <c r="D107" s="20"/>
      <c r="E107" s="20"/>
      <c r="F107" s="20"/>
      <c r="G107" s="20"/>
      <c r="H107" s="20"/>
      <c r="I107" s="20"/>
    </row>
    <row r="108" customFormat="false" ht="15" hidden="false" customHeight="false" outlineLevel="0" collapsed="false">
      <c r="A108" s="18" t="str">
        <f aca="false">IF(C108="","",IFERROR(INDEX(Metrics!$A:$A,MATCH(C108,Metrics!$C:$C,0)),"Not found"))</f>
        <v/>
      </c>
      <c r="B108" s="18" t="str">
        <f aca="false">IF(D108="","",IFERROR(INDEX(Products!$A:$A,MATCH(D108,Products!$B:$B,0)),"Not found"))</f>
        <v/>
      </c>
      <c r="C108" s="20"/>
      <c r="D108" s="20"/>
      <c r="E108" s="20"/>
      <c r="F108" s="20"/>
      <c r="G108" s="20"/>
      <c r="H108" s="20"/>
      <c r="I108" s="20"/>
    </row>
    <row r="109" customFormat="false" ht="15" hidden="false" customHeight="false" outlineLevel="0" collapsed="false">
      <c r="A109" s="18" t="str">
        <f aca="false">IF(C109="","",IFERROR(INDEX(Metrics!$A:$A,MATCH(C109,Metrics!$C:$C,0)),"Not found"))</f>
        <v/>
      </c>
      <c r="B109" s="18" t="str">
        <f aca="false">IF(D109="","",IFERROR(INDEX(Products!$A:$A,MATCH(D109,Products!$B:$B,0)),"Not found"))</f>
        <v/>
      </c>
      <c r="C109" s="20"/>
      <c r="D109" s="20"/>
      <c r="E109" s="20"/>
      <c r="F109" s="20"/>
      <c r="G109" s="20"/>
      <c r="H109" s="20"/>
      <c r="I109" s="20"/>
    </row>
    <row r="110" customFormat="false" ht="15" hidden="false" customHeight="false" outlineLevel="0" collapsed="false">
      <c r="A110" s="18" t="str">
        <f aca="false">IF(C110="","",IFERROR(INDEX(Metrics!$A:$A,MATCH(C110,Metrics!$C:$C,0)),"Not found"))</f>
        <v/>
      </c>
      <c r="B110" s="18" t="str">
        <f aca="false">IF(D110="","",IFERROR(INDEX(Products!$A:$A,MATCH(D110,Products!$B:$B,0)),"Not found"))</f>
        <v/>
      </c>
      <c r="C110" s="20"/>
      <c r="D110" s="20"/>
      <c r="E110" s="20"/>
      <c r="F110" s="20"/>
      <c r="G110" s="20"/>
      <c r="H110" s="20"/>
      <c r="I110" s="20"/>
    </row>
    <row r="111" customFormat="false" ht="15" hidden="false" customHeight="false" outlineLevel="0" collapsed="false">
      <c r="A111" s="18" t="str">
        <f aca="false">IF(C111="","",IFERROR(INDEX(Metrics!$A:$A,MATCH(C111,Metrics!$C:$C,0)),"Not found"))</f>
        <v/>
      </c>
      <c r="B111" s="18" t="str">
        <f aca="false">IF(D111="","",IFERROR(INDEX(Products!$A:$A,MATCH(D111,Products!$B:$B,0)),"Not found"))</f>
        <v/>
      </c>
      <c r="C111" s="20"/>
      <c r="D111" s="20"/>
      <c r="E111" s="20"/>
      <c r="F111" s="20"/>
      <c r="G111" s="20"/>
      <c r="H111" s="20"/>
      <c r="I111" s="20"/>
    </row>
    <row r="112" customFormat="false" ht="15" hidden="false" customHeight="false" outlineLevel="0" collapsed="false">
      <c r="A112" s="18" t="str">
        <f aca="false">IF(C112="","",IFERROR(INDEX(Metrics!$A:$A,MATCH(C112,Metrics!$C:$C,0)),"Not found"))</f>
        <v/>
      </c>
      <c r="B112" s="18" t="str">
        <f aca="false">IF(D112="","",IFERROR(INDEX(Products!$A:$A,MATCH(D112,Products!$B:$B,0)),"Not found"))</f>
        <v/>
      </c>
      <c r="C112" s="20"/>
      <c r="D112" s="20"/>
      <c r="E112" s="20"/>
      <c r="F112" s="20"/>
      <c r="G112" s="20"/>
      <c r="H112" s="20"/>
      <c r="I112" s="20"/>
    </row>
    <row r="113" customFormat="false" ht="15" hidden="false" customHeight="false" outlineLevel="0" collapsed="false">
      <c r="A113" s="18" t="str">
        <f aca="false">IF(C113="","",IFERROR(INDEX(Metrics!$A:$A,MATCH(C113,Metrics!$C:$C,0)),"Not found"))</f>
        <v/>
      </c>
      <c r="B113" s="18" t="str">
        <f aca="false">IF(D113="","",IFERROR(INDEX(Products!$A:$A,MATCH(D113,Products!$B:$B,0)),"Not found"))</f>
        <v/>
      </c>
      <c r="C113" s="20"/>
      <c r="D113" s="20"/>
      <c r="E113" s="20"/>
      <c r="F113" s="20"/>
      <c r="G113" s="20"/>
      <c r="H113" s="20"/>
      <c r="I113" s="20"/>
    </row>
    <row r="114" customFormat="false" ht="15" hidden="false" customHeight="false" outlineLevel="0" collapsed="false">
      <c r="A114" s="18" t="str">
        <f aca="false">IF(C114="","",IFERROR(INDEX(Metrics!$A:$A,MATCH(C114,Metrics!$C:$C,0)),"Not found"))</f>
        <v/>
      </c>
      <c r="B114" s="18" t="str">
        <f aca="false">IF(D114="","",IFERROR(INDEX(Products!$A:$A,MATCH(D114,Products!$B:$B,0)),"Not found"))</f>
        <v/>
      </c>
      <c r="C114" s="20"/>
      <c r="D114" s="20"/>
      <c r="E114" s="20"/>
      <c r="F114" s="20"/>
      <c r="G114" s="20"/>
      <c r="H114" s="20"/>
      <c r="I114" s="20"/>
    </row>
    <row r="115" customFormat="false" ht="15" hidden="false" customHeight="false" outlineLevel="0" collapsed="false">
      <c r="A115" s="18" t="str">
        <f aca="false">IF(C115="","",IFERROR(INDEX(Metrics!$A:$A,MATCH(C115,Metrics!$C:$C,0)),"Not found"))</f>
        <v/>
      </c>
      <c r="B115" s="18" t="str">
        <f aca="false">IF(D115="","",IFERROR(INDEX(Products!$A:$A,MATCH(D115,Products!$B:$B,0)),"Not found"))</f>
        <v/>
      </c>
      <c r="C115" s="20"/>
      <c r="D115" s="20"/>
      <c r="E115" s="20"/>
      <c r="F115" s="20"/>
      <c r="G115" s="20"/>
      <c r="H115" s="20"/>
      <c r="I115" s="20"/>
    </row>
    <row r="116" customFormat="false" ht="15" hidden="false" customHeight="false" outlineLevel="0" collapsed="false">
      <c r="A116" s="18" t="str">
        <f aca="false">IF(C116="","",IFERROR(INDEX(Metrics!$A:$A,MATCH(C116,Metrics!$C:$C,0)),"Not found"))</f>
        <v/>
      </c>
      <c r="B116" s="18" t="str">
        <f aca="false">IF(D116="","",IFERROR(INDEX(Products!$A:$A,MATCH(D116,Products!$B:$B,0)),"Not found"))</f>
        <v/>
      </c>
      <c r="C116" s="20"/>
      <c r="D116" s="20"/>
      <c r="E116" s="20"/>
      <c r="F116" s="20"/>
      <c r="G116" s="20"/>
      <c r="H116" s="20"/>
      <c r="I116" s="20"/>
    </row>
    <row r="117" customFormat="false" ht="15" hidden="false" customHeight="false" outlineLevel="0" collapsed="false">
      <c r="A117" s="18" t="str">
        <f aca="false">IF(C117="","",IFERROR(INDEX(Metrics!$A:$A,MATCH(C117,Metrics!$C:$C,0)),"Not found"))</f>
        <v/>
      </c>
      <c r="B117" s="18" t="str">
        <f aca="false">IF(D117="","",IFERROR(INDEX(Products!$A:$A,MATCH(D117,Products!$B:$B,0)),"Not found"))</f>
        <v/>
      </c>
      <c r="C117" s="20"/>
      <c r="D117" s="20"/>
      <c r="E117" s="20"/>
      <c r="F117" s="20"/>
      <c r="G117" s="20"/>
      <c r="H117" s="20"/>
      <c r="I117" s="20"/>
    </row>
    <row r="118" customFormat="false" ht="15" hidden="false" customHeight="false" outlineLevel="0" collapsed="false">
      <c r="A118" s="18" t="str">
        <f aca="false">IF(C118="","",IFERROR(INDEX(Metrics!$A:$A,MATCH(C118,Metrics!$C:$C,0)),"Not found"))</f>
        <v/>
      </c>
      <c r="B118" s="18" t="str">
        <f aca="false">IF(D118="","",IFERROR(INDEX(Products!$A:$A,MATCH(D118,Products!$B:$B,0)),"Not found"))</f>
        <v/>
      </c>
      <c r="C118" s="20"/>
      <c r="D118" s="20"/>
      <c r="E118" s="20"/>
      <c r="F118" s="20"/>
      <c r="G118" s="20"/>
      <c r="H118" s="20"/>
      <c r="I118" s="20"/>
    </row>
    <row r="119" customFormat="false" ht="15" hidden="false" customHeight="false" outlineLevel="0" collapsed="false">
      <c r="A119" s="18" t="str">
        <f aca="false">IF(C119="","",IFERROR(INDEX(Metrics!$A:$A,MATCH(C119,Metrics!$C:$C,0)),"Not found"))</f>
        <v/>
      </c>
      <c r="B119" s="18" t="str">
        <f aca="false">IF(D119="","",IFERROR(INDEX(Products!$A:$A,MATCH(D119,Products!$B:$B,0)),"Not found"))</f>
        <v/>
      </c>
      <c r="C119" s="20"/>
      <c r="D119" s="20"/>
      <c r="E119" s="20"/>
      <c r="F119" s="20"/>
      <c r="G119" s="20"/>
      <c r="H119" s="20"/>
      <c r="I119" s="20"/>
    </row>
    <row r="120" customFormat="false" ht="15" hidden="false" customHeight="false" outlineLevel="0" collapsed="false">
      <c r="A120" s="18" t="str">
        <f aca="false">IF(C120="","",IFERROR(INDEX(Metrics!$A:$A,MATCH(C120,Metrics!$C:$C,0)),"Not found"))</f>
        <v/>
      </c>
      <c r="B120" s="18" t="str">
        <f aca="false">IF(D120="","",IFERROR(INDEX(Products!$A:$A,MATCH(D120,Products!$B:$B,0)),"Not found"))</f>
        <v/>
      </c>
      <c r="C120" s="20"/>
      <c r="D120" s="20"/>
      <c r="E120" s="20"/>
      <c r="F120" s="20"/>
      <c r="G120" s="20"/>
      <c r="H120" s="20"/>
      <c r="I120" s="20"/>
    </row>
    <row r="121" customFormat="false" ht="15" hidden="false" customHeight="false" outlineLevel="0" collapsed="false">
      <c r="A121" s="18" t="str">
        <f aca="false">IF(C121="","",IFERROR(INDEX(Metrics!$A:$A,MATCH(C121,Metrics!$C:$C,0)),"Not found"))</f>
        <v/>
      </c>
      <c r="B121" s="18" t="str">
        <f aca="false">IF(D121="","",IFERROR(INDEX(Products!$A:$A,MATCH(D121,Products!$B:$B,0)),"Not found"))</f>
        <v/>
      </c>
      <c r="C121" s="20"/>
      <c r="D121" s="20"/>
      <c r="E121" s="20"/>
      <c r="F121" s="20"/>
      <c r="G121" s="20"/>
      <c r="H121" s="20"/>
      <c r="I121" s="20"/>
    </row>
    <row r="122" customFormat="false" ht="15" hidden="false" customHeight="false" outlineLevel="0" collapsed="false">
      <c r="A122" s="18" t="str">
        <f aca="false">IF(C122="","",IFERROR(INDEX(Metrics!$A:$A,MATCH(C122,Metrics!$C:$C,0)),"Not found"))</f>
        <v/>
      </c>
      <c r="B122" s="18" t="str">
        <f aca="false">IF(D122="","",IFERROR(INDEX(Products!$A:$A,MATCH(D122,Products!$B:$B,0)),"Not found"))</f>
        <v/>
      </c>
      <c r="C122" s="20"/>
      <c r="D122" s="20"/>
      <c r="E122" s="20"/>
      <c r="F122" s="20"/>
      <c r="G122" s="20"/>
      <c r="H122" s="20"/>
      <c r="I122" s="20"/>
    </row>
    <row r="123" customFormat="false" ht="15" hidden="false" customHeight="false" outlineLevel="0" collapsed="false">
      <c r="A123" s="18" t="str">
        <f aca="false">IF(C123="","",IFERROR(INDEX(Metrics!$A:$A,MATCH(C123,Metrics!$C:$C,0)),"Not found"))</f>
        <v/>
      </c>
      <c r="B123" s="18" t="str">
        <f aca="false">IF(D123="","",IFERROR(INDEX(Products!$A:$A,MATCH(D123,Products!$B:$B,0)),"Not found"))</f>
        <v/>
      </c>
      <c r="C123" s="20"/>
      <c r="D123" s="20"/>
      <c r="E123" s="20"/>
      <c r="F123" s="20"/>
      <c r="G123" s="20"/>
      <c r="H123" s="20"/>
      <c r="I123" s="20"/>
    </row>
    <row r="124" customFormat="false" ht="15" hidden="false" customHeight="false" outlineLevel="0" collapsed="false">
      <c r="A124" s="18" t="str">
        <f aca="false">IF(C124="","",IFERROR(INDEX(Metrics!$A:$A,MATCH(C124,Metrics!$C:$C,0)),"Not found"))</f>
        <v/>
      </c>
      <c r="B124" s="18" t="str">
        <f aca="false">IF(D124="","",IFERROR(INDEX(Products!$A:$A,MATCH(D124,Products!$B:$B,0)),"Not found"))</f>
        <v/>
      </c>
      <c r="C124" s="20"/>
      <c r="D124" s="20"/>
      <c r="E124" s="20"/>
      <c r="F124" s="20"/>
      <c r="G124" s="20"/>
      <c r="H124" s="20"/>
      <c r="I124" s="20"/>
    </row>
    <row r="125" customFormat="false" ht="15" hidden="false" customHeight="false" outlineLevel="0" collapsed="false">
      <c r="A125" s="18" t="str">
        <f aca="false">IF(C125="","",IFERROR(INDEX(Metrics!$A:$A,MATCH(C125,Metrics!$C:$C,0)),"Not found"))</f>
        <v/>
      </c>
      <c r="B125" s="18" t="str">
        <f aca="false">IF(D125="","",IFERROR(INDEX(Products!$A:$A,MATCH(D125,Products!$B:$B,0)),"Not found"))</f>
        <v/>
      </c>
      <c r="C125" s="20"/>
      <c r="D125" s="20"/>
      <c r="E125" s="20"/>
      <c r="F125" s="20"/>
      <c r="G125" s="20"/>
      <c r="H125" s="20"/>
      <c r="I125" s="20"/>
    </row>
    <row r="126" customFormat="false" ht="15" hidden="false" customHeight="false" outlineLevel="0" collapsed="false">
      <c r="A126" s="18" t="str">
        <f aca="false">IF(C126="","",IFERROR(INDEX(Metrics!$A:$A,MATCH(C126,Metrics!$C:$C,0)),"Not found"))</f>
        <v/>
      </c>
      <c r="B126" s="18" t="str">
        <f aca="false">IF(D126="","",IFERROR(INDEX(Products!$A:$A,MATCH(D126,Products!$B:$B,0)),"Not found"))</f>
        <v/>
      </c>
      <c r="C126" s="20"/>
      <c r="D126" s="20"/>
      <c r="E126" s="20"/>
      <c r="F126" s="20"/>
      <c r="G126" s="20"/>
      <c r="H126" s="20"/>
      <c r="I126" s="20"/>
    </row>
    <row r="127" customFormat="false" ht="15" hidden="false" customHeight="false" outlineLevel="0" collapsed="false">
      <c r="A127" s="18" t="str">
        <f aca="false">IF(C127="","",IFERROR(INDEX(Metrics!$A:$A,MATCH(C127,Metrics!$C:$C,0)),"Not found"))</f>
        <v/>
      </c>
      <c r="B127" s="18" t="str">
        <f aca="false">IF(D127="","",IFERROR(INDEX(Products!$A:$A,MATCH(D127,Products!$B:$B,0)),"Not found"))</f>
        <v/>
      </c>
      <c r="C127" s="20"/>
      <c r="D127" s="20"/>
      <c r="E127" s="20"/>
      <c r="F127" s="20"/>
      <c r="G127" s="20"/>
      <c r="H127" s="20"/>
      <c r="I127" s="20"/>
    </row>
    <row r="128" customFormat="false" ht="15" hidden="false" customHeight="false" outlineLevel="0" collapsed="false">
      <c r="A128" s="18" t="str">
        <f aca="false">IF(C128="","",IFERROR(INDEX(Metrics!$A:$A,MATCH(C128,Metrics!$C:$C,0)),"Not found"))</f>
        <v/>
      </c>
      <c r="B128" s="18" t="str">
        <f aca="false">IF(D128="","",IFERROR(INDEX(Products!$A:$A,MATCH(D128,Products!$B:$B,0)),"Not found"))</f>
        <v/>
      </c>
      <c r="C128" s="20"/>
      <c r="D128" s="20"/>
      <c r="E128" s="20"/>
      <c r="F128" s="20"/>
      <c r="G128" s="20"/>
      <c r="H128" s="20"/>
      <c r="I128" s="20"/>
    </row>
    <row r="129" customFormat="false" ht="15" hidden="false" customHeight="false" outlineLevel="0" collapsed="false">
      <c r="A129" s="18" t="str">
        <f aca="false">IF(C129="","",IFERROR(INDEX(Metrics!$A:$A,MATCH(C129,Metrics!$C:$C,0)),"Not found"))</f>
        <v/>
      </c>
      <c r="B129" s="18" t="str">
        <f aca="false">IF(D129="","",IFERROR(INDEX(Products!$A:$A,MATCH(D129,Products!$B:$B,0)),"Not found"))</f>
        <v/>
      </c>
      <c r="C129" s="20"/>
      <c r="D129" s="20"/>
      <c r="E129" s="20"/>
      <c r="F129" s="20"/>
      <c r="G129" s="20"/>
      <c r="H129" s="20"/>
      <c r="I129" s="20"/>
    </row>
    <row r="130" customFormat="false" ht="15" hidden="false" customHeight="false" outlineLevel="0" collapsed="false">
      <c r="A130" s="18" t="str">
        <f aca="false">IF(C130="","",IFERROR(INDEX(Metrics!$A:$A,MATCH(C130,Metrics!$C:$C,0)),"Not found"))</f>
        <v/>
      </c>
      <c r="B130" s="18" t="str">
        <f aca="false">IF(D130="","",IFERROR(INDEX(Products!$A:$A,MATCH(D130,Products!$B:$B,0)),"Not found"))</f>
        <v/>
      </c>
      <c r="C130" s="20"/>
      <c r="D130" s="20"/>
      <c r="E130" s="20"/>
      <c r="F130" s="20"/>
      <c r="G130" s="20"/>
      <c r="H130" s="20"/>
      <c r="I130" s="20"/>
    </row>
    <row r="131" customFormat="false" ht="15" hidden="false" customHeight="false" outlineLevel="0" collapsed="false">
      <c r="A131" s="18" t="str">
        <f aca="false">IF(C131="","",IFERROR(INDEX(Metrics!$A:$A,MATCH(C131,Metrics!$C:$C,0)),"Not found"))</f>
        <v/>
      </c>
      <c r="B131" s="18" t="str">
        <f aca="false">IF(D131="","",IFERROR(INDEX(Products!$A:$A,MATCH(D131,Products!$B:$B,0)),"Not found"))</f>
        <v/>
      </c>
      <c r="C131" s="20"/>
      <c r="D131" s="20"/>
      <c r="E131" s="20"/>
      <c r="F131" s="20"/>
      <c r="G131" s="20"/>
      <c r="H131" s="20"/>
      <c r="I131" s="20"/>
    </row>
    <row r="132" customFormat="false" ht="15" hidden="false" customHeight="false" outlineLevel="0" collapsed="false">
      <c r="A132" s="18" t="str">
        <f aca="false">IF(C132="","",IFERROR(INDEX(Metrics!$A:$A,MATCH(C132,Metrics!$C:$C,0)),"Not found"))</f>
        <v/>
      </c>
      <c r="B132" s="18" t="str">
        <f aca="false">IF(D132="","",IFERROR(INDEX(Products!$A:$A,MATCH(D132,Products!$B:$B,0)),"Not found"))</f>
        <v/>
      </c>
      <c r="C132" s="20"/>
      <c r="D132" s="20"/>
      <c r="E132" s="20"/>
      <c r="F132" s="20"/>
      <c r="G132" s="20"/>
      <c r="H132" s="20"/>
      <c r="I132" s="20"/>
    </row>
    <row r="133" customFormat="false" ht="15" hidden="false" customHeight="false" outlineLevel="0" collapsed="false">
      <c r="A133" s="18" t="str">
        <f aca="false">IF(C133="","",IFERROR(INDEX(Metrics!$A:$A,MATCH(C133,Metrics!$C:$C,0)),"Not found"))</f>
        <v/>
      </c>
      <c r="B133" s="18" t="str">
        <f aca="false">IF(D133="","",IFERROR(INDEX(Products!$A:$A,MATCH(D133,Products!$B:$B,0)),"Not found"))</f>
        <v/>
      </c>
      <c r="C133" s="20"/>
      <c r="D133" s="20"/>
      <c r="E133" s="20"/>
      <c r="F133" s="20"/>
      <c r="G133" s="20"/>
      <c r="H133" s="20"/>
      <c r="I133" s="20"/>
    </row>
    <row r="134" customFormat="false" ht="15" hidden="false" customHeight="false" outlineLevel="0" collapsed="false">
      <c r="A134" s="18" t="str">
        <f aca="false">IF(C134="","",IFERROR(INDEX(Metrics!$A:$A,MATCH(C134,Metrics!$C:$C,0)),"Not found"))</f>
        <v/>
      </c>
      <c r="B134" s="18" t="str">
        <f aca="false">IF(D134="","",IFERROR(INDEX(Products!$A:$A,MATCH(D134,Products!$B:$B,0)),"Not found"))</f>
        <v/>
      </c>
      <c r="C134" s="20"/>
      <c r="D134" s="20"/>
      <c r="E134" s="20"/>
      <c r="F134" s="20"/>
      <c r="G134" s="20"/>
      <c r="H134" s="20"/>
      <c r="I134" s="20"/>
    </row>
    <row r="135" customFormat="false" ht="15" hidden="false" customHeight="false" outlineLevel="0" collapsed="false">
      <c r="A135" s="18" t="str">
        <f aca="false">IF(C135="","",IFERROR(INDEX(Metrics!$A:$A,MATCH(C135,Metrics!$C:$C,0)),"Not found"))</f>
        <v/>
      </c>
      <c r="B135" s="18" t="str">
        <f aca="false">IF(D135="","",IFERROR(INDEX(Products!$A:$A,MATCH(D135,Products!$B:$B,0)),"Not found"))</f>
        <v/>
      </c>
      <c r="C135" s="20"/>
      <c r="D135" s="20"/>
      <c r="E135" s="20"/>
      <c r="F135" s="20"/>
      <c r="G135" s="20"/>
      <c r="H135" s="20"/>
      <c r="I135" s="20"/>
    </row>
    <row r="136" customFormat="false" ht="15" hidden="false" customHeight="false" outlineLevel="0" collapsed="false">
      <c r="A136" s="18" t="str">
        <f aca="false">IF(C136="","",IFERROR(INDEX(Metrics!$A:$A,MATCH(C136,Metrics!$C:$C,0)),"Not found"))</f>
        <v/>
      </c>
      <c r="B136" s="18" t="str">
        <f aca="false">IF(D136="","",IFERROR(INDEX(Products!$A:$A,MATCH(D136,Products!$B:$B,0)),"Not found"))</f>
        <v/>
      </c>
      <c r="C136" s="20"/>
      <c r="D136" s="20"/>
      <c r="E136" s="20"/>
      <c r="F136" s="20"/>
      <c r="G136" s="20"/>
      <c r="H136" s="20"/>
      <c r="I136" s="20"/>
    </row>
    <row r="137" customFormat="false" ht="15" hidden="false" customHeight="false" outlineLevel="0" collapsed="false">
      <c r="A137" s="18" t="str">
        <f aca="false">IF(C137="","",IFERROR(INDEX(Metrics!$A:$A,MATCH(C137,Metrics!$C:$C,0)),"Not found"))</f>
        <v/>
      </c>
      <c r="B137" s="18" t="str">
        <f aca="false">IF(D137="","",IFERROR(INDEX(Products!$A:$A,MATCH(D137,Products!$B:$B,0)),"Not found"))</f>
        <v/>
      </c>
      <c r="C137" s="20"/>
      <c r="D137" s="20"/>
      <c r="E137" s="20"/>
      <c r="F137" s="20"/>
      <c r="G137" s="20"/>
      <c r="H137" s="20"/>
      <c r="I137" s="20"/>
    </row>
    <row r="138" customFormat="false" ht="15" hidden="false" customHeight="false" outlineLevel="0" collapsed="false">
      <c r="A138" s="18" t="str">
        <f aca="false">IF(C138="","",IFERROR(INDEX(Metrics!$A:$A,MATCH(C138,Metrics!$C:$C,0)),"Not found"))</f>
        <v/>
      </c>
      <c r="B138" s="18" t="str">
        <f aca="false">IF(D138="","",IFERROR(INDEX(Products!$A:$A,MATCH(D138,Products!$B:$B,0)),"Not found"))</f>
        <v/>
      </c>
      <c r="C138" s="20"/>
      <c r="D138" s="20"/>
      <c r="E138" s="20"/>
      <c r="F138" s="20"/>
      <c r="G138" s="20"/>
      <c r="H138" s="20"/>
      <c r="I138" s="20"/>
    </row>
    <row r="139" customFormat="false" ht="15" hidden="false" customHeight="false" outlineLevel="0" collapsed="false">
      <c r="A139" s="18" t="str">
        <f aca="false">IF(C139="","",IFERROR(INDEX(Metrics!$A:$A,MATCH(C139,Metrics!$C:$C,0)),"Not found"))</f>
        <v/>
      </c>
      <c r="B139" s="18" t="str">
        <f aca="false">IF(D139="","",IFERROR(INDEX(Products!$A:$A,MATCH(D139,Products!$B:$B,0)),"Not found"))</f>
        <v/>
      </c>
      <c r="C139" s="20"/>
      <c r="D139" s="20"/>
      <c r="E139" s="20"/>
      <c r="F139" s="20"/>
      <c r="G139" s="20"/>
      <c r="H139" s="20"/>
      <c r="I139" s="20"/>
    </row>
    <row r="140" customFormat="false" ht="15" hidden="false" customHeight="false" outlineLevel="0" collapsed="false">
      <c r="A140" s="18" t="str">
        <f aca="false">IF(C140="","",IFERROR(INDEX(Metrics!$A:$A,MATCH(C140,Metrics!$C:$C,0)),"Not found"))</f>
        <v/>
      </c>
      <c r="B140" s="18" t="str">
        <f aca="false">IF(D140="","",IFERROR(INDEX(Products!$A:$A,MATCH(D140,Products!$B:$B,0)),"Not found"))</f>
        <v/>
      </c>
      <c r="C140" s="20"/>
      <c r="D140" s="20"/>
      <c r="E140" s="20"/>
      <c r="F140" s="20"/>
      <c r="G140" s="20"/>
      <c r="H140" s="20"/>
      <c r="I140" s="20"/>
    </row>
    <row r="141" customFormat="false" ht="15" hidden="false" customHeight="false" outlineLevel="0" collapsed="false">
      <c r="A141" s="18" t="str">
        <f aca="false">IF(C141="","",IFERROR(INDEX(Metrics!$A:$A,MATCH(C141,Metrics!$C:$C,0)),"Not found"))</f>
        <v/>
      </c>
      <c r="B141" s="18" t="str">
        <f aca="false">IF(D141="","",IFERROR(INDEX(Products!$A:$A,MATCH(D141,Products!$B:$B,0)),"Not found"))</f>
        <v/>
      </c>
      <c r="C141" s="20"/>
      <c r="D141" s="20"/>
      <c r="E141" s="20"/>
      <c r="F141" s="20"/>
      <c r="G141" s="20"/>
      <c r="H141" s="20"/>
      <c r="I141" s="20"/>
    </row>
    <row r="142" customFormat="false" ht="15" hidden="false" customHeight="false" outlineLevel="0" collapsed="false">
      <c r="A142" s="18" t="str">
        <f aca="false">IF(C142="","",IFERROR(INDEX(Metrics!$A:$A,MATCH(C142,Metrics!$C:$C,0)),"Not found"))</f>
        <v/>
      </c>
      <c r="B142" s="18" t="str">
        <f aca="false">IF(D142="","",IFERROR(INDEX(Products!$A:$A,MATCH(D142,Products!$B:$B,0)),"Not found"))</f>
        <v/>
      </c>
      <c r="C142" s="20"/>
      <c r="D142" s="20"/>
      <c r="E142" s="20"/>
      <c r="F142" s="20"/>
      <c r="G142" s="20"/>
      <c r="H142" s="20"/>
      <c r="I142" s="20"/>
    </row>
    <row r="143" customFormat="false" ht="15" hidden="false" customHeight="false" outlineLevel="0" collapsed="false">
      <c r="A143" s="18" t="str">
        <f aca="false">IF(C143="","",IFERROR(INDEX(Metrics!$A:$A,MATCH(C143,Metrics!$C:$C,0)),"Not found"))</f>
        <v/>
      </c>
      <c r="B143" s="18" t="str">
        <f aca="false">IF(D143="","",IFERROR(INDEX(Products!$A:$A,MATCH(D143,Products!$B:$B,0)),"Not found"))</f>
        <v/>
      </c>
      <c r="C143" s="20"/>
      <c r="D143" s="20"/>
      <c r="E143" s="20"/>
      <c r="F143" s="20"/>
      <c r="G143" s="20"/>
      <c r="H143" s="20"/>
      <c r="I143" s="20"/>
    </row>
    <row r="144" customFormat="false" ht="15" hidden="false" customHeight="false" outlineLevel="0" collapsed="false">
      <c r="A144" s="18" t="str">
        <f aca="false">IF(C144="","",IFERROR(INDEX(Metrics!$A:$A,MATCH(C144,Metrics!$C:$C,0)),"Not found"))</f>
        <v/>
      </c>
      <c r="B144" s="18" t="str">
        <f aca="false">IF(D144="","",IFERROR(INDEX(Products!$A:$A,MATCH(D144,Products!$B:$B,0)),"Not found"))</f>
        <v/>
      </c>
      <c r="C144" s="20"/>
      <c r="D144" s="20"/>
      <c r="E144" s="20"/>
      <c r="F144" s="20"/>
      <c r="G144" s="20"/>
      <c r="H144" s="20"/>
      <c r="I144" s="20"/>
    </row>
    <row r="145" customFormat="false" ht="15" hidden="false" customHeight="false" outlineLevel="0" collapsed="false">
      <c r="A145" s="18" t="str">
        <f aca="false">IF(C145="","",IFERROR(INDEX(Metrics!$A:$A,MATCH(C145,Metrics!$C:$C,0)),"Not found"))</f>
        <v/>
      </c>
      <c r="B145" s="18" t="str">
        <f aca="false">IF(D145="","",IFERROR(INDEX(Products!$A:$A,MATCH(D145,Products!$B:$B,0)),"Not found"))</f>
        <v/>
      </c>
      <c r="C145" s="20"/>
      <c r="D145" s="20"/>
      <c r="E145" s="20"/>
      <c r="F145" s="20"/>
      <c r="G145" s="20"/>
      <c r="H145" s="20"/>
      <c r="I145" s="20"/>
    </row>
    <row r="146" customFormat="false" ht="15" hidden="false" customHeight="false" outlineLevel="0" collapsed="false">
      <c r="A146" s="18" t="str">
        <f aca="false">IF(C146="","",IFERROR(INDEX(Metrics!$A:$A,MATCH(C146,Metrics!$C:$C,0)),"Not found"))</f>
        <v/>
      </c>
      <c r="B146" s="18" t="str">
        <f aca="false">IF(D146="","",IFERROR(INDEX(Products!$A:$A,MATCH(D146,Products!$B:$B,0)),"Not found"))</f>
        <v/>
      </c>
      <c r="C146" s="20"/>
      <c r="D146" s="20"/>
      <c r="E146" s="20"/>
      <c r="F146" s="20"/>
      <c r="G146" s="20"/>
      <c r="H146" s="20"/>
      <c r="I146" s="20"/>
    </row>
    <row r="147" customFormat="false" ht="15" hidden="false" customHeight="false" outlineLevel="0" collapsed="false">
      <c r="A147" s="18" t="str">
        <f aca="false">IF(C147="","",IFERROR(INDEX(Metrics!$A:$A,MATCH(C147,Metrics!$C:$C,0)),"Not found"))</f>
        <v/>
      </c>
      <c r="B147" s="18" t="str">
        <f aca="false">IF(D147="","",IFERROR(INDEX(Products!$A:$A,MATCH(D147,Products!$B:$B,0)),"Not found"))</f>
        <v/>
      </c>
      <c r="C147" s="20"/>
      <c r="D147" s="20"/>
      <c r="E147" s="20"/>
      <c r="F147" s="20"/>
      <c r="G147" s="20"/>
      <c r="H147" s="20"/>
      <c r="I147" s="20"/>
    </row>
    <row r="148" customFormat="false" ht="15" hidden="false" customHeight="false" outlineLevel="0" collapsed="false">
      <c r="A148" s="18" t="str">
        <f aca="false">IF(C148="","",IFERROR(INDEX(Metrics!$A:$A,MATCH(C148,Metrics!$C:$C,0)),"Not found"))</f>
        <v/>
      </c>
      <c r="B148" s="18" t="str">
        <f aca="false">IF(D148="","",IFERROR(INDEX(Products!$A:$A,MATCH(D148,Products!$B:$B,0)),"Not found"))</f>
        <v/>
      </c>
      <c r="C148" s="20"/>
      <c r="D148" s="20"/>
      <c r="E148" s="20"/>
      <c r="F148" s="20"/>
      <c r="G148" s="20"/>
      <c r="H148" s="20"/>
      <c r="I148" s="20"/>
    </row>
    <row r="149" customFormat="false" ht="15" hidden="false" customHeight="false" outlineLevel="0" collapsed="false">
      <c r="A149" s="18" t="str">
        <f aca="false">IF(C149="","",IFERROR(INDEX(Metrics!$A:$A,MATCH(C149,Metrics!$C:$C,0)),"Not found"))</f>
        <v/>
      </c>
      <c r="B149" s="18" t="str">
        <f aca="false">IF(D149="","",IFERROR(INDEX(Products!$A:$A,MATCH(D149,Products!$B:$B,0)),"Not found"))</f>
        <v/>
      </c>
      <c r="C149" s="20"/>
      <c r="D149" s="20"/>
      <c r="E149" s="20"/>
      <c r="F149" s="20"/>
      <c r="G149" s="20"/>
      <c r="H149" s="20"/>
      <c r="I149" s="20"/>
    </row>
    <row r="150" customFormat="false" ht="15" hidden="false" customHeight="false" outlineLevel="0" collapsed="false">
      <c r="A150" s="18" t="str">
        <f aca="false">IF(C150="","",IFERROR(INDEX(Metrics!$A:$A,MATCH(C150,Metrics!$C:$C,0)),"Not found"))</f>
        <v/>
      </c>
      <c r="B150" s="18" t="str">
        <f aca="false">IF(D150="","",IFERROR(INDEX(Products!$A:$A,MATCH(D150,Products!$B:$B,0)),"Not found"))</f>
        <v/>
      </c>
      <c r="C150" s="20"/>
      <c r="D150" s="20"/>
      <c r="E150" s="20"/>
      <c r="F150" s="20"/>
      <c r="G150" s="20"/>
      <c r="H150" s="20"/>
      <c r="I150" s="20"/>
    </row>
    <row r="151" customFormat="false" ht="15" hidden="false" customHeight="false" outlineLevel="0" collapsed="false">
      <c r="A151" s="18" t="str">
        <f aca="false">IF(C151="","",IFERROR(INDEX(Metrics!$A:$A,MATCH(C151,Metrics!$C:$C,0)),"Not found"))</f>
        <v/>
      </c>
      <c r="B151" s="18" t="str">
        <f aca="false">IF(D151="","",IFERROR(INDEX(Products!$A:$A,MATCH(D151,Products!$B:$B,0)),"Not found"))</f>
        <v/>
      </c>
      <c r="C151" s="20"/>
      <c r="D151" s="20"/>
      <c r="E151" s="20"/>
      <c r="F151" s="20"/>
      <c r="G151" s="20"/>
      <c r="H151" s="20"/>
      <c r="I151" s="20"/>
    </row>
    <row r="152" customFormat="false" ht="15" hidden="false" customHeight="false" outlineLevel="0" collapsed="false">
      <c r="A152" s="18" t="str">
        <f aca="false">IF(C152="","",IFERROR(INDEX(Metrics!$A:$A,MATCH(C152,Metrics!$C:$C,0)),"Not found"))</f>
        <v/>
      </c>
      <c r="B152" s="18" t="str">
        <f aca="false">IF(D152="","",IFERROR(INDEX(Products!$A:$A,MATCH(D152,Products!$B:$B,0)),"Not found"))</f>
        <v/>
      </c>
      <c r="C152" s="20"/>
      <c r="D152" s="20"/>
      <c r="E152" s="20"/>
      <c r="F152" s="20"/>
      <c r="G152" s="20"/>
      <c r="H152" s="20"/>
      <c r="I152" s="20"/>
    </row>
    <row r="153" customFormat="false" ht="15" hidden="false" customHeight="false" outlineLevel="0" collapsed="false">
      <c r="A153" s="18" t="str">
        <f aca="false">IF(C153="","",IFERROR(INDEX(Metrics!$A:$A,MATCH(C153,Metrics!$C:$C,0)),"Not found"))</f>
        <v/>
      </c>
      <c r="B153" s="18" t="str">
        <f aca="false">IF(D153="","",IFERROR(INDEX(Products!$A:$A,MATCH(D153,Products!$B:$B,0)),"Not found"))</f>
        <v/>
      </c>
      <c r="C153" s="20"/>
      <c r="D153" s="20"/>
      <c r="E153" s="20"/>
      <c r="F153" s="20"/>
      <c r="G153" s="20"/>
      <c r="H153" s="20"/>
      <c r="I153" s="20"/>
    </row>
    <row r="154" customFormat="false" ht="15" hidden="false" customHeight="false" outlineLevel="0" collapsed="false">
      <c r="A154" s="18" t="str">
        <f aca="false">IF(C154="","",IFERROR(INDEX(Metrics!$A:$A,MATCH(C154,Metrics!$C:$C,0)),"Not found"))</f>
        <v/>
      </c>
      <c r="B154" s="18" t="str">
        <f aca="false">IF(D154="","",IFERROR(INDEX(Products!$A:$A,MATCH(D154,Products!$B:$B,0)),"Not found"))</f>
        <v/>
      </c>
      <c r="C154" s="20"/>
      <c r="D154" s="20"/>
      <c r="E154" s="20"/>
      <c r="F154" s="20"/>
      <c r="G154" s="20"/>
      <c r="H154" s="20"/>
      <c r="I154" s="20"/>
    </row>
    <row r="155" customFormat="false" ht="15" hidden="false" customHeight="false" outlineLevel="0" collapsed="false">
      <c r="A155" s="18" t="str">
        <f aca="false">IF(C155="","",IFERROR(INDEX(Metrics!$A:$A,MATCH(C155,Metrics!$C:$C,0)),"Not found"))</f>
        <v/>
      </c>
      <c r="B155" s="18" t="str">
        <f aca="false">IF(D155="","",IFERROR(INDEX(Products!$A:$A,MATCH(D155,Products!$B:$B,0)),"Not found"))</f>
        <v/>
      </c>
      <c r="C155" s="20"/>
      <c r="D155" s="20"/>
      <c r="E155" s="20"/>
      <c r="F155" s="20"/>
      <c r="G155" s="20"/>
      <c r="H155" s="20"/>
      <c r="I155" s="20"/>
    </row>
    <row r="156" customFormat="false" ht="15" hidden="false" customHeight="false" outlineLevel="0" collapsed="false">
      <c r="A156" s="18" t="str">
        <f aca="false">IF(C156="","",IFERROR(INDEX(Metrics!$A:$A,MATCH(C156,Metrics!$C:$C,0)),"Not found"))</f>
        <v/>
      </c>
      <c r="B156" s="18" t="str">
        <f aca="false">IF(D156="","",IFERROR(INDEX(Products!$A:$A,MATCH(D156,Products!$B:$B,0)),"Not found"))</f>
        <v/>
      </c>
      <c r="C156" s="20"/>
      <c r="D156" s="20"/>
      <c r="E156" s="20"/>
      <c r="F156" s="20"/>
      <c r="G156" s="20"/>
      <c r="H156" s="20"/>
      <c r="I156" s="20"/>
    </row>
    <row r="157" customFormat="false" ht="15" hidden="false" customHeight="false" outlineLevel="0" collapsed="false">
      <c r="A157" s="18" t="str">
        <f aca="false">IF(C157="","",IFERROR(INDEX(Metrics!$A:$A,MATCH(C157,Metrics!$C:$C,0)),"Not found"))</f>
        <v/>
      </c>
      <c r="B157" s="18" t="str">
        <f aca="false">IF(D157="","",IFERROR(INDEX(Products!$A:$A,MATCH(D157,Products!$B:$B,0)),"Not found"))</f>
        <v/>
      </c>
      <c r="C157" s="20"/>
      <c r="D157" s="20"/>
      <c r="E157" s="20"/>
      <c r="F157" s="20"/>
      <c r="G157" s="20"/>
      <c r="H157" s="20"/>
      <c r="I157" s="20"/>
    </row>
    <row r="158" customFormat="false" ht="15" hidden="false" customHeight="false" outlineLevel="0" collapsed="false">
      <c r="A158" s="18" t="str">
        <f aca="false">IF(C158="","",IFERROR(INDEX(Metrics!$A:$A,MATCH(C158,Metrics!$C:$C,0)),"Not found"))</f>
        <v/>
      </c>
      <c r="B158" s="18" t="str">
        <f aca="false">IF(D158="","",IFERROR(INDEX(Products!$A:$A,MATCH(D158,Products!$B:$B,0)),"Not found"))</f>
        <v/>
      </c>
      <c r="C158" s="20"/>
      <c r="D158" s="20"/>
      <c r="E158" s="20"/>
      <c r="F158" s="20"/>
      <c r="G158" s="20"/>
      <c r="H158" s="20"/>
      <c r="I158" s="20"/>
    </row>
    <row r="159" customFormat="false" ht="15" hidden="false" customHeight="false" outlineLevel="0" collapsed="false">
      <c r="A159" s="18" t="str">
        <f aca="false">IF(C159="","",IFERROR(INDEX(Metrics!$A:$A,MATCH(C159,Metrics!$C:$C,0)),"Not found"))</f>
        <v/>
      </c>
      <c r="B159" s="18" t="str">
        <f aca="false">IF(D159="","",IFERROR(INDEX(Products!$A:$A,MATCH(D159,Products!$B:$B,0)),"Not found"))</f>
        <v/>
      </c>
      <c r="C159" s="20"/>
      <c r="D159" s="20"/>
      <c r="E159" s="20"/>
      <c r="F159" s="20"/>
      <c r="G159" s="20"/>
      <c r="H159" s="20"/>
      <c r="I159" s="20"/>
    </row>
    <row r="160" customFormat="false" ht="15" hidden="false" customHeight="false" outlineLevel="0" collapsed="false">
      <c r="A160" s="18" t="str">
        <f aca="false">IF(C160="","",IFERROR(INDEX(Metrics!$A:$A,MATCH(C160,Metrics!$C:$C,0)),"Not found"))</f>
        <v/>
      </c>
      <c r="B160" s="18" t="str">
        <f aca="false">IF(D160="","",IFERROR(INDEX(Products!$A:$A,MATCH(D160,Products!$B:$B,0)),"Not found"))</f>
        <v/>
      </c>
      <c r="C160" s="20"/>
      <c r="D160" s="20"/>
      <c r="E160" s="20"/>
      <c r="F160" s="20"/>
      <c r="G160" s="20"/>
      <c r="H160" s="20"/>
      <c r="I160" s="20"/>
    </row>
    <row r="161" customFormat="false" ht="15" hidden="false" customHeight="false" outlineLevel="0" collapsed="false">
      <c r="A161" s="18" t="str">
        <f aca="false">IF(C161="","",IFERROR(INDEX(Metrics!$A:$A,MATCH(C161,Metrics!$C:$C,0)),"Not found"))</f>
        <v/>
      </c>
      <c r="B161" s="18" t="str">
        <f aca="false">IF(D161="","",IFERROR(INDEX(Products!$A:$A,MATCH(D161,Products!$B:$B,0)),"Not found"))</f>
        <v/>
      </c>
      <c r="C161" s="20"/>
      <c r="D161" s="20"/>
      <c r="E161" s="20"/>
      <c r="F161" s="20"/>
      <c r="G161" s="20"/>
      <c r="H161" s="20"/>
      <c r="I161" s="20"/>
    </row>
    <row r="162" customFormat="false" ht="15" hidden="false" customHeight="false" outlineLevel="0" collapsed="false">
      <c r="A162" s="18" t="str">
        <f aca="false">IF(C162="","",IFERROR(INDEX(Metrics!$A:$A,MATCH(C162,Metrics!$C:$C,0)),"Not found"))</f>
        <v/>
      </c>
      <c r="B162" s="18" t="str">
        <f aca="false">IF(D162="","",IFERROR(INDEX(Products!$A:$A,MATCH(D162,Products!$B:$B,0)),"Not found"))</f>
        <v/>
      </c>
      <c r="C162" s="20"/>
      <c r="D162" s="20"/>
      <c r="E162" s="20"/>
      <c r="F162" s="20"/>
      <c r="G162" s="20"/>
      <c r="H162" s="20"/>
      <c r="I162" s="20"/>
    </row>
    <row r="163" customFormat="false" ht="15" hidden="false" customHeight="false" outlineLevel="0" collapsed="false">
      <c r="A163" s="18" t="str">
        <f aca="false">IF(C163="","",IFERROR(INDEX(Metrics!$A:$A,MATCH(C163,Metrics!$C:$C,0)),"Not found"))</f>
        <v/>
      </c>
      <c r="B163" s="18" t="str">
        <f aca="false">IF(D163="","",IFERROR(INDEX(Products!$A:$A,MATCH(D163,Products!$B:$B,0)),"Not found"))</f>
        <v/>
      </c>
      <c r="C163" s="20"/>
      <c r="D163" s="20"/>
      <c r="E163" s="20"/>
      <c r="F163" s="20"/>
      <c r="G163" s="20"/>
      <c r="H163" s="20"/>
      <c r="I163" s="20"/>
    </row>
    <row r="164" customFormat="false" ht="15" hidden="false" customHeight="false" outlineLevel="0" collapsed="false">
      <c r="A164" s="18" t="str">
        <f aca="false">IF(C164="","",IFERROR(INDEX(Metrics!$A:$A,MATCH(C164,Metrics!$C:$C,0)),"Not found"))</f>
        <v/>
      </c>
      <c r="B164" s="18" t="str">
        <f aca="false">IF(D164="","",IFERROR(INDEX(Products!$A:$A,MATCH(D164,Products!$B:$B,0)),"Not found"))</f>
        <v/>
      </c>
      <c r="C164" s="20"/>
      <c r="D164" s="20"/>
      <c r="E164" s="20"/>
      <c r="F164" s="20"/>
      <c r="G164" s="20"/>
      <c r="H164" s="20"/>
      <c r="I164" s="20"/>
    </row>
    <row r="165" customFormat="false" ht="15" hidden="false" customHeight="false" outlineLevel="0" collapsed="false">
      <c r="A165" s="18" t="str">
        <f aca="false">IF(C165="","",IFERROR(INDEX(Metrics!$A:$A,MATCH(C165,Metrics!$C:$C,0)),"Not found"))</f>
        <v/>
      </c>
      <c r="B165" s="18" t="str">
        <f aca="false">IF(D165="","",IFERROR(INDEX(Products!$A:$A,MATCH(D165,Products!$B:$B,0)),"Not found"))</f>
        <v/>
      </c>
      <c r="C165" s="20"/>
      <c r="D165" s="20"/>
      <c r="E165" s="20"/>
      <c r="F165" s="20"/>
      <c r="G165" s="20"/>
      <c r="H165" s="20"/>
      <c r="I165" s="20"/>
    </row>
    <row r="166" customFormat="false" ht="15" hidden="false" customHeight="false" outlineLevel="0" collapsed="false">
      <c r="A166" s="18" t="str">
        <f aca="false">IF(C166="","",IFERROR(INDEX(Metrics!$A:$A,MATCH(C166,Metrics!$C:$C,0)),"Not found"))</f>
        <v/>
      </c>
      <c r="B166" s="18" t="str">
        <f aca="false">IF(D166="","",IFERROR(INDEX(Products!$A:$A,MATCH(D166,Products!$B:$B,0)),"Not found"))</f>
        <v/>
      </c>
      <c r="C166" s="20"/>
      <c r="D166" s="20"/>
      <c r="E166" s="20"/>
      <c r="F166" s="20"/>
      <c r="G166" s="20"/>
      <c r="H166" s="20"/>
      <c r="I166" s="20"/>
    </row>
    <row r="167" customFormat="false" ht="15" hidden="false" customHeight="false" outlineLevel="0" collapsed="false">
      <c r="A167" s="18" t="str">
        <f aca="false">IF(C167="","",IFERROR(INDEX(Metrics!$A:$A,MATCH(C167,Metrics!$C:$C,0)),"Not found"))</f>
        <v/>
      </c>
      <c r="B167" s="18" t="str">
        <f aca="false">IF(D167="","",IFERROR(INDEX(Products!$A:$A,MATCH(D167,Products!$B:$B,0)),"Not found"))</f>
        <v/>
      </c>
      <c r="C167" s="20"/>
      <c r="D167" s="20"/>
      <c r="E167" s="20"/>
      <c r="F167" s="20"/>
      <c r="G167" s="20"/>
      <c r="H167" s="20"/>
      <c r="I167" s="20"/>
    </row>
    <row r="168" customFormat="false" ht="15" hidden="false" customHeight="false" outlineLevel="0" collapsed="false">
      <c r="A168" s="18" t="str">
        <f aca="false">IF(C168="","",IFERROR(INDEX(Metrics!$A:$A,MATCH(C168,Metrics!$C:$C,0)),"Not found"))</f>
        <v/>
      </c>
      <c r="B168" s="18" t="str">
        <f aca="false">IF(D168="","",IFERROR(INDEX(Products!$A:$A,MATCH(D168,Products!$B:$B,0)),"Not found"))</f>
        <v/>
      </c>
      <c r="C168" s="20"/>
      <c r="D168" s="20"/>
      <c r="E168" s="20"/>
      <c r="F168" s="20"/>
      <c r="G168" s="20"/>
      <c r="H168" s="20"/>
      <c r="I168" s="20"/>
    </row>
    <row r="169" customFormat="false" ht="15" hidden="false" customHeight="false" outlineLevel="0" collapsed="false">
      <c r="A169" s="18" t="str">
        <f aca="false">IF(C169="","",IFERROR(INDEX(Metrics!$A:$A,MATCH(C169,Metrics!$C:$C,0)),"Not found"))</f>
        <v/>
      </c>
      <c r="B169" s="18" t="str">
        <f aca="false">IF(D169="","",IFERROR(INDEX(Products!$A:$A,MATCH(D169,Products!$B:$B,0)),"Not found"))</f>
        <v/>
      </c>
      <c r="C169" s="20"/>
      <c r="D169" s="20"/>
      <c r="E169" s="20"/>
      <c r="F169" s="20"/>
      <c r="G169" s="20"/>
      <c r="H169" s="20"/>
      <c r="I169" s="20"/>
    </row>
    <row r="170" customFormat="false" ht="15" hidden="false" customHeight="false" outlineLevel="0" collapsed="false">
      <c r="A170" s="18" t="str">
        <f aca="false">IF(C170="","",IFERROR(INDEX(Metrics!$A:$A,MATCH(C170,Metrics!$C:$C,0)),"Not found"))</f>
        <v/>
      </c>
      <c r="B170" s="18" t="str">
        <f aca="false">IF(D170="","",IFERROR(INDEX(Products!$A:$A,MATCH(D170,Products!$B:$B,0)),"Not found"))</f>
        <v/>
      </c>
      <c r="C170" s="20"/>
      <c r="D170" s="20"/>
      <c r="E170" s="20"/>
      <c r="F170" s="20"/>
      <c r="G170" s="20"/>
      <c r="H170" s="20"/>
      <c r="I170" s="20"/>
    </row>
    <row r="171" customFormat="false" ht="15" hidden="false" customHeight="false" outlineLevel="0" collapsed="false">
      <c r="A171" s="18" t="str">
        <f aca="false">IF(C171="","",IFERROR(INDEX(Metrics!$A:$A,MATCH(C171,Metrics!$C:$C,0)),"Not found"))</f>
        <v/>
      </c>
      <c r="B171" s="18" t="str">
        <f aca="false">IF(D171="","",IFERROR(INDEX(Products!$A:$A,MATCH(D171,Products!$B:$B,0)),"Not found"))</f>
        <v/>
      </c>
      <c r="C171" s="20"/>
      <c r="D171" s="20"/>
      <c r="E171" s="20"/>
      <c r="F171" s="20"/>
      <c r="G171" s="20"/>
      <c r="H171" s="20"/>
      <c r="I171" s="20"/>
    </row>
    <row r="172" customFormat="false" ht="15" hidden="false" customHeight="false" outlineLevel="0" collapsed="false">
      <c r="A172" s="18" t="str">
        <f aca="false">IF(C172="","",IFERROR(INDEX(Metrics!$A:$A,MATCH(C172,Metrics!$C:$C,0)),"Not found"))</f>
        <v/>
      </c>
      <c r="B172" s="18" t="str">
        <f aca="false">IF(D172="","",IFERROR(INDEX(Products!$A:$A,MATCH(D172,Products!$B:$B,0)),"Not found"))</f>
        <v/>
      </c>
      <c r="C172" s="20"/>
      <c r="D172" s="20"/>
      <c r="E172" s="20"/>
      <c r="F172" s="20"/>
      <c r="G172" s="20"/>
      <c r="H172" s="20"/>
      <c r="I172" s="20"/>
    </row>
    <row r="173" customFormat="false" ht="15" hidden="false" customHeight="false" outlineLevel="0" collapsed="false">
      <c r="A173" s="18" t="str">
        <f aca="false">IF(C173="","",IFERROR(INDEX(Metrics!$A:$A,MATCH(C173,Metrics!$C:$C,0)),"Not found"))</f>
        <v/>
      </c>
      <c r="B173" s="18" t="str">
        <f aca="false">IF(D173="","",IFERROR(INDEX(Products!$A:$A,MATCH(D173,Products!$B:$B,0)),"Not found"))</f>
        <v/>
      </c>
      <c r="C173" s="20"/>
      <c r="D173" s="20"/>
      <c r="E173" s="20"/>
      <c r="F173" s="20"/>
      <c r="G173" s="20"/>
      <c r="H173" s="20"/>
      <c r="I173" s="20"/>
    </row>
    <row r="174" customFormat="false" ht="15" hidden="false" customHeight="false" outlineLevel="0" collapsed="false">
      <c r="A174" s="18" t="str">
        <f aca="false">IF(C174="","",IFERROR(INDEX(Metrics!$A:$A,MATCH(C174,Metrics!$C:$C,0)),"Not found"))</f>
        <v/>
      </c>
      <c r="B174" s="18" t="str">
        <f aca="false">IF(D174="","",IFERROR(INDEX(Products!$A:$A,MATCH(D174,Products!$B:$B,0)),"Not found"))</f>
        <v/>
      </c>
      <c r="C174" s="20"/>
      <c r="D174" s="20"/>
      <c r="E174" s="20"/>
      <c r="F174" s="20"/>
      <c r="G174" s="20"/>
      <c r="H174" s="20"/>
      <c r="I174" s="20"/>
    </row>
    <row r="175" customFormat="false" ht="15" hidden="false" customHeight="false" outlineLevel="0" collapsed="false">
      <c r="A175" s="18" t="str">
        <f aca="false">IF(C175="","",IFERROR(INDEX(Metrics!$A:$A,MATCH(C175,Metrics!$C:$C,0)),"Not found"))</f>
        <v/>
      </c>
      <c r="B175" s="18" t="str">
        <f aca="false">IF(D175="","",IFERROR(INDEX(Products!$A:$A,MATCH(D175,Products!$B:$B,0)),"Not found"))</f>
        <v/>
      </c>
      <c r="C175" s="20"/>
      <c r="D175" s="20"/>
      <c r="E175" s="20"/>
      <c r="F175" s="20"/>
      <c r="G175" s="20"/>
      <c r="H175" s="20"/>
      <c r="I175" s="20"/>
    </row>
    <row r="176" customFormat="false" ht="15" hidden="false" customHeight="false" outlineLevel="0" collapsed="false">
      <c r="A176" s="18" t="str">
        <f aca="false">IF(C176="","",IFERROR(INDEX(Metrics!$A:$A,MATCH(C176,Metrics!$C:$C,0)),"Not found"))</f>
        <v/>
      </c>
      <c r="B176" s="18" t="str">
        <f aca="false">IF(D176="","",IFERROR(INDEX(Products!$A:$A,MATCH(D176,Products!$B:$B,0)),"Not found"))</f>
        <v/>
      </c>
      <c r="C176" s="20"/>
      <c r="D176" s="20"/>
      <c r="E176" s="20"/>
      <c r="F176" s="20"/>
      <c r="G176" s="20"/>
      <c r="H176" s="20"/>
      <c r="I176" s="20"/>
    </row>
    <row r="177" customFormat="false" ht="15" hidden="false" customHeight="false" outlineLevel="0" collapsed="false">
      <c r="A177" s="18" t="str">
        <f aca="false">IF(C177="","",IFERROR(INDEX(Metrics!$A:$A,MATCH(C177,Metrics!$C:$C,0)),"Not found"))</f>
        <v/>
      </c>
      <c r="B177" s="18" t="str">
        <f aca="false">IF(D177="","",IFERROR(INDEX(Products!$A:$A,MATCH(D177,Products!$B:$B,0)),"Not found"))</f>
        <v/>
      </c>
      <c r="C177" s="20"/>
      <c r="D177" s="20"/>
      <c r="E177" s="20"/>
      <c r="F177" s="20"/>
      <c r="G177" s="20"/>
      <c r="H177" s="20"/>
      <c r="I177" s="20"/>
    </row>
    <row r="178" customFormat="false" ht="15" hidden="false" customHeight="false" outlineLevel="0" collapsed="false">
      <c r="A178" s="18" t="str">
        <f aca="false">IF(C178="","",IFERROR(INDEX(Metrics!$A:$A,MATCH(C178,Metrics!$C:$C,0)),"Not found"))</f>
        <v/>
      </c>
      <c r="B178" s="18" t="str">
        <f aca="false">IF(D178="","",IFERROR(INDEX(Products!$A:$A,MATCH(D178,Products!$B:$B,0)),"Not found"))</f>
        <v/>
      </c>
      <c r="C178" s="20"/>
      <c r="D178" s="20"/>
      <c r="E178" s="20"/>
      <c r="F178" s="20"/>
      <c r="G178" s="20"/>
      <c r="H178" s="20"/>
      <c r="I178" s="20"/>
    </row>
    <row r="179" customFormat="false" ht="15" hidden="false" customHeight="false" outlineLevel="0" collapsed="false">
      <c r="A179" s="18" t="str">
        <f aca="false">IF(C179="","",IFERROR(INDEX(Metrics!$A:$A,MATCH(C179,Metrics!$C:$C,0)),"Not found"))</f>
        <v/>
      </c>
      <c r="B179" s="18" t="str">
        <f aca="false">IF(D179="","",IFERROR(INDEX(Products!$A:$A,MATCH(D179,Products!$B:$B,0)),"Not found"))</f>
        <v/>
      </c>
      <c r="C179" s="20"/>
      <c r="D179" s="20"/>
      <c r="E179" s="20"/>
      <c r="F179" s="20"/>
      <c r="G179" s="20"/>
      <c r="H179" s="20"/>
      <c r="I179" s="20"/>
    </row>
    <row r="180" customFormat="false" ht="15" hidden="false" customHeight="false" outlineLevel="0" collapsed="false">
      <c r="A180" s="18" t="str">
        <f aca="false">IF(C180="","",IFERROR(INDEX(Metrics!$A:$A,MATCH(C180,Metrics!$C:$C,0)),"Not found"))</f>
        <v/>
      </c>
      <c r="B180" s="18" t="str">
        <f aca="false">IF(D180="","",IFERROR(INDEX(Products!$A:$A,MATCH(D180,Products!$B:$B,0)),"Not found"))</f>
        <v/>
      </c>
      <c r="C180" s="20"/>
      <c r="D180" s="20"/>
      <c r="E180" s="20"/>
      <c r="F180" s="20"/>
      <c r="G180" s="20"/>
      <c r="H180" s="20"/>
      <c r="I180" s="20"/>
    </row>
    <row r="181" customFormat="false" ht="15" hidden="false" customHeight="false" outlineLevel="0" collapsed="false">
      <c r="A181" s="18" t="str">
        <f aca="false">IF(C181="","",IFERROR(INDEX(Metrics!$A:$A,MATCH(C181,Metrics!$C:$C,0)),"Not found"))</f>
        <v/>
      </c>
      <c r="B181" s="18" t="str">
        <f aca="false">IF(D181="","",IFERROR(INDEX(Products!$A:$A,MATCH(D181,Products!$B:$B,0)),"Not found"))</f>
        <v/>
      </c>
      <c r="C181" s="20"/>
      <c r="D181" s="20"/>
      <c r="E181" s="20"/>
      <c r="F181" s="20"/>
      <c r="G181" s="20"/>
      <c r="H181" s="20"/>
      <c r="I181" s="20"/>
    </row>
    <row r="182" customFormat="false" ht="15" hidden="false" customHeight="false" outlineLevel="0" collapsed="false">
      <c r="A182" s="18" t="str">
        <f aca="false">IF(C182="","",IFERROR(INDEX(Metrics!$A:$A,MATCH(C182,Metrics!$C:$C,0)),"Not found"))</f>
        <v/>
      </c>
      <c r="B182" s="18" t="str">
        <f aca="false">IF(D182="","",IFERROR(INDEX(Products!$A:$A,MATCH(D182,Products!$B:$B,0)),"Not found"))</f>
        <v/>
      </c>
      <c r="C182" s="20"/>
      <c r="D182" s="20"/>
      <c r="E182" s="20"/>
      <c r="F182" s="20"/>
      <c r="G182" s="20"/>
      <c r="H182" s="20"/>
      <c r="I182" s="20"/>
    </row>
    <row r="183" customFormat="false" ht="15" hidden="false" customHeight="false" outlineLevel="0" collapsed="false">
      <c r="A183" s="18" t="str">
        <f aca="false">IF(C183="","",IFERROR(INDEX(Metrics!$A:$A,MATCH(C183,Metrics!$C:$C,0)),"Not found"))</f>
        <v/>
      </c>
      <c r="B183" s="18" t="str">
        <f aca="false">IF(D183="","",IFERROR(INDEX(Products!$A:$A,MATCH(D183,Products!$B:$B,0)),"Not found"))</f>
        <v/>
      </c>
      <c r="C183" s="20"/>
      <c r="D183" s="20"/>
      <c r="E183" s="20"/>
      <c r="F183" s="20"/>
      <c r="G183" s="20"/>
      <c r="H183" s="20"/>
      <c r="I183" s="20"/>
    </row>
    <row r="184" customFormat="false" ht="15" hidden="false" customHeight="false" outlineLevel="0" collapsed="false">
      <c r="A184" s="18" t="str">
        <f aca="false">IF(C184="","",IFERROR(INDEX(Metrics!$A:$A,MATCH(C184,Metrics!$C:$C,0)),"Not found"))</f>
        <v/>
      </c>
      <c r="B184" s="18" t="str">
        <f aca="false">IF(D184="","",IFERROR(INDEX(Products!$A:$A,MATCH(D184,Products!$B:$B,0)),"Not found"))</f>
        <v/>
      </c>
      <c r="C184" s="20"/>
      <c r="D184" s="20"/>
      <c r="E184" s="20"/>
      <c r="F184" s="20"/>
      <c r="G184" s="20"/>
      <c r="H184" s="20"/>
      <c r="I184" s="20"/>
    </row>
    <row r="185" customFormat="false" ht="15" hidden="false" customHeight="false" outlineLevel="0" collapsed="false">
      <c r="A185" s="18" t="str">
        <f aca="false">IF(C185="","",IFERROR(INDEX(Metrics!$A:$A,MATCH(C185,Metrics!$C:$C,0)),"Not found"))</f>
        <v/>
      </c>
      <c r="B185" s="18" t="str">
        <f aca="false">IF(D185="","",IFERROR(INDEX(Products!$A:$A,MATCH(D185,Products!$B:$B,0)),"Not found"))</f>
        <v/>
      </c>
      <c r="C185" s="20"/>
      <c r="D185" s="20"/>
      <c r="E185" s="20"/>
      <c r="F185" s="20"/>
      <c r="G185" s="20"/>
      <c r="H185" s="20"/>
      <c r="I185" s="20"/>
    </row>
    <row r="186" customFormat="false" ht="15" hidden="false" customHeight="false" outlineLevel="0" collapsed="false">
      <c r="A186" s="18" t="str">
        <f aca="false">IF(C186="","",IFERROR(INDEX(Metrics!$A:$A,MATCH(C186,Metrics!$C:$C,0)),"Not found"))</f>
        <v/>
      </c>
      <c r="B186" s="18" t="str">
        <f aca="false">IF(D186="","",IFERROR(INDEX(Products!$A:$A,MATCH(D186,Products!$B:$B,0)),"Not found"))</f>
        <v/>
      </c>
      <c r="C186" s="20"/>
      <c r="D186" s="20"/>
      <c r="E186" s="20"/>
      <c r="F186" s="20"/>
      <c r="G186" s="20"/>
      <c r="H186" s="20"/>
      <c r="I186" s="20"/>
    </row>
    <row r="187" customFormat="false" ht="15" hidden="false" customHeight="false" outlineLevel="0" collapsed="false">
      <c r="A187" s="18" t="str">
        <f aca="false">IF(C187="","",IFERROR(INDEX(Metrics!$A:$A,MATCH(C187,Metrics!$C:$C,0)),"Not found"))</f>
        <v/>
      </c>
      <c r="B187" s="18" t="str">
        <f aca="false">IF(D187="","",IFERROR(INDEX(Products!$A:$A,MATCH(D187,Products!$B:$B,0)),"Not found"))</f>
        <v/>
      </c>
      <c r="C187" s="20"/>
      <c r="D187" s="20"/>
      <c r="E187" s="20"/>
      <c r="F187" s="20"/>
      <c r="G187" s="20"/>
      <c r="H187" s="20"/>
      <c r="I187" s="20"/>
    </row>
    <row r="188" customFormat="false" ht="15" hidden="false" customHeight="false" outlineLevel="0" collapsed="false">
      <c r="A188" s="18" t="str">
        <f aca="false">IF(C188="","",IFERROR(INDEX(Metrics!$A:$A,MATCH(C188,Metrics!$C:$C,0)),"Not found"))</f>
        <v/>
      </c>
      <c r="B188" s="18" t="str">
        <f aca="false">IF(D188="","",IFERROR(INDEX(Products!$A:$A,MATCH(D188,Products!$B:$B,0)),"Not found"))</f>
        <v/>
      </c>
      <c r="C188" s="20"/>
      <c r="D188" s="20"/>
      <c r="E188" s="20"/>
      <c r="F188" s="20"/>
      <c r="G188" s="20"/>
      <c r="H188" s="20"/>
      <c r="I188" s="20"/>
    </row>
    <row r="189" customFormat="false" ht="15" hidden="false" customHeight="false" outlineLevel="0" collapsed="false">
      <c r="A189" s="18" t="str">
        <f aca="false">IF(C189="","",IFERROR(INDEX(Metrics!$A:$A,MATCH(C189,Metrics!$C:$C,0)),"Not found"))</f>
        <v/>
      </c>
      <c r="B189" s="18" t="str">
        <f aca="false">IF(D189="","",IFERROR(INDEX(Products!$A:$A,MATCH(D189,Products!$B:$B,0)),"Not found"))</f>
        <v/>
      </c>
      <c r="C189" s="20"/>
      <c r="D189" s="20"/>
      <c r="E189" s="20"/>
      <c r="F189" s="20"/>
      <c r="G189" s="20"/>
      <c r="H189" s="20"/>
      <c r="I189" s="20"/>
    </row>
    <row r="190" customFormat="false" ht="15" hidden="false" customHeight="false" outlineLevel="0" collapsed="false">
      <c r="A190" s="18" t="str">
        <f aca="false">IF(C190="","",IFERROR(INDEX(Metrics!$A:$A,MATCH(C190,Metrics!$C:$C,0)),"Not found"))</f>
        <v/>
      </c>
      <c r="B190" s="18" t="str">
        <f aca="false">IF(D190="","",IFERROR(INDEX(Products!$A:$A,MATCH(D190,Products!$B:$B,0)),"Not found"))</f>
        <v/>
      </c>
      <c r="C190" s="20"/>
      <c r="D190" s="20"/>
      <c r="E190" s="20"/>
      <c r="F190" s="20"/>
      <c r="G190" s="20"/>
      <c r="H190" s="20"/>
      <c r="I190" s="20"/>
    </row>
    <row r="191" customFormat="false" ht="15" hidden="false" customHeight="false" outlineLevel="0" collapsed="false">
      <c r="A191" s="18" t="str">
        <f aca="false">IF(C191="","",IFERROR(INDEX(Metrics!$A:$A,MATCH(C191,Metrics!$C:$C,0)),"Not found"))</f>
        <v/>
      </c>
      <c r="B191" s="18" t="str">
        <f aca="false">IF(D191="","",IFERROR(INDEX(Products!$A:$A,MATCH(D191,Products!$B:$B,0)),"Not found"))</f>
        <v/>
      </c>
      <c r="C191" s="20"/>
      <c r="D191" s="20"/>
      <c r="E191" s="20"/>
      <c r="F191" s="20"/>
      <c r="G191" s="20"/>
      <c r="H191" s="20"/>
      <c r="I191" s="20"/>
    </row>
    <row r="192" customFormat="false" ht="15" hidden="false" customHeight="false" outlineLevel="0" collapsed="false">
      <c r="A192" s="18" t="str">
        <f aca="false">IF(C192="","",IFERROR(INDEX(Metrics!$A:$A,MATCH(C192,Metrics!$C:$C,0)),"Not found"))</f>
        <v/>
      </c>
      <c r="B192" s="18" t="str">
        <f aca="false">IF(D192="","",IFERROR(INDEX(Products!$A:$A,MATCH(D192,Products!$B:$B,0)),"Not found"))</f>
        <v/>
      </c>
      <c r="C192" s="20"/>
      <c r="D192" s="20"/>
      <c r="E192" s="20"/>
      <c r="F192" s="20"/>
      <c r="G192" s="20"/>
      <c r="H192" s="20"/>
      <c r="I192" s="20"/>
    </row>
    <row r="193" customFormat="false" ht="15" hidden="false" customHeight="false" outlineLevel="0" collapsed="false">
      <c r="A193" s="18" t="str">
        <f aca="false">IF(C193="","",IFERROR(INDEX(Metrics!$A:$A,MATCH(C193,Metrics!$C:$C,0)),"Not found"))</f>
        <v/>
      </c>
      <c r="B193" s="18" t="str">
        <f aca="false">IF(D193="","",IFERROR(INDEX(Products!$A:$A,MATCH(D193,Products!$B:$B,0)),"Not found"))</f>
        <v/>
      </c>
      <c r="C193" s="20"/>
      <c r="D193" s="20"/>
      <c r="E193" s="20"/>
      <c r="F193" s="20"/>
      <c r="G193" s="20"/>
      <c r="H193" s="20"/>
      <c r="I193" s="20"/>
    </row>
    <row r="194" customFormat="false" ht="15" hidden="false" customHeight="false" outlineLevel="0" collapsed="false">
      <c r="A194" s="18" t="str">
        <f aca="false">IF(C194="","",IFERROR(INDEX(Metrics!$A:$A,MATCH(C194,Metrics!$C:$C,0)),"Not found"))</f>
        <v/>
      </c>
      <c r="B194" s="18" t="str">
        <f aca="false">IF(D194="","",IFERROR(INDEX(Products!$A:$A,MATCH(D194,Products!$B:$B,0)),"Not found"))</f>
        <v/>
      </c>
      <c r="C194" s="20"/>
      <c r="D194" s="20"/>
      <c r="E194" s="20"/>
      <c r="F194" s="20"/>
      <c r="G194" s="20"/>
      <c r="H194" s="20"/>
      <c r="I194" s="20"/>
    </row>
    <row r="195" customFormat="false" ht="15" hidden="false" customHeight="false" outlineLevel="0" collapsed="false">
      <c r="A195" s="18" t="str">
        <f aca="false">IF(C195="","",IFERROR(INDEX(Metrics!$A:$A,MATCH(C195,Metrics!$C:$C,0)),"Not found"))</f>
        <v/>
      </c>
      <c r="B195" s="18" t="str">
        <f aca="false">IF(D195="","",IFERROR(INDEX(Products!$A:$A,MATCH(D195,Products!$B:$B,0)),"Not found"))</f>
        <v/>
      </c>
      <c r="C195" s="20"/>
      <c r="D195" s="20"/>
      <c r="E195" s="20"/>
      <c r="F195" s="20"/>
      <c r="G195" s="20"/>
      <c r="H195" s="20"/>
      <c r="I195" s="20"/>
    </row>
    <row r="196" customFormat="false" ht="15" hidden="false" customHeight="false" outlineLevel="0" collapsed="false">
      <c r="A196" s="18" t="str">
        <f aca="false">IF(C196="","",IFERROR(INDEX(Metrics!$A:$A,MATCH(C196,Metrics!$C:$C,0)),"Not found"))</f>
        <v/>
      </c>
      <c r="B196" s="18" t="str">
        <f aca="false">IF(D196="","",IFERROR(INDEX(Products!$A:$A,MATCH(D196,Products!$B:$B,0)),"Not found"))</f>
        <v/>
      </c>
      <c r="C196" s="20"/>
      <c r="D196" s="20"/>
      <c r="E196" s="20"/>
      <c r="F196" s="20"/>
      <c r="G196" s="20"/>
      <c r="H196" s="20"/>
      <c r="I196" s="20"/>
    </row>
    <row r="197" customFormat="false" ht="15" hidden="false" customHeight="false" outlineLevel="0" collapsed="false">
      <c r="A197" s="18" t="str">
        <f aca="false">IF(C197="","",IFERROR(INDEX(Metrics!$A:$A,MATCH(C197,Metrics!$C:$C,0)),"Not found"))</f>
        <v/>
      </c>
      <c r="B197" s="18" t="str">
        <f aca="false">IF(D197="","",IFERROR(INDEX(Products!$A:$A,MATCH(D197,Products!$B:$B,0)),"Not found"))</f>
        <v/>
      </c>
      <c r="C197" s="20"/>
      <c r="D197" s="20"/>
      <c r="E197" s="20"/>
      <c r="F197" s="20"/>
      <c r="G197" s="20"/>
      <c r="H197" s="20"/>
      <c r="I197" s="20"/>
    </row>
    <row r="198" customFormat="false" ht="15" hidden="false" customHeight="false" outlineLevel="0" collapsed="false">
      <c r="A198" s="18" t="str">
        <f aca="false">IF(C198="","",IFERROR(INDEX(Metrics!$A:$A,MATCH(C198,Metrics!$C:$C,0)),"Not found"))</f>
        <v/>
      </c>
      <c r="B198" s="18" t="str">
        <f aca="false">IF(D198="","",IFERROR(INDEX(Products!$A:$A,MATCH(D198,Products!$B:$B,0)),"Not found"))</f>
        <v/>
      </c>
      <c r="C198" s="20"/>
      <c r="D198" s="20"/>
      <c r="E198" s="20"/>
      <c r="F198" s="20"/>
      <c r="G198" s="20"/>
      <c r="H198" s="20"/>
      <c r="I198" s="20"/>
    </row>
    <row r="199" customFormat="false" ht="15" hidden="false" customHeight="false" outlineLevel="0" collapsed="false">
      <c r="A199" s="18" t="str">
        <f aca="false">IF(C199="","",IFERROR(INDEX(Metrics!$A:$A,MATCH(C199,Metrics!$C:$C,0)),"Not found"))</f>
        <v/>
      </c>
      <c r="B199" s="18" t="str">
        <f aca="false">IF(D199="","",IFERROR(INDEX(Products!$A:$A,MATCH(D199,Products!$B:$B,0)),"Not found"))</f>
        <v/>
      </c>
      <c r="C199" s="20"/>
      <c r="D199" s="20"/>
      <c r="E199" s="20"/>
      <c r="F199" s="20"/>
      <c r="G199" s="20"/>
      <c r="H199" s="20"/>
      <c r="I199" s="20"/>
    </row>
    <row r="200" customFormat="false" ht="15" hidden="false" customHeight="false" outlineLevel="0" collapsed="false">
      <c r="A200" s="18" t="str">
        <f aca="false">IF(C200="","",IFERROR(INDEX(Metrics!$A:$A,MATCH(C200,Metrics!$C:$C,0)),"Not found"))</f>
        <v/>
      </c>
      <c r="B200" s="18" t="str">
        <f aca="false">IF(D200="","",IFERROR(INDEX(Products!$A:$A,MATCH(D200,Products!$B:$B,0)),"Not found"))</f>
        <v/>
      </c>
      <c r="C200" s="20"/>
      <c r="D200" s="20"/>
      <c r="E200" s="20"/>
      <c r="F200" s="20"/>
      <c r="G200" s="20"/>
      <c r="H200" s="20"/>
      <c r="I200" s="20"/>
    </row>
    <row r="201" customFormat="false" ht="15" hidden="false" customHeight="false" outlineLevel="0" collapsed="false">
      <c r="A201" s="18" t="str">
        <f aca="false">IF(C201="","",IFERROR(INDEX(Metrics!$A:$A,MATCH(C201,Metrics!$C:$C,0)),"Not found"))</f>
        <v/>
      </c>
      <c r="B201" s="18" t="str">
        <f aca="false">IF(D201="","",IFERROR(INDEX(Products!$A:$A,MATCH(D201,Products!$B:$B,0)),"Not found"))</f>
        <v/>
      </c>
      <c r="C201" s="20"/>
      <c r="D201" s="20"/>
      <c r="E201" s="20"/>
      <c r="F201" s="20"/>
      <c r="G201" s="20"/>
      <c r="H201" s="20"/>
      <c r="I201" s="20"/>
    </row>
    <row r="202" customFormat="false" ht="15" hidden="false" customHeight="false" outlineLevel="0" collapsed="false">
      <c r="A202" s="18" t="str">
        <f aca="false">IF(C202="","",IFERROR(INDEX(Metrics!$A:$A,MATCH(C202,Metrics!$C:$C,0)),"Not found"))</f>
        <v/>
      </c>
      <c r="B202" s="18" t="str">
        <f aca="false">IF(D202="","",IFERROR(INDEX(Products!$A:$A,MATCH(D202,Products!$B:$B,0)),"Not found"))</f>
        <v/>
      </c>
      <c r="C202" s="20"/>
      <c r="D202" s="20"/>
      <c r="E202" s="20"/>
      <c r="F202" s="20"/>
      <c r="G202" s="20"/>
      <c r="H202" s="20"/>
      <c r="I202" s="20"/>
    </row>
    <row r="203" customFormat="false" ht="15" hidden="false" customHeight="false" outlineLevel="0" collapsed="false">
      <c r="A203" s="18" t="str">
        <f aca="false">IF(C203="","",IFERROR(INDEX(Metrics!$A:$A,MATCH(C203,Metrics!$C:$C,0)),"Not found"))</f>
        <v/>
      </c>
      <c r="B203" s="18" t="str">
        <f aca="false">IF(D203="","",IFERROR(INDEX(Products!$A:$A,MATCH(D203,Products!$B:$B,0)),"Not found"))</f>
        <v/>
      </c>
      <c r="C203" s="20"/>
      <c r="D203" s="20"/>
      <c r="E203" s="20"/>
      <c r="F203" s="20"/>
      <c r="G203" s="20"/>
      <c r="H203" s="20"/>
      <c r="I203" s="20"/>
    </row>
    <row r="204" customFormat="false" ht="15" hidden="false" customHeight="false" outlineLevel="0" collapsed="false">
      <c r="A204" s="18" t="str">
        <f aca="false">IF(C204="","",IFERROR(INDEX(Metrics!$A:$A,MATCH(C204,Metrics!$C:$C,0)),"Not found"))</f>
        <v/>
      </c>
      <c r="B204" s="18" t="str">
        <f aca="false">IF(D204="","",IFERROR(INDEX(Products!$A:$A,MATCH(D204,Products!$B:$B,0)),"Not found"))</f>
        <v/>
      </c>
      <c r="C204" s="20"/>
      <c r="D204" s="20"/>
      <c r="E204" s="20"/>
      <c r="F204" s="20"/>
      <c r="G204" s="20"/>
      <c r="H204" s="20"/>
      <c r="I204" s="20"/>
    </row>
    <row r="205" customFormat="false" ht="15" hidden="false" customHeight="false" outlineLevel="0" collapsed="false">
      <c r="A205" s="18" t="str">
        <f aca="false">IF(C205="","",IFERROR(INDEX(Metrics!$A:$A,MATCH(C205,Metrics!$C:$C,0)),"Not found"))</f>
        <v/>
      </c>
      <c r="B205" s="18" t="str">
        <f aca="false">IF(D205="","",IFERROR(INDEX(Products!$A:$A,MATCH(D205,Products!$B:$B,0)),"Not found"))</f>
        <v/>
      </c>
      <c r="C205" s="20"/>
      <c r="D205" s="20"/>
      <c r="E205" s="20"/>
      <c r="F205" s="20"/>
      <c r="G205" s="20"/>
      <c r="H205" s="20"/>
      <c r="I205" s="20"/>
    </row>
    <row r="206" customFormat="false" ht="15" hidden="false" customHeight="false" outlineLevel="0" collapsed="false">
      <c r="A206" s="18" t="str">
        <f aca="false">IF(C206="","",IFERROR(INDEX(Metrics!$A:$A,MATCH(C206,Metrics!$C:$C,0)),"Not found"))</f>
        <v/>
      </c>
      <c r="B206" s="18" t="str">
        <f aca="false">IF(D206="","",IFERROR(INDEX(Products!$A:$A,MATCH(D206,Products!$B:$B,0)),"Not found"))</f>
        <v/>
      </c>
      <c r="C206" s="20"/>
      <c r="D206" s="20"/>
      <c r="E206" s="20"/>
      <c r="F206" s="20"/>
      <c r="G206" s="20"/>
      <c r="H206" s="20"/>
      <c r="I206" s="20"/>
    </row>
    <row r="207" customFormat="false" ht="15" hidden="false" customHeight="false" outlineLevel="0" collapsed="false">
      <c r="A207" s="18" t="str">
        <f aca="false">IF(C207="","",IFERROR(INDEX(Metrics!$A:$A,MATCH(C207,Metrics!$C:$C,0)),"Not found"))</f>
        <v/>
      </c>
      <c r="B207" s="18" t="str">
        <f aca="false">IF(D207="","",IFERROR(INDEX(Products!$A:$A,MATCH(D207,Products!$B:$B,0)),"Not found"))</f>
        <v/>
      </c>
      <c r="C207" s="20"/>
      <c r="D207" s="20"/>
      <c r="E207" s="20"/>
      <c r="F207" s="20"/>
      <c r="G207" s="20"/>
      <c r="H207" s="20"/>
      <c r="I207" s="20"/>
    </row>
    <row r="208" customFormat="false" ht="15" hidden="false" customHeight="false" outlineLevel="0" collapsed="false">
      <c r="A208" s="18" t="str">
        <f aca="false">IF(C208="","",IFERROR(INDEX(Metrics!$A:$A,MATCH(C208,Metrics!$C:$C,0)),"Not found"))</f>
        <v/>
      </c>
      <c r="B208" s="18" t="str">
        <f aca="false">IF(D208="","",IFERROR(INDEX(Products!$A:$A,MATCH(D208,Products!$B:$B,0)),"Not found"))</f>
        <v/>
      </c>
      <c r="C208" s="20"/>
      <c r="D208" s="20"/>
      <c r="E208" s="20"/>
      <c r="F208" s="20"/>
      <c r="G208" s="20"/>
      <c r="H208" s="20"/>
      <c r="I208" s="20"/>
    </row>
    <row r="209" customFormat="false" ht="15" hidden="false" customHeight="false" outlineLevel="0" collapsed="false">
      <c r="A209" s="18" t="str">
        <f aca="false">IF(C209="","",IFERROR(INDEX(Metrics!$A:$A,MATCH(C209,Metrics!$C:$C,0)),"Not found"))</f>
        <v/>
      </c>
      <c r="B209" s="18" t="str">
        <f aca="false">IF(D209="","",IFERROR(INDEX(Products!$A:$A,MATCH(D209,Products!$B:$B,0)),"Not found"))</f>
        <v/>
      </c>
      <c r="C209" s="20"/>
      <c r="D209" s="20"/>
      <c r="E209" s="20"/>
      <c r="F209" s="20"/>
      <c r="G209" s="20"/>
      <c r="H209" s="20"/>
      <c r="I209" s="20"/>
    </row>
    <row r="210" customFormat="false" ht="15" hidden="false" customHeight="false" outlineLevel="0" collapsed="false">
      <c r="A210" s="18" t="str">
        <f aca="false">IF(C210="","",IFERROR(INDEX(Metrics!$A:$A,MATCH(C210,Metrics!$C:$C,0)),"Not found"))</f>
        <v/>
      </c>
      <c r="B210" s="18" t="str">
        <f aca="false">IF(D210="","",IFERROR(INDEX(Products!$A:$A,MATCH(D210,Products!$B:$B,0)),"Not found"))</f>
        <v/>
      </c>
      <c r="C210" s="20"/>
      <c r="D210" s="20"/>
      <c r="E210" s="20"/>
      <c r="F210" s="20"/>
      <c r="G210" s="20"/>
      <c r="H210" s="20"/>
      <c r="I210" s="20"/>
    </row>
    <row r="211" customFormat="false" ht="15" hidden="false" customHeight="false" outlineLevel="0" collapsed="false">
      <c r="A211" s="18" t="str">
        <f aca="false">IF(C211="","",IFERROR(INDEX(Metrics!$A:$A,MATCH(C211,Metrics!$C:$C,0)),"Not found"))</f>
        <v/>
      </c>
      <c r="B211" s="18" t="str">
        <f aca="false">IF(D211="","",IFERROR(INDEX(Products!$A:$A,MATCH(D211,Products!$B:$B,0)),"Not found"))</f>
        <v/>
      </c>
      <c r="C211" s="20"/>
      <c r="D211" s="20"/>
      <c r="E211" s="20"/>
      <c r="F211" s="20"/>
      <c r="G211" s="20"/>
      <c r="H211" s="20"/>
      <c r="I211" s="20"/>
    </row>
    <row r="212" customFormat="false" ht="15" hidden="false" customHeight="false" outlineLevel="0" collapsed="false">
      <c r="A212" s="18" t="str">
        <f aca="false">IF(C212="","",IFERROR(INDEX(Metrics!$A:$A,MATCH(C212,Metrics!$C:$C,0)),"Not found"))</f>
        <v/>
      </c>
      <c r="B212" s="18" t="str">
        <f aca="false">IF(D212="","",IFERROR(INDEX(Products!$A:$A,MATCH(D212,Products!$B:$B,0)),"Not found"))</f>
        <v/>
      </c>
      <c r="C212" s="20"/>
      <c r="D212" s="20"/>
      <c r="E212" s="20"/>
      <c r="F212" s="20"/>
      <c r="G212" s="20"/>
      <c r="H212" s="20"/>
      <c r="I212" s="20"/>
    </row>
    <row r="213" customFormat="false" ht="15" hidden="false" customHeight="false" outlineLevel="0" collapsed="false">
      <c r="A213" s="18" t="str">
        <f aca="false">IF(C213="","",IFERROR(INDEX(Metrics!$A:$A,MATCH(C213,Metrics!$C:$C,0)),"Not found"))</f>
        <v/>
      </c>
      <c r="B213" s="18" t="str">
        <f aca="false">IF(D213="","",IFERROR(INDEX(Products!$A:$A,MATCH(D213,Products!$B:$B,0)),"Not found"))</f>
        <v/>
      </c>
      <c r="C213" s="20"/>
      <c r="D213" s="20"/>
      <c r="E213" s="20"/>
      <c r="F213" s="20"/>
      <c r="G213" s="20"/>
      <c r="H213" s="20"/>
      <c r="I213" s="20"/>
    </row>
    <row r="214" customFormat="false" ht="15" hidden="false" customHeight="false" outlineLevel="0" collapsed="false">
      <c r="A214" s="18" t="str">
        <f aca="false">IF(C214="","",IFERROR(INDEX(Metrics!$A:$A,MATCH(C214,Metrics!$C:$C,0)),"Not found"))</f>
        <v/>
      </c>
      <c r="B214" s="18" t="str">
        <f aca="false">IF(D214="","",IFERROR(INDEX(Products!$A:$A,MATCH(D214,Products!$B:$B,0)),"Not found"))</f>
        <v/>
      </c>
      <c r="C214" s="20"/>
      <c r="D214" s="20"/>
      <c r="E214" s="20"/>
      <c r="F214" s="20"/>
      <c r="G214" s="20"/>
      <c r="H214" s="20"/>
      <c r="I214" s="20"/>
    </row>
    <row r="215" customFormat="false" ht="15" hidden="false" customHeight="false" outlineLevel="0" collapsed="false">
      <c r="A215" s="18" t="str">
        <f aca="false">IF(C215="","",IFERROR(INDEX(Metrics!$A:$A,MATCH(C215,Metrics!$C:$C,0)),"Not found"))</f>
        <v/>
      </c>
      <c r="B215" s="18" t="str">
        <f aca="false">IF(D215="","",IFERROR(INDEX(Products!$A:$A,MATCH(D215,Products!$B:$B,0)),"Not found"))</f>
        <v/>
      </c>
      <c r="C215" s="20"/>
      <c r="D215" s="20"/>
      <c r="E215" s="20"/>
      <c r="F215" s="20"/>
      <c r="G215" s="20"/>
      <c r="H215" s="20"/>
      <c r="I215" s="20"/>
    </row>
    <row r="216" customFormat="false" ht="15" hidden="false" customHeight="false" outlineLevel="0" collapsed="false">
      <c r="A216" s="18" t="str">
        <f aca="false">IF(C216="","",IFERROR(INDEX(Metrics!$A:$A,MATCH(C216,Metrics!$C:$C,0)),"Not found"))</f>
        <v/>
      </c>
      <c r="B216" s="18" t="str">
        <f aca="false">IF(D216="","",IFERROR(INDEX(Products!$A:$A,MATCH(D216,Products!$B:$B,0)),"Not found"))</f>
        <v/>
      </c>
      <c r="C216" s="20"/>
      <c r="D216" s="20"/>
      <c r="E216" s="20"/>
      <c r="F216" s="20"/>
      <c r="G216" s="20"/>
      <c r="H216" s="20"/>
      <c r="I216" s="20"/>
    </row>
    <row r="217" customFormat="false" ht="15" hidden="false" customHeight="false" outlineLevel="0" collapsed="false">
      <c r="A217" s="18" t="str">
        <f aca="false">IF(C217="","",IFERROR(INDEX(Metrics!$A:$A,MATCH(C217,Metrics!$C:$C,0)),"Not found"))</f>
        <v/>
      </c>
      <c r="B217" s="18" t="str">
        <f aca="false">IF(D217="","",IFERROR(INDEX(Products!$A:$A,MATCH(D217,Products!$B:$B,0)),"Not found"))</f>
        <v/>
      </c>
      <c r="C217" s="20"/>
      <c r="D217" s="20"/>
      <c r="E217" s="20"/>
      <c r="F217" s="20"/>
      <c r="G217" s="20"/>
      <c r="H217" s="20"/>
      <c r="I217" s="20"/>
    </row>
    <row r="218" customFormat="false" ht="15" hidden="false" customHeight="false" outlineLevel="0" collapsed="false">
      <c r="A218" s="18" t="str">
        <f aca="false">IF(C218="","",IFERROR(INDEX(Metrics!$A:$A,MATCH(C218,Metrics!$C:$C,0)),"Not found"))</f>
        <v/>
      </c>
      <c r="B218" s="18" t="str">
        <f aca="false">IF(D218="","",IFERROR(INDEX(Products!$A:$A,MATCH(D218,Products!$B:$B,0)),"Not found"))</f>
        <v/>
      </c>
      <c r="C218" s="20"/>
      <c r="D218" s="20"/>
      <c r="E218" s="20"/>
      <c r="F218" s="20"/>
      <c r="G218" s="20"/>
      <c r="H218" s="20"/>
      <c r="I218" s="20"/>
    </row>
    <row r="219" customFormat="false" ht="15" hidden="false" customHeight="false" outlineLevel="0" collapsed="false">
      <c r="A219" s="18" t="str">
        <f aca="false">IF(C219="","",IFERROR(INDEX(Metrics!$A:$A,MATCH(C219,Metrics!$C:$C,0)),"Not found"))</f>
        <v/>
      </c>
      <c r="B219" s="18" t="str">
        <f aca="false">IF(D219="","",IFERROR(INDEX(Products!$A:$A,MATCH(D219,Products!$B:$B,0)),"Not found"))</f>
        <v/>
      </c>
      <c r="C219" s="20"/>
      <c r="D219" s="20"/>
      <c r="E219" s="20"/>
      <c r="F219" s="20"/>
      <c r="G219" s="20"/>
      <c r="H219" s="20"/>
      <c r="I219" s="20"/>
    </row>
    <row r="220" customFormat="false" ht="15" hidden="false" customHeight="false" outlineLevel="0" collapsed="false">
      <c r="A220" s="18" t="str">
        <f aca="false">IF(C220="","",IFERROR(INDEX(Metrics!$A:$A,MATCH(C220,Metrics!$C:$C,0)),"Not found"))</f>
        <v/>
      </c>
      <c r="B220" s="18" t="str">
        <f aca="false">IF(D220="","",IFERROR(INDEX(Products!$A:$A,MATCH(D220,Products!$B:$B,0)),"Not found"))</f>
        <v/>
      </c>
      <c r="C220" s="20"/>
      <c r="D220" s="20"/>
      <c r="E220" s="20"/>
      <c r="F220" s="20"/>
      <c r="G220" s="20"/>
      <c r="H220" s="20"/>
      <c r="I220" s="20"/>
    </row>
    <row r="221" customFormat="false" ht="15" hidden="false" customHeight="false" outlineLevel="0" collapsed="false">
      <c r="A221" s="18" t="str">
        <f aca="false">IF(C221="","",IFERROR(INDEX(Metrics!$A:$A,MATCH(C221,Metrics!$C:$C,0)),"Not found"))</f>
        <v/>
      </c>
      <c r="B221" s="18" t="str">
        <f aca="false">IF(D221="","",IFERROR(INDEX(Products!$A:$A,MATCH(D221,Products!$B:$B,0)),"Not found"))</f>
        <v/>
      </c>
      <c r="C221" s="20"/>
      <c r="D221" s="20"/>
      <c r="E221" s="20"/>
      <c r="F221" s="20"/>
      <c r="G221" s="20"/>
      <c r="H221" s="20"/>
      <c r="I221" s="20"/>
    </row>
    <row r="222" customFormat="false" ht="15" hidden="false" customHeight="false" outlineLevel="0" collapsed="false">
      <c r="A222" s="18" t="str">
        <f aca="false">IF(C222="","",IFERROR(INDEX(Metrics!$A:$A,MATCH(C222,Metrics!$C:$C,0)),"Not found"))</f>
        <v/>
      </c>
      <c r="B222" s="18" t="str">
        <f aca="false">IF(D222="","",IFERROR(INDEX(Products!$A:$A,MATCH(D222,Products!$B:$B,0)),"Not found"))</f>
        <v/>
      </c>
      <c r="C222" s="20"/>
      <c r="D222" s="20"/>
      <c r="E222" s="20"/>
      <c r="F222" s="20"/>
      <c r="G222" s="20"/>
      <c r="H222" s="20"/>
      <c r="I222" s="20"/>
    </row>
    <row r="223" customFormat="false" ht="15" hidden="false" customHeight="false" outlineLevel="0" collapsed="false">
      <c r="A223" s="18" t="str">
        <f aca="false">IF(C223="","",IFERROR(INDEX(Metrics!$A:$A,MATCH(C223,Metrics!$C:$C,0)),"Not found"))</f>
        <v/>
      </c>
      <c r="B223" s="18" t="str">
        <f aca="false">IF(D223="","",IFERROR(INDEX(Products!$A:$A,MATCH(D223,Products!$B:$B,0)),"Not found"))</f>
        <v/>
      </c>
      <c r="C223" s="20"/>
      <c r="D223" s="20"/>
      <c r="E223" s="20"/>
      <c r="F223" s="20"/>
      <c r="G223" s="20"/>
      <c r="H223" s="20"/>
      <c r="I223" s="20"/>
    </row>
    <row r="224" customFormat="false" ht="15" hidden="false" customHeight="false" outlineLevel="0" collapsed="false">
      <c r="A224" s="18" t="str">
        <f aca="false">IF(C224="","",IFERROR(INDEX(Metrics!$A:$A,MATCH(C224,Metrics!$C:$C,0)),"Not found"))</f>
        <v/>
      </c>
      <c r="B224" s="18" t="str">
        <f aca="false">IF(D224="","",IFERROR(INDEX(Products!$A:$A,MATCH(D224,Products!$B:$B,0)),"Not found"))</f>
        <v/>
      </c>
      <c r="C224" s="20"/>
      <c r="D224" s="20"/>
      <c r="E224" s="20"/>
      <c r="F224" s="20"/>
      <c r="G224" s="20"/>
      <c r="H224" s="20"/>
      <c r="I224" s="20"/>
    </row>
    <row r="225" customFormat="false" ht="15" hidden="false" customHeight="false" outlineLevel="0" collapsed="false">
      <c r="A225" s="18" t="str">
        <f aca="false">IF(C225="","",IFERROR(INDEX(Metrics!$A:$A,MATCH(C225,Metrics!$C:$C,0)),"Not found"))</f>
        <v/>
      </c>
      <c r="B225" s="18" t="str">
        <f aca="false">IF(D225="","",IFERROR(INDEX(Products!$A:$A,MATCH(D225,Products!$B:$B,0)),"Not found"))</f>
        <v/>
      </c>
      <c r="C225" s="20"/>
      <c r="D225" s="20"/>
      <c r="E225" s="20"/>
      <c r="F225" s="20"/>
      <c r="G225" s="20"/>
      <c r="H225" s="20"/>
      <c r="I225" s="20"/>
    </row>
    <row r="226" customFormat="false" ht="15" hidden="false" customHeight="false" outlineLevel="0" collapsed="false">
      <c r="A226" s="18" t="str">
        <f aca="false">IF(C226="","",IFERROR(INDEX(Metrics!$A:$A,MATCH(C226,Metrics!$C:$C,0)),"Not found"))</f>
        <v/>
      </c>
      <c r="B226" s="18" t="str">
        <f aca="false">IF(D226="","",IFERROR(INDEX(Products!$A:$A,MATCH(D226,Products!$B:$B,0)),"Not found"))</f>
        <v/>
      </c>
      <c r="C226" s="20"/>
      <c r="D226" s="20"/>
      <c r="E226" s="20"/>
      <c r="F226" s="20"/>
      <c r="G226" s="20"/>
      <c r="H226" s="20"/>
      <c r="I226" s="20"/>
    </row>
    <row r="227" customFormat="false" ht="15" hidden="false" customHeight="false" outlineLevel="0" collapsed="false">
      <c r="A227" s="18" t="str">
        <f aca="false">IF(C227="","",IFERROR(INDEX(Metrics!$A:$A,MATCH(C227,Metrics!$C:$C,0)),"Not found"))</f>
        <v/>
      </c>
      <c r="B227" s="18" t="str">
        <f aca="false">IF(D227="","",IFERROR(INDEX(Products!$A:$A,MATCH(D227,Products!$B:$B,0)),"Not found"))</f>
        <v/>
      </c>
      <c r="C227" s="20"/>
      <c r="D227" s="20"/>
      <c r="E227" s="20"/>
      <c r="F227" s="20"/>
      <c r="G227" s="20"/>
      <c r="H227" s="20"/>
      <c r="I227" s="20"/>
    </row>
    <row r="228" customFormat="false" ht="15" hidden="false" customHeight="false" outlineLevel="0" collapsed="false">
      <c r="A228" s="18" t="str">
        <f aca="false">IF(C228="","",IFERROR(INDEX(Metrics!$A:$A,MATCH(C228,Metrics!$C:$C,0)),"Not found"))</f>
        <v/>
      </c>
      <c r="B228" s="18" t="str">
        <f aca="false">IF(D228="","",IFERROR(INDEX(Products!$A:$A,MATCH(D228,Products!$B:$B,0)),"Not found"))</f>
        <v/>
      </c>
      <c r="C228" s="20"/>
      <c r="D228" s="20"/>
      <c r="E228" s="20"/>
      <c r="F228" s="20"/>
      <c r="G228" s="20"/>
      <c r="H228" s="20"/>
      <c r="I228" s="20"/>
    </row>
    <row r="229" customFormat="false" ht="15" hidden="false" customHeight="false" outlineLevel="0" collapsed="false">
      <c r="A229" s="18" t="str">
        <f aca="false">IF(C229="","",IFERROR(INDEX(Metrics!$A:$A,MATCH(C229,Metrics!$C:$C,0)),"Not found"))</f>
        <v/>
      </c>
      <c r="B229" s="18" t="str">
        <f aca="false">IF(D229="","",IFERROR(INDEX(Products!$A:$A,MATCH(D229,Products!$B:$B,0)),"Not found"))</f>
        <v/>
      </c>
      <c r="C229" s="20"/>
      <c r="D229" s="20"/>
      <c r="E229" s="20"/>
      <c r="F229" s="20"/>
      <c r="G229" s="20"/>
      <c r="H229" s="20"/>
      <c r="I229" s="20"/>
    </row>
    <row r="230" customFormat="false" ht="15" hidden="false" customHeight="false" outlineLevel="0" collapsed="false">
      <c r="A230" s="18" t="str">
        <f aca="false">IF(C230="","",IFERROR(INDEX(Metrics!$A:$A,MATCH(C230,Metrics!$C:$C,0)),"Not found"))</f>
        <v/>
      </c>
      <c r="B230" s="18" t="str">
        <f aca="false">IF(D230="","",IFERROR(INDEX(Products!$A:$A,MATCH(D230,Products!$B:$B,0)),"Not found"))</f>
        <v/>
      </c>
      <c r="C230" s="20"/>
      <c r="D230" s="20"/>
      <c r="E230" s="20"/>
      <c r="F230" s="20"/>
      <c r="G230" s="20"/>
      <c r="H230" s="20"/>
      <c r="I230" s="20"/>
    </row>
    <row r="231" customFormat="false" ht="15" hidden="false" customHeight="false" outlineLevel="0" collapsed="false">
      <c r="A231" s="18" t="str">
        <f aca="false">IF(C231="","",IFERROR(INDEX(Metrics!$A:$A,MATCH(C231,Metrics!$C:$C,0)),"Not found"))</f>
        <v/>
      </c>
      <c r="B231" s="18" t="str">
        <f aca="false">IF(D231="","",IFERROR(INDEX(Products!$A:$A,MATCH(D231,Products!$B:$B,0)),"Not found"))</f>
        <v/>
      </c>
      <c r="C231" s="20"/>
      <c r="D231" s="20"/>
      <c r="E231" s="20"/>
      <c r="F231" s="20"/>
      <c r="G231" s="20"/>
      <c r="H231" s="20"/>
      <c r="I231" s="20"/>
    </row>
    <row r="232" customFormat="false" ht="15" hidden="false" customHeight="false" outlineLevel="0" collapsed="false">
      <c r="A232" s="18" t="str">
        <f aca="false">IF(C232="","",IFERROR(INDEX(Metrics!$A:$A,MATCH(C232,Metrics!$C:$C,0)),"Not found"))</f>
        <v/>
      </c>
      <c r="B232" s="18" t="str">
        <f aca="false">IF(D232="","",IFERROR(INDEX(Products!$A:$A,MATCH(D232,Products!$B:$B,0)),"Not found"))</f>
        <v/>
      </c>
      <c r="C232" s="20"/>
      <c r="D232" s="20"/>
      <c r="E232" s="20"/>
      <c r="F232" s="20"/>
      <c r="G232" s="20"/>
      <c r="H232" s="20"/>
      <c r="I232" s="20"/>
    </row>
    <row r="233" customFormat="false" ht="15" hidden="false" customHeight="false" outlineLevel="0" collapsed="false">
      <c r="A233" s="18" t="str">
        <f aca="false">IF(C233="","",IFERROR(INDEX(Metrics!$A:$A,MATCH(C233,Metrics!$C:$C,0)),"Not found"))</f>
        <v/>
      </c>
      <c r="B233" s="18" t="str">
        <f aca="false">IF(D233="","",IFERROR(INDEX(Products!$A:$A,MATCH(D233,Products!$B:$B,0)),"Not found"))</f>
        <v/>
      </c>
      <c r="C233" s="20"/>
      <c r="D233" s="20"/>
      <c r="E233" s="20"/>
      <c r="F233" s="20"/>
      <c r="G233" s="20"/>
      <c r="H233" s="20"/>
      <c r="I233" s="20"/>
    </row>
    <row r="234" customFormat="false" ht="15" hidden="false" customHeight="false" outlineLevel="0" collapsed="false">
      <c r="A234" s="18" t="str">
        <f aca="false">IF(C234="","",IFERROR(INDEX(Metrics!$A:$A,MATCH(C234,Metrics!$C:$C,0)),"Not found"))</f>
        <v/>
      </c>
      <c r="B234" s="18" t="str">
        <f aca="false">IF(D234="","",IFERROR(INDEX(Products!$A:$A,MATCH(D234,Products!$B:$B,0)),"Not found"))</f>
        <v/>
      </c>
      <c r="C234" s="20"/>
      <c r="D234" s="20"/>
      <c r="E234" s="20"/>
      <c r="F234" s="20"/>
      <c r="G234" s="20"/>
      <c r="H234" s="20"/>
      <c r="I234" s="20"/>
    </row>
    <row r="235" customFormat="false" ht="15" hidden="false" customHeight="false" outlineLevel="0" collapsed="false">
      <c r="A235" s="18" t="str">
        <f aca="false">IF(C235="","",IFERROR(INDEX(Metrics!$A:$A,MATCH(C235,Metrics!$C:$C,0)),"Not found"))</f>
        <v/>
      </c>
      <c r="B235" s="18" t="str">
        <f aca="false">IF(D235="","",IFERROR(INDEX(Products!$A:$A,MATCH(D235,Products!$B:$B,0)),"Not found"))</f>
        <v/>
      </c>
      <c r="C235" s="20"/>
      <c r="D235" s="20"/>
      <c r="E235" s="20"/>
      <c r="F235" s="20"/>
      <c r="G235" s="20"/>
      <c r="H235" s="20"/>
      <c r="I235" s="20"/>
    </row>
    <row r="236" customFormat="false" ht="15" hidden="false" customHeight="false" outlineLevel="0" collapsed="false">
      <c r="A236" s="18" t="str">
        <f aca="false">IF(C236="","",IFERROR(INDEX(Metrics!$A:$A,MATCH(C236,Metrics!$C:$C,0)),"Not found"))</f>
        <v/>
      </c>
      <c r="B236" s="18" t="str">
        <f aca="false">IF(D236="","",IFERROR(INDEX(Products!$A:$A,MATCH(D236,Products!$B:$B,0)),"Not found"))</f>
        <v/>
      </c>
      <c r="C236" s="20"/>
      <c r="D236" s="20"/>
      <c r="E236" s="20"/>
      <c r="F236" s="20"/>
      <c r="G236" s="20"/>
      <c r="H236" s="20"/>
      <c r="I236" s="20"/>
    </row>
    <row r="237" customFormat="false" ht="15" hidden="false" customHeight="false" outlineLevel="0" collapsed="false">
      <c r="A237" s="18" t="str">
        <f aca="false">IF(C237="","",IFERROR(INDEX(Metrics!$A:$A,MATCH(C237,Metrics!$C:$C,0)),"Not found"))</f>
        <v/>
      </c>
      <c r="B237" s="18" t="str">
        <f aca="false">IF(D237="","",IFERROR(INDEX(Products!$A:$A,MATCH(D237,Products!$B:$B,0)),"Not found"))</f>
        <v/>
      </c>
      <c r="C237" s="20"/>
      <c r="D237" s="20"/>
      <c r="E237" s="20"/>
      <c r="F237" s="20"/>
      <c r="G237" s="20"/>
      <c r="H237" s="20"/>
      <c r="I237" s="20"/>
    </row>
    <row r="238" customFormat="false" ht="15" hidden="false" customHeight="false" outlineLevel="0" collapsed="false">
      <c r="A238" s="18" t="str">
        <f aca="false">IF(C238="","",IFERROR(INDEX(Metrics!$A:$A,MATCH(C238,Metrics!$C:$C,0)),"Not found"))</f>
        <v/>
      </c>
      <c r="B238" s="18" t="str">
        <f aca="false">IF(D238="","",IFERROR(INDEX(Products!$A:$A,MATCH(D238,Products!$B:$B,0)),"Not found"))</f>
        <v/>
      </c>
      <c r="C238" s="20"/>
      <c r="D238" s="20"/>
      <c r="E238" s="20"/>
      <c r="F238" s="20"/>
      <c r="G238" s="20"/>
      <c r="H238" s="20"/>
      <c r="I238" s="20"/>
    </row>
    <row r="239" customFormat="false" ht="15" hidden="false" customHeight="false" outlineLevel="0" collapsed="false">
      <c r="A239" s="18" t="str">
        <f aca="false">IF(C239="","",IFERROR(INDEX(Metrics!$A:$A,MATCH(C239,Metrics!$C:$C,0)),"Not found"))</f>
        <v/>
      </c>
      <c r="B239" s="18" t="str">
        <f aca="false">IF(D239="","",IFERROR(INDEX(Products!$A:$A,MATCH(D239,Products!$B:$B,0)),"Not found"))</f>
        <v/>
      </c>
      <c r="C239" s="20"/>
      <c r="D239" s="20"/>
      <c r="E239" s="20"/>
      <c r="F239" s="20"/>
      <c r="G239" s="20"/>
      <c r="H239" s="20"/>
      <c r="I239" s="20"/>
    </row>
    <row r="240" customFormat="false" ht="15" hidden="false" customHeight="false" outlineLevel="0" collapsed="false">
      <c r="A240" s="18" t="str">
        <f aca="false">IF(C240="","",IFERROR(INDEX(Metrics!$A:$A,MATCH(C240,Metrics!$C:$C,0)),"Not found"))</f>
        <v/>
      </c>
      <c r="B240" s="18" t="str">
        <f aca="false">IF(D240="","",IFERROR(INDEX(Products!$A:$A,MATCH(D240,Products!$B:$B,0)),"Not found"))</f>
        <v/>
      </c>
      <c r="C240" s="20"/>
      <c r="D240" s="20"/>
      <c r="E240" s="20"/>
      <c r="F240" s="20"/>
      <c r="G240" s="20"/>
      <c r="H240" s="20"/>
      <c r="I240" s="20"/>
    </row>
    <row r="241" customFormat="false" ht="15" hidden="false" customHeight="false" outlineLevel="0" collapsed="false">
      <c r="A241" s="18" t="str">
        <f aca="false">IF(C241="","",IFERROR(INDEX(Metrics!$A:$A,MATCH(C241,Metrics!$C:$C,0)),"Not found"))</f>
        <v/>
      </c>
      <c r="B241" s="18" t="str">
        <f aca="false">IF(D241="","",IFERROR(INDEX(Products!$A:$A,MATCH(D241,Products!$B:$B,0)),"Not found"))</f>
        <v/>
      </c>
      <c r="C241" s="20"/>
      <c r="D241" s="20"/>
      <c r="E241" s="20"/>
      <c r="F241" s="20"/>
      <c r="G241" s="20"/>
      <c r="H241" s="20"/>
      <c r="I241" s="20"/>
    </row>
    <row r="242" customFormat="false" ht="15" hidden="false" customHeight="false" outlineLevel="0" collapsed="false">
      <c r="A242" s="18" t="str">
        <f aca="false">IF(C242="","",IFERROR(INDEX(Metrics!$A:$A,MATCH(C242,Metrics!$C:$C,0)),"Not found"))</f>
        <v/>
      </c>
      <c r="B242" s="18" t="str">
        <f aca="false">IF(D242="","",IFERROR(INDEX(Products!$A:$A,MATCH(D242,Products!$B:$B,0)),"Not found"))</f>
        <v/>
      </c>
      <c r="C242" s="20"/>
      <c r="D242" s="20"/>
      <c r="E242" s="20"/>
      <c r="F242" s="20"/>
      <c r="G242" s="20"/>
      <c r="H242" s="20"/>
      <c r="I242" s="20"/>
    </row>
    <row r="243" customFormat="false" ht="15" hidden="false" customHeight="false" outlineLevel="0" collapsed="false">
      <c r="A243" s="18" t="str">
        <f aca="false">IF(C243="","",IFERROR(INDEX(Metrics!$A:$A,MATCH(C243,Metrics!$C:$C,0)),"Not found"))</f>
        <v/>
      </c>
      <c r="B243" s="18" t="str">
        <f aca="false">IF(D243="","",IFERROR(INDEX(Products!$A:$A,MATCH(D243,Products!$B:$B,0)),"Not found"))</f>
        <v/>
      </c>
      <c r="C243" s="20"/>
      <c r="D243" s="20"/>
      <c r="E243" s="20"/>
      <c r="F243" s="20"/>
      <c r="G243" s="20"/>
      <c r="H243" s="20"/>
      <c r="I243" s="20"/>
    </row>
    <row r="244" customFormat="false" ht="15" hidden="false" customHeight="false" outlineLevel="0" collapsed="false">
      <c r="A244" s="18" t="str">
        <f aca="false">IF(C244="","",IFERROR(INDEX(Metrics!$A:$A,MATCH(C244,Metrics!$C:$C,0)),"Not found"))</f>
        <v/>
      </c>
      <c r="B244" s="18" t="str">
        <f aca="false">IF(D244="","",IFERROR(INDEX(Products!$A:$A,MATCH(D244,Products!$B:$B,0)),"Not found"))</f>
        <v/>
      </c>
      <c r="C244" s="20"/>
      <c r="D244" s="20"/>
      <c r="E244" s="20"/>
      <c r="F244" s="20"/>
      <c r="G244" s="20"/>
      <c r="H244" s="20"/>
      <c r="I244" s="20"/>
    </row>
    <row r="245" customFormat="false" ht="15" hidden="false" customHeight="false" outlineLevel="0" collapsed="false">
      <c r="A245" s="18" t="str">
        <f aca="false">IF(C245="","",IFERROR(INDEX(Metrics!$A:$A,MATCH(C245,Metrics!$C:$C,0)),"Not found"))</f>
        <v/>
      </c>
      <c r="B245" s="18" t="str">
        <f aca="false">IF(D245="","",IFERROR(INDEX(Products!$A:$A,MATCH(D245,Products!$B:$B,0)),"Not found"))</f>
        <v/>
      </c>
      <c r="C245" s="20"/>
      <c r="D245" s="20"/>
      <c r="E245" s="20"/>
      <c r="F245" s="20"/>
      <c r="G245" s="20"/>
      <c r="H245" s="20"/>
      <c r="I245" s="20"/>
    </row>
    <row r="246" customFormat="false" ht="15" hidden="false" customHeight="false" outlineLevel="0" collapsed="false">
      <c r="A246" s="18" t="str">
        <f aca="false">IF(C246="","",IFERROR(INDEX(Metrics!$A:$A,MATCH(C246,Metrics!$C:$C,0)),"Not found"))</f>
        <v/>
      </c>
      <c r="B246" s="18" t="str">
        <f aca="false">IF(D246="","",IFERROR(INDEX(Products!$A:$A,MATCH(D246,Products!$B:$B,0)),"Not found"))</f>
        <v/>
      </c>
      <c r="C246" s="20"/>
      <c r="D246" s="20"/>
      <c r="E246" s="20"/>
      <c r="F246" s="20"/>
      <c r="G246" s="20"/>
      <c r="H246" s="20"/>
      <c r="I246" s="20"/>
    </row>
    <row r="247" customFormat="false" ht="15" hidden="false" customHeight="false" outlineLevel="0" collapsed="false">
      <c r="A247" s="18" t="str">
        <f aca="false">IF(C247="","",IFERROR(INDEX(Metrics!$A:$A,MATCH(C247,Metrics!$C:$C,0)),"Not found"))</f>
        <v/>
      </c>
      <c r="B247" s="18" t="str">
        <f aca="false">IF(D247="","",IFERROR(INDEX(Products!$A:$A,MATCH(D247,Products!$B:$B,0)),"Not found"))</f>
        <v/>
      </c>
      <c r="C247" s="20"/>
      <c r="D247" s="20"/>
      <c r="E247" s="20"/>
      <c r="F247" s="20"/>
      <c r="G247" s="20"/>
      <c r="H247" s="20"/>
      <c r="I247" s="20"/>
    </row>
    <row r="248" customFormat="false" ht="15" hidden="false" customHeight="false" outlineLevel="0" collapsed="false">
      <c r="A248" s="18" t="str">
        <f aca="false">IF(C248="","",IFERROR(INDEX(Metrics!$A:$A,MATCH(C248,Metrics!$C:$C,0)),"Not found"))</f>
        <v/>
      </c>
      <c r="B248" s="18" t="str">
        <f aca="false">IF(D248="","",IFERROR(INDEX(Products!$A:$A,MATCH(D248,Products!$B:$B,0)),"Not found"))</f>
        <v/>
      </c>
      <c r="C248" s="20"/>
      <c r="D248" s="20"/>
      <c r="E248" s="20"/>
      <c r="F248" s="20"/>
      <c r="G248" s="20"/>
      <c r="H248" s="20"/>
      <c r="I248" s="20"/>
    </row>
    <row r="249" customFormat="false" ht="15" hidden="false" customHeight="false" outlineLevel="0" collapsed="false">
      <c r="A249" s="18" t="str">
        <f aca="false">IF(C249="","",IFERROR(INDEX(Metrics!$A:$A,MATCH(C249,Metrics!$C:$C,0)),"Not found"))</f>
        <v/>
      </c>
      <c r="B249" s="18" t="str">
        <f aca="false">IF(D249="","",IFERROR(INDEX(Products!$A:$A,MATCH(D249,Products!$B:$B,0)),"Not found"))</f>
        <v/>
      </c>
      <c r="C249" s="20"/>
      <c r="D249" s="20"/>
      <c r="E249" s="20"/>
      <c r="F249" s="20"/>
      <c r="G249" s="20"/>
      <c r="H249" s="20"/>
      <c r="I249" s="20"/>
    </row>
    <row r="250" customFormat="false" ht="15" hidden="false" customHeight="false" outlineLevel="0" collapsed="false">
      <c r="A250" s="18" t="str">
        <f aca="false">IF(C250="","",IFERROR(INDEX(Metrics!$A:$A,MATCH(C250,Metrics!$C:$C,0)),"Not found"))</f>
        <v/>
      </c>
      <c r="B250" s="18" t="str">
        <f aca="false">IF(D250="","",IFERROR(INDEX(Products!$A:$A,MATCH(D250,Products!$B:$B,0)),"Not found"))</f>
        <v/>
      </c>
      <c r="C250" s="20"/>
      <c r="D250" s="20"/>
      <c r="E250" s="20"/>
      <c r="F250" s="20"/>
      <c r="G250" s="20"/>
      <c r="H250" s="20"/>
      <c r="I250" s="20"/>
    </row>
    <row r="251" customFormat="false" ht="15" hidden="false" customHeight="false" outlineLevel="0" collapsed="false">
      <c r="A251" s="18" t="str">
        <f aca="false">IF(C251="","",IFERROR(INDEX(Metrics!$A:$A,MATCH(C251,Metrics!$C:$C,0)),"Not found"))</f>
        <v/>
      </c>
      <c r="B251" s="18" t="str">
        <f aca="false">IF(D251="","",IFERROR(INDEX(Products!$A:$A,MATCH(D251,Products!$B:$B,0)),"Not found"))</f>
        <v/>
      </c>
      <c r="C251" s="20"/>
      <c r="D251" s="20"/>
      <c r="E251" s="20"/>
      <c r="F251" s="20"/>
      <c r="G251" s="20"/>
      <c r="H251" s="20"/>
      <c r="I251" s="20"/>
    </row>
    <row r="252" customFormat="false" ht="15" hidden="false" customHeight="false" outlineLevel="0" collapsed="false">
      <c r="A252" s="18" t="str">
        <f aca="false">IF(C252="","",IFERROR(INDEX(Metrics!$A:$A,MATCH(C252,Metrics!$C:$C,0)),"Not found"))</f>
        <v/>
      </c>
      <c r="B252" s="18" t="str">
        <f aca="false">IF(D252="","",IFERROR(INDEX(Products!$A:$A,MATCH(D252,Products!$B:$B,0)),"Not found"))</f>
        <v/>
      </c>
      <c r="C252" s="20"/>
      <c r="D252" s="20"/>
      <c r="E252" s="20"/>
      <c r="F252" s="20"/>
      <c r="G252" s="20"/>
      <c r="H252" s="20"/>
      <c r="I252" s="20"/>
    </row>
    <row r="253" customFormat="false" ht="15" hidden="false" customHeight="false" outlineLevel="0" collapsed="false">
      <c r="A253" s="18" t="str">
        <f aca="false">IF(C253="","",IFERROR(INDEX(Metrics!$A:$A,MATCH(C253,Metrics!$C:$C,0)),"Not found"))</f>
        <v/>
      </c>
      <c r="B253" s="18" t="str">
        <f aca="false">IF(D253="","",IFERROR(INDEX(Products!$A:$A,MATCH(D253,Products!$B:$B,0)),"Not found"))</f>
        <v/>
      </c>
      <c r="C253" s="20"/>
      <c r="D253" s="20"/>
      <c r="E253" s="20"/>
      <c r="F253" s="20"/>
      <c r="G253" s="20"/>
      <c r="H253" s="20"/>
      <c r="I253" s="20"/>
    </row>
    <row r="254" customFormat="false" ht="15" hidden="false" customHeight="false" outlineLevel="0" collapsed="false">
      <c r="A254" s="18" t="str">
        <f aca="false">IF(C254="","",IFERROR(INDEX(Metrics!$A:$A,MATCH(C254,Metrics!$C:$C,0)),"Not found"))</f>
        <v/>
      </c>
      <c r="B254" s="18" t="str">
        <f aca="false">IF(D254="","",IFERROR(INDEX(Products!$A:$A,MATCH(D254,Products!$B:$B,0)),"Not found"))</f>
        <v/>
      </c>
      <c r="C254" s="20"/>
      <c r="D254" s="20"/>
      <c r="E254" s="20"/>
      <c r="F254" s="20"/>
      <c r="G254" s="20"/>
      <c r="H254" s="20"/>
      <c r="I254" s="20"/>
    </row>
    <row r="255" customFormat="false" ht="15" hidden="false" customHeight="false" outlineLevel="0" collapsed="false">
      <c r="A255" s="18" t="str">
        <f aca="false">IF(C255="","",IFERROR(INDEX(Metrics!$A:$A,MATCH(C255,Metrics!$C:$C,0)),"Not found"))</f>
        <v/>
      </c>
      <c r="B255" s="18" t="str">
        <f aca="false">IF(D255="","",IFERROR(INDEX(Products!$A:$A,MATCH(D255,Products!$B:$B,0)),"Not found"))</f>
        <v/>
      </c>
      <c r="C255" s="20"/>
      <c r="D255" s="20"/>
      <c r="E255" s="20"/>
      <c r="F255" s="20"/>
      <c r="G255" s="20"/>
      <c r="H255" s="20"/>
      <c r="I255" s="20"/>
    </row>
    <row r="256" customFormat="false" ht="15" hidden="false" customHeight="false" outlineLevel="0" collapsed="false">
      <c r="A256" s="18" t="str">
        <f aca="false">IF(C256="","",IFERROR(INDEX(Metrics!$A:$A,MATCH(C256,Metrics!$C:$C,0)),"Not found"))</f>
        <v/>
      </c>
      <c r="B256" s="18" t="str">
        <f aca="false">IF(D256="","",IFERROR(INDEX(Products!$A:$A,MATCH(D256,Products!$B:$B,0)),"Not found"))</f>
        <v/>
      </c>
      <c r="C256" s="20"/>
      <c r="D256" s="20"/>
      <c r="E256" s="20"/>
      <c r="F256" s="20"/>
      <c r="G256" s="20"/>
      <c r="H256" s="20"/>
      <c r="I256" s="20"/>
    </row>
    <row r="257" customFormat="false" ht="15" hidden="false" customHeight="false" outlineLevel="0" collapsed="false">
      <c r="A257" s="18" t="str">
        <f aca="false">IF(C257="","",IFERROR(INDEX(Metrics!$A:$A,MATCH(C257,Metrics!$C:$C,0)),"Not found"))</f>
        <v/>
      </c>
      <c r="B257" s="18" t="str">
        <f aca="false">IF(D257="","",IFERROR(INDEX(Products!$A:$A,MATCH(D257,Products!$B:$B,0)),"Not found"))</f>
        <v/>
      </c>
      <c r="C257" s="20"/>
      <c r="D257" s="20"/>
      <c r="E257" s="20"/>
      <c r="F257" s="20"/>
      <c r="G257" s="20"/>
      <c r="H257" s="20"/>
      <c r="I257" s="20"/>
    </row>
    <row r="258" customFormat="false" ht="15" hidden="false" customHeight="false" outlineLevel="0" collapsed="false">
      <c r="A258" s="18" t="str">
        <f aca="false">IF(C258="","",IFERROR(INDEX(Metrics!$A:$A,MATCH(C258,Metrics!$C:$C,0)),"Not found"))</f>
        <v/>
      </c>
      <c r="B258" s="18" t="str">
        <f aca="false">IF(D258="","",IFERROR(INDEX(Products!$A:$A,MATCH(D258,Products!$B:$B,0)),"Not found"))</f>
        <v/>
      </c>
      <c r="C258" s="20"/>
      <c r="D258" s="20"/>
      <c r="E258" s="20"/>
      <c r="F258" s="20"/>
      <c r="G258" s="20"/>
      <c r="H258" s="20"/>
      <c r="I258" s="20"/>
    </row>
    <row r="259" customFormat="false" ht="15" hidden="false" customHeight="false" outlineLevel="0" collapsed="false">
      <c r="A259" s="18" t="str">
        <f aca="false">IF(C259="","",IFERROR(INDEX(Metrics!$A:$A,MATCH(C259,Metrics!$C:$C,0)),"Not found"))</f>
        <v/>
      </c>
      <c r="B259" s="18" t="str">
        <f aca="false">IF(D259="","",IFERROR(INDEX(Products!$A:$A,MATCH(D259,Products!$B:$B,0)),"Not found"))</f>
        <v/>
      </c>
      <c r="C259" s="20"/>
      <c r="D259" s="20"/>
      <c r="E259" s="20"/>
      <c r="F259" s="20"/>
      <c r="G259" s="20"/>
      <c r="H259" s="20"/>
      <c r="I259" s="20"/>
    </row>
    <row r="260" customFormat="false" ht="15" hidden="false" customHeight="false" outlineLevel="0" collapsed="false">
      <c r="A260" s="18" t="str">
        <f aca="false">IF(C260="","",IFERROR(INDEX(Metrics!$A:$A,MATCH(C260,Metrics!$C:$C,0)),"Not found"))</f>
        <v/>
      </c>
      <c r="B260" s="18" t="str">
        <f aca="false">IF(D260="","",IFERROR(INDEX(Products!$A:$A,MATCH(D260,Products!$B:$B,0)),"Not found"))</f>
        <v/>
      </c>
      <c r="C260" s="20"/>
      <c r="D260" s="20"/>
      <c r="E260" s="20"/>
      <c r="F260" s="20"/>
      <c r="G260" s="20"/>
      <c r="H260" s="20"/>
      <c r="I260" s="20"/>
    </row>
    <row r="261" customFormat="false" ht="15" hidden="false" customHeight="false" outlineLevel="0" collapsed="false">
      <c r="A261" s="18" t="str">
        <f aca="false">IF(C261="","",IFERROR(INDEX(Metrics!$A:$A,MATCH(C261,Metrics!$C:$C,0)),"Not found"))</f>
        <v/>
      </c>
      <c r="B261" s="18" t="str">
        <f aca="false">IF(D261="","",IFERROR(INDEX(Products!$A:$A,MATCH(D261,Products!$B:$B,0)),"Not found"))</f>
        <v/>
      </c>
      <c r="C261" s="20"/>
      <c r="D261" s="20"/>
      <c r="E261" s="20"/>
      <c r="F261" s="20"/>
      <c r="G261" s="20"/>
      <c r="H261" s="20"/>
      <c r="I261" s="20"/>
    </row>
    <row r="262" customFormat="false" ht="15" hidden="false" customHeight="false" outlineLevel="0" collapsed="false">
      <c r="A262" s="18" t="str">
        <f aca="false">IF(C262="","",IFERROR(INDEX(Metrics!$A:$A,MATCH(C262,Metrics!$C:$C,0)),"Not found"))</f>
        <v/>
      </c>
      <c r="B262" s="18" t="str">
        <f aca="false">IF(D262="","",IFERROR(INDEX(Products!$A:$A,MATCH(D262,Products!$B:$B,0)),"Not found"))</f>
        <v/>
      </c>
      <c r="C262" s="20"/>
      <c r="D262" s="20"/>
      <c r="E262" s="20"/>
      <c r="F262" s="20"/>
      <c r="G262" s="20"/>
      <c r="H262" s="20"/>
      <c r="I262" s="20"/>
    </row>
    <row r="263" customFormat="false" ht="15" hidden="false" customHeight="false" outlineLevel="0" collapsed="false">
      <c r="A263" s="18" t="str">
        <f aca="false">IF(C263="","",IFERROR(INDEX(Metrics!$A:$A,MATCH(C263,Metrics!$C:$C,0)),"Not found"))</f>
        <v/>
      </c>
      <c r="B263" s="18" t="str">
        <f aca="false">IF(D263="","",IFERROR(INDEX(Products!$A:$A,MATCH(D263,Products!$B:$B,0)),"Not found"))</f>
        <v/>
      </c>
      <c r="C263" s="20"/>
      <c r="D263" s="20"/>
      <c r="E263" s="20"/>
      <c r="F263" s="20"/>
      <c r="G263" s="20"/>
      <c r="H263" s="20"/>
      <c r="I263" s="20"/>
    </row>
    <row r="264" customFormat="false" ht="15" hidden="false" customHeight="false" outlineLevel="0" collapsed="false">
      <c r="A264" s="18" t="str">
        <f aca="false">IF(C264="","",IFERROR(INDEX(Metrics!$A:$A,MATCH(C264,Metrics!$C:$C,0)),"Not found"))</f>
        <v/>
      </c>
      <c r="B264" s="18" t="str">
        <f aca="false">IF(D264="","",IFERROR(INDEX(Products!$A:$A,MATCH(D264,Products!$B:$B,0)),"Not found"))</f>
        <v/>
      </c>
      <c r="C264" s="20"/>
      <c r="D264" s="20"/>
      <c r="E264" s="20"/>
      <c r="F264" s="20"/>
      <c r="G264" s="20"/>
      <c r="H264" s="20"/>
      <c r="I264" s="20"/>
    </row>
    <row r="265" customFormat="false" ht="15" hidden="false" customHeight="false" outlineLevel="0" collapsed="false">
      <c r="A265" s="18" t="str">
        <f aca="false">IF(C265="","",IFERROR(INDEX(Metrics!$A:$A,MATCH(C265,Metrics!$C:$C,0)),"Not found"))</f>
        <v/>
      </c>
      <c r="B265" s="18" t="str">
        <f aca="false">IF(D265="","",IFERROR(INDEX(Products!$A:$A,MATCH(D265,Products!$B:$B,0)),"Not found"))</f>
        <v/>
      </c>
      <c r="C265" s="20"/>
      <c r="D265" s="20"/>
      <c r="E265" s="20"/>
      <c r="F265" s="20"/>
      <c r="G265" s="20"/>
      <c r="H265" s="20"/>
      <c r="I265" s="20"/>
    </row>
    <row r="266" customFormat="false" ht="15" hidden="false" customHeight="false" outlineLevel="0" collapsed="false">
      <c r="A266" s="18" t="str">
        <f aca="false">IF(C266="","",IFERROR(INDEX(Metrics!$A:$A,MATCH(C266,Metrics!$C:$C,0)),"Not found"))</f>
        <v/>
      </c>
      <c r="B266" s="18" t="str">
        <f aca="false">IF(D266="","",IFERROR(INDEX(Products!$A:$A,MATCH(D266,Products!$B:$B,0)),"Not found"))</f>
        <v/>
      </c>
      <c r="C266" s="20"/>
      <c r="D266" s="20"/>
      <c r="E266" s="20"/>
      <c r="F266" s="20"/>
      <c r="G266" s="20"/>
      <c r="H266" s="20"/>
      <c r="I266" s="20"/>
    </row>
    <row r="267" customFormat="false" ht="15" hidden="false" customHeight="false" outlineLevel="0" collapsed="false">
      <c r="A267" s="18" t="str">
        <f aca="false">IF(C267="","",IFERROR(INDEX(Metrics!$A:$A,MATCH(C267,Metrics!$C:$C,0)),"Not found"))</f>
        <v/>
      </c>
      <c r="B267" s="18" t="str">
        <f aca="false">IF(D267="","",IFERROR(INDEX(Products!$A:$A,MATCH(D267,Products!$B:$B,0)),"Not found"))</f>
        <v/>
      </c>
      <c r="C267" s="20"/>
      <c r="D267" s="20"/>
      <c r="E267" s="20"/>
      <c r="F267" s="20"/>
      <c r="G267" s="20"/>
      <c r="H267" s="20"/>
      <c r="I267" s="20"/>
    </row>
    <row r="268" customFormat="false" ht="15" hidden="false" customHeight="false" outlineLevel="0" collapsed="false">
      <c r="A268" s="18" t="str">
        <f aca="false">IF(C268="","",IFERROR(INDEX(Metrics!$A:$A,MATCH(C268,Metrics!$C:$C,0)),"Not found"))</f>
        <v/>
      </c>
      <c r="B268" s="18" t="str">
        <f aca="false">IF(D268="","",IFERROR(INDEX(Products!$A:$A,MATCH(D268,Products!$B:$B,0)),"Not found"))</f>
        <v/>
      </c>
      <c r="C268" s="20"/>
      <c r="D268" s="20"/>
      <c r="E268" s="20"/>
      <c r="F268" s="20"/>
      <c r="G268" s="20"/>
      <c r="H268" s="20"/>
      <c r="I268" s="20"/>
    </row>
    <row r="269" customFormat="false" ht="15" hidden="false" customHeight="false" outlineLevel="0" collapsed="false">
      <c r="A269" s="18" t="str">
        <f aca="false">IF(C269="","",IFERROR(INDEX(Metrics!$A:$A,MATCH(C269,Metrics!$C:$C,0)),"Not found"))</f>
        <v/>
      </c>
      <c r="B269" s="18" t="str">
        <f aca="false">IF(D269="","",IFERROR(INDEX(Products!$A:$A,MATCH(D269,Products!$B:$B,0)),"Not found"))</f>
        <v/>
      </c>
      <c r="C269" s="20"/>
      <c r="D269" s="20"/>
      <c r="E269" s="20"/>
      <c r="F269" s="20"/>
      <c r="G269" s="20"/>
      <c r="H269" s="20"/>
      <c r="I269" s="20"/>
    </row>
    <row r="270" customFormat="false" ht="15" hidden="false" customHeight="false" outlineLevel="0" collapsed="false">
      <c r="A270" s="18" t="str">
        <f aca="false">IF(C270="","",IFERROR(INDEX(Metrics!$A:$A,MATCH(C270,Metrics!$C:$C,0)),"Not found"))</f>
        <v/>
      </c>
      <c r="B270" s="18" t="str">
        <f aca="false">IF(D270="","",IFERROR(INDEX(Products!$A:$A,MATCH(D270,Products!$B:$B,0)),"Not found"))</f>
        <v/>
      </c>
      <c r="C270" s="20"/>
      <c r="D270" s="20"/>
      <c r="E270" s="20"/>
      <c r="F270" s="20"/>
      <c r="G270" s="20"/>
      <c r="H270" s="20"/>
      <c r="I270" s="20"/>
    </row>
    <row r="271" customFormat="false" ht="15" hidden="false" customHeight="false" outlineLevel="0" collapsed="false">
      <c r="A271" s="18" t="str">
        <f aca="false">IF(C271="","",IFERROR(INDEX(Metrics!$A:$A,MATCH(C271,Metrics!$C:$C,0)),"Not found"))</f>
        <v/>
      </c>
      <c r="B271" s="18" t="str">
        <f aca="false">IF(D271="","",IFERROR(INDEX(Products!$A:$A,MATCH(D271,Products!$B:$B,0)),"Not found"))</f>
        <v/>
      </c>
      <c r="C271" s="20"/>
      <c r="D271" s="20"/>
      <c r="E271" s="20"/>
      <c r="F271" s="20"/>
      <c r="G271" s="20"/>
      <c r="H271" s="20"/>
      <c r="I271" s="20"/>
    </row>
    <row r="272" customFormat="false" ht="15" hidden="false" customHeight="false" outlineLevel="0" collapsed="false">
      <c r="A272" s="18" t="str">
        <f aca="false">IF(C272="","",IFERROR(INDEX(Metrics!$A:$A,MATCH(C272,Metrics!$C:$C,0)),"Not found"))</f>
        <v/>
      </c>
      <c r="B272" s="18" t="str">
        <f aca="false">IF(D272="","",IFERROR(INDEX(Products!$A:$A,MATCH(D272,Products!$B:$B,0)),"Not found"))</f>
        <v/>
      </c>
      <c r="C272" s="20"/>
      <c r="D272" s="20"/>
      <c r="E272" s="20"/>
      <c r="F272" s="20"/>
      <c r="G272" s="20"/>
      <c r="H272" s="20"/>
      <c r="I272" s="20"/>
    </row>
    <row r="273" customFormat="false" ht="15" hidden="false" customHeight="false" outlineLevel="0" collapsed="false">
      <c r="A273" s="18" t="str">
        <f aca="false">IF(C273="","",IFERROR(INDEX(Metrics!$A:$A,MATCH(C273,Metrics!$C:$C,0)),"Not found"))</f>
        <v/>
      </c>
      <c r="B273" s="18" t="str">
        <f aca="false">IF(D273="","",IFERROR(INDEX(Products!$A:$A,MATCH(D273,Products!$B:$B,0)),"Not found"))</f>
        <v/>
      </c>
      <c r="C273" s="20"/>
      <c r="D273" s="20"/>
      <c r="E273" s="20"/>
      <c r="F273" s="20"/>
      <c r="G273" s="20"/>
      <c r="H273" s="20"/>
      <c r="I273" s="20"/>
    </row>
    <row r="274" customFormat="false" ht="15" hidden="false" customHeight="false" outlineLevel="0" collapsed="false">
      <c r="A274" s="18" t="str">
        <f aca="false">IF(C274="","",IFERROR(INDEX(Metrics!$A:$A,MATCH(C274,Metrics!$C:$C,0)),"Not found"))</f>
        <v/>
      </c>
      <c r="B274" s="18" t="str">
        <f aca="false">IF(D274="","",IFERROR(INDEX(Products!$A:$A,MATCH(D274,Products!$B:$B,0)),"Not found"))</f>
        <v/>
      </c>
      <c r="C274" s="20"/>
      <c r="D274" s="20"/>
      <c r="E274" s="20"/>
      <c r="F274" s="20"/>
      <c r="G274" s="20"/>
      <c r="H274" s="20"/>
      <c r="I274" s="20"/>
    </row>
    <row r="275" customFormat="false" ht="15" hidden="false" customHeight="false" outlineLevel="0" collapsed="false">
      <c r="A275" s="18" t="str">
        <f aca="false">IF(C275="","",IFERROR(INDEX(Metrics!$A:$A,MATCH(C275,Metrics!$C:$C,0)),"Not found"))</f>
        <v/>
      </c>
      <c r="B275" s="18" t="str">
        <f aca="false">IF(D275="","",IFERROR(INDEX(Products!$A:$A,MATCH(D275,Products!$B:$B,0)),"Not found"))</f>
        <v/>
      </c>
      <c r="C275" s="20"/>
      <c r="D275" s="20"/>
      <c r="E275" s="20"/>
      <c r="F275" s="20"/>
      <c r="G275" s="20"/>
      <c r="H275" s="20"/>
      <c r="I275" s="20"/>
    </row>
    <row r="276" customFormat="false" ht="15" hidden="false" customHeight="false" outlineLevel="0" collapsed="false">
      <c r="A276" s="18" t="str">
        <f aca="false">IF(C276="","",IFERROR(INDEX(Metrics!$A:$A,MATCH(C276,Metrics!$C:$C,0)),"Not found"))</f>
        <v/>
      </c>
      <c r="B276" s="18" t="str">
        <f aca="false">IF(D276="","",IFERROR(INDEX(Products!$A:$A,MATCH(D276,Products!$B:$B,0)),"Not found"))</f>
        <v/>
      </c>
      <c r="C276" s="20"/>
      <c r="D276" s="20"/>
      <c r="E276" s="20"/>
      <c r="F276" s="20"/>
      <c r="G276" s="20"/>
      <c r="H276" s="20"/>
      <c r="I276" s="20"/>
    </row>
    <row r="277" customFormat="false" ht="15" hidden="false" customHeight="false" outlineLevel="0" collapsed="false">
      <c r="A277" s="18" t="str">
        <f aca="false">IF(C277="","",IFERROR(INDEX(Metrics!$A:$A,MATCH(C277,Metrics!$C:$C,0)),"Not found"))</f>
        <v/>
      </c>
      <c r="B277" s="18" t="str">
        <f aca="false">IF(D277="","",IFERROR(INDEX(Products!$A:$A,MATCH(D277,Products!$B:$B,0)),"Not found"))</f>
        <v/>
      </c>
      <c r="C277" s="20"/>
      <c r="D277" s="20"/>
      <c r="E277" s="20"/>
      <c r="F277" s="20"/>
      <c r="G277" s="20"/>
      <c r="H277" s="20"/>
      <c r="I277" s="20"/>
    </row>
    <row r="278" customFormat="false" ht="15" hidden="false" customHeight="false" outlineLevel="0" collapsed="false">
      <c r="A278" s="18" t="str">
        <f aca="false">IF(C278="","",IFERROR(INDEX(Metrics!$A:$A,MATCH(C278,Metrics!$C:$C,0)),"Not found"))</f>
        <v/>
      </c>
      <c r="B278" s="18" t="str">
        <f aca="false">IF(D278="","",IFERROR(INDEX(Products!$A:$A,MATCH(D278,Products!$B:$B,0)),"Not found"))</f>
        <v/>
      </c>
      <c r="C278" s="20"/>
      <c r="D278" s="20"/>
      <c r="E278" s="20"/>
      <c r="F278" s="20"/>
      <c r="G278" s="20"/>
      <c r="H278" s="20"/>
      <c r="I278" s="20"/>
    </row>
    <row r="279" customFormat="false" ht="15" hidden="false" customHeight="false" outlineLevel="0" collapsed="false">
      <c r="A279" s="18" t="str">
        <f aca="false">IF(C279="","",IFERROR(INDEX(Metrics!$A:$A,MATCH(C279,Metrics!$C:$C,0)),"Not found"))</f>
        <v/>
      </c>
      <c r="B279" s="18" t="str">
        <f aca="false">IF(D279="","",IFERROR(INDEX(Products!$A:$A,MATCH(D279,Products!$B:$B,0)),"Not found"))</f>
        <v/>
      </c>
      <c r="C279" s="20"/>
      <c r="D279" s="20"/>
      <c r="E279" s="20"/>
      <c r="F279" s="20"/>
      <c r="G279" s="20"/>
      <c r="H279" s="20"/>
      <c r="I279" s="20"/>
    </row>
    <row r="280" customFormat="false" ht="15" hidden="false" customHeight="false" outlineLevel="0" collapsed="false">
      <c r="A280" s="18" t="str">
        <f aca="false">IF(C280="","",IFERROR(INDEX(Metrics!$A:$A,MATCH(C280,Metrics!$C:$C,0)),"Not found"))</f>
        <v/>
      </c>
      <c r="B280" s="18" t="str">
        <f aca="false">IF(D280="","",IFERROR(INDEX(Products!$A:$A,MATCH(D280,Products!$B:$B,0)),"Not found"))</f>
        <v/>
      </c>
      <c r="C280" s="20"/>
      <c r="D280" s="20"/>
      <c r="E280" s="20"/>
      <c r="F280" s="20"/>
      <c r="G280" s="20"/>
      <c r="H280" s="20"/>
      <c r="I280" s="20"/>
    </row>
    <row r="281" customFormat="false" ht="15" hidden="false" customHeight="false" outlineLevel="0" collapsed="false">
      <c r="A281" s="18" t="str">
        <f aca="false">IF(C281="","",IFERROR(INDEX(Metrics!$A:$A,MATCH(C281,Metrics!$C:$C,0)),"Not found"))</f>
        <v/>
      </c>
      <c r="B281" s="18" t="str">
        <f aca="false">IF(D281="","",IFERROR(INDEX(Products!$A:$A,MATCH(D281,Products!$B:$B,0)),"Not found"))</f>
        <v/>
      </c>
      <c r="C281" s="20"/>
      <c r="D281" s="20"/>
      <c r="E281" s="20"/>
      <c r="F281" s="20"/>
      <c r="G281" s="20"/>
      <c r="H281" s="20"/>
      <c r="I281" s="20"/>
    </row>
    <row r="282" customFormat="false" ht="15" hidden="false" customHeight="false" outlineLevel="0" collapsed="false">
      <c r="A282" s="18" t="str">
        <f aca="false">IF(C282="","",IFERROR(INDEX(Metrics!$A:$A,MATCH(C282,Metrics!$C:$C,0)),"Not found"))</f>
        <v/>
      </c>
      <c r="B282" s="18" t="str">
        <f aca="false">IF(D282="","",IFERROR(INDEX(Products!$A:$A,MATCH(D282,Products!$B:$B,0)),"Not found"))</f>
        <v/>
      </c>
      <c r="C282" s="20"/>
      <c r="D282" s="20"/>
      <c r="E282" s="20"/>
      <c r="F282" s="20"/>
      <c r="G282" s="20"/>
      <c r="H282" s="20"/>
      <c r="I282" s="20"/>
    </row>
    <row r="283" customFormat="false" ht="15" hidden="false" customHeight="false" outlineLevel="0" collapsed="false">
      <c r="A283" s="18" t="str">
        <f aca="false">IF(C283="","",IFERROR(INDEX(Metrics!$A:$A,MATCH(C283,Metrics!$C:$C,0)),"Not found"))</f>
        <v/>
      </c>
      <c r="B283" s="18" t="str">
        <f aca="false">IF(D283="","",IFERROR(INDEX(Products!$A:$A,MATCH(D283,Products!$B:$B,0)),"Not found"))</f>
        <v/>
      </c>
      <c r="C283" s="20"/>
      <c r="D283" s="20"/>
      <c r="E283" s="20"/>
      <c r="F283" s="20"/>
      <c r="G283" s="20"/>
      <c r="H283" s="20"/>
      <c r="I283" s="20"/>
    </row>
    <row r="284" customFormat="false" ht="15" hidden="false" customHeight="false" outlineLevel="0" collapsed="false">
      <c r="A284" s="18" t="str">
        <f aca="false">IF(C284="","",IFERROR(INDEX(Metrics!$A:$A,MATCH(C284,Metrics!$C:$C,0)),"Not found"))</f>
        <v/>
      </c>
      <c r="B284" s="18" t="str">
        <f aca="false">IF(D284="","",IFERROR(INDEX(Products!$A:$A,MATCH(D284,Products!$B:$B,0)),"Not found"))</f>
        <v/>
      </c>
      <c r="C284" s="20"/>
      <c r="D284" s="20"/>
      <c r="E284" s="20"/>
      <c r="F284" s="20"/>
      <c r="G284" s="20"/>
      <c r="H284" s="20"/>
      <c r="I284" s="20"/>
    </row>
    <row r="285" customFormat="false" ht="15" hidden="false" customHeight="false" outlineLevel="0" collapsed="false">
      <c r="A285" s="18" t="str">
        <f aca="false">IF(C285="","",IFERROR(INDEX(Metrics!$A:$A,MATCH(C285,Metrics!$C:$C,0)),"Not found"))</f>
        <v/>
      </c>
      <c r="B285" s="18" t="str">
        <f aca="false">IF(D285="","",IFERROR(INDEX(Products!$A:$A,MATCH(D285,Products!$B:$B,0)),"Not found"))</f>
        <v/>
      </c>
      <c r="C285" s="20"/>
      <c r="D285" s="20"/>
      <c r="E285" s="20"/>
      <c r="F285" s="20"/>
      <c r="G285" s="20"/>
      <c r="H285" s="20"/>
      <c r="I285" s="20"/>
    </row>
    <row r="286" customFormat="false" ht="15" hidden="false" customHeight="false" outlineLevel="0" collapsed="false">
      <c r="A286" s="18" t="str">
        <f aca="false">IF(C286="","",IFERROR(INDEX(Metrics!$A:$A,MATCH(C286,Metrics!$C:$C,0)),"Not found"))</f>
        <v/>
      </c>
      <c r="B286" s="18" t="str">
        <f aca="false">IF(D286="","",IFERROR(INDEX(Products!$A:$A,MATCH(D286,Products!$B:$B,0)),"Not found"))</f>
        <v/>
      </c>
      <c r="C286" s="20"/>
      <c r="D286" s="20"/>
      <c r="E286" s="20"/>
      <c r="F286" s="20"/>
      <c r="G286" s="20"/>
      <c r="H286" s="20"/>
      <c r="I286" s="20"/>
    </row>
    <row r="287" customFormat="false" ht="15" hidden="false" customHeight="false" outlineLevel="0" collapsed="false">
      <c r="A287" s="18" t="str">
        <f aca="false">IF(C287="","",IFERROR(INDEX(Metrics!$A:$A,MATCH(C287,Metrics!$C:$C,0)),"Not found"))</f>
        <v/>
      </c>
      <c r="B287" s="18" t="str">
        <f aca="false">IF(D287="","",IFERROR(INDEX(Products!$A:$A,MATCH(D287,Products!$B:$B,0)),"Not found"))</f>
        <v/>
      </c>
      <c r="C287" s="20"/>
      <c r="D287" s="20"/>
      <c r="E287" s="20"/>
      <c r="F287" s="20"/>
      <c r="G287" s="20"/>
      <c r="H287" s="20"/>
      <c r="I287" s="20"/>
    </row>
    <row r="288" customFormat="false" ht="15" hidden="false" customHeight="false" outlineLevel="0" collapsed="false">
      <c r="A288" s="18" t="str">
        <f aca="false">IF(C288="","",IFERROR(INDEX(Metrics!$A:$A,MATCH(C288,Metrics!$C:$C,0)),"Not found"))</f>
        <v/>
      </c>
      <c r="B288" s="18" t="str">
        <f aca="false">IF(D288="","",IFERROR(INDEX(Products!$A:$A,MATCH(D288,Products!$B:$B,0)),"Not found"))</f>
        <v/>
      </c>
      <c r="C288" s="20"/>
      <c r="D288" s="20"/>
      <c r="E288" s="20"/>
      <c r="F288" s="20"/>
      <c r="G288" s="20"/>
      <c r="H288" s="20"/>
      <c r="I288" s="20"/>
    </row>
    <row r="289" customFormat="false" ht="15" hidden="false" customHeight="false" outlineLevel="0" collapsed="false">
      <c r="A289" s="18" t="str">
        <f aca="false">IF(C289="","",IFERROR(INDEX(Metrics!$A:$A,MATCH(C289,Metrics!$C:$C,0)),"Not found"))</f>
        <v/>
      </c>
      <c r="B289" s="18" t="str">
        <f aca="false">IF(D289="","",IFERROR(INDEX(Products!$A:$A,MATCH(D289,Products!$B:$B,0)),"Not found"))</f>
        <v/>
      </c>
      <c r="C289" s="20"/>
      <c r="D289" s="20"/>
      <c r="E289" s="20"/>
      <c r="F289" s="20"/>
      <c r="G289" s="20"/>
      <c r="H289" s="20"/>
      <c r="I289" s="20"/>
    </row>
    <row r="290" customFormat="false" ht="15" hidden="false" customHeight="false" outlineLevel="0" collapsed="false">
      <c r="A290" s="18" t="str">
        <f aca="false">IF(C290="","",IFERROR(INDEX(Metrics!$A:$A,MATCH(C290,Metrics!$C:$C,0)),"Not found"))</f>
        <v/>
      </c>
      <c r="B290" s="18" t="str">
        <f aca="false">IF(D290="","",IFERROR(INDEX(Products!$A:$A,MATCH(D290,Products!$B:$B,0)),"Not found"))</f>
        <v/>
      </c>
      <c r="C290" s="20"/>
      <c r="D290" s="20"/>
      <c r="E290" s="20"/>
      <c r="F290" s="20"/>
      <c r="G290" s="20"/>
      <c r="H290" s="20"/>
      <c r="I290" s="20"/>
    </row>
    <row r="291" customFormat="false" ht="15" hidden="false" customHeight="false" outlineLevel="0" collapsed="false">
      <c r="A291" s="18" t="str">
        <f aca="false">IF(C291="","",IFERROR(INDEX(Metrics!$A:$A,MATCH(C291,Metrics!$C:$C,0)),"Not found"))</f>
        <v/>
      </c>
      <c r="B291" s="18" t="str">
        <f aca="false">IF(D291="","",IFERROR(INDEX(Products!$A:$A,MATCH(D291,Products!$B:$B,0)),"Not found"))</f>
        <v/>
      </c>
      <c r="C291" s="20"/>
      <c r="D291" s="20"/>
      <c r="E291" s="20"/>
      <c r="F291" s="20"/>
      <c r="G291" s="20"/>
      <c r="H291" s="20"/>
      <c r="I291" s="20"/>
    </row>
    <row r="292" customFormat="false" ht="15" hidden="false" customHeight="false" outlineLevel="0" collapsed="false">
      <c r="A292" s="18" t="str">
        <f aca="false">IF(C292="","",IFERROR(INDEX(Metrics!$A:$A,MATCH(C292,Metrics!$C:$C,0)),"Not found"))</f>
        <v/>
      </c>
      <c r="B292" s="18" t="str">
        <f aca="false">IF(D292="","",IFERROR(INDEX(Products!$A:$A,MATCH(D292,Products!$B:$B,0)),"Not found"))</f>
        <v/>
      </c>
      <c r="C292" s="20"/>
      <c r="D292" s="20"/>
      <c r="E292" s="20"/>
      <c r="F292" s="20"/>
      <c r="G292" s="20"/>
      <c r="H292" s="20"/>
      <c r="I292" s="20"/>
    </row>
    <row r="293" customFormat="false" ht="15" hidden="false" customHeight="false" outlineLevel="0" collapsed="false">
      <c r="A293" s="18" t="str">
        <f aca="false">IF(C293="","",IFERROR(INDEX(Metrics!$A:$A,MATCH(C293,Metrics!$C:$C,0)),"Not found"))</f>
        <v/>
      </c>
      <c r="B293" s="18" t="str">
        <f aca="false">IF(D293="","",IFERROR(INDEX(Products!$A:$A,MATCH(D293,Products!$B:$B,0)),"Not found"))</f>
        <v/>
      </c>
      <c r="C293" s="20"/>
      <c r="D293" s="20"/>
      <c r="E293" s="20"/>
      <c r="F293" s="20"/>
      <c r="G293" s="20"/>
      <c r="H293" s="20"/>
      <c r="I293" s="20"/>
    </row>
    <row r="294" customFormat="false" ht="15" hidden="false" customHeight="false" outlineLevel="0" collapsed="false">
      <c r="A294" s="18" t="str">
        <f aca="false">IF(C294="","",IFERROR(INDEX(Metrics!$A:$A,MATCH(C294,Metrics!$C:$C,0)),"Not found"))</f>
        <v/>
      </c>
      <c r="B294" s="18" t="str">
        <f aca="false">IF(D294="","",IFERROR(INDEX(Products!$A:$A,MATCH(D294,Products!$B:$B,0)),"Not found"))</f>
        <v/>
      </c>
      <c r="C294" s="20"/>
      <c r="D294" s="20"/>
      <c r="E294" s="20"/>
      <c r="F294" s="20"/>
      <c r="G294" s="20"/>
      <c r="H294" s="20"/>
      <c r="I294" s="20"/>
    </row>
    <row r="295" customFormat="false" ht="15" hidden="false" customHeight="false" outlineLevel="0" collapsed="false">
      <c r="A295" s="18" t="str">
        <f aca="false">IF(C295="","",IFERROR(INDEX(Metrics!$A:$A,MATCH(C295,Metrics!$C:$C,0)),"Not found"))</f>
        <v/>
      </c>
      <c r="B295" s="18" t="str">
        <f aca="false">IF(D295="","",IFERROR(INDEX(Products!$A:$A,MATCH(D295,Products!$B:$B,0)),"Not found"))</f>
        <v/>
      </c>
      <c r="C295" s="20"/>
      <c r="D295" s="20"/>
      <c r="E295" s="20"/>
      <c r="F295" s="20"/>
      <c r="G295" s="20"/>
      <c r="H295" s="20"/>
      <c r="I295" s="20"/>
    </row>
    <row r="296" customFormat="false" ht="15" hidden="false" customHeight="false" outlineLevel="0" collapsed="false">
      <c r="A296" s="18" t="str">
        <f aca="false">IF(C296="","",IFERROR(INDEX(Metrics!$A:$A,MATCH(C296,Metrics!$C:$C,0)),"Not found"))</f>
        <v/>
      </c>
      <c r="B296" s="18" t="str">
        <f aca="false">IF(D296="","",IFERROR(INDEX(Products!$A:$A,MATCH(D296,Products!$B:$B,0)),"Not found"))</f>
        <v/>
      </c>
      <c r="C296" s="20"/>
      <c r="D296" s="20"/>
      <c r="E296" s="20"/>
      <c r="F296" s="20"/>
      <c r="G296" s="20"/>
      <c r="H296" s="20"/>
      <c r="I296" s="20"/>
    </row>
    <row r="297" customFormat="false" ht="15" hidden="false" customHeight="false" outlineLevel="0" collapsed="false">
      <c r="A297" s="18" t="str">
        <f aca="false">IF(C297="","",IFERROR(INDEX(Metrics!$A:$A,MATCH(C297,Metrics!$C:$C,0)),"Not found"))</f>
        <v/>
      </c>
      <c r="B297" s="18" t="str">
        <f aca="false">IF(D297="","",IFERROR(INDEX(Products!$A:$A,MATCH(D297,Products!$B:$B,0)),"Not found"))</f>
        <v/>
      </c>
      <c r="C297" s="20"/>
      <c r="D297" s="20"/>
      <c r="E297" s="20"/>
      <c r="F297" s="20"/>
      <c r="G297" s="20"/>
      <c r="H297" s="20"/>
      <c r="I297" s="20"/>
    </row>
    <row r="298" customFormat="false" ht="15" hidden="false" customHeight="false" outlineLevel="0" collapsed="false">
      <c r="A298" s="18" t="str">
        <f aca="false">IF(C298="","",IFERROR(INDEX(Metrics!$A:$A,MATCH(C298,Metrics!$C:$C,0)),"Not found"))</f>
        <v/>
      </c>
      <c r="B298" s="18" t="str">
        <f aca="false">IF(D298="","",IFERROR(INDEX(Products!$A:$A,MATCH(D298,Products!$B:$B,0)),"Not found"))</f>
        <v/>
      </c>
      <c r="C298" s="20"/>
      <c r="D298" s="20"/>
      <c r="E298" s="20"/>
      <c r="F298" s="20"/>
      <c r="G298" s="20"/>
      <c r="H298" s="20"/>
      <c r="I298" s="20"/>
    </row>
    <row r="299" customFormat="false" ht="15" hidden="false" customHeight="false" outlineLevel="0" collapsed="false">
      <c r="A299" s="18" t="str">
        <f aca="false">IF(C299="","",IFERROR(INDEX(Metrics!$A:$A,MATCH(C299,Metrics!$C:$C,0)),"Not found"))</f>
        <v/>
      </c>
      <c r="B299" s="18" t="str">
        <f aca="false">IF(D299="","",IFERROR(INDEX(Products!$A:$A,MATCH(D299,Products!$B:$B,0)),"Not found"))</f>
        <v/>
      </c>
      <c r="C299" s="20"/>
      <c r="D299" s="20"/>
      <c r="E299" s="20"/>
      <c r="F299" s="20"/>
      <c r="G299" s="20"/>
      <c r="H299" s="20"/>
      <c r="I299" s="20"/>
    </row>
    <row r="300" customFormat="false" ht="15" hidden="false" customHeight="false" outlineLevel="0" collapsed="false">
      <c r="A300" s="18" t="str">
        <f aca="false">IF(C300="","",IFERROR(INDEX(Metrics!$A:$A,MATCH(C300,Metrics!$C:$C,0)),"Not found"))</f>
        <v/>
      </c>
      <c r="B300" s="18" t="str">
        <f aca="false">IF(D300="","",IFERROR(INDEX(Products!$A:$A,MATCH(D300,Products!$B:$B,0)),"Not found"))</f>
        <v/>
      </c>
      <c r="C300" s="20"/>
      <c r="D300" s="20"/>
      <c r="E300" s="20"/>
      <c r="F300" s="20"/>
      <c r="G300" s="20"/>
      <c r="H300" s="20"/>
      <c r="I300" s="20"/>
    </row>
    <row r="301" customFormat="false" ht="15" hidden="false" customHeight="false" outlineLevel="0" collapsed="false">
      <c r="A301" s="18" t="str">
        <f aca="false">IF(C301="","",IFERROR(INDEX(Metrics!$A:$A,MATCH(C301,Metrics!$C:$C,0)),"Not found"))</f>
        <v/>
      </c>
      <c r="B301" s="18" t="str">
        <f aca="false">IF(D301="","",IFERROR(INDEX(Products!$A:$A,MATCH(D301,Products!$B:$B,0)),"Not found"))</f>
        <v/>
      </c>
      <c r="C301" s="20"/>
      <c r="D301" s="20"/>
      <c r="E301" s="20"/>
      <c r="F301" s="20"/>
      <c r="G301" s="20"/>
      <c r="H301" s="20"/>
      <c r="I301" s="20"/>
    </row>
    <row r="302" customFormat="false" ht="15" hidden="false" customHeight="false" outlineLevel="0" collapsed="false">
      <c r="A302" s="18" t="str">
        <f aca="false">IF(C302="","",IFERROR(INDEX(Metrics!$A:$A,MATCH(C302,Metrics!$C:$C,0)),"Not found"))</f>
        <v/>
      </c>
      <c r="B302" s="18" t="str">
        <f aca="false">IF(D302="","",IFERROR(INDEX(Products!$A:$A,MATCH(D302,Products!$B:$B,0)),"Not found"))</f>
        <v/>
      </c>
      <c r="C302" s="20"/>
      <c r="D302" s="20"/>
      <c r="E302" s="20"/>
      <c r="F302" s="20"/>
      <c r="G302" s="20"/>
      <c r="H302" s="20"/>
      <c r="I302" s="20"/>
    </row>
    <row r="303" customFormat="false" ht="15" hidden="false" customHeight="false" outlineLevel="0" collapsed="false">
      <c r="A303" s="18" t="str">
        <f aca="false">IF(C303="","",IFERROR(INDEX(Metrics!$A:$A,MATCH(C303,Metrics!$C:$C,0)),"Not found"))</f>
        <v/>
      </c>
      <c r="B303" s="18" t="str">
        <f aca="false">IF(D303="","",IFERROR(INDEX(Products!$A:$A,MATCH(D303,Products!$B:$B,0)),"Not found"))</f>
        <v/>
      </c>
      <c r="C303" s="20"/>
      <c r="D303" s="20"/>
      <c r="E303" s="20"/>
      <c r="F303" s="20"/>
      <c r="G303" s="20"/>
      <c r="H303" s="20"/>
      <c r="I303" s="20"/>
    </row>
    <row r="304" customFormat="false" ht="15" hidden="false" customHeight="false" outlineLevel="0" collapsed="false">
      <c r="A304" s="18" t="str">
        <f aca="false">IF(C304="","",IFERROR(INDEX(Metrics!$A:$A,MATCH(C304,Metrics!$C:$C,0)),"Not found"))</f>
        <v/>
      </c>
      <c r="B304" s="18" t="str">
        <f aca="false">IF(D304="","",IFERROR(INDEX(Products!$A:$A,MATCH(D304,Products!$B:$B,0)),"Not found"))</f>
        <v/>
      </c>
      <c r="C304" s="20"/>
      <c r="D304" s="20"/>
      <c r="E304" s="20"/>
      <c r="F304" s="20"/>
      <c r="G304" s="20"/>
      <c r="H304" s="20"/>
      <c r="I304" s="20"/>
    </row>
    <row r="305" customFormat="false" ht="15" hidden="false" customHeight="false" outlineLevel="0" collapsed="false">
      <c r="A305" s="18" t="str">
        <f aca="false">IF(C305="","",IFERROR(INDEX(Metrics!$A:$A,MATCH(C305,Metrics!$C:$C,0)),"Not found"))</f>
        <v/>
      </c>
      <c r="B305" s="18" t="str">
        <f aca="false">IF(D305="","",IFERROR(INDEX(Products!$A:$A,MATCH(D305,Products!$B:$B,0)),"Not found"))</f>
        <v/>
      </c>
      <c r="C305" s="20"/>
      <c r="D305" s="20"/>
      <c r="E305" s="20"/>
      <c r="F305" s="20"/>
      <c r="G305" s="20"/>
      <c r="H305" s="20"/>
      <c r="I305" s="20"/>
    </row>
    <row r="306" customFormat="false" ht="15" hidden="false" customHeight="false" outlineLevel="0" collapsed="false">
      <c r="A306" s="18" t="str">
        <f aca="false">IF(C306="","",IFERROR(INDEX(Metrics!$A:$A,MATCH(C306,Metrics!$C:$C,0)),"Not found"))</f>
        <v/>
      </c>
      <c r="B306" s="18" t="str">
        <f aca="false">IF(D306="","",IFERROR(INDEX(Products!$A:$A,MATCH(D306,Products!$B:$B,0)),"Not found"))</f>
        <v/>
      </c>
      <c r="C306" s="20"/>
      <c r="D306" s="20"/>
      <c r="E306" s="20"/>
      <c r="F306" s="20"/>
      <c r="G306" s="20"/>
      <c r="H306" s="20"/>
      <c r="I306" s="20"/>
    </row>
    <row r="307" customFormat="false" ht="15" hidden="false" customHeight="false" outlineLevel="0" collapsed="false">
      <c r="A307" s="18" t="str">
        <f aca="false">IF(C307="","",IFERROR(INDEX(Metrics!$A:$A,MATCH(C307,Metrics!$C:$C,0)),"Not found"))</f>
        <v/>
      </c>
      <c r="B307" s="18" t="str">
        <f aca="false">IF(D307="","",IFERROR(INDEX(Products!$A:$A,MATCH(D307,Products!$B:$B,0)),"Not found"))</f>
        <v/>
      </c>
      <c r="C307" s="20"/>
      <c r="D307" s="20"/>
      <c r="E307" s="20"/>
      <c r="F307" s="20"/>
      <c r="G307" s="20"/>
      <c r="H307" s="20"/>
      <c r="I307" s="20"/>
    </row>
    <row r="308" customFormat="false" ht="15" hidden="false" customHeight="false" outlineLevel="0" collapsed="false">
      <c r="A308" s="18" t="str">
        <f aca="false">IF(C308="","",IFERROR(INDEX(Metrics!$A:$A,MATCH(C308,Metrics!$C:$C,0)),"Not found"))</f>
        <v/>
      </c>
      <c r="B308" s="18" t="str">
        <f aca="false">IF(D308="","",IFERROR(INDEX(Products!$A:$A,MATCH(D308,Products!$B:$B,0)),"Not found"))</f>
        <v/>
      </c>
      <c r="C308" s="20"/>
      <c r="D308" s="20"/>
      <c r="E308" s="20"/>
      <c r="F308" s="20"/>
      <c r="G308" s="20"/>
      <c r="H308" s="20"/>
      <c r="I308" s="20"/>
    </row>
    <row r="309" customFormat="false" ht="15" hidden="false" customHeight="false" outlineLevel="0" collapsed="false">
      <c r="A309" s="18" t="str">
        <f aca="false">IF(C309="","",IFERROR(INDEX(Metrics!$A:$A,MATCH(C309,Metrics!$C:$C,0)),"Not found"))</f>
        <v/>
      </c>
      <c r="B309" s="18" t="str">
        <f aca="false">IF(D309="","",IFERROR(INDEX(Products!$A:$A,MATCH(D309,Products!$B:$B,0)),"Not found"))</f>
        <v/>
      </c>
      <c r="C309" s="20"/>
      <c r="D309" s="20"/>
      <c r="E309" s="20"/>
      <c r="F309" s="20"/>
      <c r="G309" s="20"/>
      <c r="H309" s="20"/>
      <c r="I309" s="20"/>
    </row>
    <row r="310" customFormat="false" ht="15" hidden="false" customHeight="false" outlineLevel="0" collapsed="false">
      <c r="A310" s="18" t="str">
        <f aca="false">IF(C310="","",IFERROR(INDEX(Metrics!$A:$A,MATCH(C310,Metrics!$C:$C,0)),"Not found"))</f>
        <v/>
      </c>
      <c r="B310" s="18" t="str">
        <f aca="false">IF(D310="","",IFERROR(INDEX(Products!$A:$A,MATCH(D310,Products!$B:$B,0)),"Not found"))</f>
        <v/>
      </c>
      <c r="C310" s="20"/>
      <c r="D310" s="20"/>
      <c r="E310" s="20"/>
      <c r="F310" s="20"/>
      <c r="G310" s="20"/>
      <c r="H310" s="20"/>
      <c r="I310" s="20"/>
    </row>
    <row r="311" customFormat="false" ht="15" hidden="false" customHeight="false" outlineLevel="0" collapsed="false">
      <c r="A311" s="18" t="str">
        <f aca="false">IF(C311="","",IFERROR(INDEX(Metrics!$A:$A,MATCH(C311,Metrics!$C:$C,0)),"Not found"))</f>
        <v/>
      </c>
      <c r="B311" s="18" t="str">
        <f aca="false">IF(D311="","",IFERROR(INDEX(Products!$A:$A,MATCH(D311,Products!$B:$B,0)),"Not found"))</f>
        <v/>
      </c>
      <c r="C311" s="20"/>
      <c r="D311" s="20"/>
      <c r="E311" s="20"/>
      <c r="F311" s="20"/>
      <c r="G311" s="20"/>
      <c r="H311" s="20"/>
      <c r="I311" s="20"/>
    </row>
    <row r="312" customFormat="false" ht="15" hidden="false" customHeight="false" outlineLevel="0" collapsed="false">
      <c r="A312" s="18" t="str">
        <f aca="false">IF(C312="","",IFERROR(INDEX(Metrics!$A:$A,MATCH(C312,Metrics!$C:$C,0)),"Not found"))</f>
        <v/>
      </c>
      <c r="B312" s="18" t="str">
        <f aca="false">IF(D312="","",IFERROR(INDEX(Products!$A:$A,MATCH(D312,Products!$B:$B,0)),"Not found"))</f>
        <v/>
      </c>
      <c r="C312" s="20"/>
      <c r="D312" s="20"/>
      <c r="E312" s="20"/>
      <c r="F312" s="20"/>
      <c r="G312" s="20"/>
      <c r="H312" s="20"/>
      <c r="I312" s="20"/>
    </row>
    <row r="313" customFormat="false" ht="15" hidden="false" customHeight="false" outlineLevel="0" collapsed="false">
      <c r="A313" s="18" t="str">
        <f aca="false">IF(C313="","",IFERROR(INDEX(Metrics!$A:$A,MATCH(C313,Metrics!$C:$C,0)),"Not found"))</f>
        <v/>
      </c>
      <c r="B313" s="18" t="str">
        <f aca="false">IF(D313="","",IFERROR(INDEX(Products!$A:$A,MATCH(D313,Products!$B:$B,0)),"Not found"))</f>
        <v/>
      </c>
      <c r="C313" s="20"/>
      <c r="D313" s="20"/>
      <c r="E313" s="20"/>
      <c r="F313" s="20"/>
      <c r="G313" s="20"/>
      <c r="H313" s="20"/>
      <c r="I313" s="20"/>
    </row>
    <row r="314" customFormat="false" ht="15" hidden="false" customHeight="false" outlineLevel="0" collapsed="false">
      <c r="A314" s="18" t="str">
        <f aca="false">IF(C314="","",IFERROR(INDEX(Metrics!$A:$A,MATCH(C314,Metrics!$C:$C,0)),"Not found"))</f>
        <v/>
      </c>
      <c r="B314" s="18" t="str">
        <f aca="false">IF(D314="","",IFERROR(INDEX(Products!$A:$A,MATCH(D314,Products!$B:$B,0)),"Not found"))</f>
        <v/>
      </c>
      <c r="C314" s="20"/>
      <c r="D314" s="20"/>
      <c r="E314" s="20"/>
      <c r="F314" s="20"/>
      <c r="G314" s="20"/>
      <c r="H314" s="20"/>
      <c r="I314" s="20"/>
    </row>
    <row r="315" customFormat="false" ht="15" hidden="false" customHeight="false" outlineLevel="0" collapsed="false">
      <c r="A315" s="18" t="str">
        <f aca="false">IF(C315="","",IFERROR(INDEX(Metrics!$A:$A,MATCH(C315,Metrics!$C:$C,0)),"Not found"))</f>
        <v/>
      </c>
      <c r="B315" s="18" t="str">
        <f aca="false">IF(D315="","",IFERROR(INDEX(Products!$A:$A,MATCH(D315,Products!$B:$B,0)),"Not found"))</f>
        <v/>
      </c>
      <c r="C315" s="20"/>
      <c r="D315" s="20"/>
      <c r="E315" s="20"/>
      <c r="F315" s="20"/>
      <c r="G315" s="20"/>
      <c r="H315" s="20"/>
      <c r="I315" s="20"/>
    </row>
    <row r="316" customFormat="false" ht="15" hidden="false" customHeight="false" outlineLevel="0" collapsed="false">
      <c r="A316" s="18" t="str">
        <f aca="false">IF(C316="","",IFERROR(INDEX(Metrics!$A:$A,MATCH(C316,Metrics!$C:$C,0)),"Not found"))</f>
        <v/>
      </c>
      <c r="B316" s="18" t="str">
        <f aca="false">IF(D316="","",IFERROR(INDEX(Products!$A:$A,MATCH(D316,Products!$B:$B,0)),"Not found"))</f>
        <v/>
      </c>
      <c r="C316" s="20"/>
      <c r="D316" s="20"/>
      <c r="E316" s="20"/>
      <c r="F316" s="20"/>
      <c r="G316" s="20"/>
      <c r="H316" s="20"/>
      <c r="I316" s="20"/>
    </row>
    <row r="317" customFormat="false" ht="15" hidden="false" customHeight="false" outlineLevel="0" collapsed="false">
      <c r="A317" s="18" t="str">
        <f aca="false">IF(C317="","",IFERROR(INDEX(Metrics!$A:$A,MATCH(C317,Metrics!$C:$C,0)),"Not found"))</f>
        <v/>
      </c>
      <c r="B317" s="18" t="str">
        <f aca="false">IF(D317="","",IFERROR(INDEX(Products!$A:$A,MATCH(D317,Products!$B:$B,0)),"Not found"))</f>
        <v/>
      </c>
      <c r="C317" s="20"/>
      <c r="D317" s="20"/>
      <c r="E317" s="20"/>
      <c r="F317" s="20"/>
      <c r="G317" s="20"/>
      <c r="H317" s="20"/>
      <c r="I317" s="20"/>
    </row>
    <row r="318" customFormat="false" ht="15" hidden="false" customHeight="false" outlineLevel="0" collapsed="false">
      <c r="A318" s="18" t="str">
        <f aca="false">IF(C318="","",IFERROR(INDEX(Metrics!$A:$A,MATCH(C318,Metrics!$C:$C,0)),"Not found"))</f>
        <v/>
      </c>
      <c r="B318" s="18" t="str">
        <f aca="false">IF(D318="","",IFERROR(INDEX(Products!$A:$A,MATCH(D318,Products!$B:$B,0)),"Not found"))</f>
        <v/>
      </c>
      <c r="C318" s="20"/>
      <c r="D318" s="20"/>
      <c r="E318" s="20"/>
      <c r="F318" s="20"/>
      <c r="G318" s="20"/>
      <c r="H318" s="20"/>
      <c r="I318" s="20"/>
    </row>
    <row r="319" customFormat="false" ht="15" hidden="false" customHeight="false" outlineLevel="0" collapsed="false">
      <c r="A319" s="18" t="str">
        <f aca="false">IF(C319="","",IFERROR(INDEX(Metrics!$A:$A,MATCH(C319,Metrics!$C:$C,0)),"Not found"))</f>
        <v/>
      </c>
      <c r="B319" s="18" t="str">
        <f aca="false">IF(D319="","",IFERROR(INDEX(Products!$A:$A,MATCH(D319,Products!$B:$B,0)),"Not found"))</f>
        <v/>
      </c>
      <c r="C319" s="20"/>
      <c r="D319" s="20"/>
      <c r="E319" s="20"/>
      <c r="F319" s="20"/>
      <c r="G319" s="20"/>
      <c r="H319" s="20"/>
      <c r="I319" s="20"/>
    </row>
    <row r="320" customFormat="false" ht="15" hidden="false" customHeight="false" outlineLevel="0" collapsed="false">
      <c r="A320" s="18" t="str">
        <f aca="false">IF(C320="","",IFERROR(INDEX(Metrics!$A:$A,MATCH(C320,Metrics!$C:$C,0)),"Not found"))</f>
        <v/>
      </c>
      <c r="B320" s="18" t="str">
        <f aca="false">IF(D320="","",IFERROR(INDEX(Products!$A:$A,MATCH(D320,Products!$B:$B,0)),"Not found"))</f>
        <v/>
      </c>
      <c r="C320" s="20"/>
      <c r="D320" s="20"/>
      <c r="E320" s="20"/>
      <c r="F320" s="20"/>
      <c r="G320" s="20"/>
      <c r="H320" s="20"/>
      <c r="I320" s="20"/>
    </row>
    <row r="321" customFormat="false" ht="15" hidden="false" customHeight="false" outlineLevel="0" collapsed="false">
      <c r="A321" s="18" t="str">
        <f aca="false">IF(C321="","",IFERROR(INDEX(Metrics!$A:$A,MATCH(C321,Metrics!$C:$C,0)),"Not found"))</f>
        <v/>
      </c>
      <c r="B321" s="18" t="str">
        <f aca="false">IF(D321="","",IFERROR(INDEX(Products!$A:$A,MATCH(D321,Products!$B:$B,0)),"Not found"))</f>
        <v/>
      </c>
      <c r="C321" s="20"/>
      <c r="D321" s="20"/>
      <c r="E321" s="20"/>
      <c r="F321" s="20"/>
      <c r="G321" s="20"/>
      <c r="H321" s="20"/>
      <c r="I321" s="20"/>
    </row>
    <row r="322" customFormat="false" ht="15" hidden="false" customHeight="false" outlineLevel="0" collapsed="false">
      <c r="A322" s="18" t="str">
        <f aca="false">IF(C322="","",IFERROR(INDEX(Metrics!$A:$A,MATCH(C322,Metrics!$C:$C,0)),"Not found"))</f>
        <v/>
      </c>
      <c r="B322" s="18" t="str">
        <f aca="false">IF(D322="","",IFERROR(INDEX(Products!$A:$A,MATCH(D322,Products!$B:$B,0)),"Not found"))</f>
        <v/>
      </c>
      <c r="C322" s="20"/>
      <c r="D322" s="20"/>
      <c r="E322" s="20"/>
      <c r="F322" s="20"/>
      <c r="G322" s="20"/>
      <c r="H322" s="20"/>
      <c r="I322" s="20"/>
    </row>
    <row r="323" customFormat="false" ht="15" hidden="false" customHeight="false" outlineLevel="0" collapsed="false">
      <c r="A323" s="18" t="str">
        <f aca="false">IF(C323="","",IFERROR(INDEX(Metrics!$A:$A,MATCH(C323,Metrics!$C:$C,0)),"Not found"))</f>
        <v/>
      </c>
      <c r="B323" s="18" t="str">
        <f aca="false">IF(D323="","",IFERROR(INDEX(Products!$A:$A,MATCH(D323,Products!$B:$B,0)),"Not found"))</f>
        <v/>
      </c>
      <c r="C323" s="20"/>
      <c r="D323" s="20"/>
      <c r="E323" s="20"/>
      <c r="F323" s="20"/>
      <c r="G323" s="20"/>
      <c r="H323" s="20"/>
      <c r="I323" s="20"/>
    </row>
    <row r="324" customFormat="false" ht="15" hidden="false" customHeight="false" outlineLevel="0" collapsed="false">
      <c r="A324" s="18" t="str">
        <f aca="false">IF(C324="","",IFERROR(INDEX(Metrics!$A:$A,MATCH(C324,Metrics!$C:$C,0)),"Not found"))</f>
        <v/>
      </c>
      <c r="B324" s="18" t="str">
        <f aca="false">IF(D324="","",IFERROR(INDEX(Products!$A:$A,MATCH(D324,Products!$B:$B,0)),"Not found"))</f>
        <v/>
      </c>
      <c r="C324" s="20"/>
      <c r="D324" s="20"/>
      <c r="E324" s="20"/>
      <c r="F324" s="20"/>
      <c r="G324" s="20"/>
      <c r="H324" s="20"/>
      <c r="I324" s="20"/>
    </row>
    <row r="325" customFormat="false" ht="15" hidden="false" customHeight="false" outlineLevel="0" collapsed="false">
      <c r="A325" s="18" t="str">
        <f aca="false">IF(C325="","",IFERROR(INDEX(Metrics!$A:$A,MATCH(C325,Metrics!$C:$C,0)),"Not found"))</f>
        <v/>
      </c>
      <c r="B325" s="18" t="str">
        <f aca="false">IF(D325="","",IFERROR(INDEX(Products!$A:$A,MATCH(D325,Products!$B:$B,0)),"Not found"))</f>
        <v/>
      </c>
      <c r="C325" s="20"/>
      <c r="D325" s="20"/>
      <c r="E325" s="20"/>
      <c r="F325" s="20"/>
      <c r="G325" s="20"/>
      <c r="H325" s="20"/>
      <c r="I325" s="20"/>
    </row>
    <row r="326" customFormat="false" ht="15" hidden="false" customHeight="false" outlineLevel="0" collapsed="false">
      <c r="A326" s="18" t="str">
        <f aca="false">IF(C326="","",IFERROR(INDEX(Metrics!$A:$A,MATCH(C326,Metrics!$C:$C,0)),"Not found"))</f>
        <v/>
      </c>
      <c r="B326" s="18" t="str">
        <f aca="false">IF(D326="","",IFERROR(INDEX(Products!$A:$A,MATCH(D326,Products!$B:$B,0)),"Not found"))</f>
        <v/>
      </c>
      <c r="C326" s="20"/>
      <c r="D326" s="20"/>
      <c r="E326" s="20"/>
      <c r="F326" s="20"/>
      <c r="G326" s="20"/>
      <c r="H326" s="20"/>
      <c r="I326" s="20"/>
    </row>
    <row r="327" customFormat="false" ht="15" hidden="false" customHeight="false" outlineLevel="0" collapsed="false">
      <c r="A327" s="18" t="str">
        <f aca="false">IF(C327="","",IFERROR(INDEX(Metrics!$A:$A,MATCH(C327,Metrics!$C:$C,0)),"Not found"))</f>
        <v/>
      </c>
      <c r="B327" s="18" t="str">
        <f aca="false">IF(D327="","",IFERROR(INDEX(Products!$A:$A,MATCH(D327,Products!$B:$B,0)),"Not found"))</f>
        <v/>
      </c>
      <c r="C327" s="20"/>
      <c r="D327" s="20"/>
      <c r="E327" s="20"/>
      <c r="F327" s="20"/>
      <c r="G327" s="20"/>
      <c r="H327" s="20"/>
      <c r="I327" s="20"/>
    </row>
    <row r="328" customFormat="false" ht="15" hidden="false" customHeight="false" outlineLevel="0" collapsed="false">
      <c r="A328" s="18" t="str">
        <f aca="false">IF(C328="","",IFERROR(INDEX(Metrics!$A:$A,MATCH(C328,Metrics!$C:$C,0)),"Not found"))</f>
        <v/>
      </c>
      <c r="B328" s="18" t="str">
        <f aca="false">IF(D328="","",IFERROR(INDEX(Products!$A:$A,MATCH(D328,Products!$B:$B,0)),"Not found"))</f>
        <v/>
      </c>
      <c r="C328" s="20"/>
      <c r="D328" s="20"/>
      <c r="E328" s="20"/>
      <c r="F328" s="20"/>
      <c r="G328" s="20"/>
      <c r="H328" s="20"/>
      <c r="I328" s="20"/>
    </row>
    <row r="329" customFormat="false" ht="15" hidden="false" customHeight="false" outlineLevel="0" collapsed="false">
      <c r="A329" s="18" t="str">
        <f aca="false">IF(C329="","",IFERROR(INDEX(Metrics!$A:$A,MATCH(C329,Metrics!$C:$C,0)),"Not found"))</f>
        <v/>
      </c>
      <c r="B329" s="18" t="str">
        <f aca="false">IF(D329="","",IFERROR(INDEX(Products!$A:$A,MATCH(D329,Products!$B:$B,0)),"Not found"))</f>
        <v/>
      </c>
      <c r="C329" s="20"/>
      <c r="D329" s="20"/>
      <c r="E329" s="20"/>
      <c r="F329" s="20"/>
      <c r="G329" s="20"/>
      <c r="H329" s="20"/>
      <c r="I329" s="20"/>
    </row>
    <row r="330" customFormat="false" ht="15" hidden="false" customHeight="false" outlineLevel="0" collapsed="false">
      <c r="A330" s="18" t="str">
        <f aca="false">IF(C330="","",IFERROR(INDEX(Metrics!$A:$A,MATCH(C330,Metrics!$C:$C,0)),"Not found"))</f>
        <v/>
      </c>
      <c r="B330" s="18" t="str">
        <f aca="false">IF(D330="","",IFERROR(INDEX(Products!$A:$A,MATCH(D330,Products!$B:$B,0)),"Not found"))</f>
        <v/>
      </c>
      <c r="C330" s="20"/>
      <c r="D330" s="20"/>
      <c r="E330" s="20"/>
      <c r="F330" s="20"/>
      <c r="G330" s="20"/>
      <c r="H330" s="20"/>
      <c r="I330" s="20"/>
    </row>
    <row r="331" customFormat="false" ht="15" hidden="false" customHeight="false" outlineLevel="0" collapsed="false">
      <c r="A331" s="18" t="str">
        <f aca="false">IF(C331="","",IFERROR(INDEX(Metrics!$A:$A,MATCH(C331,Metrics!$C:$C,0)),"Not found"))</f>
        <v/>
      </c>
      <c r="B331" s="18" t="str">
        <f aca="false">IF(D331="","",IFERROR(INDEX(Products!$A:$A,MATCH(D331,Products!$B:$B,0)),"Not found"))</f>
        <v/>
      </c>
      <c r="C331" s="20"/>
      <c r="D331" s="20"/>
      <c r="E331" s="20"/>
      <c r="F331" s="20"/>
      <c r="G331" s="20"/>
      <c r="H331" s="20"/>
      <c r="I331" s="20"/>
    </row>
    <row r="332" customFormat="false" ht="15" hidden="false" customHeight="false" outlineLevel="0" collapsed="false">
      <c r="A332" s="18" t="str">
        <f aca="false">IF(C332="","",IFERROR(INDEX(Metrics!$A:$A,MATCH(C332,Metrics!$C:$C,0)),"Not found"))</f>
        <v/>
      </c>
      <c r="B332" s="18" t="str">
        <f aca="false">IF(D332="","",IFERROR(INDEX(Products!$A:$A,MATCH(D332,Products!$B:$B,0)),"Not found"))</f>
        <v/>
      </c>
      <c r="C332" s="20"/>
      <c r="D332" s="20"/>
      <c r="E332" s="20"/>
      <c r="F332" s="20"/>
      <c r="G332" s="20"/>
      <c r="H332" s="20"/>
      <c r="I332" s="20"/>
    </row>
    <row r="333" customFormat="false" ht="15" hidden="false" customHeight="false" outlineLevel="0" collapsed="false">
      <c r="A333" s="18" t="str">
        <f aca="false">IF(C333="","",IFERROR(INDEX(Metrics!$A:$A,MATCH(C333,Metrics!$C:$C,0)),"Not found"))</f>
        <v/>
      </c>
      <c r="B333" s="18" t="str">
        <f aca="false">IF(D333="","",IFERROR(INDEX(Products!$A:$A,MATCH(D333,Products!$B:$B,0)),"Not found"))</f>
        <v/>
      </c>
      <c r="C333" s="20"/>
      <c r="D333" s="20"/>
      <c r="E333" s="20"/>
      <c r="F333" s="20"/>
      <c r="G333" s="20"/>
      <c r="H333" s="20"/>
      <c r="I333" s="20"/>
    </row>
    <row r="334" customFormat="false" ht="15" hidden="false" customHeight="false" outlineLevel="0" collapsed="false">
      <c r="A334" s="18" t="str">
        <f aca="false">IF(C334="","",IFERROR(INDEX(Metrics!$A:$A,MATCH(C334,Metrics!$C:$C,0)),"Not found"))</f>
        <v/>
      </c>
      <c r="B334" s="18" t="str">
        <f aca="false">IF(D334="","",IFERROR(INDEX(Products!$A:$A,MATCH(D334,Products!$B:$B,0)),"Not found"))</f>
        <v/>
      </c>
      <c r="C334" s="20"/>
      <c r="D334" s="20"/>
      <c r="E334" s="20"/>
      <c r="F334" s="20"/>
      <c r="G334" s="20"/>
      <c r="H334" s="20"/>
      <c r="I334" s="20"/>
    </row>
    <row r="335" customFormat="false" ht="15" hidden="false" customHeight="false" outlineLevel="0" collapsed="false">
      <c r="A335" s="18" t="str">
        <f aca="false">IF(C335="","",IFERROR(INDEX(Metrics!$A:$A,MATCH(C335,Metrics!$C:$C,0)),"Not found"))</f>
        <v/>
      </c>
      <c r="B335" s="18" t="str">
        <f aca="false">IF(D335="","",IFERROR(INDEX(Products!$A:$A,MATCH(D335,Products!$B:$B,0)),"Not found"))</f>
        <v/>
      </c>
      <c r="C335" s="20"/>
      <c r="D335" s="20"/>
      <c r="E335" s="20"/>
      <c r="F335" s="20"/>
      <c r="G335" s="20"/>
      <c r="H335" s="20"/>
      <c r="I335" s="20"/>
    </row>
    <row r="336" customFormat="false" ht="15" hidden="false" customHeight="false" outlineLevel="0" collapsed="false">
      <c r="A336" s="18" t="str">
        <f aca="false">IF(C336="","",IFERROR(INDEX(Metrics!$A:$A,MATCH(C336,Metrics!$C:$C,0)),"Not found"))</f>
        <v/>
      </c>
      <c r="B336" s="18" t="str">
        <f aca="false">IF(D336="","",IFERROR(INDEX(Products!$A:$A,MATCH(D336,Products!$B:$B,0)),"Not found"))</f>
        <v/>
      </c>
      <c r="C336" s="20"/>
      <c r="D336" s="20"/>
      <c r="E336" s="20"/>
      <c r="F336" s="20"/>
      <c r="G336" s="20"/>
      <c r="H336" s="20"/>
      <c r="I336" s="20"/>
    </row>
    <row r="337" customFormat="false" ht="15" hidden="false" customHeight="false" outlineLevel="0" collapsed="false">
      <c r="A337" s="18" t="str">
        <f aca="false">IF(C337="","",IFERROR(INDEX(Metrics!$A:$A,MATCH(C337,Metrics!$C:$C,0)),"Not found"))</f>
        <v/>
      </c>
      <c r="B337" s="18" t="str">
        <f aca="false">IF(D337="","",IFERROR(INDEX(Products!$A:$A,MATCH(D337,Products!$B:$B,0)),"Not found"))</f>
        <v/>
      </c>
      <c r="C337" s="20"/>
      <c r="D337" s="20"/>
      <c r="E337" s="20"/>
      <c r="F337" s="20"/>
      <c r="G337" s="20"/>
      <c r="H337" s="20"/>
      <c r="I337" s="20"/>
    </row>
    <row r="338" customFormat="false" ht="15" hidden="false" customHeight="false" outlineLevel="0" collapsed="false">
      <c r="A338" s="18" t="str">
        <f aca="false">IF(C338="","",IFERROR(INDEX(Metrics!$A:$A,MATCH(C338,Metrics!$C:$C,0)),"Not found"))</f>
        <v/>
      </c>
      <c r="B338" s="18" t="str">
        <f aca="false">IF(D338="","",IFERROR(INDEX(Products!$A:$A,MATCH(D338,Products!$B:$B,0)),"Not found"))</f>
        <v/>
      </c>
      <c r="C338" s="20"/>
      <c r="D338" s="20"/>
      <c r="E338" s="20"/>
      <c r="F338" s="20"/>
      <c r="G338" s="20"/>
      <c r="H338" s="20"/>
      <c r="I338" s="20"/>
    </row>
    <row r="339" customFormat="false" ht="15" hidden="false" customHeight="false" outlineLevel="0" collapsed="false">
      <c r="A339" s="18" t="str">
        <f aca="false">IF(C339="","",IFERROR(INDEX(Metrics!$A:$A,MATCH(C339,Metrics!$C:$C,0)),"Not found"))</f>
        <v/>
      </c>
      <c r="B339" s="18" t="str">
        <f aca="false">IF(D339="","",IFERROR(INDEX(Products!$A:$A,MATCH(D339,Products!$B:$B,0)),"Not found"))</f>
        <v/>
      </c>
      <c r="C339" s="20"/>
      <c r="D339" s="20"/>
      <c r="E339" s="20"/>
      <c r="F339" s="20"/>
      <c r="G339" s="20"/>
      <c r="H339" s="20"/>
      <c r="I339" s="20"/>
    </row>
    <row r="340" customFormat="false" ht="15" hidden="false" customHeight="false" outlineLevel="0" collapsed="false">
      <c r="A340" s="18" t="str">
        <f aca="false">IF(C340="","",IFERROR(INDEX(Metrics!$A:$A,MATCH(C340,Metrics!$C:$C,0)),"Not found"))</f>
        <v/>
      </c>
      <c r="B340" s="18" t="str">
        <f aca="false">IF(D340="","",IFERROR(INDEX(Products!$A:$A,MATCH(D340,Products!$B:$B,0)),"Not found"))</f>
        <v/>
      </c>
      <c r="C340" s="20"/>
      <c r="D340" s="20"/>
      <c r="E340" s="20"/>
      <c r="F340" s="20"/>
      <c r="G340" s="20"/>
      <c r="H340" s="20"/>
      <c r="I340" s="20"/>
    </row>
    <row r="341" customFormat="false" ht="15" hidden="false" customHeight="false" outlineLevel="0" collapsed="false">
      <c r="A341" s="18" t="str">
        <f aca="false">IF(C341="","",IFERROR(INDEX(Metrics!$A:$A,MATCH(C341,Metrics!$C:$C,0)),"Not found"))</f>
        <v/>
      </c>
      <c r="B341" s="18" t="str">
        <f aca="false">IF(D341="","",IFERROR(INDEX(Products!$A:$A,MATCH(D341,Products!$B:$B,0)),"Not found"))</f>
        <v/>
      </c>
      <c r="C341" s="20"/>
      <c r="D341" s="20"/>
      <c r="E341" s="20"/>
      <c r="F341" s="20"/>
      <c r="G341" s="20"/>
      <c r="H341" s="20"/>
      <c r="I341" s="20"/>
    </row>
    <row r="342" customFormat="false" ht="15" hidden="false" customHeight="false" outlineLevel="0" collapsed="false">
      <c r="A342" s="18" t="str">
        <f aca="false">IF(C342="","",IFERROR(INDEX(Metrics!$A:$A,MATCH(C342,Metrics!$C:$C,0)),"Not found"))</f>
        <v/>
      </c>
      <c r="B342" s="18" t="str">
        <f aca="false">IF(D342="","",IFERROR(INDEX(Products!$A:$A,MATCH(D342,Products!$B:$B,0)),"Not found"))</f>
        <v/>
      </c>
      <c r="C342" s="20"/>
      <c r="D342" s="20"/>
      <c r="E342" s="20"/>
      <c r="F342" s="20"/>
      <c r="G342" s="20"/>
      <c r="H342" s="20"/>
      <c r="I342" s="20"/>
    </row>
    <row r="343" customFormat="false" ht="15" hidden="false" customHeight="false" outlineLevel="0" collapsed="false">
      <c r="A343" s="18" t="str">
        <f aca="false">IF(C343="","",IFERROR(INDEX(Metrics!$A:$A,MATCH(C343,Metrics!$C:$C,0)),"Not found"))</f>
        <v/>
      </c>
      <c r="B343" s="18" t="str">
        <f aca="false">IF(D343="","",IFERROR(INDEX(Products!$A:$A,MATCH(D343,Products!$B:$B,0)),"Not found"))</f>
        <v/>
      </c>
      <c r="C343" s="20"/>
      <c r="D343" s="20"/>
      <c r="E343" s="20"/>
      <c r="F343" s="20"/>
      <c r="G343" s="20"/>
      <c r="H343" s="20"/>
      <c r="I343" s="20"/>
    </row>
    <row r="344" customFormat="false" ht="15" hidden="false" customHeight="false" outlineLevel="0" collapsed="false">
      <c r="A344" s="18" t="str">
        <f aca="false">IF(C344="","",IFERROR(INDEX(Metrics!$A:$A,MATCH(C344,Metrics!$C:$C,0)),"Not found"))</f>
        <v/>
      </c>
      <c r="B344" s="18" t="str">
        <f aca="false">IF(D344="","",IFERROR(INDEX(Products!$A:$A,MATCH(D344,Products!$B:$B,0)),"Not found"))</f>
        <v/>
      </c>
      <c r="C344" s="20"/>
      <c r="D344" s="20"/>
      <c r="E344" s="20"/>
      <c r="F344" s="20"/>
      <c r="G344" s="20"/>
      <c r="H344" s="20"/>
      <c r="I344" s="20"/>
    </row>
    <row r="345" customFormat="false" ht="15" hidden="false" customHeight="false" outlineLevel="0" collapsed="false">
      <c r="A345" s="18" t="str">
        <f aca="false">IF(C345="","",IFERROR(INDEX(Metrics!$A:$A,MATCH(C345,Metrics!$C:$C,0)),"Not found"))</f>
        <v/>
      </c>
      <c r="B345" s="18" t="str">
        <f aca="false">IF(D345="","",IFERROR(INDEX(Products!$A:$A,MATCH(D345,Products!$B:$B,0)),"Not found"))</f>
        <v/>
      </c>
      <c r="C345" s="20"/>
      <c r="D345" s="20"/>
      <c r="E345" s="20"/>
      <c r="F345" s="20"/>
      <c r="G345" s="20"/>
      <c r="H345" s="20"/>
      <c r="I345" s="20"/>
    </row>
    <row r="346" customFormat="false" ht="15" hidden="false" customHeight="false" outlineLevel="0" collapsed="false">
      <c r="A346" s="18" t="str">
        <f aca="false">IF(C346="","",IFERROR(INDEX(Metrics!$A:$A,MATCH(C346,Metrics!$C:$C,0)),"Not found"))</f>
        <v/>
      </c>
      <c r="B346" s="18" t="str">
        <f aca="false">IF(D346="","",IFERROR(INDEX(Products!$A:$A,MATCH(D346,Products!$B:$B,0)),"Not found"))</f>
        <v/>
      </c>
      <c r="C346" s="20"/>
      <c r="D346" s="20"/>
      <c r="E346" s="20"/>
      <c r="F346" s="20"/>
      <c r="G346" s="20"/>
      <c r="H346" s="20"/>
      <c r="I346" s="20"/>
    </row>
    <row r="347" customFormat="false" ht="15" hidden="false" customHeight="false" outlineLevel="0" collapsed="false">
      <c r="A347" s="18" t="str">
        <f aca="false">IF(C347="","",IFERROR(INDEX(Metrics!$A:$A,MATCH(C347,Metrics!$C:$C,0)),"Not found"))</f>
        <v/>
      </c>
      <c r="B347" s="18" t="str">
        <f aca="false">IF(D347="","",IFERROR(INDEX(Products!$A:$A,MATCH(D347,Products!$B:$B,0)),"Not found"))</f>
        <v/>
      </c>
      <c r="C347" s="20"/>
      <c r="D347" s="20"/>
      <c r="E347" s="20"/>
      <c r="F347" s="20"/>
      <c r="G347" s="20"/>
      <c r="H347" s="20"/>
      <c r="I347" s="20"/>
    </row>
    <row r="348" customFormat="false" ht="15" hidden="false" customHeight="false" outlineLevel="0" collapsed="false">
      <c r="A348" s="18" t="str">
        <f aca="false">IF(C348="","",IFERROR(INDEX(Metrics!$A:$A,MATCH(C348,Metrics!$C:$C,0)),"Not found"))</f>
        <v/>
      </c>
      <c r="B348" s="18" t="str">
        <f aca="false">IF(D348="","",IFERROR(INDEX(Products!$A:$A,MATCH(D348,Products!$B:$B,0)),"Not found"))</f>
        <v/>
      </c>
      <c r="C348" s="20"/>
      <c r="D348" s="20"/>
      <c r="E348" s="20"/>
      <c r="F348" s="20"/>
      <c r="G348" s="20"/>
      <c r="H348" s="20"/>
      <c r="I348" s="20"/>
    </row>
    <row r="349" customFormat="false" ht="15" hidden="false" customHeight="false" outlineLevel="0" collapsed="false">
      <c r="A349" s="18" t="str">
        <f aca="false">IF(C349="","",IFERROR(INDEX(Metrics!$A:$A,MATCH(C349,Metrics!$C:$C,0)),"Not found"))</f>
        <v/>
      </c>
      <c r="B349" s="18" t="str">
        <f aca="false">IF(D349="","",IFERROR(INDEX(Products!$A:$A,MATCH(D349,Products!$B:$B,0)),"Not found"))</f>
        <v/>
      </c>
      <c r="C349" s="20"/>
      <c r="D349" s="20"/>
      <c r="E349" s="20"/>
      <c r="F349" s="20"/>
      <c r="G349" s="20"/>
      <c r="H349" s="20"/>
      <c r="I349" s="20"/>
    </row>
    <row r="350" customFormat="false" ht="15" hidden="false" customHeight="false" outlineLevel="0" collapsed="false">
      <c r="A350" s="18" t="str">
        <f aca="false">IF(C350="","",IFERROR(INDEX(Metrics!$A:$A,MATCH(C350,Metrics!$C:$C,0)),"Not found"))</f>
        <v/>
      </c>
      <c r="B350" s="18" t="str">
        <f aca="false">IF(D350="","",IFERROR(INDEX(Products!$A:$A,MATCH(D350,Products!$B:$B,0)),"Not found"))</f>
        <v/>
      </c>
      <c r="C350" s="20"/>
      <c r="D350" s="20"/>
      <c r="E350" s="20"/>
      <c r="F350" s="20"/>
      <c r="G350" s="20"/>
      <c r="H350" s="20"/>
      <c r="I350" s="20"/>
    </row>
    <row r="351" customFormat="false" ht="15" hidden="false" customHeight="false" outlineLevel="0" collapsed="false">
      <c r="A351" s="18" t="str">
        <f aca="false">IF(C351="","",IFERROR(INDEX(Metrics!$A:$A,MATCH(C351,Metrics!$C:$C,0)),"Not found"))</f>
        <v/>
      </c>
      <c r="B351" s="18" t="str">
        <f aca="false">IF(D351="","",IFERROR(INDEX(Products!$A:$A,MATCH(D351,Products!$B:$B,0)),"Not found"))</f>
        <v/>
      </c>
      <c r="C351" s="20"/>
      <c r="D351" s="20"/>
      <c r="E351" s="20"/>
      <c r="F351" s="20"/>
      <c r="G351" s="20"/>
      <c r="H351" s="20"/>
      <c r="I351" s="20"/>
    </row>
    <row r="352" customFormat="false" ht="15" hidden="false" customHeight="false" outlineLevel="0" collapsed="false">
      <c r="A352" s="18" t="str">
        <f aca="false">IF(C352="","",IFERROR(INDEX(Metrics!$A:$A,MATCH(C352,Metrics!$C:$C,0)),"Not found"))</f>
        <v/>
      </c>
      <c r="B352" s="18" t="str">
        <f aca="false">IF(D352="","",IFERROR(INDEX(Products!$A:$A,MATCH(D352,Products!$B:$B,0)),"Not found"))</f>
        <v/>
      </c>
      <c r="C352" s="20"/>
      <c r="D352" s="20"/>
      <c r="E352" s="20"/>
      <c r="F352" s="20"/>
      <c r="G352" s="20"/>
      <c r="H352" s="20"/>
      <c r="I352" s="20"/>
    </row>
    <row r="353" customFormat="false" ht="15" hidden="false" customHeight="false" outlineLevel="0" collapsed="false">
      <c r="A353" s="18" t="str">
        <f aca="false">IF(C353="","",IFERROR(INDEX(Metrics!$A:$A,MATCH(C353,Metrics!$C:$C,0)),"Not found"))</f>
        <v/>
      </c>
      <c r="B353" s="18" t="str">
        <f aca="false">IF(D353="","",IFERROR(INDEX(Products!$A:$A,MATCH(D353,Products!$B:$B,0)),"Not found"))</f>
        <v/>
      </c>
      <c r="C353" s="20"/>
      <c r="D353" s="20"/>
      <c r="E353" s="20"/>
      <c r="F353" s="20"/>
      <c r="G353" s="20"/>
      <c r="H353" s="20"/>
      <c r="I353" s="20"/>
    </row>
    <row r="354" customFormat="false" ht="15" hidden="false" customHeight="false" outlineLevel="0" collapsed="false">
      <c r="A354" s="18" t="str">
        <f aca="false">IF(C354="","",IFERROR(INDEX(Metrics!$A:$A,MATCH(C354,Metrics!$C:$C,0)),"Not found"))</f>
        <v/>
      </c>
      <c r="B354" s="18" t="str">
        <f aca="false">IF(D354="","",IFERROR(INDEX(Products!$A:$A,MATCH(D354,Products!$B:$B,0)),"Not found"))</f>
        <v/>
      </c>
      <c r="C354" s="20"/>
      <c r="D354" s="20"/>
      <c r="E354" s="20"/>
      <c r="F354" s="20"/>
      <c r="G354" s="20"/>
      <c r="H354" s="20"/>
      <c r="I354" s="20"/>
    </row>
    <row r="355" customFormat="false" ht="15" hidden="false" customHeight="false" outlineLevel="0" collapsed="false">
      <c r="A355" s="18" t="str">
        <f aca="false">IF(C355="","",IFERROR(INDEX(Metrics!$A:$A,MATCH(C355,Metrics!$C:$C,0)),"Not found"))</f>
        <v/>
      </c>
      <c r="B355" s="18" t="str">
        <f aca="false">IF(D355="","",IFERROR(INDEX(Products!$A:$A,MATCH(D355,Products!$B:$B,0)),"Not found"))</f>
        <v/>
      </c>
      <c r="C355" s="20"/>
      <c r="D355" s="20"/>
      <c r="E355" s="20"/>
      <c r="F355" s="20"/>
      <c r="G355" s="20"/>
      <c r="H355" s="20"/>
      <c r="I355" s="20"/>
    </row>
    <row r="356" customFormat="false" ht="15" hidden="false" customHeight="false" outlineLevel="0" collapsed="false">
      <c r="A356" s="18" t="str">
        <f aca="false">IF(C356="","",IFERROR(INDEX(Metrics!$A:$A,MATCH(C356,Metrics!$C:$C,0)),"Not found"))</f>
        <v/>
      </c>
      <c r="B356" s="18" t="str">
        <f aca="false">IF(D356="","",IFERROR(INDEX(Products!$A:$A,MATCH(D356,Products!$B:$B,0)),"Not found"))</f>
        <v/>
      </c>
      <c r="C356" s="20"/>
      <c r="D356" s="20"/>
      <c r="E356" s="20"/>
      <c r="F356" s="20"/>
      <c r="G356" s="20"/>
      <c r="H356" s="20"/>
      <c r="I356" s="20"/>
    </row>
    <row r="357" customFormat="false" ht="15" hidden="false" customHeight="false" outlineLevel="0" collapsed="false">
      <c r="A357" s="18" t="str">
        <f aca="false">IF(C357="","",IFERROR(INDEX(Metrics!$A:$A,MATCH(C357,Metrics!$C:$C,0)),"Not found"))</f>
        <v/>
      </c>
      <c r="B357" s="18" t="str">
        <f aca="false">IF(D357="","",IFERROR(INDEX(Products!$A:$A,MATCH(D357,Products!$B:$B,0)),"Not found"))</f>
        <v/>
      </c>
      <c r="C357" s="20"/>
      <c r="D357" s="20"/>
      <c r="E357" s="20"/>
      <c r="F357" s="20"/>
      <c r="G357" s="20"/>
      <c r="H357" s="20"/>
      <c r="I357" s="20"/>
    </row>
    <row r="358" customFormat="false" ht="15" hidden="false" customHeight="false" outlineLevel="0" collapsed="false">
      <c r="A358" s="18" t="str">
        <f aca="false">IF(C358="","",IFERROR(INDEX(Metrics!$A:$A,MATCH(C358,Metrics!$C:$C,0)),"Not found"))</f>
        <v/>
      </c>
      <c r="B358" s="18" t="str">
        <f aca="false">IF(D358="","",IFERROR(INDEX(Products!$A:$A,MATCH(D358,Products!$B:$B,0)),"Not found"))</f>
        <v/>
      </c>
      <c r="C358" s="20"/>
      <c r="D358" s="20"/>
      <c r="E358" s="20"/>
      <c r="F358" s="20"/>
      <c r="G358" s="20"/>
      <c r="H358" s="20"/>
      <c r="I358" s="20"/>
    </row>
    <row r="359" customFormat="false" ht="15" hidden="false" customHeight="false" outlineLevel="0" collapsed="false">
      <c r="A359" s="18" t="str">
        <f aca="false">IF(C359="","",IFERROR(INDEX(Metrics!$A:$A,MATCH(C359,Metrics!$C:$C,0)),"Not found"))</f>
        <v/>
      </c>
      <c r="B359" s="18" t="str">
        <f aca="false">IF(D359="","",IFERROR(INDEX(Products!$A:$A,MATCH(D359,Products!$B:$B,0)),"Not found"))</f>
        <v/>
      </c>
      <c r="C359" s="20"/>
      <c r="D359" s="20"/>
      <c r="E359" s="20"/>
      <c r="F359" s="20"/>
      <c r="G359" s="20"/>
      <c r="H359" s="20"/>
      <c r="I359" s="20"/>
    </row>
    <row r="360" customFormat="false" ht="15" hidden="false" customHeight="false" outlineLevel="0" collapsed="false">
      <c r="A360" s="18" t="str">
        <f aca="false">IF(C360="","",IFERROR(INDEX(Metrics!$A:$A,MATCH(C360,Metrics!$C:$C,0)),"Not found"))</f>
        <v/>
      </c>
      <c r="B360" s="18" t="str">
        <f aca="false">IF(D360="","",IFERROR(INDEX(Products!$A:$A,MATCH(D360,Products!$B:$B,0)),"Not found"))</f>
        <v/>
      </c>
      <c r="C360" s="20"/>
      <c r="D360" s="20"/>
      <c r="E360" s="20"/>
      <c r="F360" s="20"/>
      <c r="G360" s="20"/>
      <c r="H360" s="20"/>
      <c r="I360" s="20"/>
    </row>
    <row r="361" customFormat="false" ht="15" hidden="false" customHeight="false" outlineLevel="0" collapsed="false">
      <c r="A361" s="18" t="str">
        <f aca="false">IF(C361="","",IFERROR(INDEX(Metrics!$A:$A,MATCH(C361,Metrics!$C:$C,0)),"Not found"))</f>
        <v/>
      </c>
      <c r="B361" s="18" t="str">
        <f aca="false">IF(D361="","",IFERROR(INDEX(Products!$A:$A,MATCH(D361,Products!$B:$B,0)),"Not found"))</f>
        <v/>
      </c>
      <c r="C361" s="20"/>
      <c r="D361" s="20"/>
      <c r="E361" s="20"/>
      <c r="F361" s="20"/>
      <c r="G361" s="20"/>
      <c r="H361" s="20"/>
      <c r="I361" s="20"/>
    </row>
    <row r="362" customFormat="false" ht="15" hidden="false" customHeight="false" outlineLevel="0" collapsed="false">
      <c r="A362" s="18" t="str">
        <f aca="false">IF(C362="","",IFERROR(INDEX(Metrics!$A:$A,MATCH(C362,Metrics!$C:$C,0)),"Not found"))</f>
        <v/>
      </c>
      <c r="B362" s="18" t="str">
        <f aca="false">IF(D362="","",IFERROR(INDEX(Products!$A:$A,MATCH(D362,Products!$B:$B,0)),"Not found"))</f>
        <v/>
      </c>
      <c r="C362" s="20"/>
      <c r="D362" s="20"/>
      <c r="E362" s="20"/>
      <c r="F362" s="20"/>
      <c r="G362" s="20"/>
      <c r="H362" s="20"/>
      <c r="I362" s="20"/>
    </row>
    <row r="363" customFormat="false" ht="15" hidden="false" customHeight="false" outlineLevel="0" collapsed="false">
      <c r="A363" s="18" t="str">
        <f aca="false">IF(C363="","",IFERROR(INDEX(Metrics!$A:$A,MATCH(C363,Metrics!$C:$C,0)),"Not found"))</f>
        <v/>
      </c>
      <c r="B363" s="18" t="str">
        <f aca="false">IF(D363="","",IFERROR(INDEX(Products!$A:$A,MATCH(D363,Products!$B:$B,0)),"Not found"))</f>
        <v/>
      </c>
      <c r="C363" s="20"/>
      <c r="D363" s="20"/>
      <c r="E363" s="20"/>
      <c r="F363" s="20"/>
      <c r="G363" s="20"/>
      <c r="H363" s="20"/>
      <c r="I363" s="20"/>
    </row>
    <row r="364" customFormat="false" ht="15" hidden="false" customHeight="false" outlineLevel="0" collapsed="false">
      <c r="A364" s="18" t="str">
        <f aca="false">IF(C364="","",IFERROR(INDEX(Metrics!$A:$A,MATCH(C364,Metrics!$C:$C,0)),"Not found"))</f>
        <v/>
      </c>
      <c r="B364" s="18" t="str">
        <f aca="false">IF(D364="","",IFERROR(INDEX(Products!$A:$A,MATCH(D364,Products!$B:$B,0)),"Not found"))</f>
        <v/>
      </c>
      <c r="C364" s="20"/>
      <c r="D364" s="20"/>
      <c r="E364" s="20"/>
      <c r="F364" s="20"/>
      <c r="G364" s="20"/>
      <c r="H364" s="20"/>
      <c r="I364" s="20"/>
    </row>
    <row r="365" customFormat="false" ht="15" hidden="false" customHeight="false" outlineLevel="0" collapsed="false">
      <c r="A365" s="18" t="str">
        <f aca="false">IF(C365="","",IFERROR(INDEX(Metrics!$A:$A,MATCH(C365,Metrics!$C:$C,0)),"Not found"))</f>
        <v/>
      </c>
      <c r="B365" s="18" t="str">
        <f aca="false">IF(D365="","",IFERROR(INDEX(Products!$A:$A,MATCH(D365,Products!$B:$B,0)),"Not found"))</f>
        <v/>
      </c>
      <c r="C365" s="20"/>
      <c r="D365" s="20"/>
      <c r="E365" s="20"/>
      <c r="F365" s="20"/>
      <c r="G365" s="20"/>
      <c r="H365" s="20"/>
      <c r="I365" s="20"/>
    </row>
    <row r="366" customFormat="false" ht="15" hidden="false" customHeight="false" outlineLevel="0" collapsed="false">
      <c r="A366" s="18" t="str">
        <f aca="false">IF(C366="","",IFERROR(INDEX(Metrics!$A:$A,MATCH(C366,Metrics!$C:$C,0)),"Not found"))</f>
        <v/>
      </c>
      <c r="B366" s="18" t="str">
        <f aca="false">IF(D366="","",IFERROR(INDEX(Products!$A:$A,MATCH(D366,Products!$B:$B,0)),"Not found"))</f>
        <v/>
      </c>
      <c r="C366" s="20"/>
      <c r="D366" s="20"/>
      <c r="E366" s="20"/>
      <c r="F366" s="20"/>
      <c r="G366" s="20"/>
      <c r="H366" s="20"/>
      <c r="I366" s="20"/>
    </row>
    <row r="367" customFormat="false" ht="15" hidden="false" customHeight="false" outlineLevel="0" collapsed="false">
      <c r="A367" s="18" t="str">
        <f aca="false">IF(C367="","",IFERROR(INDEX(Metrics!$A:$A,MATCH(C367,Metrics!$C:$C,0)),"Not found"))</f>
        <v/>
      </c>
      <c r="B367" s="18" t="str">
        <f aca="false">IF(D367="","",IFERROR(INDEX(Products!$A:$A,MATCH(D367,Products!$B:$B,0)),"Not found"))</f>
        <v/>
      </c>
      <c r="C367" s="20"/>
      <c r="D367" s="20"/>
      <c r="E367" s="20"/>
      <c r="F367" s="20"/>
      <c r="G367" s="20"/>
      <c r="H367" s="20"/>
      <c r="I367" s="20"/>
    </row>
    <row r="368" customFormat="false" ht="15" hidden="false" customHeight="false" outlineLevel="0" collapsed="false">
      <c r="A368" s="18" t="str">
        <f aca="false">IF(C368="","",IFERROR(INDEX(Metrics!$A:$A,MATCH(C368,Metrics!$C:$C,0)),"Not found"))</f>
        <v/>
      </c>
      <c r="B368" s="18" t="str">
        <f aca="false">IF(D368="","",IFERROR(INDEX(Products!$A:$A,MATCH(D368,Products!$B:$B,0)),"Not found"))</f>
        <v/>
      </c>
      <c r="C368" s="20"/>
      <c r="D368" s="20"/>
      <c r="E368" s="20"/>
      <c r="F368" s="20"/>
      <c r="G368" s="20"/>
      <c r="H368" s="20"/>
      <c r="I368" s="20"/>
    </row>
    <row r="369" customFormat="false" ht="15" hidden="false" customHeight="false" outlineLevel="0" collapsed="false">
      <c r="A369" s="18" t="str">
        <f aca="false">IF(C369="","",IFERROR(INDEX(Metrics!$A:$A,MATCH(C369,Metrics!$C:$C,0)),"Not found"))</f>
        <v/>
      </c>
      <c r="B369" s="18" t="str">
        <f aca="false">IF(D369="","",IFERROR(INDEX(Products!$A:$A,MATCH(D369,Products!$B:$B,0)),"Not found"))</f>
        <v/>
      </c>
      <c r="C369" s="20"/>
      <c r="D369" s="20"/>
      <c r="E369" s="20"/>
      <c r="F369" s="20"/>
      <c r="G369" s="20"/>
      <c r="H369" s="20"/>
      <c r="I369" s="20"/>
    </row>
    <row r="370" customFormat="false" ht="15" hidden="false" customHeight="false" outlineLevel="0" collapsed="false">
      <c r="A370" s="18" t="str">
        <f aca="false">IF(C370="","",IFERROR(INDEX(Metrics!$A:$A,MATCH(C370,Metrics!$C:$C,0)),"Not found"))</f>
        <v/>
      </c>
      <c r="B370" s="18" t="str">
        <f aca="false">IF(D370="","",IFERROR(INDEX(Products!$A:$A,MATCH(D370,Products!$B:$B,0)),"Not found"))</f>
        <v/>
      </c>
      <c r="C370" s="20"/>
      <c r="D370" s="20"/>
      <c r="E370" s="20"/>
      <c r="F370" s="20"/>
      <c r="G370" s="20"/>
      <c r="H370" s="20"/>
      <c r="I370" s="20"/>
    </row>
    <row r="371" customFormat="false" ht="15" hidden="false" customHeight="false" outlineLevel="0" collapsed="false">
      <c r="A371" s="18" t="str">
        <f aca="false">IF(C371="","",IFERROR(INDEX(Metrics!$A:$A,MATCH(C371,Metrics!$C:$C,0)),"Not found"))</f>
        <v/>
      </c>
      <c r="B371" s="18" t="str">
        <f aca="false">IF(D371="","",IFERROR(INDEX(Products!$A:$A,MATCH(D371,Products!$B:$B,0)),"Not found"))</f>
        <v/>
      </c>
      <c r="C371" s="20"/>
      <c r="D371" s="20"/>
      <c r="E371" s="20"/>
      <c r="F371" s="20"/>
      <c r="G371" s="20"/>
      <c r="H371" s="20"/>
      <c r="I371" s="20"/>
    </row>
    <row r="372" customFormat="false" ht="15" hidden="false" customHeight="false" outlineLevel="0" collapsed="false">
      <c r="A372" s="18" t="str">
        <f aca="false">IF(C372="","",IFERROR(INDEX(Metrics!$A:$A,MATCH(C372,Metrics!$C:$C,0)),"Not found"))</f>
        <v/>
      </c>
      <c r="B372" s="18" t="str">
        <f aca="false">IF(D372="","",IFERROR(INDEX(Products!$A:$A,MATCH(D372,Products!$B:$B,0)),"Not found"))</f>
        <v/>
      </c>
      <c r="C372" s="20"/>
      <c r="D372" s="20"/>
      <c r="E372" s="20"/>
      <c r="F372" s="20"/>
      <c r="G372" s="20"/>
      <c r="H372" s="20"/>
      <c r="I372" s="20"/>
    </row>
    <row r="373" customFormat="false" ht="15" hidden="false" customHeight="false" outlineLevel="0" collapsed="false">
      <c r="A373" s="18" t="str">
        <f aca="false">IF(C373="","",IFERROR(INDEX(Metrics!$A:$A,MATCH(C373,Metrics!$C:$C,0)),"Not found"))</f>
        <v/>
      </c>
      <c r="B373" s="18" t="str">
        <f aca="false">IF(D373="","",IFERROR(INDEX(Products!$A:$A,MATCH(D373,Products!$B:$B,0)),"Not found"))</f>
        <v/>
      </c>
      <c r="C373" s="20"/>
      <c r="D373" s="20"/>
      <c r="E373" s="20"/>
      <c r="F373" s="20"/>
      <c r="G373" s="20"/>
      <c r="H373" s="20"/>
      <c r="I373" s="20"/>
    </row>
    <row r="374" customFormat="false" ht="15" hidden="false" customHeight="false" outlineLevel="0" collapsed="false">
      <c r="A374" s="18" t="str">
        <f aca="false">IF(C374="","",IFERROR(INDEX(Metrics!$A:$A,MATCH(C374,Metrics!$C:$C,0)),"Not found"))</f>
        <v/>
      </c>
      <c r="B374" s="18" t="str">
        <f aca="false">IF(D374="","",IFERROR(INDEX(Products!$A:$A,MATCH(D374,Products!$B:$B,0)),"Not found"))</f>
        <v/>
      </c>
      <c r="C374" s="20"/>
      <c r="D374" s="20"/>
      <c r="E374" s="20"/>
      <c r="F374" s="20"/>
      <c r="G374" s="20"/>
      <c r="H374" s="20"/>
      <c r="I374" s="20"/>
    </row>
    <row r="375" customFormat="false" ht="15" hidden="false" customHeight="false" outlineLevel="0" collapsed="false">
      <c r="A375" s="18" t="str">
        <f aca="false">IF(C375="","",IFERROR(INDEX(Metrics!$A:$A,MATCH(C375,Metrics!$C:$C,0)),"Not found"))</f>
        <v/>
      </c>
      <c r="B375" s="18" t="str">
        <f aca="false">IF(D375="","",IFERROR(INDEX(Products!$A:$A,MATCH(D375,Products!$B:$B,0)),"Not found"))</f>
        <v/>
      </c>
      <c r="C375" s="20"/>
      <c r="D375" s="20"/>
      <c r="E375" s="20"/>
      <c r="F375" s="20"/>
      <c r="G375" s="20"/>
      <c r="H375" s="20"/>
      <c r="I375" s="20"/>
    </row>
    <row r="376" customFormat="false" ht="15" hidden="false" customHeight="false" outlineLevel="0" collapsed="false">
      <c r="A376" s="18" t="str">
        <f aca="false">IF(C376="","",IFERROR(INDEX(Metrics!$A:$A,MATCH(C376,Metrics!$C:$C,0)),"Not found"))</f>
        <v/>
      </c>
      <c r="B376" s="18" t="str">
        <f aca="false">IF(D376="","",IFERROR(INDEX(Products!$A:$A,MATCH(D376,Products!$B:$B,0)),"Not found"))</f>
        <v/>
      </c>
      <c r="C376" s="20"/>
      <c r="D376" s="20"/>
      <c r="E376" s="20"/>
      <c r="F376" s="20"/>
      <c r="G376" s="20"/>
      <c r="H376" s="20"/>
      <c r="I376" s="20"/>
    </row>
    <row r="377" customFormat="false" ht="15" hidden="false" customHeight="false" outlineLevel="0" collapsed="false">
      <c r="A377" s="18" t="str">
        <f aca="false">IF(C377="","",IFERROR(INDEX(Metrics!$A:$A,MATCH(C377,Metrics!$C:$C,0)),"Not found"))</f>
        <v/>
      </c>
      <c r="B377" s="18" t="str">
        <f aca="false">IF(D377="","",IFERROR(INDEX(Products!$A:$A,MATCH(D377,Products!$B:$B,0)),"Not found"))</f>
        <v/>
      </c>
      <c r="C377" s="20"/>
      <c r="D377" s="20"/>
      <c r="E377" s="20"/>
      <c r="F377" s="20"/>
      <c r="G377" s="20"/>
      <c r="H377" s="20"/>
      <c r="I377" s="20"/>
    </row>
    <row r="378" customFormat="false" ht="15" hidden="false" customHeight="false" outlineLevel="0" collapsed="false">
      <c r="A378" s="18" t="str">
        <f aca="false">IF(C378="","",IFERROR(INDEX(Metrics!$A:$A,MATCH(C378,Metrics!$C:$C,0)),"Not found"))</f>
        <v/>
      </c>
      <c r="B378" s="18" t="str">
        <f aca="false">IF(D378="","",IFERROR(INDEX(Products!$A:$A,MATCH(D378,Products!$B:$B,0)),"Not found"))</f>
        <v/>
      </c>
      <c r="C378" s="20"/>
      <c r="D378" s="20"/>
      <c r="E378" s="20"/>
      <c r="F378" s="20"/>
      <c r="G378" s="20"/>
      <c r="H378" s="20"/>
      <c r="I378" s="20"/>
    </row>
    <row r="379" customFormat="false" ht="15" hidden="false" customHeight="false" outlineLevel="0" collapsed="false">
      <c r="A379" s="18" t="str">
        <f aca="false">IF(C379="","",IFERROR(INDEX(Metrics!$A:$A,MATCH(C379,Metrics!$C:$C,0)),"Not found"))</f>
        <v/>
      </c>
      <c r="B379" s="18" t="str">
        <f aca="false">IF(D379="","",IFERROR(INDEX(Products!$A:$A,MATCH(D379,Products!$B:$B,0)),"Not found"))</f>
        <v/>
      </c>
      <c r="C379" s="20"/>
      <c r="D379" s="20"/>
      <c r="E379" s="20"/>
      <c r="F379" s="20"/>
      <c r="G379" s="20"/>
      <c r="H379" s="20"/>
      <c r="I379" s="20"/>
    </row>
    <row r="380" customFormat="false" ht="15" hidden="false" customHeight="false" outlineLevel="0" collapsed="false">
      <c r="A380" s="18" t="str">
        <f aca="false">IF(C380="","",IFERROR(INDEX(Metrics!$A:$A,MATCH(C380,Metrics!$C:$C,0)),"Not found"))</f>
        <v/>
      </c>
      <c r="B380" s="18" t="str">
        <f aca="false">IF(D380="","",IFERROR(INDEX(Products!$A:$A,MATCH(D380,Products!$B:$B,0)),"Not found"))</f>
        <v/>
      </c>
      <c r="C380" s="20"/>
      <c r="D380" s="20"/>
      <c r="E380" s="20"/>
      <c r="F380" s="20"/>
      <c r="G380" s="20"/>
      <c r="H380" s="20"/>
      <c r="I380" s="20"/>
    </row>
    <row r="381" customFormat="false" ht="15" hidden="false" customHeight="false" outlineLevel="0" collapsed="false">
      <c r="A381" s="18" t="str">
        <f aca="false">IF(C381="","",IFERROR(INDEX(Metrics!$A:$A,MATCH(C381,Metrics!$C:$C,0)),"Not found"))</f>
        <v/>
      </c>
      <c r="B381" s="18" t="str">
        <f aca="false">IF(D381="","",IFERROR(INDEX(Products!$A:$A,MATCH(D381,Products!$B:$B,0)),"Not found"))</f>
        <v/>
      </c>
      <c r="C381" s="20"/>
      <c r="D381" s="20"/>
      <c r="E381" s="20"/>
      <c r="F381" s="20"/>
      <c r="G381" s="20"/>
      <c r="H381" s="20"/>
      <c r="I381" s="20"/>
    </row>
    <row r="382" customFormat="false" ht="15" hidden="false" customHeight="false" outlineLevel="0" collapsed="false">
      <c r="A382" s="18" t="str">
        <f aca="false">IF(C382="","",IFERROR(INDEX(Metrics!$A:$A,MATCH(C382,Metrics!$C:$C,0)),"Not found"))</f>
        <v/>
      </c>
      <c r="B382" s="18" t="str">
        <f aca="false">IF(D382="","",IFERROR(INDEX(Products!$A:$A,MATCH(D382,Products!$B:$B,0)),"Not found"))</f>
        <v/>
      </c>
      <c r="C382" s="20"/>
      <c r="D382" s="20"/>
      <c r="E382" s="20"/>
      <c r="F382" s="20"/>
      <c r="G382" s="20"/>
      <c r="H382" s="20"/>
      <c r="I382" s="20"/>
    </row>
    <row r="383" customFormat="false" ht="15" hidden="false" customHeight="false" outlineLevel="0" collapsed="false">
      <c r="A383" s="18" t="str">
        <f aca="false">IF(C383="","",IFERROR(INDEX(Metrics!$A:$A,MATCH(C383,Metrics!$C:$C,0)),"Not found"))</f>
        <v/>
      </c>
      <c r="B383" s="18" t="str">
        <f aca="false">IF(D383="","",IFERROR(INDEX(Products!$A:$A,MATCH(D383,Products!$B:$B,0)),"Not found"))</f>
        <v/>
      </c>
      <c r="C383" s="20"/>
      <c r="D383" s="20"/>
      <c r="E383" s="20"/>
      <c r="F383" s="20"/>
      <c r="G383" s="20"/>
      <c r="H383" s="20"/>
      <c r="I383" s="20"/>
    </row>
    <row r="384" customFormat="false" ht="15" hidden="false" customHeight="false" outlineLevel="0" collapsed="false">
      <c r="A384" s="18" t="str">
        <f aca="false">IF(C384="","",IFERROR(INDEX(Metrics!$A:$A,MATCH(C384,Metrics!$C:$C,0)),"Not found"))</f>
        <v/>
      </c>
      <c r="B384" s="18" t="str">
        <f aca="false">IF(D384="","",IFERROR(INDEX(Products!$A:$A,MATCH(D384,Products!$B:$B,0)),"Not found"))</f>
        <v/>
      </c>
      <c r="C384" s="20"/>
      <c r="D384" s="20"/>
      <c r="E384" s="20"/>
      <c r="F384" s="20"/>
      <c r="G384" s="20"/>
      <c r="H384" s="20"/>
      <c r="I384" s="20"/>
    </row>
    <row r="385" customFormat="false" ht="15" hidden="false" customHeight="false" outlineLevel="0" collapsed="false">
      <c r="A385" s="18" t="str">
        <f aca="false">IF(C385="","",IFERROR(INDEX(Metrics!$A:$A,MATCH(C385,Metrics!$C:$C,0)),"Not found"))</f>
        <v/>
      </c>
      <c r="B385" s="18" t="str">
        <f aca="false">IF(D385="","",IFERROR(INDEX(Products!$A:$A,MATCH(D385,Products!$B:$B,0)),"Not found"))</f>
        <v/>
      </c>
      <c r="C385" s="20"/>
      <c r="D385" s="20"/>
      <c r="E385" s="20"/>
      <c r="F385" s="20"/>
      <c r="G385" s="20"/>
      <c r="H385" s="20"/>
      <c r="I385" s="20"/>
    </row>
    <row r="386" customFormat="false" ht="15" hidden="false" customHeight="false" outlineLevel="0" collapsed="false">
      <c r="A386" s="18" t="str">
        <f aca="false">IF(C386="","",IFERROR(INDEX(Metrics!$A:$A,MATCH(C386,Metrics!$C:$C,0)),"Not found"))</f>
        <v/>
      </c>
      <c r="B386" s="18" t="str">
        <f aca="false">IF(D386="","",IFERROR(INDEX(Products!$A:$A,MATCH(D386,Products!$B:$B,0)),"Not found"))</f>
        <v/>
      </c>
      <c r="C386" s="20"/>
      <c r="D386" s="20"/>
      <c r="E386" s="20"/>
      <c r="F386" s="20"/>
      <c r="G386" s="20"/>
      <c r="H386" s="20"/>
      <c r="I386" s="20"/>
    </row>
    <row r="387" customFormat="false" ht="15" hidden="false" customHeight="false" outlineLevel="0" collapsed="false">
      <c r="A387" s="18" t="str">
        <f aca="false">IF(C387="","",IFERROR(INDEX(Metrics!$A:$A,MATCH(C387,Metrics!$C:$C,0)),"Not found"))</f>
        <v/>
      </c>
      <c r="B387" s="18" t="str">
        <f aca="false">IF(D387="","",IFERROR(INDEX(Products!$A:$A,MATCH(D387,Products!$B:$B,0)),"Not found"))</f>
        <v/>
      </c>
      <c r="C387" s="20"/>
      <c r="D387" s="20"/>
      <c r="E387" s="20"/>
      <c r="F387" s="20"/>
      <c r="G387" s="20"/>
      <c r="H387" s="20"/>
      <c r="I387" s="20"/>
    </row>
    <row r="388" customFormat="false" ht="15" hidden="false" customHeight="false" outlineLevel="0" collapsed="false">
      <c r="A388" s="18" t="str">
        <f aca="false">IF(C388="","",IFERROR(INDEX(Metrics!$A:$A,MATCH(C388,Metrics!$C:$C,0)),"Not found"))</f>
        <v/>
      </c>
      <c r="B388" s="18" t="str">
        <f aca="false">IF(D388="","",IFERROR(INDEX(Products!$A:$A,MATCH(D388,Products!$B:$B,0)),"Not found"))</f>
        <v/>
      </c>
      <c r="C388" s="20"/>
      <c r="D388" s="20"/>
      <c r="E388" s="20"/>
      <c r="F388" s="20"/>
      <c r="G388" s="20"/>
      <c r="H388" s="20"/>
      <c r="I388" s="20"/>
    </row>
    <row r="389" customFormat="false" ht="15" hidden="false" customHeight="false" outlineLevel="0" collapsed="false">
      <c r="A389" s="18" t="str">
        <f aca="false">IF(C389="","",IFERROR(INDEX(Metrics!$A:$A,MATCH(C389,Metrics!$C:$C,0)),"Not found"))</f>
        <v/>
      </c>
      <c r="B389" s="18" t="str">
        <f aca="false">IF(D389="","",IFERROR(INDEX(Products!$A:$A,MATCH(D389,Products!$B:$B,0)),"Not found"))</f>
        <v/>
      </c>
      <c r="C389" s="20"/>
      <c r="D389" s="20"/>
      <c r="E389" s="20"/>
      <c r="F389" s="20"/>
      <c r="G389" s="20"/>
      <c r="H389" s="20"/>
      <c r="I389" s="20"/>
    </row>
    <row r="390" customFormat="false" ht="15" hidden="false" customHeight="false" outlineLevel="0" collapsed="false">
      <c r="A390" s="18" t="str">
        <f aca="false">IF(C390="","",IFERROR(INDEX(Metrics!$A:$A,MATCH(C390,Metrics!$C:$C,0)),"Not found"))</f>
        <v/>
      </c>
      <c r="B390" s="18" t="str">
        <f aca="false">IF(D390="","",IFERROR(INDEX(Products!$A:$A,MATCH(D390,Products!$B:$B,0)),"Not found"))</f>
        <v/>
      </c>
      <c r="C390" s="20"/>
      <c r="D390" s="20"/>
      <c r="E390" s="20"/>
      <c r="F390" s="20"/>
      <c r="G390" s="20"/>
      <c r="H390" s="20"/>
      <c r="I390" s="20"/>
    </row>
    <row r="391" customFormat="false" ht="15" hidden="false" customHeight="false" outlineLevel="0" collapsed="false">
      <c r="A391" s="18" t="str">
        <f aca="false">IF(C391="","",IFERROR(INDEX(Metrics!$A:$A,MATCH(C391,Metrics!$C:$C,0)),"Not found"))</f>
        <v/>
      </c>
      <c r="B391" s="18" t="str">
        <f aca="false">IF(D391="","",IFERROR(INDEX(Products!$A:$A,MATCH(D391,Products!$B:$B,0)),"Not found"))</f>
        <v/>
      </c>
      <c r="C391" s="20"/>
      <c r="D391" s="20"/>
      <c r="E391" s="20"/>
      <c r="F391" s="20"/>
      <c r="G391" s="20"/>
      <c r="H391" s="20"/>
      <c r="I391" s="20"/>
    </row>
    <row r="392" customFormat="false" ht="15" hidden="false" customHeight="false" outlineLevel="0" collapsed="false">
      <c r="A392" s="18" t="str">
        <f aca="false">IF(C392="","",IFERROR(INDEX(Metrics!$A:$A,MATCH(C392,Metrics!$C:$C,0)),"Not found"))</f>
        <v/>
      </c>
      <c r="B392" s="18" t="str">
        <f aca="false">IF(D392="","",IFERROR(INDEX(Products!$A:$A,MATCH(D392,Products!$B:$B,0)),"Not found"))</f>
        <v/>
      </c>
      <c r="C392" s="20"/>
      <c r="D392" s="20"/>
      <c r="E392" s="20"/>
      <c r="F392" s="20"/>
      <c r="G392" s="20"/>
      <c r="H392" s="20"/>
      <c r="I392" s="20"/>
    </row>
    <row r="393" customFormat="false" ht="15" hidden="false" customHeight="false" outlineLevel="0" collapsed="false">
      <c r="A393" s="18" t="str">
        <f aca="false">IF(C393="","",IFERROR(INDEX(Metrics!$A:$A,MATCH(C393,Metrics!$C:$C,0)),"Not found"))</f>
        <v/>
      </c>
      <c r="B393" s="18" t="str">
        <f aca="false">IF(D393="","",IFERROR(INDEX(Products!$A:$A,MATCH(D393,Products!$B:$B,0)),"Not found"))</f>
        <v/>
      </c>
      <c r="C393" s="20"/>
      <c r="D393" s="20"/>
      <c r="E393" s="20"/>
      <c r="F393" s="20"/>
      <c r="G393" s="20"/>
      <c r="H393" s="20"/>
      <c r="I393" s="20"/>
    </row>
    <row r="394" customFormat="false" ht="15" hidden="false" customHeight="false" outlineLevel="0" collapsed="false">
      <c r="A394" s="18" t="str">
        <f aca="false">IF(C394="","",IFERROR(INDEX(Metrics!$A:$A,MATCH(C394,Metrics!$C:$C,0)),"Not found"))</f>
        <v/>
      </c>
      <c r="B394" s="18" t="str">
        <f aca="false">IF(D394="","",IFERROR(INDEX(Products!$A:$A,MATCH(D394,Products!$B:$B,0)),"Not found"))</f>
        <v/>
      </c>
      <c r="C394" s="20"/>
      <c r="D394" s="20"/>
      <c r="E394" s="20"/>
      <c r="F394" s="20"/>
      <c r="G394" s="20"/>
      <c r="H394" s="20"/>
      <c r="I394" s="20"/>
    </row>
    <row r="395" customFormat="false" ht="15" hidden="false" customHeight="false" outlineLevel="0" collapsed="false">
      <c r="A395" s="18" t="str">
        <f aca="false">IF(C395="","",IFERROR(INDEX(Metrics!$A:$A,MATCH(C395,Metrics!$C:$C,0)),"Not found"))</f>
        <v/>
      </c>
      <c r="B395" s="18" t="str">
        <f aca="false">IF(D395="","",IFERROR(INDEX(Products!$A:$A,MATCH(D395,Products!$B:$B,0)),"Not found"))</f>
        <v/>
      </c>
      <c r="C395" s="20"/>
      <c r="D395" s="20"/>
      <c r="E395" s="20"/>
      <c r="F395" s="20"/>
      <c r="G395" s="20"/>
      <c r="H395" s="20"/>
      <c r="I395" s="20"/>
    </row>
    <row r="396" customFormat="false" ht="15" hidden="false" customHeight="false" outlineLevel="0" collapsed="false">
      <c r="A396" s="18" t="str">
        <f aca="false">IF(C396="","",IFERROR(INDEX(Metrics!$A:$A,MATCH(C396,Metrics!$C:$C,0)),"Not found"))</f>
        <v/>
      </c>
      <c r="B396" s="18" t="str">
        <f aca="false">IF(D396="","",IFERROR(INDEX(Products!$A:$A,MATCH(D396,Products!$B:$B,0)),"Not found"))</f>
        <v/>
      </c>
      <c r="C396" s="20"/>
      <c r="D396" s="20"/>
      <c r="E396" s="20"/>
      <c r="F396" s="20"/>
      <c r="G396" s="20"/>
      <c r="H396" s="20"/>
      <c r="I396" s="20"/>
    </row>
    <row r="397" customFormat="false" ht="15" hidden="false" customHeight="false" outlineLevel="0" collapsed="false">
      <c r="A397" s="18" t="str">
        <f aca="false">IF(C397="","",IFERROR(INDEX(Metrics!$A:$A,MATCH(C397,Metrics!$C:$C,0)),"Not found"))</f>
        <v/>
      </c>
      <c r="B397" s="18" t="str">
        <f aca="false">IF(D397="","",IFERROR(INDEX(Products!$A:$A,MATCH(D397,Products!$B:$B,0)),"Not found"))</f>
        <v/>
      </c>
      <c r="C397" s="20"/>
      <c r="D397" s="20"/>
      <c r="E397" s="20"/>
      <c r="F397" s="20"/>
      <c r="G397" s="20"/>
      <c r="H397" s="20"/>
      <c r="I397" s="20"/>
    </row>
    <row r="398" customFormat="false" ht="15" hidden="false" customHeight="false" outlineLevel="0" collapsed="false">
      <c r="A398" s="18" t="str">
        <f aca="false">IF(C398="","",IFERROR(INDEX(Metrics!$A:$A,MATCH(C398,Metrics!$C:$C,0)),"Not found"))</f>
        <v/>
      </c>
      <c r="B398" s="18" t="str">
        <f aca="false">IF(D398="","",IFERROR(INDEX(Products!$A:$A,MATCH(D398,Products!$B:$B,0)),"Not found"))</f>
        <v/>
      </c>
      <c r="C398" s="20"/>
      <c r="D398" s="20"/>
      <c r="E398" s="20"/>
      <c r="F398" s="20"/>
      <c r="G398" s="20"/>
      <c r="H398" s="20"/>
      <c r="I398" s="20"/>
    </row>
    <row r="399" customFormat="false" ht="15" hidden="false" customHeight="false" outlineLevel="0" collapsed="false">
      <c r="A399" s="18" t="str">
        <f aca="false">IF(C399="","",IFERROR(INDEX(Metrics!$A:$A,MATCH(C399,Metrics!$C:$C,0)),"Not found"))</f>
        <v/>
      </c>
      <c r="B399" s="18" t="str">
        <f aca="false">IF(D399="","",IFERROR(INDEX(Products!$A:$A,MATCH(D399,Products!$B:$B,0)),"Not found"))</f>
        <v/>
      </c>
      <c r="C399" s="20"/>
      <c r="D399" s="20"/>
      <c r="E399" s="20"/>
      <c r="F399" s="20"/>
      <c r="G399" s="20"/>
      <c r="H399" s="20"/>
      <c r="I399" s="20"/>
    </row>
    <row r="400" customFormat="false" ht="15" hidden="false" customHeight="false" outlineLevel="0" collapsed="false">
      <c r="A400" s="18" t="str">
        <f aca="false">IF(C400="","",IFERROR(INDEX(Metrics!$A:$A,MATCH(C400,Metrics!$C:$C,0)),"Not found"))</f>
        <v/>
      </c>
      <c r="B400" s="18" t="str">
        <f aca="false">IF(D400="","",IFERROR(INDEX(Products!$A:$A,MATCH(D400,Products!$B:$B,0)),"Not found"))</f>
        <v/>
      </c>
      <c r="C400" s="20"/>
      <c r="D400" s="20"/>
      <c r="E400" s="20"/>
      <c r="F400" s="20"/>
      <c r="G400" s="20"/>
      <c r="H400" s="20"/>
      <c r="I400" s="20"/>
    </row>
    <row r="401" customFormat="false" ht="15" hidden="false" customHeight="false" outlineLevel="0" collapsed="false">
      <c r="A401" s="18" t="str">
        <f aca="false">IF(C401="","",IFERROR(INDEX(Metrics!$A:$A,MATCH(C401,Metrics!$C:$C,0)),"Not found"))</f>
        <v/>
      </c>
      <c r="B401" s="18" t="str">
        <f aca="false">IF(D401="","",IFERROR(INDEX(Products!$A:$A,MATCH(D401,Products!$B:$B,0)),"Not found"))</f>
        <v/>
      </c>
      <c r="C401" s="20"/>
      <c r="D401" s="20"/>
      <c r="E401" s="20"/>
      <c r="F401" s="20"/>
      <c r="G401" s="20"/>
      <c r="H401" s="20"/>
      <c r="I401" s="20"/>
    </row>
    <row r="402" customFormat="false" ht="15" hidden="false" customHeight="false" outlineLevel="0" collapsed="false">
      <c r="A402" s="18" t="str">
        <f aca="false">IF(C402="","",IFERROR(INDEX(Metrics!$A:$A,MATCH(C402,Metrics!$C:$C,0)),"Not found"))</f>
        <v/>
      </c>
      <c r="B402" s="18" t="str">
        <f aca="false">IF(D402="","",IFERROR(INDEX(Products!$A:$A,MATCH(D402,Products!$B:$B,0)),"Not found"))</f>
        <v/>
      </c>
      <c r="C402" s="20"/>
      <c r="D402" s="20"/>
      <c r="E402" s="20"/>
      <c r="F402" s="20"/>
      <c r="G402" s="20"/>
      <c r="H402" s="20"/>
      <c r="I402" s="20"/>
    </row>
    <row r="403" customFormat="false" ht="15" hidden="false" customHeight="false" outlineLevel="0" collapsed="false">
      <c r="A403" s="18" t="str">
        <f aca="false">IF(C403="","",IFERROR(INDEX(Metrics!$A:$A,MATCH(C403,Metrics!$C:$C,0)),"Not found"))</f>
        <v/>
      </c>
      <c r="B403" s="18" t="str">
        <f aca="false">IF(D403="","",IFERROR(INDEX(Products!$A:$A,MATCH(D403,Products!$B:$B,0)),"Not found"))</f>
        <v/>
      </c>
      <c r="C403" s="20"/>
      <c r="D403" s="20"/>
      <c r="E403" s="20"/>
      <c r="F403" s="20"/>
      <c r="G403" s="20"/>
      <c r="H403" s="20"/>
      <c r="I403" s="20"/>
    </row>
    <row r="404" customFormat="false" ht="15" hidden="false" customHeight="false" outlineLevel="0" collapsed="false">
      <c r="A404" s="18" t="str">
        <f aca="false">IF(C404="","",IFERROR(INDEX(Metrics!$A:$A,MATCH(C404,Metrics!$C:$C,0)),"Not found"))</f>
        <v/>
      </c>
      <c r="B404" s="18" t="str">
        <f aca="false">IF(D404="","",IFERROR(INDEX(Products!$A:$A,MATCH(D404,Products!$B:$B,0)),"Not found"))</f>
        <v/>
      </c>
      <c r="C404" s="20"/>
      <c r="D404" s="20"/>
      <c r="E404" s="20"/>
      <c r="F404" s="20"/>
      <c r="G404" s="20"/>
      <c r="H404" s="20"/>
      <c r="I404" s="20"/>
    </row>
    <row r="405" customFormat="false" ht="15" hidden="false" customHeight="false" outlineLevel="0" collapsed="false">
      <c r="A405" s="18" t="str">
        <f aca="false">IF(C405="","",IFERROR(INDEX(Metrics!$A:$A,MATCH(C405,Metrics!$C:$C,0)),"Not found"))</f>
        <v/>
      </c>
      <c r="B405" s="18" t="str">
        <f aca="false">IF(D405="","",IFERROR(INDEX(Products!$A:$A,MATCH(D405,Products!$B:$B,0)),"Not found"))</f>
        <v/>
      </c>
      <c r="C405" s="20"/>
      <c r="D405" s="20"/>
      <c r="E405" s="20"/>
      <c r="F405" s="20"/>
      <c r="G405" s="20"/>
      <c r="H405" s="20"/>
      <c r="I405" s="20"/>
    </row>
    <row r="406" customFormat="false" ht="15" hidden="false" customHeight="false" outlineLevel="0" collapsed="false">
      <c r="A406" s="18" t="str">
        <f aca="false">IF(C406="","",IFERROR(INDEX(Metrics!$A:$A,MATCH(C406,Metrics!$C:$C,0)),"Not found"))</f>
        <v/>
      </c>
      <c r="B406" s="18" t="str">
        <f aca="false">IF(D406="","",IFERROR(INDEX(Products!$A:$A,MATCH(D406,Products!$B:$B,0)),"Not found"))</f>
        <v/>
      </c>
      <c r="C406" s="20"/>
      <c r="D406" s="20"/>
      <c r="E406" s="20"/>
      <c r="F406" s="20"/>
      <c r="G406" s="20"/>
      <c r="H406" s="20"/>
      <c r="I406" s="20"/>
    </row>
    <row r="407" customFormat="false" ht="15" hidden="false" customHeight="false" outlineLevel="0" collapsed="false">
      <c r="A407" s="18" t="str">
        <f aca="false">IF(C407="","",IFERROR(INDEX(Metrics!$A:$A,MATCH(C407,Metrics!$C:$C,0)),"Not found"))</f>
        <v/>
      </c>
      <c r="B407" s="18" t="str">
        <f aca="false">IF(D407="","",IFERROR(INDEX(Products!$A:$A,MATCH(D407,Products!$B:$B,0)),"Not found"))</f>
        <v/>
      </c>
      <c r="C407" s="20"/>
      <c r="D407" s="20"/>
      <c r="E407" s="20"/>
      <c r="F407" s="20"/>
      <c r="G407" s="20"/>
      <c r="H407" s="20"/>
      <c r="I407" s="20"/>
    </row>
    <row r="408" customFormat="false" ht="15" hidden="false" customHeight="false" outlineLevel="0" collapsed="false">
      <c r="A408" s="18" t="str">
        <f aca="false">IF(C408="","",IFERROR(INDEX(Metrics!$A:$A,MATCH(C408,Metrics!$C:$C,0)),"Not found"))</f>
        <v/>
      </c>
      <c r="B408" s="18" t="str">
        <f aca="false">IF(D408="","",IFERROR(INDEX(Products!$A:$A,MATCH(D408,Products!$B:$B,0)),"Not found"))</f>
        <v/>
      </c>
      <c r="C408" s="20"/>
      <c r="D408" s="20"/>
      <c r="E408" s="20"/>
      <c r="F408" s="20"/>
      <c r="G408" s="20"/>
      <c r="H408" s="20"/>
      <c r="I408" s="20"/>
    </row>
    <row r="409" customFormat="false" ht="15" hidden="false" customHeight="false" outlineLevel="0" collapsed="false">
      <c r="A409" s="18" t="str">
        <f aca="false">IF(C409="","",IFERROR(INDEX(Metrics!$A:$A,MATCH(C409,Metrics!$C:$C,0)),"Not found"))</f>
        <v/>
      </c>
      <c r="B409" s="18" t="str">
        <f aca="false">IF(D409="","",IFERROR(INDEX(Products!$A:$A,MATCH(D409,Products!$B:$B,0)),"Not found"))</f>
        <v/>
      </c>
      <c r="C409" s="20"/>
      <c r="D409" s="20"/>
      <c r="E409" s="20"/>
      <c r="F409" s="20"/>
      <c r="G409" s="20"/>
      <c r="H409" s="20"/>
      <c r="I409" s="20"/>
    </row>
    <row r="410" customFormat="false" ht="15" hidden="false" customHeight="false" outlineLevel="0" collapsed="false">
      <c r="A410" s="18" t="str">
        <f aca="false">IF(C410="","",IFERROR(INDEX(Metrics!$A:$A,MATCH(C410,Metrics!$C:$C,0)),"Not found"))</f>
        <v/>
      </c>
      <c r="B410" s="18" t="str">
        <f aca="false">IF(D410="","",IFERROR(INDEX(Products!$A:$A,MATCH(D410,Products!$B:$B,0)),"Not found"))</f>
        <v/>
      </c>
      <c r="C410" s="20"/>
      <c r="D410" s="20"/>
      <c r="E410" s="20"/>
      <c r="F410" s="20"/>
      <c r="G410" s="20"/>
      <c r="H410" s="20"/>
      <c r="I410" s="20"/>
    </row>
    <row r="411" customFormat="false" ht="15" hidden="false" customHeight="false" outlineLevel="0" collapsed="false">
      <c r="A411" s="18" t="str">
        <f aca="false">IF(C411="","",IFERROR(INDEX(Metrics!$A:$A,MATCH(C411,Metrics!$C:$C,0)),"Not found"))</f>
        <v/>
      </c>
      <c r="B411" s="18" t="str">
        <f aca="false">IF(D411="","",IFERROR(INDEX(Products!$A:$A,MATCH(D411,Products!$B:$B,0)),"Not found"))</f>
        <v/>
      </c>
      <c r="C411" s="20"/>
      <c r="D411" s="20"/>
      <c r="E411" s="20"/>
      <c r="F411" s="20"/>
      <c r="G411" s="20"/>
      <c r="H411" s="20"/>
      <c r="I411" s="20"/>
    </row>
    <row r="412" customFormat="false" ht="15" hidden="false" customHeight="false" outlineLevel="0" collapsed="false">
      <c r="A412" s="18" t="str">
        <f aca="false">IF(C412="","",IFERROR(INDEX(Metrics!$A:$A,MATCH(C412,Metrics!$C:$C,0)),"Not found"))</f>
        <v/>
      </c>
      <c r="B412" s="18" t="str">
        <f aca="false">IF(D412="","",IFERROR(INDEX(Products!$A:$A,MATCH(D412,Products!$B:$B,0)),"Not found"))</f>
        <v/>
      </c>
      <c r="C412" s="20"/>
      <c r="D412" s="20"/>
      <c r="E412" s="20"/>
      <c r="F412" s="20"/>
      <c r="G412" s="20"/>
      <c r="H412" s="20"/>
      <c r="I412" s="20"/>
    </row>
    <row r="413" customFormat="false" ht="15" hidden="false" customHeight="false" outlineLevel="0" collapsed="false">
      <c r="A413" s="18" t="str">
        <f aca="false">IF(C413="","",IFERROR(INDEX(Metrics!$A:$A,MATCH(C413,Metrics!$C:$C,0)),"Not found"))</f>
        <v/>
      </c>
      <c r="B413" s="18" t="str">
        <f aca="false">IF(D413="","",IFERROR(INDEX(Products!$A:$A,MATCH(D413,Products!$B:$B,0)),"Not found"))</f>
        <v/>
      </c>
      <c r="C413" s="20"/>
      <c r="D413" s="20"/>
      <c r="E413" s="20"/>
      <c r="F413" s="20"/>
      <c r="G413" s="20"/>
      <c r="H413" s="20"/>
      <c r="I413" s="20"/>
    </row>
    <row r="414" customFormat="false" ht="15" hidden="false" customHeight="false" outlineLevel="0" collapsed="false">
      <c r="A414" s="18" t="str">
        <f aca="false">IF(C414="","",IFERROR(INDEX(Metrics!$A:$A,MATCH(C414,Metrics!$C:$C,0)),"Not found"))</f>
        <v/>
      </c>
      <c r="B414" s="18" t="str">
        <f aca="false">IF(D414="","",IFERROR(INDEX(Products!$A:$A,MATCH(D414,Products!$B:$B,0)),"Not found"))</f>
        <v/>
      </c>
      <c r="C414" s="20"/>
      <c r="D414" s="20"/>
      <c r="E414" s="20"/>
      <c r="F414" s="20"/>
      <c r="G414" s="20"/>
      <c r="H414" s="20"/>
      <c r="I414" s="20"/>
    </row>
    <row r="415" customFormat="false" ht="15" hidden="false" customHeight="false" outlineLevel="0" collapsed="false">
      <c r="A415" s="18" t="str">
        <f aca="false">IF(C415="","",IFERROR(INDEX(Metrics!$A:$A,MATCH(C415,Metrics!$C:$C,0)),"Not found"))</f>
        <v/>
      </c>
      <c r="B415" s="18" t="str">
        <f aca="false">IF(D415="","",IFERROR(INDEX(Products!$A:$A,MATCH(D415,Products!$B:$B,0)),"Not found"))</f>
        <v/>
      </c>
      <c r="C415" s="20"/>
      <c r="D415" s="20"/>
      <c r="E415" s="20"/>
      <c r="F415" s="20"/>
      <c r="G415" s="20"/>
      <c r="H415" s="20"/>
      <c r="I415" s="20"/>
    </row>
    <row r="416" customFormat="false" ht="15" hidden="false" customHeight="false" outlineLevel="0" collapsed="false">
      <c r="A416" s="18" t="str">
        <f aca="false">IF(C416="","",IFERROR(INDEX(Metrics!$A:$A,MATCH(C416,Metrics!$C:$C,0)),"Not found"))</f>
        <v/>
      </c>
      <c r="B416" s="18" t="str">
        <f aca="false">IF(D416="","",IFERROR(INDEX(Products!$A:$A,MATCH(D416,Products!$B:$B,0)),"Not found"))</f>
        <v/>
      </c>
      <c r="C416" s="20"/>
      <c r="D416" s="20"/>
      <c r="E416" s="20"/>
      <c r="F416" s="20"/>
      <c r="G416" s="20"/>
      <c r="H416" s="20"/>
      <c r="I416" s="20"/>
    </row>
    <row r="417" customFormat="false" ht="15" hidden="false" customHeight="false" outlineLevel="0" collapsed="false">
      <c r="A417" s="18" t="str">
        <f aca="false">IF(C417="","",IFERROR(INDEX(Metrics!$A:$A,MATCH(C417,Metrics!$C:$C,0)),"Not found"))</f>
        <v/>
      </c>
      <c r="B417" s="18" t="str">
        <f aca="false">IF(D417="","",IFERROR(INDEX(Products!$A:$A,MATCH(D417,Products!$B:$B,0)),"Not found"))</f>
        <v/>
      </c>
      <c r="C417" s="20"/>
      <c r="D417" s="20"/>
      <c r="E417" s="20"/>
      <c r="F417" s="20"/>
      <c r="G417" s="20"/>
      <c r="H417" s="20"/>
      <c r="I417" s="20"/>
    </row>
    <row r="418" customFormat="false" ht="15" hidden="false" customHeight="false" outlineLevel="0" collapsed="false">
      <c r="A418" s="18" t="str">
        <f aca="false">IF(C418="","",IFERROR(INDEX(Metrics!$A:$A,MATCH(C418,Metrics!$C:$C,0)),"Not found"))</f>
        <v/>
      </c>
      <c r="B418" s="18" t="str">
        <f aca="false">IF(D418="","",IFERROR(INDEX(Products!$A:$A,MATCH(D418,Products!$B:$B,0)),"Not found"))</f>
        <v/>
      </c>
      <c r="C418" s="20"/>
      <c r="D418" s="20"/>
      <c r="E418" s="20"/>
      <c r="F418" s="20"/>
      <c r="G418" s="20"/>
      <c r="H418" s="20"/>
      <c r="I418" s="20"/>
    </row>
    <row r="419" customFormat="false" ht="15" hidden="false" customHeight="false" outlineLevel="0" collapsed="false">
      <c r="A419" s="18" t="str">
        <f aca="false">IF(C419="","",IFERROR(INDEX(Metrics!$A:$A,MATCH(C419,Metrics!$C:$C,0)),"Not found"))</f>
        <v/>
      </c>
      <c r="B419" s="18" t="str">
        <f aca="false">IF(D419="","",IFERROR(INDEX(Products!$A:$A,MATCH(D419,Products!$B:$B,0)),"Not found"))</f>
        <v/>
      </c>
      <c r="C419" s="20"/>
      <c r="D419" s="20"/>
      <c r="E419" s="20"/>
      <c r="F419" s="20"/>
      <c r="G419" s="20"/>
      <c r="H419" s="20"/>
      <c r="I419" s="20"/>
    </row>
    <row r="420" customFormat="false" ht="15" hidden="false" customHeight="false" outlineLevel="0" collapsed="false">
      <c r="A420" s="18" t="str">
        <f aca="false">IF(C420="","",IFERROR(INDEX(Metrics!$A:$A,MATCH(C420,Metrics!$C:$C,0)),"Not found"))</f>
        <v/>
      </c>
      <c r="B420" s="18" t="str">
        <f aca="false">IF(D420="","",IFERROR(INDEX(Products!$A:$A,MATCH(D420,Products!$B:$B,0)),"Not found"))</f>
        <v/>
      </c>
      <c r="C420" s="20"/>
      <c r="D420" s="20"/>
      <c r="E420" s="20"/>
      <c r="F420" s="20"/>
      <c r="G420" s="20"/>
      <c r="H420" s="20"/>
      <c r="I420" s="20"/>
    </row>
    <row r="421" customFormat="false" ht="15" hidden="false" customHeight="false" outlineLevel="0" collapsed="false">
      <c r="A421" s="18" t="str">
        <f aca="false">IF(C421="","",IFERROR(INDEX(Metrics!$A:$A,MATCH(C421,Metrics!$C:$C,0)),"Not found"))</f>
        <v/>
      </c>
      <c r="B421" s="18" t="str">
        <f aca="false">IF(D421="","",IFERROR(INDEX(Products!$A:$A,MATCH(D421,Products!$B:$B,0)),"Not found"))</f>
        <v/>
      </c>
      <c r="C421" s="20"/>
      <c r="D421" s="20"/>
      <c r="E421" s="20"/>
      <c r="F421" s="20"/>
      <c r="G421" s="20"/>
      <c r="H421" s="20"/>
      <c r="I421" s="20"/>
    </row>
    <row r="422" customFormat="false" ht="15" hidden="false" customHeight="false" outlineLevel="0" collapsed="false">
      <c r="A422" s="18" t="str">
        <f aca="false">IF(C422="","",IFERROR(INDEX(Metrics!$A:$A,MATCH(C422,Metrics!$C:$C,0)),"Not found"))</f>
        <v/>
      </c>
      <c r="B422" s="18" t="str">
        <f aca="false">IF(D422="","",IFERROR(INDEX(Products!$A:$A,MATCH(D422,Products!$B:$B,0)),"Not found"))</f>
        <v/>
      </c>
      <c r="C422" s="20"/>
      <c r="D422" s="20"/>
      <c r="E422" s="20"/>
      <c r="F422" s="20"/>
      <c r="G422" s="20"/>
      <c r="H422" s="20"/>
      <c r="I422" s="20"/>
    </row>
    <row r="423" customFormat="false" ht="15" hidden="false" customHeight="false" outlineLevel="0" collapsed="false">
      <c r="A423" s="18" t="str">
        <f aca="false">IF(C423="","",IFERROR(INDEX(Metrics!$A:$A,MATCH(C423,Metrics!$C:$C,0)),"Not found"))</f>
        <v/>
      </c>
      <c r="B423" s="18" t="str">
        <f aca="false">IF(D423="","",IFERROR(INDEX(Products!$A:$A,MATCH(D423,Products!$B:$B,0)),"Not found"))</f>
        <v/>
      </c>
      <c r="C423" s="20"/>
      <c r="D423" s="20"/>
      <c r="E423" s="20"/>
      <c r="F423" s="20"/>
      <c r="G423" s="20"/>
      <c r="H423" s="20"/>
      <c r="I423" s="20"/>
    </row>
    <row r="424" customFormat="false" ht="15" hidden="false" customHeight="false" outlineLevel="0" collapsed="false">
      <c r="A424" s="18" t="str">
        <f aca="false">IF(C424="","",IFERROR(INDEX(Metrics!$A:$A,MATCH(C424,Metrics!$C:$C,0)),"Not found"))</f>
        <v/>
      </c>
      <c r="B424" s="18" t="str">
        <f aca="false">IF(D424="","",IFERROR(INDEX(Products!$A:$A,MATCH(D424,Products!$B:$B,0)),"Not found"))</f>
        <v/>
      </c>
      <c r="C424" s="20"/>
      <c r="D424" s="20"/>
      <c r="E424" s="20"/>
      <c r="F424" s="20"/>
      <c r="G424" s="20"/>
      <c r="H424" s="20"/>
      <c r="I424" s="20"/>
    </row>
    <row r="425" customFormat="false" ht="15" hidden="false" customHeight="false" outlineLevel="0" collapsed="false">
      <c r="A425" s="18" t="str">
        <f aca="false">IF(C425="","",IFERROR(INDEX(Metrics!$A:$A,MATCH(C425,Metrics!$C:$C,0)),"Not found"))</f>
        <v/>
      </c>
      <c r="B425" s="18" t="str">
        <f aca="false">IF(D425="","",IFERROR(INDEX(Products!$A:$A,MATCH(D425,Products!$B:$B,0)),"Not found"))</f>
        <v/>
      </c>
      <c r="C425" s="20"/>
      <c r="D425" s="20"/>
      <c r="E425" s="20"/>
      <c r="F425" s="20"/>
      <c r="G425" s="20"/>
      <c r="H425" s="20"/>
      <c r="I425" s="20"/>
    </row>
    <row r="426" customFormat="false" ht="15" hidden="false" customHeight="false" outlineLevel="0" collapsed="false">
      <c r="A426" s="18" t="str">
        <f aca="false">IF(C426="","",IFERROR(INDEX(Metrics!$A:$A,MATCH(C426,Metrics!$C:$C,0)),"Not found"))</f>
        <v/>
      </c>
      <c r="B426" s="18" t="str">
        <f aca="false">IF(D426="","",IFERROR(INDEX(Products!$A:$A,MATCH(D426,Products!$B:$B,0)),"Not found"))</f>
        <v/>
      </c>
      <c r="C426" s="20"/>
      <c r="D426" s="20"/>
      <c r="E426" s="20"/>
      <c r="F426" s="20"/>
      <c r="G426" s="20"/>
      <c r="H426" s="20"/>
      <c r="I426" s="20"/>
    </row>
    <row r="427" customFormat="false" ht="15" hidden="false" customHeight="false" outlineLevel="0" collapsed="false">
      <c r="A427" s="18" t="str">
        <f aca="false">IF(C427="","",IFERROR(INDEX(Metrics!$A:$A,MATCH(C427,Metrics!$C:$C,0)),"Not found"))</f>
        <v/>
      </c>
      <c r="B427" s="18" t="str">
        <f aca="false">IF(D427="","",IFERROR(INDEX(Products!$A:$A,MATCH(D427,Products!$B:$B,0)),"Not found"))</f>
        <v/>
      </c>
      <c r="C427" s="20"/>
      <c r="D427" s="20"/>
      <c r="E427" s="20"/>
      <c r="F427" s="20"/>
      <c r="G427" s="20"/>
      <c r="H427" s="20"/>
      <c r="I427" s="20"/>
    </row>
    <row r="428" customFormat="false" ht="15" hidden="false" customHeight="false" outlineLevel="0" collapsed="false">
      <c r="A428" s="18" t="str">
        <f aca="false">IF(C428="","",IFERROR(INDEX(Metrics!$A:$A,MATCH(C428,Metrics!$C:$C,0)),"Not found"))</f>
        <v/>
      </c>
      <c r="B428" s="18" t="str">
        <f aca="false">IF(D428="","",IFERROR(INDEX(Products!$A:$A,MATCH(D428,Products!$B:$B,0)),"Not found"))</f>
        <v/>
      </c>
      <c r="C428" s="20"/>
      <c r="D428" s="20"/>
      <c r="E428" s="20"/>
      <c r="F428" s="20"/>
      <c r="G428" s="20"/>
      <c r="H428" s="20"/>
      <c r="I428" s="20"/>
    </row>
    <row r="429" customFormat="false" ht="15" hidden="false" customHeight="false" outlineLevel="0" collapsed="false">
      <c r="A429" s="18" t="str">
        <f aca="false">IF(C429="","",IFERROR(INDEX(Metrics!$A:$A,MATCH(C429,Metrics!$C:$C,0)),"Not found"))</f>
        <v/>
      </c>
      <c r="B429" s="18" t="str">
        <f aca="false">IF(D429="","",IFERROR(INDEX(Products!$A:$A,MATCH(D429,Products!$B:$B,0)),"Not found"))</f>
        <v/>
      </c>
      <c r="C429" s="20"/>
      <c r="D429" s="20"/>
      <c r="E429" s="20"/>
      <c r="F429" s="20"/>
      <c r="G429" s="20"/>
      <c r="H429" s="20"/>
      <c r="I429" s="20"/>
    </row>
    <row r="430" customFormat="false" ht="15" hidden="false" customHeight="false" outlineLevel="0" collapsed="false">
      <c r="A430" s="18" t="str">
        <f aca="false">IF(C430="","",IFERROR(INDEX(Metrics!$A:$A,MATCH(C430,Metrics!$C:$C,0)),"Not found"))</f>
        <v/>
      </c>
      <c r="B430" s="18" t="str">
        <f aca="false">IF(D430="","",IFERROR(INDEX(Products!$A:$A,MATCH(D430,Products!$B:$B,0)),"Not found"))</f>
        <v/>
      </c>
      <c r="C430" s="20"/>
      <c r="D430" s="20"/>
      <c r="E430" s="20"/>
      <c r="F430" s="20"/>
      <c r="G430" s="20"/>
      <c r="H430" s="20"/>
      <c r="I430" s="20"/>
    </row>
    <row r="431" customFormat="false" ht="15" hidden="false" customHeight="false" outlineLevel="0" collapsed="false">
      <c r="A431" s="18" t="str">
        <f aca="false">IF(C431="","",IFERROR(INDEX(Metrics!$A:$A,MATCH(C431,Metrics!$C:$C,0)),"Not found"))</f>
        <v/>
      </c>
      <c r="B431" s="18" t="str">
        <f aca="false">IF(D431="","",IFERROR(INDEX(Products!$A:$A,MATCH(D431,Products!$B:$B,0)),"Not found"))</f>
        <v/>
      </c>
      <c r="C431" s="20"/>
      <c r="D431" s="20"/>
      <c r="E431" s="20"/>
      <c r="F431" s="20"/>
      <c r="G431" s="20"/>
      <c r="H431" s="20"/>
      <c r="I431" s="20"/>
    </row>
    <row r="432" customFormat="false" ht="15" hidden="false" customHeight="false" outlineLevel="0" collapsed="false">
      <c r="A432" s="18" t="str">
        <f aca="false">IF(C432="","",IFERROR(INDEX(Metrics!$A:$A,MATCH(C432,Metrics!$C:$C,0)),"Not found"))</f>
        <v/>
      </c>
      <c r="B432" s="18" t="str">
        <f aca="false">IF(D432="","",IFERROR(INDEX(Products!$A:$A,MATCH(D432,Products!$B:$B,0)),"Not found"))</f>
        <v/>
      </c>
      <c r="C432" s="20"/>
      <c r="D432" s="20"/>
      <c r="E432" s="20"/>
      <c r="F432" s="20"/>
      <c r="G432" s="20"/>
      <c r="H432" s="20"/>
      <c r="I432" s="20"/>
    </row>
    <row r="433" customFormat="false" ht="15" hidden="false" customHeight="false" outlineLevel="0" collapsed="false">
      <c r="A433" s="18" t="str">
        <f aca="false">IF(C433="","",IFERROR(INDEX(Metrics!$A:$A,MATCH(C433,Metrics!$C:$C,0)),"Not found"))</f>
        <v/>
      </c>
      <c r="B433" s="18" t="str">
        <f aca="false">IF(D433="","",IFERROR(INDEX(Products!$A:$A,MATCH(D433,Products!$B:$B,0)),"Not found"))</f>
        <v/>
      </c>
      <c r="C433" s="20"/>
      <c r="D433" s="20"/>
      <c r="E433" s="20"/>
      <c r="F433" s="20"/>
      <c r="G433" s="20"/>
      <c r="H433" s="20"/>
      <c r="I433" s="20"/>
    </row>
    <row r="434" customFormat="false" ht="15" hidden="false" customHeight="false" outlineLevel="0" collapsed="false">
      <c r="A434" s="18" t="str">
        <f aca="false">IF(C434="","",IFERROR(INDEX(Metrics!$A:$A,MATCH(C434,Metrics!$C:$C,0)),"Not found"))</f>
        <v/>
      </c>
      <c r="B434" s="18" t="str">
        <f aca="false">IF(D434="","",IFERROR(INDEX(Products!$A:$A,MATCH(D434,Products!$B:$B,0)),"Not found"))</f>
        <v/>
      </c>
      <c r="C434" s="20"/>
      <c r="D434" s="20"/>
      <c r="E434" s="20"/>
      <c r="F434" s="20"/>
      <c r="G434" s="20"/>
      <c r="H434" s="20"/>
      <c r="I434" s="20"/>
    </row>
    <row r="435" customFormat="false" ht="15" hidden="false" customHeight="false" outlineLevel="0" collapsed="false">
      <c r="A435" s="18" t="str">
        <f aca="false">IF(C435="","",IFERROR(INDEX(Metrics!$A:$A,MATCH(C435,Metrics!$C:$C,0)),"Not found"))</f>
        <v/>
      </c>
      <c r="B435" s="18" t="str">
        <f aca="false">IF(D435="","",IFERROR(INDEX(Products!$A:$A,MATCH(D435,Products!$B:$B,0)),"Not found"))</f>
        <v/>
      </c>
      <c r="C435" s="20"/>
      <c r="D435" s="20"/>
      <c r="E435" s="20"/>
      <c r="F435" s="20"/>
      <c r="G435" s="20"/>
      <c r="H435" s="20"/>
      <c r="I435" s="20"/>
    </row>
    <row r="436" customFormat="false" ht="15" hidden="false" customHeight="false" outlineLevel="0" collapsed="false">
      <c r="A436" s="18" t="str">
        <f aca="false">IF(C436="","",IFERROR(INDEX(Metrics!$A:$A,MATCH(C436,Metrics!$C:$C,0)),"Not found"))</f>
        <v/>
      </c>
      <c r="B436" s="18" t="str">
        <f aca="false">IF(D436="","",IFERROR(INDEX(Products!$A:$A,MATCH(D436,Products!$B:$B,0)),"Not found"))</f>
        <v/>
      </c>
      <c r="C436" s="20"/>
      <c r="D436" s="20"/>
      <c r="E436" s="20"/>
      <c r="F436" s="20"/>
      <c r="G436" s="20"/>
      <c r="H436" s="20"/>
      <c r="I436" s="20"/>
    </row>
    <row r="437" customFormat="false" ht="15" hidden="false" customHeight="false" outlineLevel="0" collapsed="false">
      <c r="A437" s="18" t="str">
        <f aca="false">IF(C437="","",IFERROR(INDEX(Metrics!$A:$A,MATCH(C437,Metrics!$C:$C,0)),"Not found"))</f>
        <v/>
      </c>
      <c r="B437" s="18" t="str">
        <f aca="false">IF(D437="","",IFERROR(INDEX(Products!$A:$A,MATCH(D437,Products!$B:$B,0)),"Not found"))</f>
        <v/>
      </c>
      <c r="C437" s="20"/>
      <c r="D437" s="20"/>
      <c r="E437" s="20"/>
      <c r="F437" s="20"/>
      <c r="G437" s="20"/>
      <c r="H437" s="20"/>
      <c r="I437" s="20"/>
    </row>
    <row r="438" customFormat="false" ht="15" hidden="false" customHeight="false" outlineLevel="0" collapsed="false">
      <c r="A438" s="18" t="str">
        <f aca="false">IF(C438="","",IFERROR(INDEX(Metrics!$A:$A,MATCH(C438,Metrics!$C:$C,0)),"Not found"))</f>
        <v/>
      </c>
      <c r="B438" s="18" t="str">
        <f aca="false">IF(D438="","",IFERROR(INDEX(Products!$A:$A,MATCH(D438,Products!$B:$B,0)),"Not found"))</f>
        <v/>
      </c>
      <c r="C438" s="20"/>
      <c r="D438" s="20"/>
      <c r="E438" s="20"/>
      <c r="F438" s="20"/>
      <c r="G438" s="20"/>
      <c r="H438" s="20"/>
      <c r="I438" s="20"/>
    </row>
    <row r="439" customFormat="false" ht="15" hidden="false" customHeight="false" outlineLevel="0" collapsed="false">
      <c r="A439" s="18" t="str">
        <f aca="false">IF(C439="","",IFERROR(INDEX(Metrics!$A:$A,MATCH(C439,Metrics!$C:$C,0)),"Not found"))</f>
        <v/>
      </c>
      <c r="B439" s="18" t="str">
        <f aca="false">IF(D439="","",IFERROR(INDEX(Products!$A:$A,MATCH(D439,Products!$B:$B,0)),"Not found"))</f>
        <v/>
      </c>
      <c r="C439" s="20"/>
      <c r="D439" s="20"/>
      <c r="E439" s="20"/>
      <c r="F439" s="20"/>
      <c r="G439" s="20"/>
      <c r="H439" s="20"/>
      <c r="I439" s="20"/>
    </row>
    <row r="440" customFormat="false" ht="15" hidden="false" customHeight="false" outlineLevel="0" collapsed="false">
      <c r="A440" s="18" t="str">
        <f aca="false">IF(C440="","",IFERROR(INDEX(Metrics!$A:$A,MATCH(C440,Metrics!$C:$C,0)),"Not found"))</f>
        <v/>
      </c>
      <c r="B440" s="18" t="str">
        <f aca="false">IF(D440="","",IFERROR(INDEX(Products!$A:$A,MATCH(D440,Products!$B:$B,0)),"Not found"))</f>
        <v/>
      </c>
      <c r="C440" s="20"/>
      <c r="D440" s="20"/>
      <c r="E440" s="20"/>
      <c r="F440" s="20"/>
      <c r="G440" s="20"/>
      <c r="H440" s="20"/>
      <c r="I440" s="20"/>
    </row>
    <row r="441" customFormat="false" ht="15" hidden="false" customHeight="false" outlineLevel="0" collapsed="false">
      <c r="A441" s="18" t="str">
        <f aca="false">IF(C441="","",IFERROR(INDEX(Metrics!$A:$A,MATCH(C441,Metrics!$C:$C,0)),"Not found"))</f>
        <v/>
      </c>
      <c r="B441" s="18" t="str">
        <f aca="false">IF(D441="","",IFERROR(INDEX(Products!$A:$A,MATCH(D441,Products!$B:$B,0)),"Not found"))</f>
        <v/>
      </c>
      <c r="C441" s="20"/>
      <c r="D441" s="20"/>
      <c r="E441" s="20"/>
      <c r="F441" s="20"/>
      <c r="G441" s="20"/>
      <c r="H441" s="20"/>
      <c r="I441" s="20"/>
    </row>
    <row r="442" customFormat="false" ht="15" hidden="false" customHeight="false" outlineLevel="0" collapsed="false">
      <c r="A442" s="18" t="str">
        <f aca="false">IF(C442="","",IFERROR(INDEX(Metrics!$A:$A,MATCH(C442,Metrics!$C:$C,0)),"Not found"))</f>
        <v/>
      </c>
      <c r="B442" s="18" t="str">
        <f aca="false">IF(D442="","",IFERROR(INDEX(Products!$A:$A,MATCH(D442,Products!$B:$B,0)),"Not found"))</f>
        <v/>
      </c>
      <c r="C442" s="20"/>
      <c r="D442" s="20"/>
      <c r="E442" s="20"/>
      <c r="F442" s="20"/>
      <c r="G442" s="20"/>
      <c r="H442" s="20"/>
      <c r="I442" s="20"/>
    </row>
    <row r="443" customFormat="false" ht="15" hidden="false" customHeight="false" outlineLevel="0" collapsed="false">
      <c r="A443" s="18" t="str">
        <f aca="false">IF(C443="","",IFERROR(INDEX(Metrics!$A:$A,MATCH(C443,Metrics!$C:$C,0)),"Not found"))</f>
        <v/>
      </c>
      <c r="B443" s="18" t="str">
        <f aca="false">IF(D443="","",IFERROR(INDEX(Products!$A:$A,MATCH(D443,Products!$B:$B,0)),"Not found"))</f>
        <v/>
      </c>
      <c r="C443" s="20"/>
      <c r="D443" s="20"/>
      <c r="E443" s="20"/>
      <c r="F443" s="20"/>
      <c r="G443" s="20"/>
      <c r="H443" s="20"/>
      <c r="I443" s="20"/>
    </row>
    <row r="444" customFormat="false" ht="15" hidden="false" customHeight="false" outlineLevel="0" collapsed="false">
      <c r="A444" s="18" t="str">
        <f aca="false">IF(C444="","",IFERROR(INDEX(Metrics!$A:$A,MATCH(C444,Metrics!$C:$C,0)),"Not found"))</f>
        <v/>
      </c>
      <c r="B444" s="18" t="str">
        <f aca="false">IF(D444="","",IFERROR(INDEX(Products!$A:$A,MATCH(D444,Products!$B:$B,0)),"Not found"))</f>
        <v/>
      </c>
      <c r="C444" s="20"/>
      <c r="D444" s="20"/>
      <c r="E444" s="20"/>
      <c r="F444" s="20"/>
      <c r="G444" s="20"/>
      <c r="H444" s="20"/>
      <c r="I444" s="20"/>
    </row>
    <row r="445" customFormat="false" ht="15" hidden="false" customHeight="false" outlineLevel="0" collapsed="false">
      <c r="A445" s="18" t="str">
        <f aca="false">IF(C445="","",IFERROR(INDEX(Metrics!$A:$A,MATCH(C445,Metrics!$C:$C,0)),"Not found"))</f>
        <v/>
      </c>
      <c r="B445" s="18" t="str">
        <f aca="false">IF(D445="","",IFERROR(INDEX(Products!$A:$A,MATCH(D445,Products!$B:$B,0)),"Not found"))</f>
        <v/>
      </c>
      <c r="C445" s="20"/>
      <c r="D445" s="20"/>
      <c r="E445" s="20"/>
      <c r="F445" s="20"/>
      <c r="G445" s="20"/>
      <c r="H445" s="20"/>
      <c r="I445" s="20"/>
    </row>
    <row r="446" customFormat="false" ht="15" hidden="false" customHeight="false" outlineLevel="0" collapsed="false">
      <c r="A446" s="18" t="str">
        <f aca="false">IF(C446="","",IFERROR(INDEX(Metrics!$A:$A,MATCH(C446,Metrics!$C:$C,0)),"Not found"))</f>
        <v/>
      </c>
      <c r="B446" s="18" t="str">
        <f aca="false">IF(D446="","",IFERROR(INDEX(Products!$A:$A,MATCH(D446,Products!$B:$B,0)),"Not found"))</f>
        <v/>
      </c>
      <c r="C446" s="20"/>
      <c r="D446" s="20"/>
      <c r="E446" s="20"/>
      <c r="F446" s="20"/>
      <c r="G446" s="20"/>
      <c r="H446" s="20"/>
      <c r="I446" s="20"/>
    </row>
    <row r="447" customFormat="false" ht="15" hidden="false" customHeight="false" outlineLevel="0" collapsed="false">
      <c r="A447" s="18" t="str">
        <f aca="false">IF(C447="","",IFERROR(INDEX(Metrics!$A:$A,MATCH(C447,Metrics!$C:$C,0)),"Not found"))</f>
        <v/>
      </c>
      <c r="B447" s="18" t="str">
        <f aca="false">IF(D447="","",IFERROR(INDEX(Products!$A:$A,MATCH(D447,Products!$B:$B,0)),"Not found"))</f>
        <v/>
      </c>
      <c r="C447" s="20"/>
      <c r="D447" s="20"/>
      <c r="E447" s="20"/>
      <c r="F447" s="20"/>
      <c r="G447" s="20"/>
      <c r="H447" s="20"/>
      <c r="I447" s="20"/>
    </row>
    <row r="448" customFormat="false" ht="15" hidden="false" customHeight="false" outlineLevel="0" collapsed="false">
      <c r="A448" s="18" t="str">
        <f aca="false">IF(C448="","",IFERROR(INDEX(Metrics!$A:$A,MATCH(C448,Metrics!$C:$C,0)),"Not found"))</f>
        <v/>
      </c>
      <c r="B448" s="18" t="str">
        <f aca="false">IF(D448="","",IFERROR(INDEX(Products!$A:$A,MATCH(D448,Products!$B:$B,0)),"Not found"))</f>
        <v/>
      </c>
      <c r="C448" s="20"/>
      <c r="D448" s="20"/>
      <c r="E448" s="20"/>
      <c r="F448" s="20"/>
      <c r="G448" s="20"/>
      <c r="H448" s="20"/>
      <c r="I448" s="20"/>
    </row>
    <row r="449" customFormat="false" ht="15" hidden="false" customHeight="false" outlineLevel="0" collapsed="false">
      <c r="A449" s="18" t="str">
        <f aca="false">IF(C449="","",IFERROR(INDEX(Metrics!$A:$A,MATCH(C449,Metrics!$C:$C,0)),"Not found"))</f>
        <v/>
      </c>
      <c r="B449" s="18" t="str">
        <f aca="false">IF(D449="","",IFERROR(INDEX(Products!$A:$A,MATCH(D449,Products!$B:$B,0)),"Not found"))</f>
        <v/>
      </c>
      <c r="C449" s="20"/>
      <c r="D449" s="20"/>
      <c r="E449" s="20"/>
      <c r="F449" s="20"/>
      <c r="G449" s="20"/>
      <c r="H449" s="20"/>
      <c r="I449" s="20"/>
    </row>
    <row r="450" customFormat="false" ht="15" hidden="false" customHeight="false" outlineLevel="0" collapsed="false">
      <c r="A450" s="18" t="str">
        <f aca="false">IF(C450="","",IFERROR(INDEX(Metrics!$A:$A,MATCH(C450,Metrics!$C:$C,0)),"Not found"))</f>
        <v/>
      </c>
      <c r="B450" s="18" t="str">
        <f aca="false">IF(D450="","",IFERROR(INDEX(Products!$A:$A,MATCH(D450,Products!$B:$B,0)),"Not found"))</f>
        <v/>
      </c>
      <c r="C450" s="20"/>
      <c r="D450" s="20"/>
      <c r="E450" s="20"/>
      <c r="F450" s="20"/>
      <c r="G450" s="20"/>
      <c r="H450" s="20"/>
      <c r="I450" s="20"/>
    </row>
    <row r="451" customFormat="false" ht="15" hidden="false" customHeight="false" outlineLevel="0" collapsed="false">
      <c r="A451" s="18" t="str">
        <f aca="false">IF(C451="","",IFERROR(INDEX(Metrics!$A:$A,MATCH(C451,Metrics!$C:$C,0)),"Not found"))</f>
        <v/>
      </c>
      <c r="B451" s="18" t="str">
        <f aca="false">IF(D451="","",IFERROR(INDEX(Products!$A:$A,MATCH(D451,Products!$B:$B,0)),"Not found"))</f>
        <v/>
      </c>
      <c r="C451" s="20"/>
      <c r="D451" s="20"/>
      <c r="E451" s="20"/>
      <c r="F451" s="20"/>
      <c r="G451" s="20"/>
      <c r="H451" s="20"/>
      <c r="I451" s="20"/>
    </row>
    <row r="452" customFormat="false" ht="15" hidden="false" customHeight="false" outlineLevel="0" collapsed="false">
      <c r="A452" s="18" t="str">
        <f aca="false">IF(C452="","",IFERROR(INDEX(Metrics!$A:$A,MATCH(C452,Metrics!$C:$C,0)),"Not found"))</f>
        <v/>
      </c>
      <c r="B452" s="18" t="str">
        <f aca="false">IF(D452="","",IFERROR(INDEX(Products!$A:$A,MATCH(D452,Products!$B:$B,0)),"Not found"))</f>
        <v/>
      </c>
      <c r="C452" s="20"/>
      <c r="D452" s="20"/>
      <c r="E452" s="20"/>
      <c r="F452" s="20"/>
      <c r="G452" s="20"/>
      <c r="H452" s="20"/>
      <c r="I452" s="20"/>
    </row>
    <row r="453" customFormat="false" ht="15" hidden="false" customHeight="false" outlineLevel="0" collapsed="false">
      <c r="A453" s="18" t="str">
        <f aca="false">IF(C453="","",IFERROR(INDEX(Metrics!$A:$A,MATCH(C453,Metrics!$C:$C,0)),"Not found"))</f>
        <v/>
      </c>
      <c r="B453" s="18" t="str">
        <f aca="false">IF(D453="","",IFERROR(INDEX(Products!$A:$A,MATCH(D453,Products!$B:$B,0)),"Not found"))</f>
        <v/>
      </c>
      <c r="C453" s="20"/>
      <c r="D453" s="20"/>
      <c r="E453" s="20"/>
      <c r="F453" s="20"/>
      <c r="G453" s="20"/>
      <c r="H453" s="20"/>
      <c r="I453" s="20"/>
    </row>
    <row r="454" customFormat="false" ht="15" hidden="false" customHeight="false" outlineLevel="0" collapsed="false">
      <c r="A454" s="18" t="str">
        <f aca="false">IF(C454="","",IFERROR(INDEX(Metrics!$A:$A,MATCH(C454,Metrics!$C:$C,0)),"Not found"))</f>
        <v/>
      </c>
      <c r="B454" s="18" t="str">
        <f aca="false">IF(D454="","",IFERROR(INDEX(Products!$A:$A,MATCH(D454,Products!$B:$B,0)),"Not found"))</f>
        <v/>
      </c>
      <c r="C454" s="20"/>
      <c r="D454" s="20"/>
      <c r="E454" s="20"/>
      <c r="F454" s="20"/>
      <c r="G454" s="20"/>
      <c r="H454" s="20"/>
      <c r="I454" s="20"/>
    </row>
    <row r="455" customFormat="false" ht="15" hidden="false" customHeight="false" outlineLevel="0" collapsed="false">
      <c r="A455" s="18" t="str">
        <f aca="false">IF(C455="","",IFERROR(INDEX(Metrics!$A:$A,MATCH(C455,Metrics!$C:$C,0)),"Not found"))</f>
        <v/>
      </c>
      <c r="B455" s="18" t="str">
        <f aca="false">IF(D455="","",IFERROR(INDEX(Products!$A:$A,MATCH(D455,Products!$B:$B,0)),"Not found"))</f>
        <v/>
      </c>
      <c r="C455" s="20"/>
      <c r="D455" s="20"/>
      <c r="E455" s="20"/>
      <c r="F455" s="20"/>
      <c r="G455" s="20"/>
      <c r="H455" s="20"/>
      <c r="I455" s="20"/>
    </row>
    <row r="456" customFormat="false" ht="15" hidden="false" customHeight="false" outlineLevel="0" collapsed="false">
      <c r="A456" s="18" t="str">
        <f aca="false">IF(C456="","",IFERROR(INDEX(Metrics!$A:$A,MATCH(C456,Metrics!$C:$C,0)),"Not found"))</f>
        <v/>
      </c>
      <c r="B456" s="18" t="str">
        <f aca="false">IF(D456="","",IFERROR(INDEX(Products!$A:$A,MATCH(D456,Products!$B:$B,0)),"Not found"))</f>
        <v/>
      </c>
      <c r="C456" s="20"/>
      <c r="D456" s="20"/>
      <c r="E456" s="20"/>
      <c r="F456" s="20"/>
      <c r="G456" s="20"/>
      <c r="H456" s="20"/>
      <c r="I456" s="20"/>
    </row>
    <row r="457" customFormat="false" ht="15" hidden="false" customHeight="false" outlineLevel="0" collapsed="false">
      <c r="A457" s="18" t="str">
        <f aca="false">IF(C457="","",IFERROR(INDEX(Metrics!$A:$A,MATCH(C457,Metrics!$C:$C,0)),"Not found"))</f>
        <v/>
      </c>
      <c r="B457" s="18" t="str">
        <f aca="false">IF(D457="","",IFERROR(INDEX(Products!$A:$A,MATCH(D457,Products!$B:$B,0)),"Not found"))</f>
        <v/>
      </c>
      <c r="C457" s="20"/>
      <c r="D457" s="20"/>
      <c r="E457" s="20"/>
      <c r="F457" s="20"/>
      <c r="G457" s="20"/>
      <c r="H457" s="20"/>
      <c r="I457" s="20"/>
    </row>
    <row r="458" customFormat="false" ht="15" hidden="false" customHeight="false" outlineLevel="0" collapsed="false">
      <c r="A458" s="18" t="str">
        <f aca="false">IF(C458="","",IFERROR(INDEX(Metrics!$A:$A,MATCH(C458,Metrics!$C:$C,0)),"Not found"))</f>
        <v/>
      </c>
      <c r="B458" s="18" t="str">
        <f aca="false">IF(D458="","",IFERROR(INDEX(Products!$A:$A,MATCH(D458,Products!$B:$B,0)),"Not found"))</f>
        <v/>
      </c>
      <c r="C458" s="20"/>
      <c r="D458" s="20"/>
      <c r="E458" s="20"/>
      <c r="F458" s="20"/>
      <c r="G458" s="20"/>
      <c r="H458" s="20"/>
      <c r="I458" s="20"/>
    </row>
    <row r="459" customFormat="false" ht="15" hidden="false" customHeight="false" outlineLevel="0" collapsed="false">
      <c r="A459" s="18" t="str">
        <f aca="false">IF(C459="","",IFERROR(INDEX(Metrics!$A:$A,MATCH(C459,Metrics!$C:$C,0)),"Not found"))</f>
        <v/>
      </c>
      <c r="B459" s="18" t="str">
        <f aca="false">IF(D459="","",IFERROR(INDEX(Products!$A:$A,MATCH(D459,Products!$B:$B,0)),"Not found"))</f>
        <v/>
      </c>
      <c r="C459" s="20"/>
      <c r="D459" s="20"/>
      <c r="E459" s="20"/>
      <c r="F459" s="20"/>
      <c r="G459" s="20"/>
      <c r="H459" s="20"/>
      <c r="I459" s="20"/>
    </row>
    <row r="460" customFormat="false" ht="15" hidden="false" customHeight="false" outlineLevel="0" collapsed="false">
      <c r="A460" s="18" t="str">
        <f aca="false">IF(C460="","",IFERROR(INDEX(Metrics!$A:$A,MATCH(C460,Metrics!$C:$C,0)),"Not found"))</f>
        <v/>
      </c>
      <c r="B460" s="18" t="str">
        <f aca="false">IF(D460="","",IFERROR(INDEX(Products!$A:$A,MATCH(D460,Products!$B:$B,0)),"Not found"))</f>
        <v/>
      </c>
      <c r="C460" s="20"/>
      <c r="D460" s="20"/>
      <c r="E460" s="20"/>
      <c r="F460" s="20"/>
      <c r="G460" s="20"/>
      <c r="H460" s="20"/>
      <c r="I460" s="20"/>
    </row>
    <row r="461" customFormat="false" ht="15" hidden="false" customHeight="false" outlineLevel="0" collapsed="false">
      <c r="A461" s="18" t="str">
        <f aca="false">IF(C461="","",IFERROR(INDEX(Metrics!$A:$A,MATCH(C461,Metrics!$C:$C,0)),"Not found"))</f>
        <v/>
      </c>
      <c r="B461" s="18" t="str">
        <f aca="false">IF(D461="","",IFERROR(INDEX(Products!$A:$A,MATCH(D461,Products!$B:$B,0)),"Not found"))</f>
        <v/>
      </c>
      <c r="C461" s="20"/>
      <c r="D461" s="20"/>
      <c r="E461" s="20"/>
      <c r="F461" s="20"/>
      <c r="G461" s="20"/>
      <c r="H461" s="20"/>
      <c r="I461" s="20"/>
    </row>
    <row r="462" customFormat="false" ht="15" hidden="false" customHeight="false" outlineLevel="0" collapsed="false">
      <c r="A462" s="18" t="str">
        <f aca="false">IF(C462="","",IFERROR(INDEX(Metrics!$A:$A,MATCH(C462,Metrics!$C:$C,0)),"Not found"))</f>
        <v/>
      </c>
      <c r="B462" s="18" t="str">
        <f aca="false">IF(D462="","",IFERROR(INDEX(Products!$A:$A,MATCH(D462,Products!$B:$B,0)),"Not found"))</f>
        <v/>
      </c>
      <c r="C462" s="20"/>
      <c r="D462" s="20"/>
      <c r="E462" s="20"/>
      <c r="F462" s="20"/>
      <c r="G462" s="20"/>
      <c r="H462" s="20"/>
      <c r="I462" s="20"/>
    </row>
    <row r="463" customFormat="false" ht="15" hidden="false" customHeight="false" outlineLevel="0" collapsed="false">
      <c r="A463" s="18" t="str">
        <f aca="false">IF(C463="","",IFERROR(INDEX(Metrics!$A:$A,MATCH(C463,Metrics!$C:$C,0)),"Not found"))</f>
        <v/>
      </c>
      <c r="B463" s="18" t="str">
        <f aca="false">IF(D463="","",IFERROR(INDEX(Products!$A:$A,MATCH(D463,Products!$B:$B,0)),"Not found"))</f>
        <v/>
      </c>
      <c r="C463" s="20"/>
      <c r="D463" s="20"/>
      <c r="E463" s="20"/>
      <c r="F463" s="20"/>
      <c r="G463" s="20"/>
      <c r="H463" s="20"/>
      <c r="I463" s="20"/>
    </row>
    <row r="464" customFormat="false" ht="15" hidden="false" customHeight="false" outlineLevel="0" collapsed="false">
      <c r="A464" s="18" t="str">
        <f aca="false">IF(C464="","",IFERROR(INDEX(Metrics!$A:$A,MATCH(C464,Metrics!$C:$C,0)),"Not found"))</f>
        <v/>
      </c>
      <c r="B464" s="18" t="str">
        <f aca="false">IF(D464="","",IFERROR(INDEX(Products!$A:$A,MATCH(D464,Products!$B:$B,0)),"Not found"))</f>
        <v/>
      </c>
      <c r="C464" s="20"/>
      <c r="D464" s="20"/>
      <c r="E464" s="20"/>
      <c r="F464" s="20"/>
      <c r="G464" s="20"/>
      <c r="H464" s="20"/>
      <c r="I464" s="20"/>
    </row>
    <row r="465" customFormat="false" ht="15" hidden="false" customHeight="false" outlineLevel="0" collapsed="false">
      <c r="A465" s="18" t="str">
        <f aca="false">IF(C465="","",IFERROR(INDEX(Metrics!$A:$A,MATCH(C465,Metrics!$C:$C,0)),"Not found"))</f>
        <v/>
      </c>
      <c r="B465" s="18" t="str">
        <f aca="false">IF(D465="","",IFERROR(INDEX(Products!$A:$A,MATCH(D465,Products!$B:$B,0)),"Not found"))</f>
        <v/>
      </c>
      <c r="C465" s="20"/>
      <c r="D465" s="20"/>
      <c r="E465" s="20"/>
      <c r="F465" s="20"/>
      <c r="G465" s="20"/>
      <c r="H465" s="20"/>
      <c r="I465" s="20"/>
    </row>
    <row r="466" customFormat="false" ht="15" hidden="false" customHeight="false" outlineLevel="0" collapsed="false">
      <c r="A466" s="18" t="str">
        <f aca="false">IF(C466="","",IFERROR(INDEX(Metrics!$A:$A,MATCH(C466,Metrics!$C:$C,0)),"Not found"))</f>
        <v/>
      </c>
      <c r="B466" s="18" t="str">
        <f aca="false">IF(D466="","",IFERROR(INDEX(Products!$A:$A,MATCH(D466,Products!$B:$B,0)),"Not found"))</f>
        <v/>
      </c>
      <c r="C466" s="20"/>
      <c r="D466" s="20"/>
      <c r="E466" s="20"/>
      <c r="F466" s="20"/>
      <c r="G466" s="20"/>
      <c r="H466" s="20"/>
      <c r="I466" s="20"/>
    </row>
    <row r="467" customFormat="false" ht="15" hidden="false" customHeight="false" outlineLevel="0" collapsed="false">
      <c r="A467" s="18" t="str">
        <f aca="false">IF(C467="","",IFERROR(INDEX(Metrics!$A:$A,MATCH(C467,Metrics!$C:$C,0)),"Not found"))</f>
        <v/>
      </c>
      <c r="B467" s="18" t="str">
        <f aca="false">IF(D467="","",IFERROR(INDEX(Products!$A:$A,MATCH(D467,Products!$B:$B,0)),"Not found"))</f>
        <v/>
      </c>
      <c r="C467" s="20"/>
      <c r="D467" s="20"/>
      <c r="E467" s="20"/>
      <c r="F467" s="20"/>
      <c r="G467" s="20"/>
      <c r="H467" s="20"/>
      <c r="I467" s="20"/>
    </row>
    <row r="468" customFormat="false" ht="15" hidden="false" customHeight="false" outlineLevel="0" collapsed="false">
      <c r="A468" s="18" t="str">
        <f aca="false">IF(C468="","",IFERROR(INDEX(Metrics!$A:$A,MATCH(C468,Metrics!$C:$C,0)),"Not found"))</f>
        <v/>
      </c>
      <c r="B468" s="18" t="str">
        <f aca="false">IF(D468="","",IFERROR(INDEX(Products!$A:$A,MATCH(D468,Products!$B:$B,0)),"Not found"))</f>
        <v/>
      </c>
      <c r="C468" s="20"/>
      <c r="D468" s="20"/>
      <c r="E468" s="20"/>
      <c r="F468" s="20"/>
      <c r="G468" s="20"/>
      <c r="H468" s="20"/>
      <c r="I468" s="20"/>
    </row>
    <row r="469" customFormat="false" ht="15" hidden="false" customHeight="false" outlineLevel="0" collapsed="false">
      <c r="A469" s="18" t="str">
        <f aca="false">IF(C469="","",IFERROR(INDEX(Metrics!$A:$A,MATCH(C469,Metrics!$C:$C,0)),"Not found"))</f>
        <v/>
      </c>
      <c r="B469" s="18" t="str">
        <f aca="false">IF(D469="","",IFERROR(INDEX(Products!$A:$A,MATCH(D469,Products!$B:$B,0)),"Not found"))</f>
        <v/>
      </c>
      <c r="C469" s="20"/>
      <c r="D469" s="20"/>
      <c r="E469" s="20"/>
      <c r="F469" s="20"/>
      <c r="G469" s="20"/>
      <c r="H469" s="20"/>
      <c r="I469" s="20"/>
    </row>
    <row r="470" customFormat="false" ht="15" hidden="false" customHeight="false" outlineLevel="0" collapsed="false">
      <c r="A470" s="18" t="str">
        <f aca="false">IF(C470="","",IFERROR(INDEX(Metrics!$A:$A,MATCH(C470,Metrics!$C:$C,0)),"Not found"))</f>
        <v/>
      </c>
      <c r="B470" s="18" t="str">
        <f aca="false">IF(D470="","",IFERROR(INDEX(Products!$A:$A,MATCH(D470,Products!$B:$B,0)),"Not found"))</f>
        <v/>
      </c>
      <c r="C470" s="20"/>
      <c r="D470" s="20"/>
      <c r="E470" s="20"/>
      <c r="F470" s="20"/>
      <c r="G470" s="20"/>
      <c r="H470" s="20"/>
      <c r="I470" s="20"/>
    </row>
    <row r="471" customFormat="false" ht="15" hidden="false" customHeight="false" outlineLevel="0" collapsed="false">
      <c r="A471" s="18" t="str">
        <f aca="false">IF(C471="","",IFERROR(INDEX(Metrics!$A:$A,MATCH(C471,Metrics!$C:$C,0)),"Not found"))</f>
        <v/>
      </c>
      <c r="B471" s="18" t="str">
        <f aca="false">IF(D471="","",IFERROR(INDEX(Products!$A:$A,MATCH(D471,Products!$B:$B,0)),"Not found"))</f>
        <v/>
      </c>
      <c r="C471" s="20"/>
      <c r="D471" s="20"/>
      <c r="E471" s="20"/>
      <c r="F471" s="20"/>
      <c r="G471" s="20"/>
      <c r="H471" s="20"/>
      <c r="I471" s="20"/>
    </row>
    <row r="472" customFormat="false" ht="15" hidden="false" customHeight="false" outlineLevel="0" collapsed="false">
      <c r="A472" s="18" t="str">
        <f aca="false">IF(C472="","",IFERROR(INDEX(Metrics!$A:$A,MATCH(C472,Metrics!$C:$C,0)),"Not found"))</f>
        <v/>
      </c>
      <c r="B472" s="18" t="str">
        <f aca="false">IF(D472="","",IFERROR(INDEX(Products!$A:$A,MATCH(D472,Products!$B:$B,0)),"Not found"))</f>
        <v/>
      </c>
      <c r="C472" s="20"/>
      <c r="D472" s="20"/>
      <c r="E472" s="20"/>
      <c r="F472" s="20"/>
      <c r="G472" s="20"/>
      <c r="H472" s="20"/>
      <c r="I472" s="20"/>
    </row>
    <row r="473" customFormat="false" ht="15" hidden="false" customHeight="false" outlineLevel="0" collapsed="false">
      <c r="A473" s="18" t="str">
        <f aca="false">IF(C473="","",IFERROR(INDEX(Metrics!$A:$A,MATCH(C473,Metrics!$C:$C,0)),"Not found"))</f>
        <v/>
      </c>
      <c r="B473" s="18" t="str">
        <f aca="false">IF(D473="","",IFERROR(INDEX(Products!$A:$A,MATCH(D473,Products!$B:$B,0)),"Not found"))</f>
        <v/>
      </c>
      <c r="C473" s="20"/>
      <c r="D473" s="20"/>
      <c r="E473" s="20"/>
      <c r="F473" s="20"/>
      <c r="G473" s="20"/>
      <c r="H473" s="20"/>
      <c r="I473" s="20"/>
    </row>
    <row r="474" customFormat="false" ht="15" hidden="false" customHeight="false" outlineLevel="0" collapsed="false">
      <c r="A474" s="18" t="str">
        <f aca="false">IF(C474="","",IFERROR(INDEX(Metrics!$A:$A,MATCH(C474,Metrics!$C:$C,0)),"Not found"))</f>
        <v/>
      </c>
      <c r="B474" s="18" t="str">
        <f aca="false">IF(D474="","",IFERROR(INDEX(Products!$A:$A,MATCH(D474,Products!$B:$B,0)),"Not found"))</f>
        <v/>
      </c>
      <c r="C474" s="20"/>
      <c r="D474" s="20"/>
      <c r="E474" s="20"/>
      <c r="F474" s="20"/>
      <c r="G474" s="20"/>
      <c r="H474" s="20"/>
      <c r="I474" s="20"/>
    </row>
    <row r="475" customFormat="false" ht="15" hidden="false" customHeight="false" outlineLevel="0" collapsed="false">
      <c r="A475" s="18" t="str">
        <f aca="false">IF(C475="","",IFERROR(INDEX(Metrics!$A:$A,MATCH(C475,Metrics!$C:$C,0)),"Not found"))</f>
        <v/>
      </c>
      <c r="B475" s="18" t="str">
        <f aca="false">IF(D475="","",IFERROR(INDEX(Products!$A:$A,MATCH(D475,Products!$B:$B,0)),"Not found"))</f>
        <v/>
      </c>
      <c r="C475" s="20"/>
      <c r="D475" s="20"/>
      <c r="E475" s="20"/>
      <c r="F475" s="20"/>
      <c r="G475" s="20"/>
      <c r="H475" s="20"/>
      <c r="I475" s="20"/>
    </row>
    <row r="476" customFormat="false" ht="15" hidden="false" customHeight="false" outlineLevel="0" collapsed="false">
      <c r="A476" s="18" t="str">
        <f aca="false">IF(C476="","",IFERROR(INDEX(Metrics!$A:$A,MATCH(C476,Metrics!$C:$C,0)),"Not found"))</f>
        <v/>
      </c>
      <c r="B476" s="18" t="str">
        <f aca="false">IF(D476="","",IFERROR(INDEX(Products!$A:$A,MATCH(D476,Products!$B:$B,0)),"Not found"))</f>
        <v/>
      </c>
      <c r="C476" s="20"/>
      <c r="D476" s="20"/>
      <c r="E476" s="20"/>
      <c r="F476" s="20"/>
      <c r="G476" s="20"/>
      <c r="H476" s="20"/>
      <c r="I476" s="20"/>
    </row>
    <row r="477" customFormat="false" ht="15" hidden="false" customHeight="false" outlineLevel="0" collapsed="false">
      <c r="A477" s="18" t="str">
        <f aca="false">IF(C477="","",IFERROR(INDEX(Metrics!$A:$A,MATCH(C477,Metrics!$C:$C,0)),"Not found"))</f>
        <v/>
      </c>
      <c r="B477" s="18" t="str">
        <f aca="false">IF(D477="","",IFERROR(INDEX(Products!$A:$A,MATCH(D477,Products!$B:$B,0)),"Not found"))</f>
        <v/>
      </c>
      <c r="C477" s="20"/>
      <c r="D477" s="20"/>
      <c r="E477" s="20"/>
      <c r="F477" s="20"/>
      <c r="G477" s="20"/>
      <c r="H477" s="20"/>
      <c r="I477" s="20"/>
    </row>
    <row r="478" customFormat="false" ht="15" hidden="false" customHeight="false" outlineLevel="0" collapsed="false">
      <c r="A478" s="18" t="str">
        <f aca="false">IF(C478="","",IFERROR(INDEX(Metrics!$A:$A,MATCH(C478,Metrics!$C:$C,0)),"Not found"))</f>
        <v/>
      </c>
      <c r="B478" s="18" t="str">
        <f aca="false">IF(D478="","",IFERROR(INDEX(Products!$A:$A,MATCH(D478,Products!$B:$B,0)),"Not found"))</f>
        <v/>
      </c>
      <c r="C478" s="20"/>
      <c r="D478" s="20"/>
      <c r="E478" s="20"/>
      <c r="F478" s="20"/>
      <c r="G478" s="20"/>
      <c r="H478" s="20"/>
      <c r="I478" s="20"/>
    </row>
    <row r="479" customFormat="false" ht="15" hidden="false" customHeight="false" outlineLevel="0" collapsed="false">
      <c r="A479" s="18" t="str">
        <f aca="false">IF(C479="","",IFERROR(INDEX(Metrics!$A:$A,MATCH(C479,Metrics!$C:$C,0)),"Not found"))</f>
        <v/>
      </c>
      <c r="B479" s="18" t="str">
        <f aca="false">IF(D479="","",IFERROR(INDEX(Products!$A:$A,MATCH(D479,Products!$B:$B,0)),"Not found"))</f>
        <v/>
      </c>
      <c r="C479" s="20"/>
      <c r="D479" s="20"/>
      <c r="E479" s="20"/>
      <c r="F479" s="20"/>
      <c r="G479" s="20"/>
      <c r="H479" s="20"/>
      <c r="I479" s="20"/>
    </row>
    <row r="480" customFormat="false" ht="15" hidden="false" customHeight="false" outlineLevel="0" collapsed="false">
      <c r="A480" s="18" t="str">
        <f aca="false">IF(C480="","",IFERROR(INDEX(Metrics!$A:$A,MATCH(C480,Metrics!$C:$C,0)),"Not found"))</f>
        <v/>
      </c>
      <c r="B480" s="18" t="str">
        <f aca="false">IF(D480="","",IFERROR(INDEX(Products!$A:$A,MATCH(D480,Products!$B:$B,0)),"Not found"))</f>
        <v/>
      </c>
      <c r="C480" s="20"/>
      <c r="D480" s="20"/>
      <c r="E480" s="20"/>
      <c r="F480" s="20"/>
      <c r="G480" s="20"/>
      <c r="H480" s="20"/>
      <c r="I480" s="20"/>
    </row>
    <row r="481" customFormat="false" ht="15" hidden="false" customHeight="false" outlineLevel="0" collapsed="false">
      <c r="A481" s="18" t="str">
        <f aca="false">IF(C481="","",IFERROR(INDEX(Metrics!$A:$A,MATCH(C481,Metrics!$C:$C,0)),"Not found"))</f>
        <v/>
      </c>
      <c r="B481" s="18" t="str">
        <f aca="false">IF(D481="","",IFERROR(INDEX(Products!$A:$A,MATCH(D481,Products!$B:$B,0)),"Not found"))</f>
        <v/>
      </c>
      <c r="C481" s="20"/>
      <c r="D481" s="20"/>
      <c r="E481" s="20"/>
      <c r="F481" s="20"/>
      <c r="G481" s="20"/>
      <c r="H481" s="20"/>
      <c r="I481" s="20"/>
    </row>
    <row r="482" customFormat="false" ht="15" hidden="false" customHeight="false" outlineLevel="0" collapsed="false">
      <c r="A482" s="18" t="str">
        <f aca="false">IF(C482="","",IFERROR(INDEX(Metrics!$A:$A,MATCH(C482,Metrics!$C:$C,0)),"Not found"))</f>
        <v/>
      </c>
      <c r="B482" s="18" t="str">
        <f aca="false">IF(D482="","",IFERROR(INDEX(Products!$A:$A,MATCH(D482,Products!$B:$B,0)),"Not found"))</f>
        <v/>
      </c>
      <c r="C482" s="20"/>
      <c r="D482" s="20"/>
      <c r="E482" s="20"/>
      <c r="F482" s="20"/>
      <c r="G482" s="20"/>
      <c r="H482" s="20"/>
      <c r="I482" s="20"/>
    </row>
    <row r="483" customFormat="false" ht="15" hidden="false" customHeight="false" outlineLevel="0" collapsed="false">
      <c r="A483" s="18" t="str">
        <f aca="false">IF(C483="","",IFERROR(INDEX(Metrics!$A:$A,MATCH(C483,Metrics!$C:$C,0)),"Not found"))</f>
        <v/>
      </c>
      <c r="B483" s="18" t="str">
        <f aca="false">IF(D483="","",IFERROR(INDEX(Products!$A:$A,MATCH(D483,Products!$B:$B,0)),"Not found"))</f>
        <v/>
      </c>
      <c r="C483" s="20"/>
      <c r="D483" s="20"/>
      <c r="E483" s="20"/>
      <c r="F483" s="20"/>
      <c r="G483" s="20"/>
      <c r="H483" s="20"/>
      <c r="I483" s="20"/>
    </row>
    <row r="484" customFormat="false" ht="15" hidden="false" customHeight="false" outlineLevel="0" collapsed="false">
      <c r="A484" s="18" t="str">
        <f aca="false">IF(C484="","",IFERROR(INDEX(Metrics!$A:$A,MATCH(C484,Metrics!$C:$C,0)),"Not found"))</f>
        <v/>
      </c>
      <c r="B484" s="18" t="str">
        <f aca="false">IF(D484="","",IFERROR(INDEX(Products!$A:$A,MATCH(D484,Products!$B:$B,0)),"Not found"))</f>
        <v/>
      </c>
      <c r="C484" s="20"/>
      <c r="D484" s="20"/>
      <c r="E484" s="20"/>
      <c r="F484" s="20"/>
      <c r="G484" s="20"/>
      <c r="H484" s="20"/>
      <c r="I484" s="20"/>
    </row>
    <row r="485" customFormat="false" ht="15" hidden="false" customHeight="false" outlineLevel="0" collapsed="false">
      <c r="A485" s="18" t="str">
        <f aca="false">IF(C485="","",IFERROR(INDEX(Metrics!$A:$A,MATCH(C485,Metrics!$C:$C,0)),"Not found"))</f>
        <v/>
      </c>
      <c r="B485" s="18" t="str">
        <f aca="false">IF(D485="","",IFERROR(INDEX(Products!$A:$A,MATCH(D485,Products!$B:$B,0)),"Not found"))</f>
        <v/>
      </c>
      <c r="C485" s="20"/>
      <c r="D485" s="20"/>
      <c r="E485" s="20"/>
      <c r="F485" s="20"/>
      <c r="G485" s="20"/>
      <c r="H485" s="20"/>
      <c r="I485" s="20"/>
    </row>
    <row r="486" customFormat="false" ht="15" hidden="false" customHeight="false" outlineLevel="0" collapsed="false">
      <c r="A486" s="18" t="str">
        <f aca="false">IF(C486="","",IFERROR(INDEX(Metrics!$A:$A,MATCH(C486,Metrics!$C:$C,0)),"Not found"))</f>
        <v/>
      </c>
      <c r="B486" s="18" t="str">
        <f aca="false">IF(D486="","",IFERROR(INDEX(Products!$A:$A,MATCH(D486,Products!$B:$B,0)),"Not found"))</f>
        <v/>
      </c>
      <c r="C486" s="20"/>
      <c r="D486" s="20"/>
      <c r="E486" s="20"/>
      <c r="F486" s="20"/>
      <c r="G486" s="20"/>
      <c r="H486" s="20"/>
      <c r="I486" s="20"/>
    </row>
    <row r="487" customFormat="false" ht="15" hidden="false" customHeight="false" outlineLevel="0" collapsed="false">
      <c r="A487" s="18" t="str">
        <f aca="false">IF(C487="","",IFERROR(INDEX(Metrics!$A:$A,MATCH(C487,Metrics!$C:$C,0)),"Not found"))</f>
        <v/>
      </c>
      <c r="B487" s="18" t="str">
        <f aca="false">IF(D487="","",IFERROR(INDEX(Products!$A:$A,MATCH(D487,Products!$B:$B,0)),"Not found"))</f>
        <v/>
      </c>
      <c r="C487" s="20"/>
      <c r="D487" s="20"/>
      <c r="E487" s="20"/>
      <c r="F487" s="20"/>
      <c r="G487" s="20"/>
      <c r="H487" s="20"/>
      <c r="I487" s="20"/>
    </row>
    <row r="488" customFormat="false" ht="15" hidden="false" customHeight="false" outlineLevel="0" collapsed="false">
      <c r="A488" s="18" t="str">
        <f aca="false">IF(C488="","",IFERROR(INDEX(Metrics!$A:$A,MATCH(C488,Metrics!$C:$C,0)),"Not found"))</f>
        <v/>
      </c>
      <c r="B488" s="18" t="str">
        <f aca="false">IF(D488="","",IFERROR(INDEX(Products!$A:$A,MATCH(D488,Products!$B:$B,0)),"Not found"))</f>
        <v/>
      </c>
      <c r="C488" s="20"/>
      <c r="D488" s="20"/>
      <c r="E488" s="20"/>
      <c r="F488" s="20"/>
      <c r="G488" s="20"/>
      <c r="H488" s="20"/>
      <c r="I488" s="20"/>
    </row>
    <row r="489" customFormat="false" ht="15" hidden="false" customHeight="false" outlineLevel="0" collapsed="false">
      <c r="A489" s="18" t="str">
        <f aca="false">IF(C489="","",IFERROR(INDEX(Metrics!$A:$A,MATCH(C489,Metrics!$C:$C,0)),"Not found"))</f>
        <v/>
      </c>
      <c r="B489" s="18" t="str">
        <f aca="false">IF(D489="","",IFERROR(INDEX(Products!$A:$A,MATCH(D489,Products!$B:$B,0)),"Not found"))</f>
        <v/>
      </c>
      <c r="C489" s="20"/>
      <c r="D489" s="20"/>
      <c r="E489" s="20"/>
      <c r="F489" s="20"/>
      <c r="G489" s="20"/>
      <c r="H489" s="20"/>
      <c r="I489" s="20"/>
    </row>
    <row r="490" customFormat="false" ht="15" hidden="false" customHeight="false" outlineLevel="0" collapsed="false">
      <c r="A490" s="18" t="str">
        <f aca="false">IF(C490="","",IFERROR(INDEX(Metrics!$A:$A,MATCH(C490,Metrics!$C:$C,0)),"Not found"))</f>
        <v/>
      </c>
      <c r="B490" s="18" t="str">
        <f aca="false">IF(D490="","",IFERROR(INDEX(Products!$A:$A,MATCH(D490,Products!$B:$B,0)),"Not found"))</f>
        <v/>
      </c>
      <c r="C490" s="20"/>
      <c r="D490" s="20"/>
      <c r="E490" s="20"/>
      <c r="F490" s="20"/>
      <c r="G490" s="20"/>
      <c r="H490" s="20"/>
      <c r="I490" s="20"/>
    </row>
    <row r="491" customFormat="false" ht="15" hidden="false" customHeight="false" outlineLevel="0" collapsed="false">
      <c r="A491" s="18" t="str">
        <f aca="false">IF(C491="","",IFERROR(INDEX(Metrics!$A:$A,MATCH(C491,Metrics!$C:$C,0)),"Not found"))</f>
        <v/>
      </c>
      <c r="B491" s="18" t="str">
        <f aca="false">IF(D491="","",IFERROR(INDEX(Products!$A:$A,MATCH(D491,Products!$B:$B,0)),"Not found"))</f>
        <v/>
      </c>
      <c r="C491" s="20"/>
      <c r="D491" s="20"/>
      <c r="E491" s="20"/>
      <c r="F491" s="20"/>
      <c r="G491" s="20"/>
      <c r="H491" s="20"/>
      <c r="I491" s="20"/>
    </row>
    <row r="492" customFormat="false" ht="15" hidden="false" customHeight="false" outlineLevel="0" collapsed="false">
      <c r="A492" s="18" t="str">
        <f aca="false">IF(C492="","",IFERROR(INDEX(Metrics!$A:$A,MATCH(C492,Metrics!$C:$C,0)),"Not found"))</f>
        <v/>
      </c>
      <c r="B492" s="18" t="str">
        <f aca="false">IF(D492="","",IFERROR(INDEX(Products!$A:$A,MATCH(D492,Products!$B:$B,0)),"Not found"))</f>
        <v/>
      </c>
      <c r="C492" s="20"/>
      <c r="D492" s="20"/>
      <c r="E492" s="20"/>
      <c r="F492" s="20"/>
      <c r="G492" s="20"/>
      <c r="H492" s="20"/>
      <c r="I492" s="20"/>
    </row>
    <row r="493" customFormat="false" ht="15" hidden="false" customHeight="false" outlineLevel="0" collapsed="false">
      <c r="A493" s="18" t="str">
        <f aca="false">IF(C493="","",IFERROR(INDEX(Metrics!$A:$A,MATCH(C493,Metrics!$C:$C,0)),"Not found"))</f>
        <v/>
      </c>
      <c r="B493" s="18" t="str">
        <f aca="false">IF(D493="","",IFERROR(INDEX(Products!$A:$A,MATCH(D493,Products!$B:$B,0)),"Not found"))</f>
        <v/>
      </c>
      <c r="C493" s="20"/>
      <c r="D493" s="20"/>
      <c r="E493" s="20"/>
      <c r="F493" s="20"/>
      <c r="G493" s="20"/>
      <c r="H493" s="20"/>
      <c r="I493" s="20"/>
    </row>
    <row r="494" customFormat="false" ht="15" hidden="false" customHeight="false" outlineLevel="0" collapsed="false">
      <c r="A494" s="18" t="str">
        <f aca="false">IF(C494="","",IFERROR(INDEX(Metrics!$A:$A,MATCH(C494,Metrics!$C:$C,0)),"Not found"))</f>
        <v/>
      </c>
      <c r="B494" s="18" t="str">
        <f aca="false">IF(D494="","",IFERROR(INDEX(Products!$A:$A,MATCH(D494,Products!$B:$B,0)),"Not found"))</f>
        <v/>
      </c>
      <c r="C494" s="20"/>
      <c r="D494" s="20"/>
      <c r="E494" s="20"/>
      <c r="F494" s="20"/>
      <c r="G494" s="20"/>
      <c r="H494" s="20"/>
      <c r="I494" s="20"/>
    </row>
    <row r="495" customFormat="false" ht="15" hidden="false" customHeight="false" outlineLevel="0" collapsed="false">
      <c r="A495" s="18" t="str">
        <f aca="false">IF(C495="","",IFERROR(INDEX(Metrics!$A:$A,MATCH(C495,Metrics!$C:$C,0)),"Not found"))</f>
        <v/>
      </c>
      <c r="B495" s="18" t="str">
        <f aca="false">IF(D495="","",IFERROR(INDEX(Products!$A:$A,MATCH(D495,Products!$B:$B,0)),"Not found"))</f>
        <v/>
      </c>
      <c r="C495" s="20"/>
      <c r="D495" s="20"/>
      <c r="E495" s="20"/>
      <c r="F495" s="20"/>
      <c r="G495" s="20"/>
      <c r="H495" s="20"/>
      <c r="I495" s="20"/>
    </row>
    <row r="496" customFormat="false" ht="15" hidden="false" customHeight="false" outlineLevel="0" collapsed="false">
      <c r="A496" s="18" t="str">
        <f aca="false">IF(C496="","",IFERROR(INDEX(Metrics!$A:$A,MATCH(C496,Metrics!$C:$C,0)),"Not found"))</f>
        <v/>
      </c>
      <c r="B496" s="18" t="str">
        <f aca="false">IF(D496="","",IFERROR(INDEX(Products!$A:$A,MATCH(D496,Products!$B:$B,0)),"Not found"))</f>
        <v/>
      </c>
      <c r="C496" s="20"/>
      <c r="D496" s="20"/>
      <c r="E496" s="20"/>
      <c r="F496" s="20"/>
      <c r="G496" s="20"/>
      <c r="H496" s="20"/>
      <c r="I496" s="20"/>
    </row>
    <row r="497" customFormat="false" ht="15" hidden="false" customHeight="false" outlineLevel="0" collapsed="false">
      <c r="A497" s="18" t="str">
        <f aca="false">IF(C497="","",IFERROR(INDEX(Metrics!$A:$A,MATCH(C497,Metrics!$C:$C,0)),"Not found"))</f>
        <v/>
      </c>
      <c r="B497" s="18" t="str">
        <f aca="false">IF(D497="","",IFERROR(INDEX(Products!$A:$A,MATCH(D497,Products!$B:$B,0)),"Not found"))</f>
        <v/>
      </c>
      <c r="C497" s="20"/>
      <c r="D497" s="20"/>
      <c r="E497" s="20"/>
      <c r="F497" s="20"/>
      <c r="G497" s="20"/>
      <c r="H497" s="20"/>
      <c r="I497" s="20"/>
    </row>
    <row r="498" customFormat="false" ht="15" hidden="false" customHeight="false" outlineLevel="0" collapsed="false">
      <c r="A498" s="18" t="str">
        <f aca="false">IF(C498="","",IFERROR(INDEX(Metrics!$A:$A,MATCH(C498,Metrics!$C:$C,0)),"Not found"))</f>
        <v/>
      </c>
      <c r="B498" s="18" t="str">
        <f aca="false">IF(D498="","",IFERROR(INDEX(Products!$A:$A,MATCH(D498,Products!$B:$B,0)),"Not found"))</f>
        <v/>
      </c>
      <c r="C498" s="20"/>
      <c r="D498" s="20"/>
      <c r="E498" s="20"/>
      <c r="F498" s="20"/>
      <c r="G498" s="20"/>
      <c r="H498" s="20"/>
      <c r="I498" s="20"/>
    </row>
    <row r="499" customFormat="false" ht="15" hidden="false" customHeight="false" outlineLevel="0" collapsed="false">
      <c r="A499" s="18" t="str">
        <f aca="false">IF(C499="","",IFERROR(INDEX(Metrics!$A:$A,MATCH(C499,Metrics!$C:$C,0)),"Not found"))</f>
        <v/>
      </c>
      <c r="B499" s="18" t="str">
        <f aca="false">IF(D499="","",IFERROR(INDEX(Products!$A:$A,MATCH(D499,Products!$B:$B,0)),"Not found"))</f>
        <v/>
      </c>
      <c r="C499" s="20"/>
      <c r="D499" s="20"/>
      <c r="E499" s="20"/>
      <c r="F499" s="20"/>
      <c r="G499" s="20"/>
      <c r="H499" s="20"/>
      <c r="I499" s="20"/>
    </row>
    <row r="500" customFormat="false" ht="15" hidden="false" customHeight="false" outlineLevel="0" collapsed="false">
      <c r="A500" s="18" t="str">
        <f aca="false">IF(C500="","",IFERROR(INDEX(Metrics!$A:$A,MATCH(C500,Metrics!$C:$C,0)),"Not found"))</f>
        <v/>
      </c>
      <c r="B500" s="18" t="str">
        <f aca="false">IF(D500="","",IFERROR(INDEX(Products!$A:$A,MATCH(D500,Products!$B:$B,0)),"Not found"))</f>
        <v/>
      </c>
      <c r="C500" s="20"/>
      <c r="D500" s="20"/>
      <c r="E500" s="20"/>
      <c r="F500" s="20"/>
      <c r="G500" s="20"/>
      <c r="H500" s="20"/>
      <c r="I500" s="20"/>
    </row>
    <row r="501" customFormat="false" ht="15" hidden="false" customHeight="false" outlineLevel="0" collapsed="false">
      <c r="A501" s="18" t="str">
        <f aca="false">IF(C501="","",IFERROR(INDEX(Metrics!$A:$A,MATCH(C501,Metrics!$C:$C,0)),"Not found"))</f>
        <v/>
      </c>
      <c r="B501" s="18" t="str">
        <f aca="false">IF(D501="","",IFERROR(INDEX(Products!$A:$A,MATCH(D501,Products!$B:$B,0)),"Not found"))</f>
        <v/>
      </c>
      <c r="C501" s="20"/>
      <c r="D501" s="20"/>
      <c r="E501" s="20"/>
      <c r="F501" s="20"/>
      <c r="G501" s="20"/>
      <c r="H501" s="20"/>
      <c r="I501" s="20"/>
    </row>
    <row r="502" customFormat="false" ht="15" hidden="false" customHeight="false" outlineLevel="0" collapsed="false">
      <c r="A502" s="18" t="str">
        <f aca="false">IF(C502="","",IFERROR(INDEX(Metrics!$A:$A,MATCH(C502,Metrics!$C:$C,0)),"Not found"))</f>
        <v/>
      </c>
      <c r="B502" s="18" t="str">
        <f aca="false">IF(D502="","",IFERROR(INDEX(Products!$A:$A,MATCH(D502,Products!$B:$B,0)),"Not found"))</f>
        <v/>
      </c>
      <c r="C502" s="20"/>
      <c r="D502" s="20"/>
      <c r="E502" s="20"/>
      <c r="F502" s="20"/>
      <c r="G502" s="20"/>
      <c r="H502" s="20"/>
      <c r="I502" s="20"/>
    </row>
    <row r="503" customFormat="false" ht="15" hidden="false" customHeight="false" outlineLevel="0" collapsed="false">
      <c r="A503" s="18" t="str">
        <f aca="false">IF(C503="","",IFERROR(INDEX(Metrics!$A:$A,MATCH(C503,Metrics!$C:$C,0)),"Not found"))</f>
        <v/>
      </c>
      <c r="B503" s="18" t="str">
        <f aca="false">IF(D503="","",IFERROR(INDEX(Products!$A:$A,MATCH(D503,Products!$B:$B,0)),"Not found"))</f>
        <v/>
      </c>
      <c r="C503" s="20"/>
      <c r="D503" s="20"/>
      <c r="E503" s="20"/>
      <c r="F503" s="20"/>
      <c r="G503" s="20"/>
      <c r="H503" s="20"/>
      <c r="I503" s="20"/>
    </row>
    <row r="504" customFormat="false" ht="15" hidden="false" customHeight="false" outlineLevel="0" collapsed="false">
      <c r="A504" s="18" t="str">
        <f aca="false">IF(C504="","",IFERROR(INDEX(Metrics!$A:$A,MATCH(C504,Metrics!$C:$C,0)),"Not found"))</f>
        <v/>
      </c>
      <c r="B504" s="18" t="str">
        <f aca="false">IF(D504="","",IFERROR(INDEX(Products!$A:$A,MATCH(D504,Products!$B:$B,0)),"Not found"))</f>
        <v/>
      </c>
      <c r="C504" s="20"/>
      <c r="D504" s="20"/>
      <c r="E504" s="20"/>
      <c r="F504" s="20"/>
      <c r="G504" s="20"/>
      <c r="H504" s="20"/>
      <c r="I504" s="20"/>
    </row>
    <row r="505" customFormat="false" ht="15" hidden="false" customHeight="false" outlineLevel="0" collapsed="false">
      <c r="A505" s="18" t="str">
        <f aca="false">IF(C505="","",IFERROR(INDEX(Metrics!$A:$A,MATCH(C505,Metrics!$C:$C,0)),"Not found"))</f>
        <v/>
      </c>
      <c r="B505" s="18" t="str">
        <f aca="false">IF(D505="","",IFERROR(INDEX(Products!$A:$A,MATCH(D505,Products!$B:$B,0)),"Not found"))</f>
        <v/>
      </c>
      <c r="C505" s="20"/>
      <c r="D505" s="20"/>
      <c r="E505" s="20"/>
      <c r="F505" s="20"/>
      <c r="G505" s="20"/>
      <c r="H505" s="20"/>
      <c r="I505" s="20"/>
    </row>
    <row r="506" customFormat="false" ht="15" hidden="false" customHeight="false" outlineLevel="0" collapsed="false">
      <c r="A506" s="18" t="str">
        <f aca="false">IF(C506="","",IFERROR(INDEX(Metrics!$A:$A,MATCH(C506,Metrics!$C:$C,0)),"Not found"))</f>
        <v/>
      </c>
      <c r="B506" s="18" t="str">
        <f aca="false">IF(D506="","",IFERROR(INDEX(Products!$A:$A,MATCH(D506,Products!$B:$B,0)),"Not found"))</f>
        <v/>
      </c>
      <c r="C506" s="20"/>
      <c r="D506" s="20"/>
      <c r="E506" s="20"/>
      <c r="F506" s="20"/>
      <c r="G506" s="20"/>
      <c r="H506" s="20"/>
      <c r="I506" s="20"/>
    </row>
    <row r="507" customFormat="false" ht="15" hidden="false" customHeight="false" outlineLevel="0" collapsed="false">
      <c r="A507" s="18" t="str">
        <f aca="false">IF(C507="","",IFERROR(INDEX(Metrics!$A:$A,MATCH(C507,Metrics!$C:$C,0)),"Not found"))</f>
        <v/>
      </c>
      <c r="B507" s="18" t="str">
        <f aca="false">IF(D507="","",IFERROR(INDEX(Products!$A:$A,MATCH(D507,Products!$B:$B,0)),"Not found"))</f>
        <v/>
      </c>
      <c r="C507" s="20"/>
      <c r="D507" s="20"/>
      <c r="E507" s="20"/>
      <c r="F507" s="20"/>
      <c r="G507" s="20"/>
      <c r="H507" s="20"/>
      <c r="I507" s="20"/>
    </row>
    <row r="508" customFormat="false" ht="15" hidden="false" customHeight="false" outlineLevel="0" collapsed="false">
      <c r="A508" s="18" t="str">
        <f aca="false">IF(C508="","",IFERROR(INDEX(Metrics!$A:$A,MATCH(C508,Metrics!$C:$C,0)),"Not found"))</f>
        <v/>
      </c>
      <c r="B508" s="18" t="str">
        <f aca="false">IF(D508="","",IFERROR(INDEX(Products!$A:$A,MATCH(D508,Products!$B:$B,0)),"Not found"))</f>
        <v/>
      </c>
      <c r="C508" s="20"/>
      <c r="D508" s="20"/>
      <c r="E508" s="20"/>
      <c r="F508" s="20"/>
      <c r="G508" s="20"/>
      <c r="H508" s="20"/>
      <c r="I508" s="20"/>
    </row>
    <row r="509" customFormat="false" ht="15" hidden="false" customHeight="false" outlineLevel="0" collapsed="false">
      <c r="A509" s="18" t="str">
        <f aca="false">IF(C509="","",IFERROR(INDEX(Metrics!$A:$A,MATCH(C509,Metrics!$C:$C,0)),"Not found"))</f>
        <v/>
      </c>
      <c r="B509" s="18" t="str">
        <f aca="false">IF(D509="","",IFERROR(INDEX(Products!$A:$A,MATCH(D509,Products!$B:$B,0)),"Not found"))</f>
        <v/>
      </c>
      <c r="C509" s="20"/>
      <c r="D509" s="20"/>
      <c r="E509" s="20"/>
      <c r="F509" s="20"/>
      <c r="G509" s="20"/>
      <c r="H509" s="20"/>
      <c r="I509" s="20"/>
    </row>
    <row r="510" customFormat="false" ht="15" hidden="false" customHeight="false" outlineLevel="0" collapsed="false">
      <c r="A510" s="18" t="str">
        <f aca="false">IF(C510="","",IFERROR(INDEX(Metrics!$A:$A,MATCH(C510,Metrics!$C:$C,0)),"Not found"))</f>
        <v/>
      </c>
      <c r="B510" s="18" t="str">
        <f aca="false">IF(D510="","",IFERROR(INDEX(Products!$A:$A,MATCH(D510,Products!$B:$B,0)),"Not found"))</f>
        <v/>
      </c>
      <c r="C510" s="20"/>
      <c r="D510" s="20"/>
      <c r="E510" s="20"/>
      <c r="F510" s="20"/>
      <c r="G510" s="20"/>
      <c r="H510" s="20"/>
      <c r="I510" s="20"/>
    </row>
    <row r="511" customFormat="false" ht="15" hidden="false" customHeight="false" outlineLevel="0" collapsed="false">
      <c r="A511" s="18" t="str">
        <f aca="false">IF(C511="","",IFERROR(INDEX(Metrics!$A:$A,MATCH(C511,Metrics!$C:$C,0)),"Not found"))</f>
        <v/>
      </c>
      <c r="B511" s="18" t="str">
        <f aca="false">IF(D511="","",IFERROR(INDEX(Products!$A:$A,MATCH(D511,Products!$B:$B,0)),"Not found"))</f>
        <v/>
      </c>
      <c r="C511" s="20"/>
      <c r="D511" s="20"/>
      <c r="E511" s="20"/>
      <c r="F511" s="20"/>
      <c r="G511" s="20"/>
      <c r="H511" s="20"/>
      <c r="I511" s="20"/>
    </row>
    <row r="512" customFormat="false" ht="15" hidden="false" customHeight="false" outlineLevel="0" collapsed="false">
      <c r="A512" s="18" t="str">
        <f aca="false">IF(C512="","",IFERROR(INDEX(Metrics!$A:$A,MATCH(C512,Metrics!$C:$C,0)),"Not found"))</f>
        <v/>
      </c>
      <c r="B512" s="18" t="str">
        <f aca="false">IF(D512="","",IFERROR(INDEX(Products!$A:$A,MATCH(D512,Products!$B:$B,0)),"Not found"))</f>
        <v/>
      </c>
      <c r="C512" s="20"/>
      <c r="D512" s="20"/>
      <c r="E512" s="20"/>
      <c r="F512" s="20"/>
      <c r="G512" s="20"/>
      <c r="H512" s="20"/>
      <c r="I512" s="20"/>
    </row>
    <row r="513" customFormat="false" ht="15" hidden="false" customHeight="false" outlineLevel="0" collapsed="false">
      <c r="A513" s="18" t="str">
        <f aca="false">IF(C513="","",IFERROR(INDEX(Metrics!$A:$A,MATCH(C513,Metrics!$C:$C,0)),"Not found"))</f>
        <v/>
      </c>
      <c r="B513" s="18" t="str">
        <f aca="false">IF(D513="","",IFERROR(INDEX(Products!$A:$A,MATCH(D513,Products!$B:$B,0)),"Not found"))</f>
        <v/>
      </c>
      <c r="C513" s="20"/>
      <c r="D513" s="20"/>
      <c r="E513" s="20"/>
      <c r="F513" s="20"/>
      <c r="G513" s="20"/>
      <c r="H513" s="20"/>
      <c r="I513" s="20"/>
    </row>
    <row r="514" customFormat="false" ht="15" hidden="false" customHeight="false" outlineLevel="0" collapsed="false">
      <c r="A514" s="18" t="str">
        <f aca="false">IF(C514="","",IFERROR(INDEX(Metrics!$A:$A,MATCH(C514,Metrics!$C:$C,0)),"Not found"))</f>
        <v/>
      </c>
      <c r="B514" s="18" t="str">
        <f aca="false">IF(D514="","",IFERROR(INDEX(Products!$A:$A,MATCH(D514,Products!$B:$B,0)),"Not found"))</f>
        <v/>
      </c>
      <c r="C514" s="20"/>
      <c r="D514" s="20"/>
      <c r="E514" s="20"/>
      <c r="F514" s="20"/>
      <c r="G514" s="20"/>
      <c r="H514" s="20"/>
      <c r="I514" s="20"/>
    </row>
    <row r="515" customFormat="false" ht="15" hidden="false" customHeight="false" outlineLevel="0" collapsed="false">
      <c r="A515" s="18" t="str">
        <f aca="false">IF(C515="","",IFERROR(INDEX(Metrics!$A:$A,MATCH(C515,Metrics!$C:$C,0)),"Not found"))</f>
        <v/>
      </c>
      <c r="B515" s="18" t="str">
        <f aca="false">IF(D515="","",IFERROR(INDEX(Products!$A:$A,MATCH(D515,Products!$B:$B,0)),"Not found"))</f>
        <v/>
      </c>
      <c r="C515" s="20"/>
      <c r="D515" s="20"/>
      <c r="E515" s="20"/>
      <c r="F515" s="20"/>
      <c r="G515" s="20"/>
      <c r="H515" s="20"/>
      <c r="I515" s="20"/>
    </row>
    <row r="516" customFormat="false" ht="15" hidden="false" customHeight="false" outlineLevel="0" collapsed="false">
      <c r="A516" s="18" t="str">
        <f aca="false">IF(C516="","",IFERROR(INDEX(Metrics!$A:$A,MATCH(C516,Metrics!$C:$C,0)),"Not found"))</f>
        <v/>
      </c>
      <c r="B516" s="18" t="str">
        <f aca="false">IF(D516="","",IFERROR(INDEX(Products!$A:$A,MATCH(D516,Products!$B:$B,0)),"Not found"))</f>
        <v/>
      </c>
      <c r="C516" s="20"/>
      <c r="D516" s="20"/>
      <c r="E516" s="20"/>
      <c r="F516" s="20"/>
      <c r="G516" s="20"/>
      <c r="H516" s="20"/>
      <c r="I516" s="20"/>
    </row>
    <row r="517" customFormat="false" ht="15" hidden="false" customHeight="false" outlineLevel="0" collapsed="false">
      <c r="A517" s="18" t="str">
        <f aca="false">IF(C517="","",IFERROR(INDEX(Metrics!$A:$A,MATCH(C517,Metrics!$C:$C,0)),"Not found"))</f>
        <v/>
      </c>
      <c r="B517" s="18" t="str">
        <f aca="false">IF(D517="","",IFERROR(INDEX(Products!$A:$A,MATCH(D517,Products!$B:$B,0)),"Not found"))</f>
        <v/>
      </c>
      <c r="C517" s="20"/>
      <c r="D517" s="20"/>
      <c r="E517" s="20"/>
      <c r="F517" s="20"/>
      <c r="G517" s="20"/>
      <c r="H517" s="20"/>
      <c r="I517" s="20"/>
    </row>
    <row r="518" customFormat="false" ht="15" hidden="false" customHeight="false" outlineLevel="0" collapsed="false">
      <c r="A518" s="18" t="str">
        <f aca="false">IF(C518="","",IFERROR(INDEX(Metrics!$A:$A,MATCH(C518,Metrics!$C:$C,0)),"Not found"))</f>
        <v/>
      </c>
      <c r="B518" s="18" t="str">
        <f aca="false">IF(D518="","",IFERROR(INDEX(Products!$A:$A,MATCH(D518,Products!$B:$B,0)),"Not found"))</f>
        <v/>
      </c>
      <c r="C518" s="20"/>
      <c r="D518" s="20"/>
      <c r="E518" s="20"/>
      <c r="F518" s="20"/>
      <c r="G518" s="20"/>
      <c r="H518" s="20"/>
      <c r="I518" s="20"/>
    </row>
    <row r="519" customFormat="false" ht="15" hidden="false" customHeight="false" outlineLevel="0" collapsed="false">
      <c r="A519" s="18" t="str">
        <f aca="false">IF(C519="","",IFERROR(INDEX(Metrics!$A:$A,MATCH(C519,Metrics!$C:$C,0)),"Not found"))</f>
        <v/>
      </c>
      <c r="B519" s="18" t="str">
        <f aca="false">IF(D519="","",IFERROR(INDEX(Products!$A:$A,MATCH(D519,Products!$B:$B,0)),"Not found"))</f>
        <v/>
      </c>
      <c r="C519" s="20"/>
      <c r="D519" s="20"/>
      <c r="E519" s="20"/>
      <c r="F519" s="20"/>
      <c r="G519" s="20"/>
      <c r="H519" s="20"/>
      <c r="I519" s="20"/>
    </row>
    <row r="520" customFormat="false" ht="15" hidden="false" customHeight="false" outlineLevel="0" collapsed="false">
      <c r="A520" s="18" t="str">
        <f aca="false">IF(C520="","",IFERROR(INDEX(Metrics!$A:$A,MATCH(C520,Metrics!$C:$C,0)),"Not found"))</f>
        <v/>
      </c>
      <c r="B520" s="18" t="str">
        <f aca="false">IF(D520="","",IFERROR(INDEX(Products!$A:$A,MATCH(D520,Products!$B:$B,0)),"Not found"))</f>
        <v/>
      </c>
      <c r="C520" s="20"/>
      <c r="D520" s="20"/>
      <c r="E520" s="20"/>
      <c r="F520" s="20"/>
      <c r="G520" s="20"/>
      <c r="H520" s="20"/>
      <c r="I520" s="20"/>
    </row>
    <row r="521" customFormat="false" ht="15" hidden="false" customHeight="false" outlineLevel="0" collapsed="false">
      <c r="A521" s="18" t="str">
        <f aca="false">IF(C521="","",IFERROR(INDEX(Metrics!$A:$A,MATCH(C521,Metrics!$C:$C,0)),"Not found"))</f>
        <v/>
      </c>
      <c r="B521" s="18" t="str">
        <f aca="false">IF(D521="","",IFERROR(INDEX(Products!$A:$A,MATCH(D521,Products!$B:$B,0)),"Not found"))</f>
        <v/>
      </c>
      <c r="C521" s="20"/>
      <c r="D521" s="20"/>
      <c r="E521" s="20"/>
      <c r="F521" s="20"/>
      <c r="G521" s="20"/>
      <c r="H521" s="20"/>
      <c r="I521" s="20"/>
    </row>
    <row r="522" customFormat="false" ht="15" hidden="false" customHeight="false" outlineLevel="0" collapsed="false">
      <c r="A522" s="18" t="str">
        <f aca="false">IF(C522="","",IFERROR(INDEX(Metrics!$A:$A,MATCH(C522,Metrics!$C:$C,0)),"Not found"))</f>
        <v/>
      </c>
      <c r="B522" s="18" t="str">
        <f aca="false">IF(D522="","",IFERROR(INDEX(Products!$A:$A,MATCH(D522,Products!$B:$B,0)),"Not found"))</f>
        <v/>
      </c>
      <c r="C522" s="20"/>
      <c r="D522" s="20"/>
      <c r="E522" s="20"/>
      <c r="F522" s="20"/>
      <c r="G522" s="20"/>
      <c r="H522" s="20"/>
      <c r="I522" s="20"/>
    </row>
    <row r="523" customFormat="false" ht="15" hidden="false" customHeight="false" outlineLevel="0" collapsed="false">
      <c r="A523" s="18" t="str">
        <f aca="false">IF(C523="","",IFERROR(INDEX(Metrics!$A:$A,MATCH(C523,Metrics!$C:$C,0)),"Not found"))</f>
        <v/>
      </c>
      <c r="B523" s="18" t="str">
        <f aca="false">IF(D523="","",IFERROR(INDEX(Products!$A:$A,MATCH(D523,Products!$B:$B,0)),"Not found"))</f>
        <v/>
      </c>
      <c r="C523" s="20"/>
      <c r="D523" s="20"/>
      <c r="E523" s="20"/>
      <c r="F523" s="20"/>
      <c r="G523" s="20"/>
      <c r="H523" s="20"/>
      <c r="I523" s="20"/>
    </row>
    <row r="524" customFormat="false" ht="15" hidden="false" customHeight="false" outlineLevel="0" collapsed="false">
      <c r="A524" s="18" t="str">
        <f aca="false">IF(C524="","",IFERROR(INDEX(Metrics!$A:$A,MATCH(C524,Metrics!$C:$C,0)),"Not found"))</f>
        <v/>
      </c>
      <c r="B524" s="18" t="str">
        <f aca="false">IF(D524="","",IFERROR(INDEX(Products!$A:$A,MATCH(D524,Products!$B:$B,0)),"Not found"))</f>
        <v/>
      </c>
      <c r="C524" s="20"/>
      <c r="D524" s="20"/>
      <c r="E524" s="20"/>
      <c r="F524" s="20"/>
      <c r="G524" s="20"/>
      <c r="H524" s="20"/>
      <c r="I524" s="20"/>
    </row>
    <row r="525" customFormat="false" ht="15" hidden="false" customHeight="false" outlineLevel="0" collapsed="false">
      <c r="A525" s="18" t="str">
        <f aca="false">IF(C525="","",IFERROR(INDEX(Metrics!$A:$A,MATCH(C525,Metrics!$C:$C,0)),"Not found"))</f>
        <v/>
      </c>
      <c r="B525" s="18" t="str">
        <f aca="false">IF(D525="","",IFERROR(INDEX(Products!$A:$A,MATCH(D525,Products!$B:$B,0)),"Not found"))</f>
        <v/>
      </c>
      <c r="C525" s="20"/>
      <c r="D525" s="20"/>
      <c r="E525" s="20"/>
      <c r="F525" s="20"/>
      <c r="G525" s="20"/>
      <c r="H525" s="20"/>
      <c r="I525" s="20"/>
    </row>
    <row r="526" customFormat="false" ht="15" hidden="false" customHeight="false" outlineLevel="0" collapsed="false">
      <c r="A526" s="18" t="str">
        <f aca="false">IF(C526="","",IFERROR(INDEX(Metrics!$A:$A,MATCH(C526,Metrics!$C:$C,0)),"Not found"))</f>
        <v/>
      </c>
      <c r="B526" s="18" t="str">
        <f aca="false">IF(D526="","",IFERROR(INDEX(Products!$A:$A,MATCH(D526,Products!$B:$B,0)),"Not found"))</f>
        <v/>
      </c>
      <c r="C526" s="20"/>
      <c r="D526" s="20"/>
      <c r="E526" s="20"/>
      <c r="F526" s="20"/>
      <c r="G526" s="20"/>
      <c r="H526" s="20"/>
      <c r="I526" s="20"/>
    </row>
    <row r="527" customFormat="false" ht="15" hidden="false" customHeight="false" outlineLevel="0" collapsed="false">
      <c r="A527" s="18" t="str">
        <f aca="false">IF(C527="","",IFERROR(INDEX(Metrics!$A:$A,MATCH(C527,Metrics!$C:$C,0)),"Not found"))</f>
        <v/>
      </c>
      <c r="B527" s="18" t="str">
        <f aca="false">IF(D527="","",IFERROR(INDEX(Products!$A:$A,MATCH(D527,Products!$B:$B,0)),"Not found"))</f>
        <v/>
      </c>
      <c r="C527" s="20"/>
      <c r="D527" s="20"/>
      <c r="E527" s="20"/>
      <c r="F527" s="20"/>
      <c r="G527" s="20"/>
      <c r="H527" s="20"/>
      <c r="I527" s="20"/>
    </row>
    <row r="528" customFormat="false" ht="15" hidden="false" customHeight="false" outlineLevel="0" collapsed="false">
      <c r="A528" s="18" t="str">
        <f aca="false">IF(C528="","",IFERROR(INDEX(Metrics!$A:$A,MATCH(C528,Metrics!$C:$C,0)),"Not found"))</f>
        <v/>
      </c>
      <c r="B528" s="18" t="str">
        <f aca="false">IF(D528="","",IFERROR(INDEX(Products!$A:$A,MATCH(D528,Products!$B:$B,0)),"Not found"))</f>
        <v/>
      </c>
      <c r="C528" s="20"/>
      <c r="D528" s="20"/>
      <c r="E528" s="20"/>
      <c r="F528" s="20"/>
      <c r="G528" s="20"/>
      <c r="H528" s="20"/>
      <c r="I528" s="20"/>
    </row>
    <row r="529" customFormat="false" ht="15" hidden="false" customHeight="false" outlineLevel="0" collapsed="false">
      <c r="A529" s="18" t="str">
        <f aca="false">IF(C529="","",IFERROR(INDEX(Metrics!$A:$A,MATCH(C529,Metrics!$C:$C,0)),"Not found"))</f>
        <v/>
      </c>
      <c r="B529" s="18" t="str">
        <f aca="false">IF(D529="","",IFERROR(INDEX(Products!$A:$A,MATCH(D529,Products!$B:$B,0)),"Not found"))</f>
        <v/>
      </c>
      <c r="C529" s="20"/>
      <c r="D529" s="20"/>
      <c r="E529" s="20"/>
      <c r="F529" s="20"/>
      <c r="G529" s="20"/>
      <c r="H529" s="20"/>
      <c r="I529" s="20"/>
    </row>
    <row r="530" customFormat="false" ht="15" hidden="false" customHeight="false" outlineLevel="0" collapsed="false">
      <c r="A530" s="18" t="str">
        <f aca="false">IF(C530="","",IFERROR(INDEX(Metrics!$A:$A,MATCH(C530,Metrics!$C:$C,0)),"Not found"))</f>
        <v/>
      </c>
      <c r="B530" s="18" t="str">
        <f aca="false">IF(D530="","",IFERROR(INDEX(Products!$A:$A,MATCH(D530,Products!$B:$B,0)),"Not found"))</f>
        <v/>
      </c>
      <c r="C530" s="20"/>
      <c r="D530" s="20"/>
      <c r="E530" s="20"/>
      <c r="F530" s="20"/>
      <c r="G530" s="20"/>
      <c r="H530" s="20"/>
      <c r="I530" s="20"/>
    </row>
    <row r="531" customFormat="false" ht="15" hidden="false" customHeight="false" outlineLevel="0" collapsed="false">
      <c r="A531" s="18" t="str">
        <f aca="false">IF(C531="","",IFERROR(INDEX(Metrics!$A:$A,MATCH(C531,Metrics!$C:$C,0)),"Not found"))</f>
        <v/>
      </c>
      <c r="B531" s="18" t="str">
        <f aca="false">IF(D531="","",IFERROR(INDEX(Products!$A:$A,MATCH(D531,Products!$B:$B,0)),"Not found"))</f>
        <v/>
      </c>
      <c r="C531" s="20"/>
      <c r="D531" s="20"/>
      <c r="E531" s="20"/>
      <c r="F531" s="20"/>
      <c r="G531" s="20"/>
      <c r="H531" s="20"/>
      <c r="I531" s="20"/>
    </row>
    <row r="532" customFormat="false" ht="15" hidden="false" customHeight="false" outlineLevel="0" collapsed="false">
      <c r="A532" s="18" t="str">
        <f aca="false">IF(C532="","",IFERROR(INDEX(Metrics!$A:$A,MATCH(C532,Metrics!$C:$C,0)),"Not found"))</f>
        <v/>
      </c>
      <c r="B532" s="18" t="str">
        <f aca="false">IF(D532="","",IFERROR(INDEX(Products!$A:$A,MATCH(D532,Products!$B:$B,0)),"Not found"))</f>
        <v/>
      </c>
      <c r="C532" s="20"/>
      <c r="D532" s="20"/>
      <c r="E532" s="20"/>
      <c r="F532" s="20"/>
      <c r="G532" s="20"/>
      <c r="H532" s="20"/>
      <c r="I532" s="20"/>
    </row>
    <row r="533" customFormat="false" ht="15" hidden="false" customHeight="false" outlineLevel="0" collapsed="false">
      <c r="A533" s="18" t="str">
        <f aca="false">IF(C533="","",IFERROR(INDEX(Metrics!$A:$A,MATCH(C533,Metrics!$C:$C,0)),"Not found"))</f>
        <v/>
      </c>
      <c r="B533" s="18" t="str">
        <f aca="false">IF(D533="","",IFERROR(INDEX(Products!$A:$A,MATCH(D533,Products!$B:$B,0)),"Not found"))</f>
        <v/>
      </c>
      <c r="C533" s="20"/>
      <c r="D533" s="20"/>
      <c r="E533" s="20"/>
      <c r="F533" s="20"/>
      <c r="G533" s="20"/>
      <c r="H533" s="20"/>
      <c r="I533" s="20"/>
    </row>
    <row r="534" customFormat="false" ht="15" hidden="false" customHeight="false" outlineLevel="0" collapsed="false">
      <c r="A534" s="18" t="str">
        <f aca="false">IF(C534="","",IFERROR(INDEX(Metrics!$A:$A,MATCH(C534,Metrics!$C:$C,0)),"Not found"))</f>
        <v/>
      </c>
      <c r="B534" s="18" t="str">
        <f aca="false">IF(D534="","",IFERROR(INDEX(Products!$A:$A,MATCH(D534,Products!$B:$B,0)),"Not found"))</f>
        <v/>
      </c>
      <c r="C534" s="20"/>
      <c r="D534" s="20"/>
      <c r="E534" s="20"/>
      <c r="F534" s="20"/>
      <c r="G534" s="20"/>
      <c r="H534" s="20"/>
      <c r="I534" s="20"/>
    </row>
    <row r="535" customFormat="false" ht="15" hidden="false" customHeight="false" outlineLevel="0" collapsed="false">
      <c r="A535" s="18" t="str">
        <f aca="false">IF(C535="","",IFERROR(INDEX(Metrics!$A:$A,MATCH(C535,Metrics!$C:$C,0)),"Not found"))</f>
        <v/>
      </c>
      <c r="B535" s="18" t="str">
        <f aca="false">IF(D535="","",IFERROR(INDEX(Products!$A:$A,MATCH(D535,Products!$B:$B,0)),"Not found"))</f>
        <v/>
      </c>
      <c r="C535" s="20"/>
      <c r="D535" s="20"/>
      <c r="E535" s="20"/>
      <c r="F535" s="20"/>
      <c r="G535" s="20"/>
      <c r="H535" s="20"/>
      <c r="I535" s="20"/>
    </row>
    <row r="536" customFormat="false" ht="15" hidden="false" customHeight="false" outlineLevel="0" collapsed="false">
      <c r="A536" s="18" t="str">
        <f aca="false">IF(C536="","",IFERROR(INDEX(Metrics!$A:$A,MATCH(C536,Metrics!$C:$C,0)),"Not found"))</f>
        <v/>
      </c>
      <c r="B536" s="18" t="str">
        <f aca="false">IF(D536="","",IFERROR(INDEX(Products!$A:$A,MATCH(D536,Products!$B:$B,0)),"Not found"))</f>
        <v/>
      </c>
      <c r="C536" s="20"/>
      <c r="D536" s="20"/>
      <c r="E536" s="20"/>
      <c r="F536" s="20"/>
      <c r="G536" s="20"/>
      <c r="H536" s="20"/>
      <c r="I536" s="20"/>
    </row>
    <row r="537" customFormat="false" ht="15" hidden="false" customHeight="false" outlineLevel="0" collapsed="false">
      <c r="A537" s="18" t="str">
        <f aca="false">IF(C537="","",IFERROR(INDEX(Metrics!$A:$A,MATCH(C537,Metrics!$C:$C,0)),"Not found"))</f>
        <v/>
      </c>
      <c r="B537" s="18" t="str">
        <f aca="false">IF(D537="","",IFERROR(INDEX(Products!$A:$A,MATCH(D537,Products!$B:$B,0)),"Not found"))</f>
        <v/>
      </c>
      <c r="C537" s="20"/>
      <c r="D537" s="20"/>
      <c r="E537" s="20"/>
      <c r="F537" s="20"/>
      <c r="G537" s="20"/>
      <c r="H537" s="20"/>
      <c r="I537" s="20"/>
    </row>
    <row r="538" customFormat="false" ht="15" hidden="false" customHeight="false" outlineLevel="0" collapsed="false">
      <c r="A538" s="18" t="str">
        <f aca="false">IF(C538="","",IFERROR(INDEX(Metrics!$A:$A,MATCH(C538,Metrics!$C:$C,0)),"Not found"))</f>
        <v/>
      </c>
      <c r="B538" s="18" t="str">
        <f aca="false">IF(D538="","",IFERROR(INDEX(Products!$A:$A,MATCH(D538,Products!$B:$B,0)),"Not found"))</f>
        <v/>
      </c>
      <c r="C538" s="20"/>
      <c r="D538" s="20"/>
      <c r="E538" s="20"/>
      <c r="F538" s="20"/>
      <c r="G538" s="20"/>
      <c r="H538" s="20"/>
      <c r="I538" s="20"/>
    </row>
    <row r="539" customFormat="false" ht="15" hidden="false" customHeight="false" outlineLevel="0" collapsed="false">
      <c r="A539" s="18" t="str">
        <f aca="false">IF(C539="","",IFERROR(INDEX(Metrics!$A:$A,MATCH(C539,Metrics!$C:$C,0)),"Not found"))</f>
        <v/>
      </c>
      <c r="B539" s="18" t="str">
        <f aca="false">IF(D539="","",IFERROR(INDEX(Products!$A:$A,MATCH(D539,Products!$B:$B,0)),"Not found"))</f>
        <v/>
      </c>
      <c r="C539" s="20"/>
      <c r="D539" s="20"/>
      <c r="E539" s="20"/>
      <c r="F539" s="20"/>
      <c r="G539" s="20"/>
      <c r="H539" s="20"/>
      <c r="I539" s="20"/>
    </row>
    <row r="540" customFormat="false" ht="15" hidden="false" customHeight="false" outlineLevel="0" collapsed="false">
      <c r="A540" s="18" t="str">
        <f aca="false">IF(C540="","",IFERROR(INDEX(Metrics!$A:$A,MATCH(C540,Metrics!$C:$C,0)),"Not found"))</f>
        <v/>
      </c>
      <c r="B540" s="18" t="str">
        <f aca="false">IF(D540="","",IFERROR(INDEX(Products!$A:$A,MATCH(D540,Products!$B:$B,0)),"Not found"))</f>
        <v/>
      </c>
      <c r="C540" s="20"/>
      <c r="D540" s="20"/>
      <c r="E540" s="20"/>
      <c r="F540" s="20"/>
      <c r="G540" s="20"/>
      <c r="H540" s="20"/>
      <c r="I540" s="20"/>
    </row>
    <row r="541" customFormat="false" ht="15" hidden="false" customHeight="false" outlineLevel="0" collapsed="false">
      <c r="A541" s="18" t="str">
        <f aca="false">IF(C541="","",IFERROR(INDEX(Metrics!$A:$A,MATCH(C541,Metrics!$C:$C,0)),"Not found"))</f>
        <v/>
      </c>
      <c r="B541" s="18" t="str">
        <f aca="false">IF(D541="","",IFERROR(INDEX(Products!$A:$A,MATCH(D541,Products!$B:$B,0)),"Not found"))</f>
        <v/>
      </c>
      <c r="C541" s="20"/>
      <c r="D541" s="20"/>
      <c r="E541" s="20"/>
      <c r="F541" s="20"/>
      <c r="G541" s="20"/>
      <c r="H541" s="20"/>
      <c r="I541" s="20"/>
    </row>
    <row r="542" customFormat="false" ht="15" hidden="false" customHeight="false" outlineLevel="0" collapsed="false">
      <c r="A542" s="18" t="str">
        <f aca="false">IF(C542="","",IFERROR(INDEX(Metrics!$A:$A,MATCH(C542,Metrics!$C:$C,0)),"Not found"))</f>
        <v/>
      </c>
      <c r="B542" s="18" t="str">
        <f aca="false">IF(D542="","",IFERROR(INDEX(Products!$A:$A,MATCH(D542,Products!$B:$B,0)),"Not found"))</f>
        <v/>
      </c>
      <c r="C542" s="20"/>
      <c r="D542" s="20"/>
      <c r="E542" s="20"/>
      <c r="F542" s="20"/>
      <c r="G542" s="20"/>
      <c r="H542" s="20"/>
      <c r="I542" s="20"/>
    </row>
    <row r="543" customFormat="false" ht="15" hidden="false" customHeight="false" outlineLevel="0" collapsed="false">
      <c r="A543" s="18" t="str">
        <f aca="false">IF(C543="","",IFERROR(INDEX(Metrics!$A:$A,MATCH(C543,Metrics!$C:$C,0)),"Not found"))</f>
        <v/>
      </c>
      <c r="B543" s="18" t="str">
        <f aca="false">IF(D543="","",IFERROR(INDEX(Products!$A:$A,MATCH(D543,Products!$B:$B,0)),"Not found"))</f>
        <v/>
      </c>
      <c r="C543" s="20"/>
      <c r="D543" s="20"/>
      <c r="E543" s="20"/>
      <c r="F543" s="20"/>
      <c r="G543" s="20"/>
      <c r="H543" s="20"/>
      <c r="I543" s="20"/>
    </row>
    <row r="544" customFormat="false" ht="15" hidden="false" customHeight="false" outlineLevel="0" collapsed="false">
      <c r="A544" s="18" t="str">
        <f aca="false">IF(C544="","",IFERROR(INDEX(Metrics!$A:$A,MATCH(C544,Metrics!$C:$C,0)),"Not found"))</f>
        <v/>
      </c>
      <c r="B544" s="18" t="str">
        <f aca="false">IF(D544="","",IFERROR(INDEX(Products!$A:$A,MATCH(D544,Products!$B:$B,0)),"Not found"))</f>
        <v/>
      </c>
      <c r="C544" s="20"/>
      <c r="D544" s="20"/>
      <c r="E544" s="20"/>
      <c r="F544" s="20"/>
      <c r="G544" s="20"/>
      <c r="H544" s="20"/>
      <c r="I544" s="20"/>
    </row>
    <row r="545" customFormat="false" ht="15" hidden="false" customHeight="false" outlineLevel="0" collapsed="false">
      <c r="A545" s="18" t="str">
        <f aca="false">IF(C545="","",IFERROR(INDEX(Metrics!$A:$A,MATCH(C545,Metrics!$C:$C,0)),"Not found"))</f>
        <v/>
      </c>
      <c r="B545" s="18" t="str">
        <f aca="false">IF(D545="","",IFERROR(INDEX(Products!$A:$A,MATCH(D545,Products!$B:$B,0)),"Not found"))</f>
        <v/>
      </c>
      <c r="C545" s="20"/>
      <c r="D545" s="20"/>
      <c r="E545" s="20"/>
      <c r="F545" s="20"/>
      <c r="G545" s="20"/>
      <c r="H545" s="20"/>
      <c r="I545" s="20"/>
    </row>
    <row r="546" customFormat="false" ht="15" hidden="false" customHeight="false" outlineLevel="0" collapsed="false">
      <c r="A546" s="18" t="str">
        <f aca="false">IF(C546="","",IFERROR(INDEX(Metrics!$A:$A,MATCH(C546,Metrics!$C:$C,0)),"Not found"))</f>
        <v/>
      </c>
      <c r="B546" s="18" t="str">
        <f aca="false">IF(D546="","",IFERROR(INDEX(Products!$A:$A,MATCH(D546,Products!$B:$B,0)),"Not found"))</f>
        <v/>
      </c>
      <c r="C546" s="20"/>
      <c r="D546" s="20"/>
      <c r="E546" s="20"/>
      <c r="F546" s="20"/>
      <c r="G546" s="20"/>
      <c r="H546" s="20"/>
      <c r="I546" s="20"/>
    </row>
    <row r="547" customFormat="false" ht="15" hidden="false" customHeight="false" outlineLevel="0" collapsed="false">
      <c r="A547" s="18" t="str">
        <f aca="false">IF(C547="","",IFERROR(INDEX(Metrics!$A:$A,MATCH(C547,Metrics!$C:$C,0)),"Not found"))</f>
        <v/>
      </c>
      <c r="B547" s="18" t="str">
        <f aca="false">IF(D547="","",IFERROR(INDEX(Products!$A:$A,MATCH(D547,Products!$B:$B,0)),"Not found"))</f>
        <v/>
      </c>
      <c r="C547" s="20"/>
      <c r="D547" s="20"/>
      <c r="E547" s="20"/>
      <c r="F547" s="20"/>
      <c r="G547" s="20"/>
      <c r="H547" s="20"/>
      <c r="I547" s="20"/>
    </row>
    <row r="548" customFormat="false" ht="15" hidden="false" customHeight="false" outlineLevel="0" collapsed="false">
      <c r="A548" s="18" t="str">
        <f aca="false">IF(C548="","",IFERROR(INDEX(Metrics!$A:$A,MATCH(C548,Metrics!$C:$C,0)),"Not found"))</f>
        <v/>
      </c>
      <c r="B548" s="18" t="str">
        <f aca="false">IF(D548="","",IFERROR(INDEX(Products!$A:$A,MATCH(D548,Products!$B:$B,0)),"Not found"))</f>
        <v/>
      </c>
      <c r="C548" s="20"/>
      <c r="D548" s="20"/>
      <c r="E548" s="20"/>
      <c r="F548" s="20"/>
      <c r="G548" s="20"/>
      <c r="H548" s="20"/>
      <c r="I548" s="20"/>
    </row>
    <row r="549" customFormat="false" ht="15" hidden="false" customHeight="false" outlineLevel="0" collapsed="false">
      <c r="A549" s="18" t="str">
        <f aca="false">IF(C549="","",IFERROR(INDEX(Metrics!$A:$A,MATCH(C549,Metrics!$C:$C,0)),"Not found"))</f>
        <v/>
      </c>
      <c r="B549" s="18" t="str">
        <f aca="false">IF(D549="","",IFERROR(INDEX(Products!$A:$A,MATCH(D549,Products!$B:$B,0)),"Not found"))</f>
        <v/>
      </c>
      <c r="C549" s="20"/>
      <c r="D549" s="20"/>
      <c r="E549" s="20"/>
      <c r="F549" s="20"/>
      <c r="G549" s="20"/>
      <c r="H549" s="20"/>
      <c r="I549" s="20"/>
    </row>
    <row r="550" customFormat="false" ht="15" hidden="false" customHeight="false" outlineLevel="0" collapsed="false">
      <c r="A550" s="18" t="str">
        <f aca="false">IF(C550="","",IFERROR(INDEX(Metrics!$A:$A,MATCH(C550,Metrics!$C:$C,0)),"Not found"))</f>
        <v/>
      </c>
      <c r="B550" s="18" t="str">
        <f aca="false">IF(D550="","",IFERROR(INDEX(Products!$A:$A,MATCH(D550,Products!$B:$B,0)),"Not found"))</f>
        <v/>
      </c>
      <c r="C550" s="20"/>
      <c r="D550" s="20"/>
      <c r="E550" s="20"/>
      <c r="F550" s="20"/>
      <c r="G550" s="20"/>
      <c r="H550" s="20"/>
      <c r="I550" s="20"/>
    </row>
    <row r="551" customFormat="false" ht="15" hidden="false" customHeight="false" outlineLevel="0" collapsed="false">
      <c r="A551" s="18" t="str">
        <f aca="false">IF(C551="","",IFERROR(INDEX(Metrics!$A:$A,MATCH(C551,Metrics!$C:$C,0)),"Not found"))</f>
        <v/>
      </c>
      <c r="B551" s="18" t="str">
        <f aca="false">IF(D551="","",IFERROR(INDEX(Products!$A:$A,MATCH(D551,Products!$B:$B,0)),"Not found"))</f>
        <v/>
      </c>
      <c r="C551" s="20"/>
      <c r="D551" s="20"/>
      <c r="E551" s="20"/>
      <c r="F551" s="20"/>
      <c r="G551" s="20"/>
      <c r="H551" s="20"/>
      <c r="I551" s="20"/>
    </row>
    <row r="552" customFormat="false" ht="15" hidden="false" customHeight="false" outlineLevel="0" collapsed="false">
      <c r="A552" s="18" t="str">
        <f aca="false">IF(C552="","",IFERROR(INDEX(Metrics!$A:$A,MATCH(C552,Metrics!$C:$C,0)),"Not found"))</f>
        <v/>
      </c>
      <c r="B552" s="18" t="str">
        <f aca="false">IF(D552="","",IFERROR(INDEX(Products!$A:$A,MATCH(D552,Products!$B:$B,0)),"Not found"))</f>
        <v/>
      </c>
      <c r="C552" s="20"/>
      <c r="D552" s="20"/>
      <c r="E552" s="20"/>
      <c r="F552" s="20"/>
      <c r="G552" s="20"/>
      <c r="H552" s="20"/>
      <c r="I552" s="20"/>
    </row>
    <row r="553" customFormat="false" ht="15" hidden="false" customHeight="false" outlineLevel="0" collapsed="false">
      <c r="A553" s="18" t="str">
        <f aca="false">IF(C553="","",IFERROR(INDEX(Metrics!$A:$A,MATCH(C553,Metrics!$C:$C,0)),"Not found"))</f>
        <v/>
      </c>
      <c r="B553" s="18" t="str">
        <f aca="false">IF(D553="","",IFERROR(INDEX(Products!$A:$A,MATCH(D553,Products!$B:$B,0)),"Not found"))</f>
        <v/>
      </c>
      <c r="C553" s="20"/>
      <c r="D553" s="20"/>
      <c r="E553" s="20"/>
      <c r="F553" s="20"/>
      <c r="G553" s="20"/>
      <c r="H553" s="20"/>
      <c r="I553" s="20"/>
    </row>
    <row r="554" customFormat="false" ht="15" hidden="false" customHeight="false" outlineLevel="0" collapsed="false">
      <c r="A554" s="18" t="str">
        <f aca="false">IF(C554="","",IFERROR(INDEX(Metrics!$A:$A,MATCH(C554,Metrics!$C:$C,0)),"Not found"))</f>
        <v/>
      </c>
      <c r="B554" s="18" t="str">
        <f aca="false">IF(D554="","",IFERROR(INDEX(Products!$A:$A,MATCH(D554,Products!$B:$B,0)),"Not found"))</f>
        <v/>
      </c>
      <c r="C554" s="20"/>
      <c r="D554" s="20"/>
      <c r="E554" s="20"/>
      <c r="F554" s="20"/>
      <c r="G554" s="20"/>
      <c r="H554" s="20"/>
      <c r="I554" s="20"/>
    </row>
    <row r="555" customFormat="false" ht="15" hidden="false" customHeight="false" outlineLevel="0" collapsed="false">
      <c r="A555" s="18" t="str">
        <f aca="false">IF(C555="","",IFERROR(INDEX(Metrics!$A:$A,MATCH(C555,Metrics!$C:$C,0)),"Not found"))</f>
        <v/>
      </c>
      <c r="B555" s="18" t="str">
        <f aca="false">IF(D555="","",IFERROR(INDEX(Products!$A:$A,MATCH(D555,Products!$B:$B,0)),"Not found"))</f>
        <v/>
      </c>
      <c r="C555" s="20"/>
      <c r="D555" s="20"/>
      <c r="E555" s="20"/>
      <c r="F555" s="20"/>
      <c r="G555" s="20"/>
      <c r="H555" s="20"/>
      <c r="I555" s="20"/>
    </row>
    <row r="556" customFormat="false" ht="15" hidden="false" customHeight="false" outlineLevel="0" collapsed="false">
      <c r="A556" s="18" t="str">
        <f aca="false">IF(C556="","",IFERROR(INDEX(Metrics!$A:$A,MATCH(C556,Metrics!$C:$C,0)),"Not found"))</f>
        <v/>
      </c>
      <c r="B556" s="18" t="str">
        <f aca="false">IF(D556="","",IFERROR(INDEX(Products!$A:$A,MATCH(D556,Products!$B:$B,0)),"Not found"))</f>
        <v/>
      </c>
      <c r="C556" s="20"/>
      <c r="D556" s="20"/>
      <c r="E556" s="20"/>
      <c r="F556" s="20"/>
      <c r="G556" s="20"/>
      <c r="H556" s="20"/>
      <c r="I556" s="20"/>
    </row>
    <row r="557" customFormat="false" ht="15" hidden="false" customHeight="false" outlineLevel="0" collapsed="false">
      <c r="A557" s="18" t="str">
        <f aca="false">IF(C557="","",IFERROR(INDEX(Metrics!$A:$A,MATCH(C557,Metrics!$C:$C,0)),"Not found"))</f>
        <v/>
      </c>
      <c r="B557" s="18" t="str">
        <f aca="false">IF(D557="","",IFERROR(INDEX(Products!$A:$A,MATCH(D557,Products!$B:$B,0)),"Not found"))</f>
        <v/>
      </c>
      <c r="C557" s="20"/>
      <c r="D557" s="20"/>
      <c r="E557" s="20"/>
      <c r="F557" s="20"/>
      <c r="G557" s="20"/>
      <c r="H557" s="20"/>
      <c r="I557" s="20"/>
    </row>
    <row r="558" customFormat="false" ht="15" hidden="false" customHeight="false" outlineLevel="0" collapsed="false">
      <c r="A558" s="18" t="str">
        <f aca="false">IF(C558="","",IFERROR(INDEX(Metrics!$A:$A,MATCH(C558,Metrics!$C:$C,0)),"Not found"))</f>
        <v/>
      </c>
      <c r="B558" s="18" t="str">
        <f aca="false">IF(D558="","",IFERROR(INDEX(Products!$A:$A,MATCH(D558,Products!$B:$B,0)),"Not found"))</f>
        <v/>
      </c>
      <c r="C558" s="20"/>
      <c r="D558" s="20"/>
      <c r="E558" s="20"/>
      <c r="F558" s="20"/>
      <c r="G558" s="20"/>
      <c r="H558" s="20"/>
      <c r="I558" s="20"/>
    </row>
    <row r="559" customFormat="false" ht="15" hidden="false" customHeight="false" outlineLevel="0" collapsed="false">
      <c r="A559" s="18" t="str">
        <f aca="false">IF(C559="","",IFERROR(INDEX(Metrics!$A:$A,MATCH(C559,Metrics!$C:$C,0)),"Not found"))</f>
        <v/>
      </c>
      <c r="B559" s="18" t="str">
        <f aca="false">IF(D559="","",IFERROR(INDEX(Products!$A:$A,MATCH(D559,Products!$B:$B,0)),"Not found"))</f>
        <v/>
      </c>
      <c r="C559" s="20"/>
      <c r="D559" s="20"/>
      <c r="E559" s="20"/>
      <c r="F559" s="20"/>
      <c r="G559" s="20"/>
      <c r="H559" s="20"/>
      <c r="I559" s="20"/>
    </row>
    <row r="560" customFormat="false" ht="15" hidden="false" customHeight="false" outlineLevel="0" collapsed="false">
      <c r="A560" s="18" t="str">
        <f aca="false">IF(C560="","",IFERROR(INDEX(Metrics!$A:$A,MATCH(C560,Metrics!$C:$C,0)),"Not found"))</f>
        <v/>
      </c>
      <c r="B560" s="18" t="str">
        <f aca="false">IF(D560="","",IFERROR(INDEX(Products!$A:$A,MATCH(D560,Products!$B:$B,0)),"Not found"))</f>
        <v/>
      </c>
      <c r="C560" s="20"/>
      <c r="D560" s="20"/>
      <c r="E560" s="20"/>
      <c r="F560" s="20"/>
      <c r="G560" s="20"/>
      <c r="H560" s="20"/>
      <c r="I560" s="20"/>
    </row>
    <row r="561" customFormat="false" ht="15" hidden="false" customHeight="false" outlineLevel="0" collapsed="false">
      <c r="A561" s="18" t="str">
        <f aca="false">IF(C561="","",IFERROR(INDEX(Metrics!$A:$A,MATCH(C561,Metrics!$C:$C,0)),"Not found"))</f>
        <v/>
      </c>
      <c r="B561" s="18" t="str">
        <f aca="false">IF(D561="","",IFERROR(INDEX(Products!$A:$A,MATCH(D561,Products!$B:$B,0)),"Not found"))</f>
        <v/>
      </c>
      <c r="C561" s="20"/>
      <c r="D561" s="20"/>
      <c r="E561" s="20"/>
      <c r="F561" s="20"/>
      <c r="G561" s="20"/>
      <c r="H561" s="20"/>
      <c r="I561" s="20"/>
    </row>
    <row r="562" customFormat="false" ht="15" hidden="false" customHeight="false" outlineLevel="0" collapsed="false">
      <c r="A562" s="18" t="str">
        <f aca="false">IF(C562="","",IFERROR(INDEX(Metrics!$A:$A,MATCH(C562,Metrics!$C:$C,0)),"Not found"))</f>
        <v/>
      </c>
      <c r="B562" s="18" t="str">
        <f aca="false">IF(D562="","",IFERROR(INDEX(Products!$A:$A,MATCH(D562,Products!$B:$B,0)),"Not found"))</f>
        <v/>
      </c>
      <c r="C562" s="20"/>
      <c r="D562" s="20"/>
      <c r="E562" s="20"/>
      <c r="F562" s="20"/>
      <c r="G562" s="20"/>
      <c r="H562" s="20"/>
      <c r="I562" s="20"/>
    </row>
    <row r="563" customFormat="false" ht="15" hidden="false" customHeight="false" outlineLevel="0" collapsed="false">
      <c r="A563" s="18" t="str">
        <f aca="false">IF(C563="","",IFERROR(INDEX(Metrics!$A:$A,MATCH(C563,Metrics!$C:$C,0)),"Not found"))</f>
        <v/>
      </c>
      <c r="B563" s="18" t="str">
        <f aca="false">IF(D563="","",IFERROR(INDEX(Products!$A:$A,MATCH(D563,Products!$B:$B,0)),"Not found"))</f>
        <v/>
      </c>
      <c r="C563" s="20"/>
      <c r="D563" s="20"/>
      <c r="E563" s="20"/>
      <c r="F563" s="20"/>
      <c r="G563" s="20"/>
      <c r="H563" s="20"/>
      <c r="I563" s="20"/>
    </row>
    <row r="564" customFormat="false" ht="15" hidden="false" customHeight="false" outlineLevel="0" collapsed="false">
      <c r="A564" s="18" t="str">
        <f aca="false">IF(C564="","",IFERROR(INDEX(Metrics!$A:$A,MATCH(C564,Metrics!$C:$C,0)),"Not found"))</f>
        <v/>
      </c>
      <c r="B564" s="18" t="str">
        <f aca="false">IF(D564="","",IFERROR(INDEX(Products!$A:$A,MATCH(D564,Products!$B:$B,0)),"Not found"))</f>
        <v/>
      </c>
      <c r="C564" s="20"/>
      <c r="D564" s="20"/>
      <c r="E564" s="20"/>
      <c r="F564" s="20"/>
      <c r="G564" s="20"/>
      <c r="H564" s="20"/>
      <c r="I564" s="20"/>
    </row>
    <row r="565" customFormat="false" ht="15" hidden="false" customHeight="false" outlineLevel="0" collapsed="false">
      <c r="A565" s="18" t="str">
        <f aca="false">IF(C565="","",IFERROR(INDEX(Metrics!$A:$A,MATCH(C565,Metrics!$C:$C,0)),"Not found"))</f>
        <v/>
      </c>
      <c r="B565" s="18" t="str">
        <f aca="false">IF(D565="","",IFERROR(INDEX(Products!$A:$A,MATCH(D565,Products!$B:$B,0)),"Not found"))</f>
        <v/>
      </c>
      <c r="C565" s="20"/>
      <c r="D565" s="20"/>
      <c r="E565" s="20"/>
      <c r="F565" s="20"/>
      <c r="G565" s="20"/>
      <c r="H565" s="20"/>
      <c r="I565" s="20"/>
    </row>
    <row r="566" customFormat="false" ht="15" hidden="false" customHeight="false" outlineLevel="0" collapsed="false">
      <c r="A566" s="18" t="str">
        <f aca="false">IF(C566="","",IFERROR(INDEX(Metrics!$A:$A,MATCH(C566,Metrics!$C:$C,0)),"Not found"))</f>
        <v/>
      </c>
      <c r="B566" s="18" t="str">
        <f aca="false">IF(D566="","",IFERROR(INDEX(Products!$A:$A,MATCH(D566,Products!$B:$B,0)),"Not found"))</f>
        <v/>
      </c>
      <c r="C566" s="20"/>
      <c r="D566" s="20"/>
      <c r="E566" s="20"/>
      <c r="F566" s="20"/>
      <c r="G566" s="20"/>
      <c r="H566" s="20"/>
      <c r="I566" s="20"/>
    </row>
    <row r="567" customFormat="false" ht="15" hidden="false" customHeight="false" outlineLevel="0" collapsed="false">
      <c r="A567" s="18" t="str">
        <f aca="false">IF(C567="","",IFERROR(INDEX(Metrics!$A:$A,MATCH(C567,Metrics!$C:$C,0)),"Not found"))</f>
        <v/>
      </c>
      <c r="B567" s="18" t="str">
        <f aca="false">IF(D567="","",IFERROR(INDEX(Products!$A:$A,MATCH(D567,Products!$B:$B,0)),"Not found"))</f>
        <v/>
      </c>
      <c r="C567" s="20"/>
      <c r="D567" s="20"/>
      <c r="E567" s="20"/>
      <c r="F567" s="20"/>
      <c r="G567" s="20"/>
      <c r="H567" s="20"/>
      <c r="I567" s="20"/>
    </row>
    <row r="568" customFormat="false" ht="15" hidden="false" customHeight="false" outlineLevel="0" collapsed="false">
      <c r="A568" s="18" t="str">
        <f aca="false">IF(C568="","",IFERROR(INDEX(Metrics!$A:$A,MATCH(C568,Metrics!$C:$C,0)),"Not found"))</f>
        <v/>
      </c>
      <c r="B568" s="18" t="str">
        <f aca="false">IF(D568="","",IFERROR(INDEX(Products!$A:$A,MATCH(D568,Products!$B:$B,0)),"Not found"))</f>
        <v/>
      </c>
      <c r="C568" s="20"/>
      <c r="D568" s="20"/>
      <c r="E568" s="20"/>
      <c r="F568" s="20"/>
      <c r="G568" s="20"/>
      <c r="H568" s="20"/>
      <c r="I568" s="20"/>
    </row>
    <row r="569" customFormat="false" ht="15" hidden="false" customHeight="false" outlineLevel="0" collapsed="false">
      <c r="A569" s="18" t="str">
        <f aca="false">IF(C569="","",IFERROR(INDEX(Metrics!$A:$A,MATCH(C569,Metrics!$C:$C,0)),"Not found"))</f>
        <v/>
      </c>
      <c r="B569" s="18" t="str">
        <f aca="false">IF(D569="","",IFERROR(INDEX(Products!$A:$A,MATCH(D569,Products!$B:$B,0)),"Not found"))</f>
        <v/>
      </c>
      <c r="C569" s="20"/>
      <c r="D569" s="20"/>
      <c r="E569" s="20"/>
      <c r="F569" s="20"/>
      <c r="G569" s="20"/>
      <c r="H569" s="20"/>
      <c r="I569" s="20"/>
    </row>
    <row r="570" customFormat="false" ht="15" hidden="false" customHeight="false" outlineLevel="0" collapsed="false">
      <c r="A570" s="18" t="str">
        <f aca="false">IF(C570="","",IFERROR(INDEX(Metrics!$A:$A,MATCH(C570,Metrics!$C:$C,0)),"Not found"))</f>
        <v/>
      </c>
      <c r="B570" s="18" t="str">
        <f aca="false">IF(D570="","",IFERROR(INDEX(Products!$A:$A,MATCH(D570,Products!$B:$B,0)),"Not found"))</f>
        <v/>
      </c>
      <c r="C570" s="20"/>
      <c r="D570" s="20"/>
      <c r="E570" s="20"/>
      <c r="F570" s="20"/>
      <c r="G570" s="20"/>
      <c r="H570" s="20"/>
      <c r="I570" s="20"/>
    </row>
    <row r="571" customFormat="false" ht="15" hidden="false" customHeight="false" outlineLevel="0" collapsed="false">
      <c r="A571" s="18" t="str">
        <f aca="false">IF(C571="","",IFERROR(INDEX(Metrics!$A:$A,MATCH(C571,Metrics!$C:$C,0)),"Not found"))</f>
        <v/>
      </c>
      <c r="B571" s="18" t="str">
        <f aca="false">IF(D571="","",IFERROR(INDEX(Products!$A:$A,MATCH(D571,Products!$B:$B,0)),"Not found"))</f>
        <v/>
      </c>
      <c r="C571" s="20"/>
      <c r="D571" s="20"/>
      <c r="E571" s="20"/>
      <c r="F571" s="20"/>
      <c r="G571" s="20"/>
      <c r="H571" s="20"/>
      <c r="I571" s="20"/>
    </row>
    <row r="572" customFormat="false" ht="15" hidden="false" customHeight="false" outlineLevel="0" collapsed="false">
      <c r="A572" s="18" t="str">
        <f aca="false">IF(C572="","",IFERROR(INDEX(Metrics!$A:$A,MATCH(C572,Metrics!$C:$C,0)),"Not found"))</f>
        <v/>
      </c>
      <c r="B572" s="18" t="str">
        <f aca="false">IF(D572="","",IFERROR(INDEX(Products!$A:$A,MATCH(D572,Products!$B:$B,0)),"Not found"))</f>
        <v/>
      </c>
      <c r="C572" s="20"/>
      <c r="D572" s="20"/>
      <c r="E572" s="20"/>
      <c r="F572" s="20"/>
      <c r="G572" s="20"/>
      <c r="H572" s="20"/>
      <c r="I572" s="20"/>
    </row>
    <row r="573" customFormat="false" ht="15" hidden="false" customHeight="false" outlineLevel="0" collapsed="false">
      <c r="A573" s="18" t="str">
        <f aca="false">IF(C573="","",IFERROR(INDEX(Metrics!$A:$A,MATCH(C573,Metrics!$C:$C,0)),"Not found"))</f>
        <v/>
      </c>
      <c r="B573" s="18" t="str">
        <f aca="false">IF(D573="","",IFERROR(INDEX(Products!$A:$A,MATCH(D573,Products!$B:$B,0)),"Not found"))</f>
        <v/>
      </c>
      <c r="C573" s="20"/>
      <c r="D573" s="20"/>
      <c r="E573" s="20"/>
      <c r="F573" s="20"/>
      <c r="G573" s="20"/>
      <c r="H573" s="20"/>
      <c r="I573" s="20"/>
    </row>
    <row r="574" customFormat="false" ht="15" hidden="false" customHeight="false" outlineLevel="0" collapsed="false">
      <c r="A574" s="18" t="str">
        <f aca="false">IF(C574="","",IFERROR(INDEX(Metrics!$A:$A,MATCH(C574,Metrics!$C:$C,0)),"Not found"))</f>
        <v/>
      </c>
      <c r="B574" s="18" t="str">
        <f aca="false">IF(D574="","",IFERROR(INDEX(Products!$A:$A,MATCH(D574,Products!$B:$B,0)),"Not found"))</f>
        <v/>
      </c>
      <c r="C574" s="20"/>
      <c r="D574" s="20"/>
      <c r="E574" s="20"/>
      <c r="F574" s="20"/>
      <c r="G574" s="20"/>
      <c r="H574" s="20"/>
      <c r="I574" s="20"/>
    </row>
    <row r="575" customFormat="false" ht="15" hidden="false" customHeight="false" outlineLevel="0" collapsed="false">
      <c r="A575" s="18" t="str">
        <f aca="false">IF(C575="","",IFERROR(INDEX(Metrics!$A:$A,MATCH(C575,Metrics!$C:$C,0)),"Not found"))</f>
        <v/>
      </c>
      <c r="B575" s="18" t="str">
        <f aca="false">IF(D575="","",IFERROR(INDEX(Products!$A:$A,MATCH(D575,Products!$B:$B,0)),"Not found"))</f>
        <v/>
      </c>
      <c r="C575" s="20"/>
      <c r="D575" s="20"/>
      <c r="E575" s="20"/>
      <c r="F575" s="20"/>
      <c r="G575" s="20"/>
      <c r="H575" s="20"/>
      <c r="I575" s="20"/>
    </row>
    <row r="576" customFormat="false" ht="15" hidden="false" customHeight="false" outlineLevel="0" collapsed="false">
      <c r="A576" s="18" t="str">
        <f aca="false">IF(C576="","",IFERROR(INDEX(Metrics!$A:$A,MATCH(C576,Metrics!$C:$C,0)),"Not found"))</f>
        <v/>
      </c>
      <c r="B576" s="18" t="str">
        <f aca="false">IF(D576="","",IFERROR(INDEX(Products!$A:$A,MATCH(D576,Products!$B:$B,0)),"Not found"))</f>
        <v/>
      </c>
      <c r="C576" s="20"/>
      <c r="D576" s="20"/>
      <c r="E576" s="20"/>
      <c r="F576" s="20"/>
      <c r="G576" s="20"/>
      <c r="H576" s="20"/>
      <c r="I576" s="20"/>
    </row>
    <row r="577" customFormat="false" ht="15" hidden="false" customHeight="false" outlineLevel="0" collapsed="false">
      <c r="A577" s="18" t="str">
        <f aca="false">IF(C577="","",IFERROR(INDEX(Metrics!$A:$A,MATCH(C577,Metrics!$C:$C,0)),"Not found"))</f>
        <v/>
      </c>
      <c r="B577" s="18" t="str">
        <f aca="false">IF(D577="","",IFERROR(INDEX(Products!$A:$A,MATCH(D577,Products!$B:$B,0)),"Not found"))</f>
        <v/>
      </c>
      <c r="C577" s="20"/>
      <c r="D577" s="20"/>
      <c r="E577" s="20"/>
      <c r="F577" s="20"/>
      <c r="G577" s="20"/>
      <c r="H577" s="20"/>
      <c r="I577" s="20"/>
    </row>
    <row r="578" customFormat="false" ht="15" hidden="false" customHeight="false" outlineLevel="0" collapsed="false">
      <c r="A578" s="18" t="str">
        <f aca="false">IF(C578="","",IFERROR(INDEX(Metrics!$A:$A,MATCH(C578,Metrics!$C:$C,0)),"Not found"))</f>
        <v/>
      </c>
      <c r="B578" s="18" t="str">
        <f aca="false">IF(D578="","",IFERROR(INDEX(Products!$A:$A,MATCH(D578,Products!$B:$B,0)),"Not found"))</f>
        <v/>
      </c>
      <c r="C578" s="20"/>
      <c r="D578" s="20"/>
      <c r="E578" s="20"/>
      <c r="F578" s="20"/>
      <c r="G578" s="20"/>
      <c r="H578" s="20"/>
      <c r="I578" s="20"/>
    </row>
    <row r="579" customFormat="false" ht="15" hidden="false" customHeight="false" outlineLevel="0" collapsed="false">
      <c r="A579" s="18" t="str">
        <f aca="false">IF(C579="","",IFERROR(INDEX(Metrics!$A:$A,MATCH(C579,Metrics!$C:$C,0)),"Not found"))</f>
        <v/>
      </c>
      <c r="B579" s="18" t="str">
        <f aca="false">IF(D579="","",IFERROR(INDEX(Products!$A:$A,MATCH(D579,Products!$B:$B,0)),"Not found"))</f>
        <v/>
      </c>
      <c r="C579" s="20"/>
      <c r="D579" s="20"/>
      <c r="E579" s="20"/>
      <c r="F579" s="20"/>
      <c r="G579" s="20"/>
      <c r="H579" s="20"/>
      <c r="I579" s="20"/>
    </row>
    <row r="580" customFormat="false" ht="15" hidden="false" customHeight="false" outlineLevel="0" collapsed="false">
      <c r="A580" s="18" t="str">
        <f aca="false">IF(C580="","",IFERROR(INDEX(Metrics!$A:$A,MATCH(C580,Metrics!$C:$C,0)),"Not found"))</f>
        <v/>
      </c>
      <c r="B580" s="18" t="str">
        <f aca="false">IF(D580="","",IFERROR(INDEX(Products!$A:$A,MATCH(D580,Products!$B:$B,0)),"Not found"))</f>
        <v/>
      </c>
      <c r="C580" s="20"/>
      <c r="D580" s="20"/>
      <c r="E580" s="20"/>
      <c r="F580" s="20"/>
      <c r="G580" s="20"/>
      <c r="H580" s="20"/>
      <c r="I580" s="20"/>
    </row>
    <row r="581" customFormat="false" ht="15" hidden="false" customHeight="false" outlineLevel="0" collapsed="false">
      <c r="A581" s="18" t="str">
        <f aca="false">IF(C581="","",IFERROR(INDEX(Metrics!$A:$A,MATCH(C581,Metrics!$C:$C,0)),"Not found"))</f>
        <v/>
      </c>
      <c r="B581" s="18" t="str">
        <f aca="false">IF(D581="","",IFERROR(INDEX(Products!$A:$A,MATCH(D581,Products!$B:$B,0)),"Not found"))</f>
        <v/>
      </c>
      <c r="C581" s="20"/>
      <c r="D581" s="20"/>
      <c r="E581" s="20"/>
      <c r="F581" s="20"/>
      <c r="G581" s="20"/>
      <c r="H581" s="20"/>
      <c r="I581" s="20"/>
    </row>
    <row r="582" customFormat="false" ht="15" hidden="false" customHeight="false" outlineLevel="0" collapsed="false">
      <c r="A582" s="18" t="str">
        <f aca="false">IF(C582="","",IFERROR(INDEX(Metrics!$A:$A,MATCH(C582,Metrics!$C:$C,0)),"Not found"))</f>
        <v/>
      </c>
      <c r="B582" s="18" t="str">
        <f aca="false">IF(D582="","",IFERROR(INDEX(Products!$A:$A,MATCH(D582,Products!$B:$B,0)),"Not found"))</f>
        <v/>
      </c>
      <c r="C582" s="20"/>
      <c r="D582" s="20"/>
      <c r="E582" s="20"/>
      <c r="F582" s="20"/>
      <c r="G582" s="20"/>
      <c r="H582" s="20"/>
      <c r="I582" s="20"/>
    </row>
    <row r="583" customFormat="false" ht="15" hidden="false" customHeight="false" outlineLevel="0" collapsed="false">
      <c r="A583" s="18" t="str">
        <f aca="false">IF(C583="","",IFERROR(INDEX(Metrics!$A:$A,MATCH(C583,Metrics!$C:$C,0)),"Not found"))</f>
        <v/>
      </c>
      <c r="B583" s="18" t="str">
        <f aca="false">IF(D583="","",IFERROR(INDEX(Products!$A:$A,MATCH(D583,Products!$B:$B,0)),"Not found"))</f>
        <v/>
      </c>
      <c r="C583" s="20"/>
      <c r="D583" s="20"/>
      <c r="E583" s="20"/>
      <c r="F583" s="20"/>
      <c r="G583" s="20"/>
      <c r="H583" s="20"/>
      <c r="I583" s="20"/>
    </row>
    <row r="584" customFormat="false" ht="15" hidden="false" customHeight="false" outlineLevel="0" collapsed="false">
      <c r="A584" s="18" t="str">
        <f aca="false">IF(C584="","",IFERROR(INDEX(Metrics!$A:$A,MATCH(C584,Metrics!$C:$C,0)),"Not found"))</f>
        <v/>
      </c>
      <c r="B584" s="18" t="str">
        <f aca="false">IF(D584="","",IFERROR(INDEX(Products!$A:$A,MATCH(D584,Products!$B:$B,0)),"Not found"))</f>
        <v/>
      </c>
      <c r="C584" s="20"/>
      <c r="D584" s="20"/>
      <c r="E584" s="20"/>
      <c r="F584" s="20"/>
      <c r="G584" s="20"/>
      <c r="H584" s="20"/>
      <c r="I584" s="20"/>
    </row>
    <row r="585" customFormat="false" ht="15" hidden="false" customHeight="false" outlineLevel="0" collapsed="false">
      <c r="A585" s="18" t="str">
        <f aca="false">IF(C585="","",IFERROR(INDEX(Metrics!$A:$A,MATCH(C585,Metrics!$C:$C,0)),"Not found"))</f>
        <v/>
      </c>
      <c r="B585" s="18" t="str">
        <f aca="false">IF(D585="","",IFERROR(INDEX(Products!$A:$A,MATCH(D585,Products!$B:$B,0)),"Not found"))</f>
        <v/>
      </c>
      <c r="C585" s="20"/>
      <c r="D585" s="20"/>
      <c r="E585" s="20"/>
      <c r="F585" s="20"/>
      <c r="G585" s="20"/>
      <c r="H585" s="20"/>
      <c r="I585" s="20"/>
    </row>
    <row r="586" customFormat="false" ht="15" hidden="false" customHeight="false" outlineLevel="0" collapsed="false">
      <c r="A586" s="18" t="str">
        <f aca="false">IF(C586="","",IFERROR(INDEX(Metrics!$A:$A,MATCH(C586,Metrics!$C:$C,0)),"Not found"))</f>
        <v/>
      </c>
      <c r="B586" s="18" t="str">
        <f aca="false">IF(D586="","",IFERROR(INDEX(Products!$A:$A,MATCH(D586,Products!$B:$B,0)),"Not found"))</f>
        <v/>
      </c>
      <c r="C586" s="20"/>
      <c r="D586" s="20"/>
      <c r="E586" s="20"/>
      <c r="F586" s="20"/>
      <c r="G586" s="20"/>
      <c r="H586" s="20"/>
      <c r="I586" s="20"/>
    </row>
    <row r="587" customFormat="false" ht="15" hidden="false" customHeight="false" outlineLevel="0" collapsed="false">
      <c r="A587" s="18" t="str">
        <f aca="false">IF(C587="","",IFERROR(INDEX(Metrics!$A:$A,MATCH(C587,Metrics!$C:$C,0)),"Not found"))</f>
        <v/>
      </c>
      <c r="B587" s="18" t="str">
        <f aca="false">IF(D587="","",IFERROR(INDEX(Products!$A:$A,MATCH(D587,Products!$B:$B,0)),"Not found"))</f>
        <v/>
      </c>
      <c r="C587" s="20"/>
      <c r="D587" s="20"/>
      <c r="E587" s="20"/>
      <c r="F587" s="20"/>
      <c r="G587" s="20"/>
      <c r="H587" s="20"/>
      <c r="I587" s="20"/>
    </row>
    <row r="588" customFormat="false" ht="15" hidden="false" customHeight="false" outlineLevel="0" collapsed="false">
      <c r="A588" s="18" t="str">
        <f aca="false">IF(C588="","",IFERROR(INDEX(Metrics!$A:$A,MATCH(C588,Metrics!$C:$C,0)),"Not found"))</f>
        <v/>
      </c>
      <c r="B588" s="18" t="str">
        <f aca="false">IF(D588="","",IFERROR(INDEX(Products!$A:$A,MATCH(D588,Products!$B:$B,0)),"Not found"))</f>
        <v/>
      </c>
      <c r="C588" s="20"/>
      <c r="D588" s="20"/>
      <c r="E588" s="20"/>
      <c r="F588" s="20"/>
      <c r="G588" s="20"/>
      <c r="H588" s="20"/>
      <c r="I588" s="20"/>
    </row>
    <row r="589" customFormat="false" ht="15" hidden="false" customHeight="false" outlineLevel="0" collapsed="false">
      <c r="A589" s="18" t="str">
        <f aca="false">IF(C589="","",IFERROR(INDEX(Metrics!$A:$A,MATCH(C589,Metrics!$C:$C,0)),"Not found"))</f>
        <v/>
      </c>
      <c r="B589" s="18" t="str">
        <f aca="false">IF(D589="","",IFERROR(INDEX(Products!$A:$A,MATCH(D589,Products!$B:$B,0)),"Not found"))</f>
        <v/>
      </c>
      <c r="C589" s="20"/>
      <c r="D589" s="20"/>
      <c r="E589" s="20"/>
      <c r="F589" s="20"/>
      <c r="G589" s="20"/>
      <c r="H589" s="20"/>
      <c r="I589" s="20"/>
    </row>
    <row r="590" customFormat="false" ht="15" hidden="false" customHeight="false" outlineLevel="0" collapsed="false">
      <c r="A590" s="18" t="str">
        <f aca="false">IF(C590="","",IFERROR(INDEX(Metrics!$A:$A,MATCH(C590,Metrics!$C:$C,0)),"Not found"))</f>
        <v/>
      </c>
      <c r="B590" s="18" t="str">
        <f aca="false">IF(D590="","",IFERROR(INDEX(Products!$A:$A,MATCH(D590,Products!$B:$B,0)),"Not found"))</f>
        <v/>
      </c>
      <c r="C590" s="20"/>
      <c r="D590" s="20"/>
      <c r="E590" s="20"/>
      <c r="F590" s="20"/>
      <c r="G590" s="20"/>
      <c r="H590" s="20"/>
      <c r="I590" s="20"/>
    </row>
    <row r="591" customFormat="false" ht="15" hidden="false" customHeight="false" outlineLevel="0" collapsed="false">
      <c r="A591" s="18" t="str">
        <f aca="false">IF(C591="","",IFERROR(INDEX(Metrics!$A:$A,MATCH(C591,Metrics!$C:$C,0)),"Not found"))</f>
        <v/>
      </c>
      <c r="B591" s="18" t="str">
        <f aca="false">IF(D591="","",IFERROR(INDEX(Products!$A:$A,MATCH(D591,Products!$B:$B,0)),"Not found"))</f>
        <v/>
      </c>
      <c r="C591" s="20"/>
      <c r="D591" s="20"/>
      <c r="E591" s="20"/>
      <c r="F591" s="20"/>
      <c r="G591" s="20"/>
      <c r="H591" s="20"/>
      <c r="I591" s="20"/>
    </row>
    <row r="592" customFormat="false" ht="15" hidden="false" customHeight="false" outlineLevel="0" collapsed="false">
      <c r="A592" s="18" t="str">
        <f aca="false">IF(C592="","",IFERROR(INDEX(Metrics!$A:$A,MATCH(C592,Metrics!$C:$C,0)),"Not found"))</f>
        <v/>
      </c>
      <c r="B592" s="18" t="str">
        <f aca="false">IF(D592="","",IFERROR(INDEX(Products!$A:$A,MATCH(D592,Products!$B:$B,0)),"Not found"))</f>
        <v/>
      </c>
      <c r="C592" s="20"/>
      <c r="D592" s="20"/>
      <c r="E592" s="20"/>
      <c r="F592" s="20"/>
      <c r="G592" s="20"/>
      <c r="H592" s="20"/>
      <c r="I592" s="20"/>
    </row>
    <row r="593" customFormat="false" ht="15" hidden="false" customHeight="false" outlineLevel="0" collapsed="false">
      <c r="A593" s="18" t="str">
        <f aca="false">IF(C593="","",IFERROR(INDEX(Metrics!$A:$A,MATCH(C593,Metrics!$C:$C,0)),"Not found"))</f>
        <v/>
      </c>
      <c r="B593" s="18" t="str">
        <f aca="false">IF(D593="","",IFERROR(INDEX(Products!$A:$A,MATCH(D593,Products!$B:$B,0)),"Not found"))</f>
        <v/>
      </c>
      <c r="C593" s="20"/>
      <c r="D593" s="20"/>
      <c r="E593" s="20"/>
      <c r="F593" s="20"/>
      <c r="G593" s="20"/>
      <c r="H593" s="20"/>
      <c r="I593" s="20"/>
    </row>
    <row r="594" customFormat="false" ht="15" hidden="false" customHeight="false" outlineLevel="0" collapsed="false">
      <c r="A594" s="18" t="str">
        <f aca="false">IF(C594="","",IFERROR(INDEX(Metrics!$A:$A,MATCH(C594,Metrics!$C:$C,0)),"Not found"))</f>
        <v/>
      </c>
      <c r="B594" s="18" t="str">
        <f aca="false">IF(D594="","",IFERROR(INDEX(Products!$A:$A,MATCH(D594,Products!$B:$B,0)),"Not found"))</f>
        <v/>
      </c>
      <c r="C594" s="20"/>
      <c r="D594" s="20"/>
      <c r="E594" s="20"/>
      <c r="F594" s="20"/>
      <c r="G594" s="20"/>
      <c r="H594" s="20"/>
      <c r="I594" s="20"/>
    </row>
    <row r="595" customFormat="false" ht="15" hidden="false" customHeight="false" outlineLevel="0" collapsed="false">
      <c r="A595" s="18" t="str">
        <f aca="false">IF(C595="","",IFERROR(INDEX(Metrics!$A:$A,MATCH(C595,Metrics!$C:$C,0)),"Not found"))</f>
        <v/>
      </c>
      <c r="B595" s="18" t="str">
        <f aca="false">IF(D595="","",IFERROR(INDEX(Products!$A:$A,MATCH(D595,Products!$B:$B,0)),"Not found"))</f>
        <v/>
      </c>
      <c r="C595" s="20"/>
      <c r="D595" s="20"/>
      <c r="E595" s="20"/>
      <c r="F595" s="20"/>
      <c r="G595" s="20"/>
      <c r="H595" s="20"/>
      <c r="I595" s="20"/>
    </row>
    <row r="596" customFormat="false" ht="15" hidden="false" customHeight="false" outlineLevel="0" collapsed="false">
      <c r="A596" s="18" t="str">
        <f aca="false">IF(C596="","",IFERROR(INDEX(Metrics!$A:$A,MATCH(C596,Metrics!$C:$C,0)),"Not found"))</f>
        <v/>
      </c>
      <c r="B596" s="18" t="str">
        <f aca="false">IF(D596="","",IFERROR(INDEX(Products!$A:$A,MATCH(D596,Products!$B:$B,0)),"Not found"))</f>
        <v/>
      </c>
      <c r="C596" s="20"/>
      <c r="D596" s="20"/>
      <c r="E596" s="20"/>
      <c r="F596" s="20"/>
      <c r="G596" s="20"/>
      <c r="H596" s="20"/>
      <c r="I596" s="20"/>
    </row>
    <row r="597" customFormat="false" ht="15" hidden="false" customHeight="false" outlineLevel="0" collapsed="false">
      <c r="A597" s="18" t="str">
        <f aca="false">IF(C597="","",IFERROR(INDEX(Metrics!$A:$A,MATCH(C597,Metrics!$C:$C,0)),"Not found"))</f>
        <v/>
      </c>
      <c r="B597" s="18" t="str">
        <f aca="false">IF(D597="","",IFERROR(INDEX(Products!$A:$A,MATCH(D597,Products!$B:$B,0)),"Not found"))</f>
        <v/>
      </c>
      <c r="C597" s="20"/>
      <c r="D597" s="20"/>
      <c r="E597" s="20"/>
      <c r="F597" s="20"/>
      <c r="G597" s="20"/>
      <c r="H597" s="20"/>
      <c r="I597" s="20"/>
    </row>
    <row r="598" customFormat="false" ht="15" hidden="false" customHeight="false" outlineLevel="0" collapsed="false">
      <c r="A598" s="18" t="str">
        <f aca="false">IF(C598="","",IFERROR(INDEX(Metrics!$A:$A,MATCH(C598,Metrics!$C:$C,0)),"Not found"))</f>
        <v/>
      </c>
      <c r="B598" s="18" t="str">
        <f aca="false">IF(D598="","",IFERROR(INDEX(Products!$A:$A,MATCH(D598,Products!$B:$B,0)),"Not found"))</f>
        <v/>
      </c>
      <c r="C598" s="20"/>
      <c r="D598" s="20"/>
      <c r="E598" s="20"/>
      <c r="F598" s="20"/>
      <c r="G598" s="20"/>
      <c r="H598" s="20"/>
      <c r="I598" s="20"/>
    </row>
    <row r="599" customFormat="false" ht="15" hidden="false" customHeight="false" outlineLevel="0" collapsed="false">
      <c r="A599" s="18" t="str">
        <f aca="false">IF(C599="","",IFERROR(INDEX(Metrics!$A:$A,MATCH(C599,Metrics!$C:$C,0)),"Not found"))</f>
        <v/>
      </c>
      <c r="B599" s="18" t="str">
        <f aca="false">IF(D599="","",IFERROR(INDEX(Products!$A:$A,MATCH(D599,Products!$B:$B,0)),"Not found"))</f>
        <v/>
      </c>
      <c r="C599" s="20"/>
      <c r="D599" s="20"/>
      <c r="E599" s="20"/>
      <c r="F599" s="20"/>
      <c r="G599" s="20"/>
      <c r="H599" s="20"/>
      <c r="I599" s="20"/>
    </row>
    <row r="600" customFormat="false" ht="15" hidden="false" customHeight="false" outlineLevel="0" collapsed="false">
      <c r="A600" s="18" t="str">
        <f aca="false">IF(C600="","",IFERROR(INDEX(Metrics!$A:$A,MATCH(C600,Metrics!$C:$C,0)),"Not found"))</f>
        <v/>
      </c>
      <c r="B600" s="18" t="str">
        <f aca="false">IF(D600="","",IFERROR(INDEX(Products!$A:$A,MATCH(D600,Products!$B:$B,0)),"Not found"))</f>
        <v/>
      </c>
      <c r="C600" s="20"/>
      <c r="D600" s="20"/>
      <c r="E600" s="20"/>
      <c r="F600" s="20"/>
      <c r="G600" s="20"/>
      <c r="H600" s="20"/>
      <c r="I600" s="20"/>
    </row>
    <row r="601" customFormat="false" ht="15" hidden="false" customHeight="false" outlineLevel="0" collapsed="false">
      <c r="A601" s="18" t="str">
        <f aca="false">IF(C601="","",IFERROR(INDEX(Metrics!$A:$A,MATCH(C601,Metrics!$C:$C,0)),"Not found"))</f>
        <v/>
      </c>
      <c r="B601" s="18" t="str">
        <f aca="false">IF(D601="","",IFERROR(INDEX(Products!$A:$A,MATCH(D601,Products!$B:$B,0)),"Not found"))</f>
        <v/>
      </c>
      <c r="C601" s="20"/>
      <c r="D601" s="20"/>
      <c r="E601" s="20"/>
      <c r="F601" s="20"/>
      <c r="G601" s="20"/>
      <c r="H601" s="20"/>
      <c r="I601" s="20"/>
    </row>
    <row r="602" customFormat="false" ht="15" hidden="false" customHeight="false" outlineLevel="0" collapsed="false">
      <c r="A602" s="18" t="str">
        <f aca="false">IF(C602="","",IFERROR(INDEX(Metrics!$A:$A,MATCH(C602,Metrics!$C:$C,0)),"Not found"))</f>
        <v/>
      </c>
      <c r="B602" s="18" t="str">
        <f aca="false">IF(D602="","",IFERROR(INDEX(Products!$A:$A,MATCH(D602,Products!$B:$B,0)),"Not found"))</f>
        <v/>
      </c>
      <c r="C602" s="20"/>
      <c r="D602" s="20"/>
      <c r="E602" s="20"/>
      <c r="F602" s="20"/>
      <c r="G602" s="20"/>
      <c r="H602" s="20"/>
      <c r="I602" s="20"/>
    </row>
    <row r="603" customFormat="false" ht="15" hidden="false" customHeight="false" outlineLevel="0" collapsed="false">
      <c r="A603" s="18" t="str">
        <f aca="false">IF(C603="","",IFERROR(INDEX(Metrics!$A:$A,MATCH(C603,Metrics!$C:$C,0)),"Not found"))</f>
        <v/>
      </c>
      <c r="B603" s="18" t="str">
        <f aca="false">IF(D603="","",IFERROR(INDEX(Products!$A:$A,MATCH(D603,Products!$B:$B,0)),"Not found"))</f>
        <v/>
      </c>
      <c r="C603" s="20"/>
      <c r="D603" s="20"/>
      <c r="E603" s="20"/>
      <c r="F603" s="20"/>
      <c r="G603" s="20"/>
      <c r="H603" s="20"/>
      <c r="I603" s="20"/>
    </row>
    <row r="604" customFormat="false" ht="15" hidden="false" customHeight="false" outlineLevel="0" collapsed="false">
      <c r="A604" s="18" t="str">
        <f aca="false">IF(C604="","",IFERROR(INDEX(Metrics!$A:$A,MATCH(C604,Metrics!$C:$C,0)),"Not found"))</f>
        <v/>
      </c>
      <c r="B604" s="18" t="str">
        <f aca="false">IF(D604="","",IFERROR(INDEX(Products!$A:$A,MATCH(D604,Products!$B:$B,0)),"Not found"))</f>
        <v/>
      </c>
      <c r="C604" s="20"/>
      <c r="D604" s="20"/>
      <c r="E604" s="20"/>
      <c r="F604" s="20"/>
      <c r="G604" s="20"/>
      <c r="H604" s="20"/>
      <c r="I604" s="20"/>
    </row>
  </sheetData>
  <autoFilter ref="A4:I604"/>
  <conditionalFormatting sqref="A5:A604">
    <cfRule type="cellIs" priority="2" operator="equal" aboveAverage="0" equalAverage="0" bottom="0" percent="0" rank="0" text="" dxfId="9">
      <formula>"Not found"</formula>
    </cfRule>
  </conditionalFormatting>
  <conditionalFormatting sqref="B5:B604">
    <cfRule type="cellIs" priority="3" operator="equal" aboveAverage="0" equalAverage="0" bottom="0" percent="0" rank="0" text="" dxfId="9">
      <formula>"Not found"</formula>
    </cfRule>
  </conditionalFormatting>
  <dataValidations count="4">
    <dataValidation allowBlank="true" errorStyle="stop" operator="between" showDropDown="false" showErrorMessage="false" showInputMessage="false" sqref="C5:C604" type="list">
      <formula1>Metrics!$C$5:$C$304</formula1>
      <formula2>0</formula2>
    </dataValidation>
    <dataValidation allowBlank="true" errorStyle="stop" operator="between" showDropDown="false" showErrorMessage="false" showInputMessage="false" sqref="D5:D604" type="list">
      <formula1>Products!$B$5:$B$154</formula1>
      <formula2>0</formula2>
    </dataValidation>
    <dataValidation allowBlank="true" errorStyle="stop" operator="between" showDropDown="false" showErrorMessage="false" showInputMessage="false" sqref="G5:G604" type="list">
      <formula1>"Proposed,Accepted,Corrected,Rejected"</formula1>
      <formula2>0</formula2>
    </dataValidation>
    <dataValidation allowBlank="true" errorStyle="stop" operator="between" showDropDown="false" showErrorMessage="false" showInputMessage="false" sqref="I5:I604" type="list">
      <formula1>"Found,Inferred,Proposed,Human"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36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44"/>
    <col collapsed="false" customWidth="true" hidden="false" outlineLevel="0" max="14" min="13" style="0" width="16"/>
    <col collapsed="false" customWidth="true" hidden="false" outlineLevel="0" max="15" min="15" style="0" width="7"/>
    <col collapsed="false" customWidth="true" hidden="false" outlineLevel="0" max="16" min="16" style="0" width="44"/>
    <col collapsed="false" customWidth="true" hidden="false" outlineLevel="0" max="17" min="17" style="0" width="16"/>
    <col collapsed="false" customWidth="true" hidden="false" outlineLevel="0" max="18" min="18" style="0" width="8"/>
    <col collapsed="false" customWidth="true" hidden="false" outlineLevel="0" max="20" min="19" style="0" width="9"/>
    <col collapsed="false" customWidth="true" hidden="false" outlineLevel="0" max="21" min="21" style="0" width="15"/>
    <col collapsed="false" customWidth="true" hidden="false" outlineLevel="0" max="22" min="22" style="0" width="20"/>
    <col collapsed="false" customWidth="true" hidden="false" outlineLevel="0" max="23" min="23" style="0" width="10"/>
    <col collapsed="false" customWidth="true" hidden="false" outlineLevel="0" max="24" min="24" style="0" width="36"/>
    <col collapsed="false" customWidth="true" hidden="false" outlineLevel="0" max="25" min="25" style="0" width="11"/>
    <col collapsed="false" customWidth="true" hidden="false" outlineLevel="0" max="26" min="26" style="0" width="26"/>
    <col collapsed="false" customWidth="true" hidden="false" outlineLevel="0" max="27" min="27" style="0" width="11"/>
    <col collapsed="false" customWidth="true" hidden="false" outlineLevel="0" max="28" min="28" style="0" width="12"/>
    <col collapsed="false" customWidth="true" hidden="false" outlineLevel="0" max="29" min="29" style="0" width="14"/>
    <col collapsed="false" customWidth="true" hidden="false" outlineLevel="0" max="33" min="30" style="0" width="7"/>
  </cols>
  <sheetData>
    <row r="1" customFormat="false" ht="17.35" hidden="false" customHeight="false" outlineLevel="0" collapsed="false">
      <c r="A1" s="1" t="s">
        <v>235</v>
      </c>
    </row>
    <row r="2" customFormat="false" ht="15" hidden="false" customHeight="false" outlineLevel="0" collapsed="false">
      <c r="A2" s="2" t="s">
        <v>462</v>
      </c>
    </row>
    <row r="4" customFormat="false" ht="33.75" hidden="false" customHeight="true" outlineLevel="0" collapsed="false">
      <c r="A4" s="16" t="s">
        <v>236</v>
      </c>
      <c r="B4" s="17" t="s">
        <v>97</v>
      </c>
      <c r="C4" s="17" t="s">
        <v>101</v>
      </c>
      <c r="D4" s="17" t="s">
        <v>242</v>
      </c>
      <c r="E4" s="17" t="s">
        <v>244</v>
      </c>
      <c r="F4" s="17" t="s">
        <v>246</v>
      </c>
      <c r="G4" s="16" t="s">
        <v>463</v>
      </c>
      <c r="H4" s="17" t="s">
        <v>249</v>
      </c>
      <c r="I4" s="16" t="s">
        <v>464</v>
      </c>
      <c r="J4" s="17" t="s">
        <v>252</v>
      </c>
      <c r="K4" s="17" t="s">
        <v>119</v>
      </c>
      <c r="L4" s="17" t="s">
        <v>257</v>
      </c>
      <c r="M4" s="17" t="s">
        <v>114</v>
      </c>
      <c r="N4" s="17" t="s">
        <v>68</v>
      </c>
      <c r="O4" s="17" t="s">
        <v>262</v>
      </c>
      <c r="P4" s="17" t="s">
        <v>264</v>
      </c>
      <c r="Q4" s="17" t="s">
        <v>267</v>
      </c>
      <c r="R4" s="17" t="s">
        <v>269</v>
      </c>
      <c r="S4" s="17" t="s">
        <v>271</v>
      </c>
      <c r="T4" s="17" t="s">
        <v>273</v>
      </c>
      <c r="U4" s="17" t="s">
        <v>275</v>
      </c>
      <c r="V4" s="17" t="s">
        <v>278</v>
      </c>
      <c r="W4" s="17" t="s">
        <v>148</v>
      </c>
      <c r="X4" s="17" t="s">
        <v>75</v>
      </c>
      <c r="Y4" s="17" t="s">
        <v>153</v>
      </c>
      <c r="Z4" s="17" t="s">
        <v>156</v>
      </c>
      <c r="AA4" s="17" t="s">
        <v>159</v>
      </c>
      <c r="AB4" s="17" t="s">
        <v>162</v>
      </c>
      <c r="AC4" s="17" t="s">
        <v>165</v>
      </c>
      <c r="AD4" s="16" t="s">
        <v>465</v>
      </c>
      <c r="AE4" s="16" t="s">
        <v>466</v>
      </c>
      <c r="AF4" s="16" t="s">
        <v>467</v>
      </c>
      <c r="AG4" s="16" t="s">
        <v>468</v>
      </c>
    </row>
    <row r="5" customFormat="false" ht="15" hidden="false" customHeight="false" outlineLevel="0" collapsed="false">
      <c r="A5" s="18"/>
      <c r="B5" s="19"/>
      <c r="C5" s="20"/>
      <c r="D5" s="20"/>
      <c r="E5" s="20"/>
      <c r="F5" s="20"/>
      <c r="G5" s="18"/>
      <c r="H5" s="20"/>
      <c r="I5" s="18"/>
      <c r="J5" s="20"/>
      <c r="K5" s="20"/>
      <c r="L5" s="20"/>
      <c r="M5" s="20"/>
      <c r="N5" s="20"/>
      <c r="O5" s="21" t="str">
        <f aca="false">IF(A5="","",IF(AD5="",0,IF(AE5="",1,IF(AF5="",2,IF(AG5="",3,"4+")))))</f>
        <v/>
      </c>
      <c r="P5" s="21" t="str">
        <f aca="false">IF(A5="","",B5&amp;IF(AD5="",""," &lt;- "&amp;IFERROR(INDEX($B:$B,MATCH(AD5,$A:$A,0)),AD5)&amp;IF(AE5="",""," &lt;- "&amp;IFERROR(INDEX($B:$B,MATCH(AE5,$A:$A,0)),AE5)&amp;IF(AF5="",""," &lt;- "&amp;IFERROR(INDEX($B:$B,MATCH(AF5,$A:$A,0)),AF5)&amp;IF(AG5="",""," &lt;- "&amp;IFERROR(INDEX($B:$B,MATCH(AG5,$A:$A,0)),AG5)))))&amp;IF(ISNUMBER(FIND(",",G5))," (+ other parents)",""))</f>
        <v/>
      </c>
      <c r="Q5" s="21" t="str">
        <f aca="false">IF(A5="","",IF(AD5="",E5&amp;"",IF(AE5="",IF(IFERROR(INDEX($E:$E,MATCH(AD5,$A:$A,0)),"")="","",INDEX($E:$E,MATCH(AD5,$A:$A,0))),IF(AF5="",IF(IFERROR(INDEX($E:$E,MATCH(AE5,$A:$A,0)),"")="","",INDEX($E:$E,MATCH(AE5,$A:$A,0))),IF(AG5="",IF(IFERROR(INDEX($E:$E,MATCH(AF5,$A:$A,0)),"")="","",INDEX($E:$E,MATCH(AF5,$A:$A,0))),IF(IFERROR(INDEX($E:$E,MATCH(AG5,$A:$A,0)),"")="","",INDEX($E:$E,MATCH(AG5,$A:$A,0))))))))</f>
        <v/>
      </c>
      <c r="R5" s="21" t="str">
        <f aca="false">IF(A5="","",COUNTIF(Fields!$D:$D,A5))</f>
        <v/>
      </c>
      <c r="S5" s="21" t="str">
        <f aca="false">IF(A5="","",SUMIF(Fields!$D:$D,A5,Fields!$Q:$Q))</f>
        <v/>
      </c>
      <c r="T5" s="21" t="str">
        <f aca="false">IF(A5="","",COUNTIF('Product inputs'!$D:$D,A5))</f>
        <v/>
      </c>
      <c r="U5" s="20"/>
      <c r="V5" s="20"/>
      <c r="W5" s="20"/>
      <c r="X5" s="20"/>
      <c r="Y5" s="20"/>
      <c r="Z5" s="20"/>
      <c r="AA5" s="20"/>
      <c r="AB5" s="20"/>
      <c r="AC5" s="20"/>
      <c r="AD5" s="18" t="str">
        <f aca="false">IF(A5="","",IF(IFERROR(INDEX($G:$G,MATCH(A5,$A:$A,0)),"")="","",TRIM(IF(ISNUMBER(FIND(",",IFERROR(INDEX($G:$G,MATCH(A5,$A:$A,0)),""))),LEFT(IFERROR(INDEX($G:$G,MATCH(A5,$A:$A,0)),""),FIND(",",IFERROR(INDEX($G:$G,MATCH(A5,$A:$A,0)),""))-1),IFERROR(INDEX($G:$G,MATCH(A5,$A:$A,0)),"")))))</f>
        <v/>
      </c>
      <c r="AE5" s="18" t="str">
        <f aca="false">IF(AD5="","",IF(IFERROR(INDEX($G:$G,MATCH(AD5,$A:$A,0)),"")="","",TRIM(IF(ISNUMBER(FIND(",",IFERROR(INDEX($G:$G,MATCH(AD5,$A:$A,0)),""))),LEFT(IFERROR(INDEX($G:$G,MATCH(AD5,$A:$A,0)),""),FIND(",",IFERROR(INDEX($G:$G,MATCH(AD5,$A:$A,0)),""))-1),IFERROR(INDEX($G:$G,MATCH(AD5,$A:$A,0)),"")))))</f>
        <v/>
      </c>
      <c r="AF5" s="18" t="str">
        <f aca="false">IF(AE5="","",IF(IFERROR(INDEX($G:$G,MATCH(AE5,$A:$A,0)),"")="","",TRIM(IF(ISNUMBER(FIND(",",IFERROR(INDEX($G:$G,MATCH(AE5,$A:$A,0)),""))),LEFT(IFERROR(INDEX($G:$G,MATCH(AE5,$A:$A,0)),""),FIND(",",IFERROR(INDEX($G:$G,MATCH(AE5,$A:$A,0)),""))-1),IFERROR(INDEX($G:$G,MATCH(AE5,$A:$A,0)),"")))))</f>
        <v/>
      </c>
      <c r="AG5" s="18" t="str">
        <f aca="false">IF(AF5="","",IF(IFERROR(INDEX($G:$G,MATCH(AF5,$A:$A,0)),"")="","",TRIM(IF(ISNUMBER(FIND(",",IFERROR(INDEX($G:$G,MATCH(AF5,$A:$A,0)),""))),LEFT(IFERROR(INDEX($G:$G,MATCH(AF5,$A:$A,0)),""),FIND(",",IFERROR(INDEX($G:$G,MATCH(AF5,$A:$A,0)),""))-1),IFERROR(INDEX($G:$G,MATCH(AF5,$A:$A,0)),"")))))</f>
        <v/>
      </c>
    </row>
    <row r="6" customFormat="false" ht="15" hidden="false" customHeight="false" outlineLevel="0" collapsed="false">
      <c r="A6" s="18"/>
      <c r="B6" s="19"/>
      <c r="C6" s="20"/>
      <c r="D6" s="20"/>
      <c r="E6" s="20"/>
      <c r="F6" s="20"/>
      <c r="G6" s="18"/>
      <c r="H6" s="20"/>
      <c r="I6" s="18"/>
      <c r="J6" s="20"/>
      <c r="K6" s="20"/>
      <c r="L6" s="20"/>
      <c r="M6" s="20"/>
      <c r="N6" s="20"/>
      <c r="O6" s="21" t="str">
        <f aca="false">IF(A6="","",IF(AD6="",0,IF(AE6="",1,IF(AF6="",2,IF(AG6="",3,"4+")))))</f>
        <v/>
      </c>
      <c r="P6" s="21" t="str">
        <f aca="false">IF(A6="","",B6&amp;IF(AD6="",""," &lt;- "&amp;IFERROR(INDEX($B:$B,MATCH(AD6,$A:$A,0)),AD6)&amp;IF(AE6="",""," &lt;- "&amp;IFERROR(INDEX($B:$B,MATCH(AE6,$A:$A,0)),AE6)&amp;IF(AF6="",""," &lt;- "&amp;IFERROR(INDEX($B:$B,MATCH(AF6,$A:$A,0)),AF6)&amp;IF(AG6="",""," &lt;- "&amp;IFERROR(INDEX($B:$B,MATCH(AG6,$A:$A,0)),AG6)))))&amp;IF(ISNUMBER(FIND(",",G6))," (+ other parents)",""))</f>
        <v/>
      </c>
      <c r="Q6" s="21" t="str">
        <f aca="false">IF(A6="","",IF(AD6="",E6&amp;"",IF(AE6="",IF(IFERROR(INDEX($E:$E,MATCH(AD6,$A:$A,0)),"")="","",INDEX($E:$E,MATCH(AD6,$A:$A,0))),IF(AF6="",IF(IFERROR(INDEX($E:$E,MATCH(AE6,$A:$A,0)),"")="","",INDEX($E:$E,MATCH(AE6,$A:$A,0))),IF(AG6="",IF(IFERROR(INDEX($E:$E,MATCH(AF6,$A:$A,0)),"")="","",INDEX($E:$E,MATCH(AF6,$A:$A,0))),IF(IFERROR(INDEX($E:$E,MATCH(AG6,$A:$A,0)),"")="","",INDEX($E:$E,MATCH(AG6,$A:$A,0))))))))</f>
        <v/>
      </c>
      <c r="R6" s="21" t="str">
        <f aca="false">IF(A6="","",COUNTIF(Fields!$D:$D,A6))</f>
        <v/>
      </c>
      <c r="S6" s="21" t="str">
        <f aca="false">IF(A6="","",SUMIF(Fields!$D:$D,A6,Fields!$Q:$Q))</f>
        <v/>
      </c>
      <c r="T6" s="21" t="str">
        <f aca="false">IF(A6="","",COUNTIF('Product inputs'!$D:$D,A6))</f>
        <v/>
      </c>
      <c r="U6" s="20"/>
      <c r="V6" s="20"/>
      <c r="W6" s="20"/>
      <c r="X6" s="20"/>
      <c r="Y6" s="20"/>
      <c r="Z6" s="20"/>
      <c r="AA6" s="20"/>
      <c r="AB6" s="20"/>
      <c r="AC6" s="20"/>
      <c r="AD6" s="18" t="str">
        <f aca="false">IF(A6="","",IF(IFERROR(INDEX($G:$G,MATCH(A6,$A:$A,0)),"")="","",TRIM(IF(ISNUMBER(FIND(",",IFERROR(INDEX($G:$G,MATCH(A6,$A:$A,0)),""))),LEFT(IFERROR(INDEX($G:$G,MATCH(A6,$A:$A,0)),""),FIND(",",IFERROR(INDEX($G:$G,MATCH(A6,$A:$A,0)),""))-1),IFERROR(INDEX($G:$G,MATCH(A6,$A:$A,0)),"")))))</f>
        <v/>
      </c>
      <c r="AE6" s="18" t="str">
        <f aca="false">IF(AD6="","",IF(IFERROR(INDEX($G:$G,MATCH(AD6,$A:$A,0)),"")="","",TRIM(IF(ISNUMBER(FIND(",",IFERROR(INDEX($G:$G,MATCH(AD6,$A:$A,0)),""))),LEFT(IFERROR(INDEX($G:$G,MATCH(AD6,$A:$A,0)),""),FIND(",",IFERROR(INDEX($G:$G,MATCH(AD6,$A:$A,0)),""))-1),IFERROR(INDEX($G:$G,MATCH(AD6,$A:$A,0)),"")))))</f>
        <v/>
      </c>
      <c r="AF6" s="18" t="str">
        <f aca="false">IF(AE6="","",IF(IFERROR(INDEX($G:$G,MATCH(AE6,$A:$A,0)),"")="","",TRIM(IF(ISNUMBER(FIND(",",IFERROR(INDEX($G:$G,MATCH(AE6,$A:$A,0)),""))),LEFT(IFERROR(INDEX($G:$G,MATCH(AE6,$A:$A,0)),""),FIND(",",IFERROR(INDEX($G:$G,MATCH(AE6,$A:$A,0)),""))-1),IFERROR(INDEX($G:$G,MATCH(AE6,$A:$A,0)),"")))))</f>
        <v/>
      </c>
      <c r="AG6" s="18" t="str">
        <f aca="false">IF(AF6="","",IF(IFERROR(INDEX($G:$G,MATCH(AF6,$A:$A,0)),"")="","",TRIM(IF(ISNUMBER(FIND(",",IFERROR(INDEX($G:$G,MATCH(AF6,$A:$A,0)),""))),LEFT(IFERROR(INDEX($G:$G,MATCH(AF6,$A:$A,0)),""),FIND(",",IFERROR(INDEX($G:$G,MATCH(AF6,$A:$A,0)),""))-1),IFERROR(INDEX($G:$G,MATCH(AF6,$A:$A,0)),"")))))</f>
        <v/>
      </c>
    </row>
    <row r="7" customFormat="false" ht="15" hidden="false" customHeight="false" outlineLevel="0" collapsed="false">
      <c r="A7" s="18"/>
      <c r="B7" s="19"/>
      <c r="C7" s="20"/>
      <c r="D7" s="20"/>
      <c r="E7" s="20"/>
      <c r="F7" s="20"/>
      <c r="G7" s="18"/>
      <c r="H7" s="20"/>
      <c r="I7" s="18"/>
      <c r="J7" s="20"/>
      <c r="K7" s="20"/>
      <c r="L7" s="20"/>
      <c r="M7" s="20"/>
      <c r="N7" s="20"/>
      <c r="O7" s="21" t="str">
        <f aca="false">IF(A7="","",IF(AD7="",0,IF(AE7="",1,IF(AF7="",2,IF(AG7="",3,"4+")))))</f>
        <v/>
      </c>
      <c r="P7" s="21" t="str">
        <f aca="false">IF(A7="","",B7&amp;IF(AD7="",""," &lt;- "&amp;IFERROR(INDEX($B:$B,MATCH(AD7,$A:$A,0)),AD7)&amp;IF(AE7="",""," &lt;- "&amp;IFERROR(INDEX($B:$B,MATCH(AE7,$A:$A,0)),AE7)&amp;IF(AF7="",""," &lt;- "&amp;IFERROR(INDEX($B:$B,MATCH(AF7,$A:$A,0)),AF7)&amp;IF(AG7="",""," &lt;- "&amp;IFERROR(INDEX($B:$B,MATCH(AG7,$A:$A,0)),AG7)))))&amp;IF(ISNUMBER(FIND(",",G7))," (+ other parents)",""))</f>
        <v/>
      </c>
      <c r="Q7" s="21" t="str">
        <f aca="false">IF(A7="","",IF(AD7="",E7&amp;"",IF(AE7="",IF(IFERROR(INDEX($E:$E,MATCH(AD7,$A:$A,0)),"")="","",INDEX($E:$E,MATCH(AD7,$A:$A,0))),IF(AF7="",IF(IFERROR(INDEX($E:$E,MATCH(AE7,$A:$A,0)),"")="","",INDEX($E:$E,MATCH(AE7,$A:$A,0))),IF(AG7="",IF(IFERROR(INDEX($E:$E,MATCH(AF7,$A:$A,0)),"")="","",INDEX($E:$E,MATCH(AF7,$A:$A,0))),IF(IFERROR(INDEX($E:$E,MATCH(AG7,$A:$A,0)),"")="","",INDEX($E:$E,MATCH(AG7,$A:$A,0))))))))</f>
        <v/>
      </c>
      <c r="R7" s="21" t="str">
        <f aca="false">IF(A7="","",COUNTIF(Fields!$D:$D,A7))</f>
        <v/>
      </c>
      <c r="S7" s="21" t="str">
        <f aca="false">IF(A7="","",SUMIF(Fields!$D:$D,A7,Fields!$Q:$Q))</f>
        <v/>
      </c>
      <c r="T7" s="21" t="str">
        <f aca="false">IF(A7="","",COUNTIF('Product inputs'!$D:$D,A7))</f>
        <v/>
      </c>
      <c r="U7" s="20"/>
      <c r="V7" s="20"/>
      <c r="W7" s="20"/>
      <c r="X7" s="20"/>
      <c r="Y7" s="20"/>
      <c r="Z7" s="20"/>
      <c r="AA7" s="20"/>
      <c r="AB7" s="20"/>
      <c r="AC7" s="20"/>
      <c r="AD7" s="18" t="str">
        <f aca="false">IF(A7="","",IF(IFERROR(INDEX($G:$G,MATCH(A7,$A:$A,0)),"")="","",TRIM(IF(ISNUMBER(FIND(",",IFERROR(INDEX($G:$G,MATCH(A7,$A:$A,0)),""))),LEFT(IFERROR(INDEX($G:$G,MATCH(A7,$A:$A,0)),""),FIND(",",IFERROR(INDEX($G:$G,MATCH(A7,$A:$A,0)),""))-1),IFERROR(INDEX($G:$G,MATCH(A7,$A:$A,0)),"")))))</f>
        <v/>
      </c>
      <c r="AE7" s="18" t="str">
        <f aca="false">IF(AD7="","",IF(IFERROR(INDEX($G:$G,MATCH(AD7,$A:$A,0)),"")="","",TRIM(IF(ISNUMBER(FIND(",",IFERROR(INDEX($G:$G,MATCH(AD7,$A:$A,0)),""))),LEFT(IFERROR(INDEX($G:$G,MATCH(AD7,$A:$A,0)),""),FIND(",",IFERROR(INDEX($G:$G,MATCH(AD7,$A:$A,0)),""))-1),IFERROR(INDEX($G:$G,MATCH(AD7,$A:$A,0)),"")))))</f>
        <v/>
      </c>
      <c r="AF7" s="18" t="str">
        <f aca="false">IF(AE7="","",IF(IFERROR(INDEX($G:$G,MATCH(AE7,$A:$A,0)),"")="","",TRIM(IF(ISNUMBER(FIND(",",IFERROR(INDEX($G:$G,MATCH(AE7,$A:$A,0)),""))),LEFT(IFERROR(INDEX($G:$G,MATCH(AE7,$A:$A,0)),""),FIND(",",IFERROR(INDEX($G:$G,MATCH(AE7,$A:$A,0)),""))-1),IFERROR(INDEX($G:$G,MATCH(AE7,$A:$A,0)),"")))))</f>
        <v/>
      </c>
      <c r="AG7" s="18" t="str">
        <f aca="false">IF(AF7="","",IF(IFERROR(INDEX($G:$G,MATCH(AF7,$A:$A,0)),"")="","",TRIM(IF(ISNUMBER(FIND(",",IFERROR(INDEX($G:$G,MATCH(AF7,$A:$A,0)),""))),LEFT(IFERROR(INDEX($G:$G,MATCH(AF7,$A:$A,0)),""),FIND(",",IFERROR(INDEX($G:$G,MATCH(AF7,$A:$A,0)),""))-1),IFERROR(INDEX($G:$G,MATCH(AF7,$A:$A,0)),"")))))</f>
        <v/>
      </c>
    </row>
    <row r="8" customFormat="false" ht="15" hidden="false" customHeight="false" outlineLevel="0" collapsed="false">
      <c r="A8" s="18"/>
      <c r="B8" s="19"/>
      <c r="C8" s="20"/>
      <c r="D8" s="20"/>
      <c r="E8" s="20"/>
      <c r="F8" s="20"/>
      <c r="G8" s="18"/>
      <c r="H8" s="20"/>
      <c r="I8" s="18"/>
      <c r="J8" s="20"/>
      <c r="K8" s="20"/>
      <c r="L8" s="20"/>
      <c r="M8" s="20"/>
      <c r="N8" s="20"/>
      <c r="O8" s="21" t="str">
        <f aca="false">IF(A8="","",IF(AD8="",0,IF(AE8="",1,IF(AF8="",2,IF(AG8="",3,"4+")))))</f>
        <v/>
      </c>
      <c r="P8" s="21" t="str">
        <f aca="false">IF(A8="","",B8&amp;IF(AD8="",""," &lt;- "&amp;IFERROR(INDEX($B:$B,MATCH(AD8,$A:$A,0)),AD8)&amp;IF(AE8="",""," &lt;- "&amp;IFERROR(INDEX($B:$B,MATCH(AE8,$A:$A,0)),AE8)&amp;IF(AF8="",""," &lt;- "&amp;IFERROR(INDEX($B:$B,MATCH(AF8,$A:$A,0)),AF8)&amp;IF(AG8="",""," &lt;- "&amp;IFERROR(INDEX($B:$B,MATCH(AG8,$A:$A,0)),AG8)))))&amp;IF(ISNUMBER(FIND(",",G8))," (+ other parents)",""))</f>
        <v/>
      </c>
      <c r="Q8" s="21" t="str">
        <f aca="false">IF(A8="","",IF(AD8="",E8&amp;"",IF(AE8="",IF(IFERROR(INDEX($E:$E,MATCH(AD8,$A:$A,0)),"")="","",INDEX($E:$E,MATCH(AD8,$A:$A,0))),IF(AF8="",IF(IFERROR(INDEX($E:$E,MATCH(AE8,$A:$A,0)),"")="","",INDEX($E:$E,MATCH(AE8,$A:$A,0))),IF(AG8="",IF(IFERROR(INDEX($E:$E,MATCH(AF8,$A:$A,0)),"")="","",INDEX($E:$E,MATCH(AF8,$A:$A,0))),IF(IFERROR(INDEX($E:$E,MATCH(AG8,$A:$A,0)),"")="","",INDEX($E:$E,MATCH(AG8,$A:$A,0))))))))</f>
        <v/>
      </c>
      <c r="R8" s="21" t="str">
        <f aca="false">IF(A8="","",COUNTIF(Fields!$D:$D,A8))</f>
        <v/>
      </c>
      <c r="S8" s="21" t="str">
        <f aca="false">IF(A8="","",SUMIF(Fields!$D:$D,A8,Fields!$Q:$Q))</f>
        <v/>
      </c>
      <c r="T8" s="21" t="str">
        <f aca="false">IF(A8="","",COUNTIF('Product inputs'!$D:$D,A8))</f>
        <v/>
      </c>
      <c r="U8" s="20"/>
      <c r="V8" s="20"/>
      <c r="W8" s="20"/>
      <c r="X8" s="20"/>
      <c r="Y8" s="20"/>
      <c r="Z8" s="20"/>
      <c r="AA8" s="20"/>
      <c r="AB8" s="20"/>
      <c r="AC8" s="20"/>
      <c r="AD8" s="18" t="str">
        <f aca="false">IF(A8="","",IF(IFERROR(INDEX($G:$G,MATCH(A8,$A:$A,0)),"")="","",TRIM(IF(ISNUMBER(FIND(",",IFERROR(INDEX($G:$G,MATCH(A8,$A:$A,0)),""))),LEFT(IFERROR(INDEX($G:$G,MATCH(A8,$A:$A,0)),""),FIND(",",IFERROR(INDEX($G:$G,MATCH(A8,$A:$A,0)),""))-1),IFERROR(INDEX($G:$G,MATCH(A8,$A:$A,0)),"")))))</f>
        <v/>
      </c>
      <c r="AE8" s="18" t="str">
        <f aca="false">IF(AD8="","",IF(IFERROR(INDEX($G:$G,MATCH(AD8,$A:$A,0)),"")="","",TRIM(IF(ISNUMBER(FIND(",",IFERROR(INDEX($G:$G,MATCH(AD8,$A:$A,0)),""))),LEFT(IFERROR(INDEX($G:$G,MATCH(AD8,$A:$A,0)),""),FIND(",",IFERROR(INDEX($G:$G,MATCH(AD8,$A:$A,0)),""))-1),IFERROR(INDEX($G:$G,MATCH(AD8,$A:$A,0)),"")))))</f>
        <v/>
      </c>
      <c r="AF8" s="18" t="str">
        <f aca="false">IF(AE8="","",IF(IFERROR(INDEX($G:$G,MATCH(AE8,$A:$A,0)),"")="","",TRIM(IF(ISNUMBER(FIND(",",IFERROR(INDEX($G:$G,MATCH(AE8,$A:$A,0)),""))),LEFT(IFERROR(INDEX($G:$G,MATCH(AE8,$A:$A,0)),""),FIND(",",IFERROR(INDEX($G:$G,MATCH(AE8,$A:$A,0)),""))-1),IFERROR(INDEX($G:$G,MATCH(AE8,$A:$A,0)),"")))))</f>
        <v/>
      </c>
      <c r="AG8" s="18" t="str">
        <f aca="false">IF(AF8="","",IF(IFERROR(INDEX($G:$G,MATCH(AF8,$A:$A,0)),"")="","",TRIM(IF(ISNUMBER(FIND(",",IFERROR(INDEX($G:$G,MATCH(AF8,$A:$A,0)),""))),LEFT(IFERROR(INDEX($G:$G,MATCH(AF8,$A:$A,0)),""),FIND(",",IFERROR(INDEX($G:$G,MATCH(AF8,$A:$A,0)),""))-1),IFERROR(INDEX($G:$G,MATCH(AF8,$A:$A,0)),"")))))</f>
        <v/>
      </c>
    </row>
    <row r="9" customFormat="false" ht="15" hidden="false" customHeight="false" outlineLevel="0" collapsed="false">
      <c r="A9" s="18"/>
      <c r="B9" s="19"/>
      <c r="C9" s="20"/>
      <c r="D9" s="20"/>
      <c r="E9" s="20"/>
      <c r="F9" s="20"/>
      <c r="G9" s="18"/>
      <c r="H9" s="20"/>
      <c r="I9" s="18"/>
      <c r="J9" s="20"/>
      <c r="K9" s="20"/>
      <c r="L9" s="20"/>
      <c r="M9" s="20"/>
      <c r="N9" s="20"/>
      <c r="O9" s="21" t="str">
        <f aca="false">IF(A9="","",IF(AD9="",0,IF(AE9="",1,IF(AF9="",2,IF(AG9="",3,"4+")))))</f>
        <v/>
      </c>
      <c r="P9" s="21" t="str">
        <f aca="false">IF(A9="","",B9&amp;IF(AD9="",""," &lt;- "&amp;IFERROR(INDEX($B:$B,MATCH(AD9,$A:$A,0)),AD9)&amp;IF(AE9="",""," &lt;- "&amp;IFERROR(INDEX($B:$B,MATCH(AE9,$A:$A,0)),AE9)&amp;IF(AF9="",""," &lt;- "&amp;IFERROR(INDEX($B:$B,MATCH(AF9,$A:$A,0)),AF9)&amp;IF(AG9="",""," &lt;- "&amp;IFERROR(INDEX($B:$B,MATCH(AG9,$A:$A,0)),AG9)))))&amp;IF(ISNUMBER(FIND(",",G9))," (+ other parents)",""))</f>
        <v/>
      </c>
      <c r="Q9" s="21" t="str">
        <f aca="false">IF(A9="","",IF(AD9="",E9&amp;"",IF(AE9="",IF(IFERROR(INDEX($E:$E,MATCH(AD9,$A:$A,0)),"")="","",INDEX($E:$E,MATCH(AD9,$A:$A,0))),IF(AF9="",IF(IFERROR(INDEX($E:$E,MATCH(AE9,$A:$A,0)),"")="","",INDEX($E:$E,MATCH(AE9,$A:$A,0))),IF(AG9="",IF(IFERROR(INDEX($E:$E,MATCH(AF9,$A:$A,0)),"")="","",INDEX($E:$E,MATCH(AF9,$A:$A,0))),IF(IFERROR(INDEX($E:$E,MATCH(AG9,$A:$A,0)),"")="","",INDEX($E:$E,MATCH(AG9,$A:$A,0))))))))</f>
        <v/>
      </c>
      <c r="R9" s="21" t="str">
        <f aca="false">IF(A9="","",COUNTIF(Fields!$D:$D,A9))</f>
        <v/>
      </c>
      <c r="S9" s="21" t="str">
        <f aca="false">IF(A9="","",SUMIF(Fields!$D:$D,A9,Fields!$Q:$Q))</f>
        <v/>
      </c>
      <c r="T9" s="21" t="str">
        <f aca="false">IF(A9="","",COUNTIF('Product inputs'!$D:$D,A9))</f>
        <v/>
      </c>
      <c r="U9" s="20"/>
      <c r="V9" s="20"/>
      <c r="W9" s="20"/>
      <c r="X9" s="20"/>
      <c r="Y9" s="20"/>
      <c r="Z9" s="20"/>
      <c r="AA9" s="20"/>
      <c r="AB9" s="20"/>
      <c r="AC9" s="20"/>
      <c r="AD9" s="18" t="str">
        <f aca="false">IF(A9="","",IF(IFERROR(INDEX($G:$G,MATCH(A9,$A:$A,0)),"")="","",TRIM(IF(ISNUMBER(FIND(",",IFERROR(INDEX($G:$G,MATCH(A9,$A:$A,0)),""))),LEFT(IFERROR(INDEX($G:$G,MATCH(A9,$A:$A,0)),""),FIND(",",IFERROR(INDEX($G:$G,MATCH(A9,$A:$A,0)),""))-1),IFERROR(INDEX($G:$G,MATCH(A9,$A:$A,0)),"")))))</f>
        <v/>
      </c>
      <c r="AE9" s="18" t="str">
        <f aca="false">IF(AD9="","",IF(IFERROR(INDEX($G:$G,MATCH(AD9,$A:$A,0)),"")="","",TRIM(IF(ISNUMBER(FIND(",",IFERROR(INDEX($G:$G,MATCH(AD9,$A:$A,0)),""))),LEFT(IFERROR(INDEX($G:$G,MATCH(AD9,$A:$A,0)),""),FIND(",",IFERROR(INDEX($G:$G,MATCH(AD9,$A:$A,0)),""))-1),IFERROR(INDEX($G:$G,MATCH(AD9,$A:$A,0)),"")))))</f>
        <v/>
      </c>
      <c r="AF9" s="18" t="str">
        <f aca="false">IF(AE9="","",IF(IFERROR(INDEX($G:$G,MATCH(AE9,$A:$A,0)),"")="","",TRIM(IF(ISNUMBER(FIND(",",IFERROR(INDEX($G:$G,MATCH(AE9,$A:$A,0)),""))),LEFT(IFERROR(INDEX($G:$G,MATCH(AE9,$A:$A,0)),""),FIND(",",IFERROR(INDEX($G:$G,MATCH(AE9,$A:$A,0)),""))-1),IFERROR(INDEX($G:$G,MATCH(AE9,$A:$A,0)),"")))))</f>
        <v/>
      </c>
      <c r="AG9" s="18" t="str">
        <f aca="false">IF(AF9="","",IF(IFERROR(INDEX($G:$G,MATCH(AF9,$A:$A,0)),"")="","",TRIM(IF(ISNUMBER(FIND(",",IFERROR(INDEX($G:$G,MATCH(AF9,$A:$A,0)),""))),LEFT(IFERROR(INDEX($G:$G,MATCH(AF9,$A:$A,0)),""),FIND(",",IFERROR(INDEX($G:$G,MATCH(AF9,$A:$A,0)),""))-1),IFERROR(INDEX($G:$G,MATCH(AF9,$A:$A,0)),"")))))</f>
        <v/>
      </c>
    </row>
    <row r="10" customFormat="false" ht="15" hidden="false" customHeight="false" outlineLevel="0" collapsed="false">
      <c r="A10" s="18"/>
      <c r="B10" s="19"/>
      <c r="C10" s="20"/>
      <c r="D10" s="20"/>
      <c r="E10" s="20"/>
      <c r="F10" s="20"/>
      <c r="G10" s="18"/>
      <c r="H10" s="20"/>
      <c r="I10" s="18"/>
      <c r="J10" s="20"/>
      <c r="K10" s="20"/>
      <c r="L10" s="20"/>
      <c r="M10" s="20"/>
      <c r="N10" s="20"/>
      <c r="O10" s="21" t="str">
        <f aca="false">IF(A10="","",IF(AD10="",0,IF(AE10="",1,IF(AF10="",2,IF(AG10="",3,"4+")))))</f>
        <v/>
      </c>
      <c r="P10" s="21" t="str">
        <f aca="false">IF(A10="","",B10&amp;IF(AD10="",""," &lt;- "&amp;IFERROR(INDEX($B:$B,MATCH(AD10,$A:$A,0)),AD10)&amp;IF(AE10="",""," &lt;- "&amp;IFERROR(INDEX($B:$B,MATCH(AE10,$A:$A,0)),AE10)&amp;IF(AF10="",""," &lt;- "&amp;IFERROR(INDEX($B:$B,MATCH(AF10,$A:$A,0)),AF10)&amp;IF(AG10="",""," &lt;- "&amp;IFERROR(INDEX($B:$B,MATCH(AG10,$A:$A,0)),AG10)))))&amp;IF(ISNUMBER(FIND(",",G10))," (+ other parents)",""))</f>
        <v/>
      </c>
      <c r="Q10" s="21" t="str">
        <f aca="false">IF(A10="","",IF(AD10="",E10&amp;"",IF(AE10="",IF(IFERROR(INDEX($E:$E,MATCH(AD10,$A:$A,0)),"")="","",INDEX($E:$E,MATCH(AD10,$A:$A,0))),IF(AF10="",IF(IFERROR(INDEX($E:$E,MATCH(AE10,$A:$A,0)),"")="","",INDEX($E:$E,MATCH(AE10,$A:$A,0))),IF(AG10="",IF(IFERROR(INDEX($E:$E,MATCH(AF10,$A:$A,0)),"")="","",INDEX($E:$E,MATCH(AF10,$A:$A,0))),IF(IFERROR(INDEX($E:$E,MATCH(AG10,$A:$A,0)),"")="","",INDEX($E:$E,MATCH(AG10,$A:$A,0))))))))</f>
        <v/>
      </c>
      <c r="R10" s="21" t="str">
        <f aca="false">IF(A10="","",COUNTIF(Fields!$D:$D,A10))</f>
        <v/>
      </c>
      <c r="S10" s="21" t="str">
        <f aca="false">IF(A10="","",SUMIF(Fields!$D:$D,A10,Fields!$Q:$Q))</f>
        <v/>
      </c>
      <c r="T10" s="21" t="str">
        <f aca="false">IF(A10="","",COUNTIF('Product inputs'!$D:$D,A10))</f>
        <v/>
      </c>
      <c r="U10" s="20"/>
      <c r="V10" s="20"/>
      <c r="W10" s="20"/>
      <c r="X10" s="20"/>
      <c r="Y10" s="20"/>
      <c r="Z10" s="20"/>
      <c r="AA10" s="20"/>
      <c r="AB10" s="20"/>
      <c r="AC10" s="20"/>
      <c r="AD10" s="18" t="str">
        <f aca="false">IF(A10="","",IF(IFERROR(INDEX($G:$G,MATCH(A10,$A:$A,0)),"")="","",TRIM(IF(ISNUMBER(FIND(",",IFERROR(INDEX($G:$G,MATCH(A10,$A:$A,0)),""))),LEFT(IFERROR(INDEX($G:$G,MATCH(A10,$A:$A,0)),""),FIND(",",IFERROR(INDEX($G:$G,MATCH(A10,$A:$A,0)),""))-1),IFERROR(INDEX($G:$G,MATCH(A10,$A:$A,0)),"")))))</f>
        <v/>
      </c>
      <c r="AE10" s="18" t="str">
        <f aca="false">IF(AD10="","",IF(IFERROR(INDEX($G:$G,MATCH(AD10,$A:$A,0)),"")="","",TRIM(IF(ISNUMBER(FIND(",",IFERROR(INDEX($G:$G,MATCH(AD10,$A:$A,0)),""))),LEFT(IFERROR(INDEX($G:$G,MATCH(AD10,$A:$A,0)),""),FIND(",",IFERROR(INDEX($G:$G,MATCH(AD10,$A:$A,0)),""))-1),IFERROR(INDEX($G:$G,MATCH(AD10,$A:$A,0)),"")))))</f>
        <v/>
      </c>
      <c r="AF10" s="18" t="str">
        <f aca="false">IF(AE10="","",IF(IFERROR(INDEX($G:$G,MATCH(AE10,$A:$A,0)),"")="","",TRIM(IF(ISNUMBER(FIND(",",IFERROR(INDEX($G:$G,MATCH(AE10,$A:$A,0)),""))),LEFT(IFERROR(INDEX($G:$G,MATCH(AE10,$A:$A,0)),""),FIND(",",IFERROR(INDEX($G:$G,MATCH(AE10,$A:$A,0)),""))-1),IFERROR(INDEX($G:$G,MATCH(AE10,$A:$A,0)),"")))))</f>
        <v/>
      </c>
      <c r="AG10" s="18" t="str">
        <f aca="false">IF(AF10="","",IF(IFERROR(INDEX($G:$G,MATCH(AF10,$A:$A,0)),"")="","",TRIM(IF(ISNUMBER(FIND(",",IFERROR(INDEX($G:$G,MATCH(AF10,$A:$A,0)),""))),LEFT(IFERROR(INDEX($G:$G,MATCH(AF10,$A:$A,0)),""),FIND(",",IFERROR(INDEX($G:$G,MATCH(AF10,$A:$A,0)),""))-1),IFERROR(INDEX($G:$G,MATCH(AF10,$A:$A,0)),"")))))</f>
        <v/>
      </c>
    </row>
    <row r="11" customFormat="false" ht="15" hidden="false" customHeight="false" outlineLevel="0" collapsed="false">
      <c r="A11" s="18"/>
      <c r="B11" s="19"/>
      <c r="C11" s="20"/>
      <c r="D11" s="20"/>
      <c r="E11" s="20"/>
      <c r="F11" s="20"/>
      <c r="G11" s="18"/>
      <c r="H11" s="20"/>
      <c r="I11" s="18"/>
      <c r="J11" s="20"/>
      <c r="K11" s="20"/>
      <c r="L11" s="20"/>
      <c r="M11" s="20"/>
      <c r="N11" s="20"/>
      <c r="O11" s="21" t="str">
        <f aca="false">IF(A11="","",IF(AD11="",0,IF(AE11="",1,IF(AF11="",2,IF(AG11="",3,"4+")))))</f>
        <v/>
      </c>
      <c r="P11" s="21" t="str">
        <f aca="false">IF(A11="","",B11&amp;IF(AD11="",""," &lt;- "&amp;IFERROR(INDEX($B:$B,MATCH(AD11,$A:$A,0)),AD11)&amp;IF(AE11="",""," &lt;- "&amp;IFERROR(INDEX($B:$B,MATCH(AE11,$A:$A,0)),AE11)&amp;IF(AF11="",""," &lt;- "&amp;IFERROR(INDEX($B:$B,MATCH(AF11,$A:$A,0)),AF11)&amp;IF(AG11="",""," &lt;- "&amp;IFERROR(INDEX($B:$B,MATCH(AG11,$A:$A,0)),AG11)))))&amp;IF(ISNUMBER(FIND(",",G11))," (+ other parents)",""))</f>
        <v/>
      </c>
      <c r="Q11" s="21" t="str">
        <f aca="false">IF(A11="","",IF(AD11="",E11&amp;"",IF(AE11="",IF(IFERROR(INDEX($E:$E,MATCH(AD11,$A:$A,0)),"")="","",INDEX($E:$E,MATCH(AD11,$A:$A,0))),IF(AF11="",IF(IFERROR(INDEX($E:$E,MATCH(AE11,$A:$A,0)),"")="","",INDEX($E:$E,MATCH(AE11,$A:$A,0))),IF(AG11="",IF(IFERROR(INDEX($E:$E,MATCH(AF11,$A:$A,0)),"")="","",INDEX($E:$E,MATCH(AF11,$A:$A,0))),IF(IFERROR(INDEX($E:$E,MATCH(AG11,$A:$A,0)),"")="","",INDEX($E:$E,MATCH(AG11,$A:$A,0))))))))</f>
        <v/>
      </c>
      <c r="R11" s="21" t="str">
        <f aca="false">IF(A11="","",COUNTIF(Fields!$D:$D,A11))</f>
        <v/>
      </c>
      <c r="S11" s="21" t="str">
        <f aca="false">IF(A11="","",SUMIF(Fields!$D:$D,A11,Fields!$Q:$Q))</f>
        <v/>
      </c>
      <c r="T11" s="21" t="str">
        <f aca="false">IF(A11="","",COUNTIF('Product inputs'!$D:$D,A11))</f>
        <v/>
      </c>
      <c r="U11" s="20"/>
      <c r="V11" s="20"/>
      <c r="W11" s="20"/>
      <c r="X11" s="20"/>
      <c r="Y11" s="20"/>
      <c r="Z11" s="20"/>
      <c r="AA11" s="20"/>
      <c r="AB11" s="20"/>
      <c r="AC11" s="20"/>
      <c r="AD11" s="18" t="str">
        <f aca="false">IF(A11="","",IF(IFERROR(INDEX($G:$G,MATCH(A11,$A:$A,0)),"")="","",TRIM(IF(ISNUMBER(FIND(",",IFERROR(INDEX($G:$G,MATCH(A11,$A:$A,0)),""))),LEFT(IFERROR(INDEX($G:$G,MATCH(A11,$A:$A,0)),""),FIND(",",IFERROR(INDEX($G:$G,MATCH(A11,$A:$A,0)),""))-1),IFERROR(INDEX($G:$G,MATCH(A11,$A:$A,0)),"")))))</f>
        <v/>
      </c>
      <c r="AE11" s="18" t="str">
        <f aca="false">IF(AD11="","",IF(IFERROR(INDEX($G:$G,MATCH(AD11,$A:$A,0)),"")="","",TRIM(IF(ISNUMBER(FIND(",",IFERROR(INDEX($G:$G,MATCH(AD11,$A:$A,0)),""))),LEFT(IFERROR(INDEX($G:$G,MATCH(AD11,$A:$A,0)),""),FIND(",",IFERROR(INDEX($G:$G,MATCH(AD11,$A:$A,0)),""))-1),IFERROR(INDEX($G:$G,MATCH(AD11,$A:$A,0)),"")))))</f>
        <v/>
      </c>
      <c r="AF11" s="18" t="str">
        <f aca="false">IF(AE11="","",IF(IFERROR(INDEX($G:$G,MATCH(AE11,$A:$A,0)),"")="","",TRIM(IF(ISNUMBER(FIND(",",IFERROR(INDEX($G:$G,MATCH(AE11,$A:$A,0)),""))),LEFT(IFERROR(INDEX($G:$G,MATCH(AE11,$A:$A,0)),""),FIND(",",IFERROR(INDEX($G:$G,MATCH(AE11,$A:$A,0)),""))-1),IFERROR(INDEX($G:$G,MATCH(AE11,$A:$A,0)),"")))))</f>
        <v/>
      </c>
      <c r="AG11" s="18" t="str">
        <f aca="false">IF(AF11="","",IF(IFERROR(INDEX($G:$G,MATCH(AF11,$A:$A,0)),"")="","",TRIM(IF(ISNUMBER(FIND(",",IFERROR(INDEX($G:$G,MATCH(AF11,$A:$A,0)),""))),LEFT(IFERROR(INDEX($G:$G,MATCH(AF11,$A:$A,0)),""),FIND(",",IFERROR(INDEX($G:$G,MATCH(AF11,$A:$A,0)),""))-1),IFERROR(INDEX($G:$G,MATCH(AF11,$A:$A,0)),"")))))</f>
        <v/>
      </c>
    </row>
    <row r="12" customFormat="false" ht="15" hidden="false" customHeight="false" outlineLevel="0" collapsed="false">
      <c r="A12" s="18"/>
      <c r="B12" s="19"/>
      <c r="C12" s="20"/>
      <c r="D12" s="20"/>
      <c r="E12" s="20"/>
      <c r="F12" s="20"/>
      <c r="G12" s="18"/>
      <c r="H12" s="20"/>
      <c r="I12" s="18"/>
      <c r="J12" s="20"/>
      <c r="K12" s="20"/>
      <c r="L12" s="20"/>
      <c r="M12" s="20"/>
      <c r="N12" s="20"/>
      <c r="O12" s="21" t="str">
        <f aca="false">IF(A12="","",IF(AD12="",0,IF(AE12="",1,IF(AF12="",2,IF(AG12="",3,"4+")))))</f>
        <v/>
      </c>
      <c r="P12" s="21" t="str">
        <f aca="false">IF(A12="","",B12&amp;IF(AD12="",""," &lt;- "&amp;IFERROR(INDEX($B:$B,MATCH(AD12,$A:$A,0)),AD12)&amp;IF(AE12="",""," &lt;- "&amp;IFERROR(INDEX($B:$B,MATCH(AE12,$A:$A,0)),AE12)&amp;IF(AF12="",""," &lt;- "&amp;IFERROR(INDEX($B:$B,MATCH(AF12,$A:$A,0)),AF12)&amp;IF(AG12="",""," &lt;- "&amp;IFERROR(INDEX($B:$B,MATCH(AG12,$A:$A,0)),AG12)))))&amp;IF(ISNUMBER(FIND(",",G12))," (+ other parents)",""))</f>
        <v/>
      </c>
      <c r="Q12" s="21" t="str">
        <f aca="false">IF(A12="","",IF(AD12="",E12&amp;"",IF(AE12="",IF(IFERROR(INDEX($E:$E,MATCH(AD12,$A:$A,0)),"")="","",INDEX($E:$E,MATCH(AD12,$A:$A,0))),IF(AF12="",IF(IFERROR(INDEX($E:$E,MATCH(AE12,$A:$A,0)),"")="","",INDEX($E:$E,MATCH(AE12,$A:$A,0))),IF(AG12="",IF(IFERROR(INDEX($E:$E,MATCH(AF12,$A:$A,0)),"")="","",INDEX($E:$E,MATCH(AF12,$A:$A,0))),IF(IFERROR(INDEX($E:$E,MATCH(AG12,$A:$A,0)),"")="","",INDEX($E:$E,MATCH(AG12,$A:$A,0))))))))</f>
        <v/>
      </c>
      <c r="R12" s="21" t="str">
        <f aca="false">IF(A12="","",COUNTIF(Fields!$D:$D,A12))</f>
        <v/>
      </c>
      <c r="S12" s="21" t="str">
        <f aca="false">IF(A12="","",SUMIF(Fields!$D:$D,A12,Fields!$Q:$Q))</f>
        <v/>
      </c>
      <c r="T12" s="21" t="str">
        <f aca="false">IF(A12="","",COUNTIF('Product inputs'!$D:$D,A12))</f>
        <v/>
      </c>
      <c r="U12" s="20"/>
      <c r="V12" s="20"/>
      <c r="W12" s="20"/>
      <c r="X12" s="20"/>
      <c r="Y12" s="20"/>
      <c r="Z12" s="20"/>
      <c r="AA12" s="20"/>
      <c r="AB12" s="20"/>
      <c r="AC12" s="20"/>
      <c r="AD12" s="18" t="str">
        <f aca="false">IF(A12="","",IF(IFERROR(INDEX($G:$G,MATCH(A12,$A:$A,0)),"")="","",TRIM(IF(ISNUMBER(FIND(",",IFERROR(INDEX($G:$G,MATCH(A12,$A:$A,0)),""))),LEFT(IFERROR(INDEX($G:$G,MATCH(A12,$A:$A,0)),""),FIND(",",IFERROR(INDEX($G:$G,MATCH(A12,$A:$A,0)),""))-1),IFERROR(INDEX($G:$G,MATCH(A12,$A:$A,0)),"")))))</f>
        <v/>
      </c>
      <c r="AE12" s="18" t="str">
        <f aca="false">IF(AD12="","",IF(IFERROR(INDEX($G:$G,MATCH(AD12,$A:$A,0)),"")="","",TRIM(IF(ISNUMBER(FIND(",",IFERROR(INDEX($G:$G,MATCH(AD12,$A:$A,0)),""))),LEFT(IFERROR(INDEX($G:$G,MATCH(AD12,$A:$A,0)),""),FIND(",",IFERROR(INDEX($G:$G,MATCH(AD12,$A:$A,0)),""))-1),IFERROR(INDEX($G:$G,MATCH(AD12,$A:$A,0)),"")))))</f>
        <v/>
      </c>
      <c r="AF12" s="18" t="str">
        <f aca="false">IF(AE12="","",IF(IFERROR(INDEX($G:$G,MATCH(AE12,$A:$A,0)),"")="","",TRIM(IF(ISNUMBER(FIND(",",IFERROR(INDEX($G:$G,MATCH(AE12,$A:$A,0)),""))),LEFT(IFERROR(INDEX($G:$G,MATCH(AE12,$A:$A,0)),""),FIND(",",IFERROR(INDEX($G:$G,MATCH(AE12,$A:$A,0)),""))-1),IFERROR(INDEX($G:$G,MATCH(AE12,$A:$A,0)),"")))))</f>
        <v/>
      </c>
      <c r="AG12" s="18" t="str">
        <f aca="false">IF(AF12="","",IF(IFERROR(INDEX($G:$G,MATCH(AF12,$A:$A,0)),"")="","",TRIM(IF(ISNUMBER(FIND(",",IFERROR(INDEX($G:$G,MATCH(AF12,$A:$A,0)),""))),LEFT(IFERROR(INDEX($G:$G,MATCH(AF12,$A:$A,0)),""),FIND(",",IFERROR(INDEX($G:$G,MATCH(AF12,$A:$A,0)),""))-1),IFERROR(INDEX($G:$G,MATCH(AF12,$A:$A,0)),"")))))</f>
        <v/>
      </c>
    </row>
    <row r="13" customFormat="false" ht="15" hidden="false" customHeight="false" outlineLevel="0" collapsed="false">
      <c r="A13" s="18"/>
      <c r="B13" s="19"/>
      <c r="C13" s="20"/>
      <c r="D13" s="20"/>
      <c r="E13" s="20"/>
      <c r="F13" s="20"/>
      <c r="G13" s="18"/>
      <c r="H13" s="20"/>
      <c r="I13" s="18"/>
      <c r="J13" s="20"/>
      <c r="K13" s="20"/>
      <c r="L13" s="20"/>
      <c r="M13" s="20"/>
      <c r="N13" s="20"/>
      <c r="O13" s="21" t="str">
        <f aca="false">IF(A13="","",IF(AD13="",0,IF(AE13="",1,IF(AF13="",2,IF(AG13="",3,"4+")))))</f>
        <v/>
      </c>
      <c r="P13" s="21" t="str">
        <f aca="false">IF(A13="","",B13&amp;IF(AD13="",""," &lt;- "&amp;IFERROR(INDEX($B:$B,MATCH(AD13,$A:$A,0)),AD13)&amp;IF(AE13="",""," &lt;- "&amp;IFERROR(INDEX($B:$B,MATCH(AE13,$A:$A,0)),AE13)&amp;IF(AF13="",""," &lt;- "&amp;IFERROR(INDEX($B:$B,MATCH(AF13,$A:$A,0)),AF13)&amp;IF(AG13="",""," &lt;- "&amp;IFERROR(INDEX($B:$B,MATCH(AG13,$A:$A,0)),AG13)))))&amp;IF(ISNUMBER(FIND(",",G13))," (+ other parents)",""))</f>
        <v/>
      </c>
      <c r="Q13" s="21" t="str">
        <f aca="false">IF(A13="","",IF(AD13="",E13&amp;"",IF(AE13="",IF(IFERROR(INDEX($E:$E,MATCH(AD13,$A:$A,0)),"")="","",INDEX($E:$E,MATCH(AD13,$A:$A,0))),IF(AF13="",IF(IFERROR(INDEX($E:$E,MATCH(AE13,$A:$A,0)),"")="","",INDEX($E:$E,MATCH(AE13,$A:$A,0))),IF(AG13="",IF(IFERROR(INDEX($E:$E,MATCH(AF13,$A:$A,0)),"")="","",INDEX($E:$E,MATCH(AF13,$A:$A,0))),IF(IFERROR(INDEX($E:$E,MATCH(AG13,$A:$A,0)),"")="","",INDEX($E:$E,MATCH(AG13,$A:$A,0))))))))</f>
        <v/>
      </c>
      <c r="R13" s="21" t="str">
        <f aca="false">IF(A13="","",COUNTIF(Fields!$D:$D,A13))</f>
        <v/>
      </c>
      <c r="S13" s="21" t="str">
        <f aca="false">IF(A13="","",SUMIF(Fields!$D:$D,A13,Fields!$Q:$Q))</f>
        <v/>
      </c>
      <c r="T13" s="21" t="str">
        <f aca="false">IF(A13="","",COUNTIF('Product inputs'!$D:$D,A13))</f>
        <v/>
      </c>
      <c r="U13" s="20"/>
      <c r="V13" s="20"/>
      <c r="W13" s="20"/>
      <c r="X13" s="20"/>
      <c r="Y13" s="20"/>
      <c r="Z13" s="20"/>
      <c r="AA13" s="20"/>
      <c r="AB13" s="20"/>
      <c r="AC13" s="20"/>
      <c r="AD13" s="18" t="str">
        <f aca="false">IF(A13="","",IF(IFERROR(INDEX($G:$G,MATCH(A13,$A:$A,0)),"")="","",TRIM(IF(ISNUMBER(FIND(",",IFERROR(INDEX($G:$G,MATCH(A13,$A:$A,0)),""))),LEFT(IFERROR(INDEX($G:$G,MATCH(A13,$A:$A,0)),""),FIND(",",IFERROR(INDEX($G:$G,MATCH(A13,$A:$A,0)),""))-1),IFERROR(INDEX($G:$G,MATCH(A13,$A:$A,0)),"")))))</f>
        <v/>
      </c>
      <c r="AE13" s="18" t="str">
        <f aca="false">IF(AD13="","",IF(IFERROR(INDEX($G:$G,MATCH(AD13,$A:$A,0)),"")="","",TRIM(IF(ISNUMBER(FIND(",",IFERROR(INDEX($G:$G,MATCH(AD13,$A:$A,0)),""))),LEFT(IFERROR(INDEX($G:$G,MATCH(AD13,$A:$A,0)),""),FIND(",",IFERROR(INDEX($G:$G,MATCH(AD13,$A:$A,0)),""))-1),IFERROR(INDEX($G:$G,MATCH(AD13,$A:$A,0)),"")))))</f>
        <v/>
      </c>
      <c r="AF13" s="18" t="str">
        <f aca="false">IF(AE13="","",IF(IFERROR(INDEX($G:$G,MATCH(AE13,$A:$A,0)),"")="","",TRIM(IF(ISNUMBER(FIND(",",IFERROR(INDEX($G:$G,MATCH(AE13,$A:$A,0)),""))),LEFT(IFERROR(INDEX($G:$G,MATCH(AE13,$A:$A,0)),""),FIND(",",IFERROR(INDEX($G:$G,MATCH(AE13,$A:$A,0)),""))-1),IFERROR(INDEX($G:$G,MATCH(AE13,$A:$A,0)),"")))))</f>
        <v/>
      </c>
      <c r="AG13" s="18" t="str">
        <f aca="false">IF(AF13="","",IF(IFERROR(INDEX($G:$G,MATCH(AF13,$A:$A,0)),"")="","",TRIM(IF(ISNUMBER(FIND(",",IFERROR(INDEX($G:$G,MATCH(AF13,$A:$A,0)),""))),LEFT(IFERROR(INDEX($G:$G,MATCH(AF13,$A:$A,0)),""),FIND(",",IFERROR(INDEX($G:$G,MATCH(AF13,$A:$A,0)),""))-1),IFERROR(INDEX($G:$G,MATCH(AF13,$A:$A,0)),"")))))</f>
        <v/>
      </c>
    </row>
    <row r="14" customFormat="false" ht="15" hidden="false" customHeight="false" outlineLevel="0" collapsed="false">
      <c r="A14" s="18"/>
      <c r="B14" s="19"/>
      <c r="C14" s="20"/>
      <c r="D14" s="20"/>
      <c r="E14" s="20"/>
      <c r="F14" s="20"/>
      <c r="G14" s="18"/>
      <c r="H14" s="20"/>
      <c r="I14" s="18"/>
      <c r="J14" s="20"/>
      <c r="K14" s="20"/>
      <c r="L14" s="20"/>
      <c r="M14" s="20"/>
      <c r="N14" s="20"/>
      <c r="O14" s="21" t="str">
        <f aca="false">IF(A14="","",IF(AD14="",0,IF(AE14="",1,IF(AF14="",2,IF(AG14="",3,"4+")))))</f>
        <v/>
      </c>
      <c r="P14" s="21" t="str">
        <f aca="false">IF(A14="","",B14&amp;IF(AD14="",""," &lt;- "&amp;IFERROR(INDEX($B:$B,MATCH(AD14,$A:$A,0)),AD14)&amp;IF(AE14="",""," &lt;- "&amp;IFERROR(INDEX($B:$B,MATCH(AE14,$A:$A,0)),AE14)&amp;IF(AF14="",""," &lt;- "&amp;IFERROR(INDEX($B:$B,MATCH(AF14,$A:$A,0)),AF14)&amp;IF(AG14="",""," &lt;- "&amp;IFERROR(INDEX($B:$B,MATCH(AG14,$A:$A,0)),AG14)))))&amp;IF(ISNUMBER(FIND(",",G14))," (+ other parents)",""))</f>
        <v/>
      </c>
      <c r="Q14" s="21" t="str">
        <f aca="false">IF(A14="","",IF(AD14="",E14&amp;"",IF(AE14="",IF(IFERROR(INDEX($E:$E,MATCH(AD14,$A:$A,0)),"")="","",INDEX($E:$E,MATCH(AD14,$A:$A,0))),IF(AF14="",IF(IFERROR(INDEX($E:$E,MATCH(AE14,$A:$A,0)),"")="","",INDEX($E:$E,MATCH(AE14,$A:$A,0))),IF(AG14="",IF(IFERROR(INDEX($E:$E,MATCH(AF14,$A:$A,0)),"")="","",INDEX($E:$E,MATCH(AF14,$A:$A,0))),IF(IFERROR(INDEX($E:$E,MATCH(AG14,$A:$A,0)),"")="","",INDEX($E:$E,MATCH(AG14,$A:$A,0))))))))</f>
        <v/>
      </c>
      <c r="R14" s="21" t="str">
        <f aca="false">IF(A14="","",COUNTIF(Fields!$D:$D,A14))</f>
        <v/>
      </c>
      <c r="S14" s="21" t="str">
        <f aca="false">IF(A14="","",SUMIF(Fields!$D:$D,A14,Fields!$Q:$Q))</f>
        <v/>
      </c>
      <c r="T14" s="21" t="str">
        <f aca="false">IF(A14="","",COUNTIF('Product inputs'!$D:$D,A14))</f>
        <v/>
      </c>
      <c r="U14" s="20"/>
      <c r="V14" s="20"/>
      <c r="W14" s="20"/>
      <c r="X14" s="20"/>
      <c r="Y14" s="20"/>
      <c r="Z14" s="20"/>
      <c r="AA14" s="20"/>
      <c r="AB14" s="20"/>
      <c r="AC14" s="20"/>
      <c r="AD14" s="18" t="str">
        <f aca="false">IF(A14="","",IF(IFERROR(INDEX($G:$G,MATCH(A14,$A:$A,0)),"")="","",TRIM(IF(ISNUMBER(FIND(",",IFERROR(INDEX($G:$G,MATCH(A14,$A:$A,0)),""))),LEFT(IFERROR(INDEX($G:$G,MATCH(A14,$A:$A,0)),""),FIND(",",IFERROR(INDEX($G:$G,MATCH(A14,$A:$A,0)),""))-1),IFERROR(INDEX($G:$G,MATCH(A14,$A:$A,0)),"")))))</f>
        <v/>
      </c>
      <c r="AE14" s="18" t="str">
        <f aca="false">IF(AD14="","",IF(IFERROR(INDEX($G:$G,MATCH(AD14,$A:$A,0)),"")="","",TRIM(IF(ISNUMBER(FIND(",",IFERROR(INDEX($G:$G,MATCH(AD14,$A:$A,0)),""))),LEFT(IFERROR(INDEX($G:$G,MATCH(AD14,$A:$A,0)),""),FIND(",",IFERROR(INDEX($G:$G,MATCH(AD14,$A:$A,0)),""))-1),IFERROR(INDEX($G:$G,MATCH(AD14,$A:$A,0)),"")))))</f>
        <v/>
      </c>
      <c r="AF14" s="18" t="str">
        <f aca="false">IF(AE14="","",IF(IFERROR(INDEX($G:$G,MATCH(AE14,$A:$A,0)),"")="","",TRIM(IF(ISNUMBER(FIND(",",IFERROR(INDEX($G:$G,MATCH(AE14,$A:$A,0)),""))),LEFT(IFERROR(INDEX($G:$G,MATCH(AE14,$A:$A,0)),""),FIND(",",IFERROR(INDEX($G:$G,MATCH(AE14,$A:$A,0)),""))-1),IFERROR(INDEX($G:$G,MATCH(AE14,$A:$A,0)),"")))))</f>
        <v/>
      </c>
      <c r="AG14" s="18" t="str">
        <f aca="false">IF(AF14="","",IF(IFERROR(INDEX($G:$G,MATCH(AF14,$A:$A,0)),"")="","",TRIM(IF(ISNUMBER(FIND(",",IFERROR(INDEX($G:$G,MATCH(AF14,$A:$A,0)),""))),LEFT(IFERROR(INDEX($G:$G,MATCH(AF14,$A:$A,0)),""),FIND(",",IFERROR(INDEX($G:$G,MATCH(AF14,$A:$A,0)),""))-1),IFERROR(INDEX($G:$G,MATCH(AF14,$A:$A,0)),"")))))</f>
        <v/>
      </c>
    </row>
    <row r="15" customFormat="false" ht="15" hidden="false" customHeight="false" outlineLevel="0" collapsed="false">
      <c r="A15" s="18"/>
      <c r="B15" s="19"/>
      <c r="C15" s="20"/>
      <c r="D15" s="20"/>
      <c r="E15" s="20"/>
      <c r="F15" s="20"/>
      <c r="G15" s="18"/>
      <c r="H15" s="20"/>
      <c r="I15" s="18"/>
      <c r="J15" s="20"/>
      <c r="K15" s="20"/>
      <c r="L15" s="20"/>
      <c r="M15" s="20"/>
      <c r="N15" s="20"/>
      <c r="O15" s="21" t="str">
        <f aca="false">IF(A15="","",IF(AD15="",0,IF(AE15="",1,IF(AF15="",2,IF(AG15="",3,"4+")))))</f>
        <v/>
      </c>
      <c r="P15" s="21" t="str">
        <f aca="false">IF(A15="","",B15&amp;IF(AD15="",""," &lt;- "&amp;IFERROR(INDEX($B:$B,MATCH(AD15,$A:$A,0)),AD15)&amp;IF(AE15="",""," &lt;- "&amp;IFERROR(INDEX($B:$B,MATCH(AE15,$A:$A,0)),AE15)&amp;IF(AF15="",""," &lt;- "&amp;IFERROR(INDEX($B:$B,MATCH(AF15,$A:$A,0)),AF15)&amp;IF(AG15="",""," &lt;- "&amp;IFERROR(INDEX($B:$B,MATCH(AG15,$A:$A,0)),AG15)))))&amp;IF(ISNUMBER(FIND(",",G15))," (+ other parents)",""))</f>
        <v/>
      </c>
      <c r="Q15" s="21" t="str">
        <f aca="false">IF(A15="","",IF(AD15="",E15&amp;"",IF(AE15="",IF(IFERROR(INDEX($E:$E,MATCH(AD15,$A:$A,0)),"")="","",INDEX($E:$E,MATCH(AD15,$A:$A,0))),IF(AF15="",IF(IFERROR(INDEX($E:$E,MATCH(AE15,$A:$A,0)),"")="","",INDEX($E:$E,MATCH(AE15,$A:$A,0))),IF(AG15="",IF(IFERROR(INDEX($E:$E,MATCH(AF15,$A:$A,0)),"")="","",INDEX($E:$E,MATCH(AF15,$A:$A,0))),IF(IFERROR(INDEX($E:$E,MATCH(AG15,$A:$A,0)),"")="","",INDEX($E:$E,MATCH(AG15,$A:$A,0))))))))</f>
        <v/>
      </c>
      <c r="R15" s="21" t="str">
        <f aca="false">IF(A15="","",COUNTIF(Fields!$D:$D,A15))</f>
        <v/>
      </c>
      <c r="S15" s="21" t="str">
        <f aca="false">IF(A15="","",SUMIF(Fields!$D:$D,A15,Fields!$Q:$Q))</f>
        <v/>
      </c>
      <c r="T15" s="21" t="str">
        <f aca="false">IF(A15="","",COUNTIF('Product inputs'!$D:$D,A15))</f>
        <v/>
      </c>
      <c r="U15" s="20"/>
      <c r="V15" s="20"/>
      <c r="W15" s="20"/>
      <c r="X15" s="20"/>
      <c r="Y15" s="20"/>
      <c r="Z15" s="20"/>
      <c r="AA15" s="20"/>
      <c r="AB15" s="20"/>
      <c r="AC15" s="20"/>
      <c r="AD15" s="18" t="str">
        <f aca="false">IF(A15="","",IF(IFERROR(INDEX($G:$G,MATCH(A15,$A:$A,0)),"")="","",TRIM(IF(ISNUMBER(FIND(",",IFERROR(INDEX($G:$G,MATCH(A15,$A:$A,0)),""))),LEFT(IFERROR(INDEX($G:$G,MATCH(A15,$A:$A,0)),""),FIND(",",IFERROR(INDEX($G:$G,MATCH(A15,$A:$A,0)),""))-1),IFERROR(INDEX($G:$G,MATCH(A15,$A:$A,0)),"")))))</f>
        <v/>
      </c>
      <c r="AE15" s="18" t="str">
        <f aca="false">IF(AD15="","",IF(IFERROR(INDEX($G:$G,MATCH(AD15,$A:$A,0)),"")="","",TRIM(IF(ISNUMBER(FIND(",",IFERROR(INDEX($G:$G,MATCH(AD15,$A:$A,0)),""))),LEFT(IFERROR(INDEX($G:$G,MATCH(AD15,$A:$A,0)),""),FIND(",",IFERROR(INDEX($G:$G,MATCH(AD15,$A:$A,0)),""))-1),IFERROR(INDEX($G:$G,MATCH(AD15,$A:$A,0)),"")))))</f>
        <v/>
      </c>
      <c r="AF15" s="18" t="str">
        <f aca="false">IF(AE15="","",IF(IFERROR(INDEX($G:$G,MATCH(AE15,$A:$A,0)),"")="","",TRIM(IF(ISNUMBER(FIND(",",IFERROR(INDEX($G:$G,MATCH(AE15,$A:$A,0)),""))),LEFT(IFERROR(INDEX($G:$G,MATCH(AE15,$A:$A,0)),""),FIND(",",IFERROR(INDEX($G:$G,MATCH(AE15,$A:$A,0)),""))-1),IFERROR(INDEX($G:$G,MATCH(AE15,$A:$A,0)),"")))))</f>
        <v/>
      </c>
      <c r="AG15" s="18" t="str">
        <f aca="false">IF(AF15="","",IF(IFERROR(INDEX($G:$G,MATCH(AF15,$A:$A,0)),"")="","",TRIM(IF(ISNUMBER(FIND(",",IFERROR(INDEX($G:$G,MATCH(AF15,$A:$A,0)),""))),LEFT(IFERROR(INDEX($G:$G,MATCH(AF15,$A:$A,0)),""),FIND(",",IFERROR(INDEX($G:$G,MATCH(AF15,$A:$A,0)),""))-1),IFERROR(INDEX($G:$G,MATCH(AF15,$A:$A,0)),"")))))</f>
        <v/>
      </c>
    </row>
    <row r="16" customFormat="false" ht="15" hidden="false" customHeight="false" outlineLevel="0" collapsed="false">
      <c r="A16" s="18"/>
      <c r="B16" s="19"/>
      <c r="C16" s="20"/>
      <c r="D16" s="20"/>
      <c r="E16" s="20"/>
      <c r="F16" s="20"/>
      <c r="G16" s="18"/>
      <c r="H16" s="20"/>
      <c r="I16" s="18"/>
      <c r="J16" s="20"/>
      <c r="K16" s="20"/>
      <c r="L16" s="20"/>
      <c r="M16" s="20"/>
      <c r="N16" s="20"/>
      <c r="O16" s="21" t="str">
        <f aca="false">IF(A16="","",IF(AD16="",0,IF(AE16="",1,IF(AF16="",2,IF(AG16="",3,"4+")))))</f>
        <v/>
      </c>
      <c r="P16" s="21" t="str">
        <f aca="false">IF(A16="","",B16&amp;IF(AD16="",""," &lt;- "&amp;IFERROR(INDEX($B:$B,MATCH(AD16,$A:$A,0)),AD16)&amp;IF(AE16="",""," &lt;- "&amp;IFERROR(INDEX($B:$B,MATCH(AE16,$A:$A,0)),AE16)&amp;IF(AF16="",""," &lt;- "&amp;IFERROR(INDEX($B:$B,MATCH(AF16,$A:$A,0)),AF16)&amp;IF(AG16="",""," &lt;- "&amp;IFERROR(INDEX($B:$B,MATCH(AG16,$A:$A,0)),AG16)))))&amp;IF(ISNUMBER(FIND(",",G16))," (+ other parents)",""))</f>
        <v/>
      </c>
      <c r="Q16" s="21" t="str">
        <f aca="false">IF(A16="","",IF(AD16="",E16&amp;"",IF(AE16="",IF(IFERROR(INDEX($E:$E,MATCH(AD16,$A:$A,0)),"")="","",INDEX($E:$E,MATCH(AD16,$A:$A,0))),IF(AF16="",IF(IFERROR(INDEX($E:$E,MATCH(AE16,$A:$A,0)),"")="","",INDEX($E:$E,MATCH(AE16,$A:$A,0))),IF(AG16="",IF(IFERROR(INDEX($E:$E,MATCH(AF16,$A:$A,0)),"")="","",INDEX($E:$E,MATCH(AF16,$A:$A,0))),IF(IFERROR(INDEX($E:$E,MATCH(AG16,$A:$A,0)),"")="","",INDEX($E:$E,MATCH(AG16,$A:$A,0))))))))</f>
        <v/>
      </c>
      <c r="R16" s="21" t="str">
        <f aca="false">IF(A16="","",COUNTIF(Fields!$D:$D,A16))</f>
        <v/>
      </c>
      <c r="S16" s="21" t="str">
        <f aca="false">IF(A16="","",SUMIF(Fields!$D:$D,A16,Fields!$Q:$Q))</f>
        <v/>
      </c>
      <c r="T16" s="21" t="str">
        <f aca="false">IF(A16="","",COUNTIF('Product inputs'!$D:$D,A16))</f>
        <v/>
      </c>
      <c r="U16" s="20"/>
      <c r="V16" s="20"/>
      <c r="W16" s="20"/>
      <c r="X16" s="20"/>
      <c r="Y16" s="20"/>
      <c r="Z16" s="20"/>
      <c r="AA16" s="20"/>
      <c r="AB16" s="20"/>
      <c r="AC16" s="20"/>
      <c r="AD16" s="18" t="str">
        <f aca="false">IF(A16="","",IF(IFERROR(INDEX($G:$G,MATCH(A16,$A:$A,0)),"")="","",TRIM(IF(ISNUMBER(FIND(",",IFERROR(INDEX($G:$G,MATCH(A16,$A:$A,0)),""))),LEFT(IFERROR(INDEX($G:$G,MATCH(A16,$A:$A,0)),""),FIND(",",IFERROR(INDEX($G:$G,MATCH(A16,$A:$A,0)),""))-1),IFERROR(INDEX($G:$G,MATCH(A16,$A:$A,0)),"")))))</f>
        <v/>
      </c>
      <c r="AE16" s="18" t="str">
        <f aca="false">IF(AD16="","",IF(IFERROR(INDEX($G:$G,MATCH(AD16,$A:$A,0)),"")="","",TRIM(IF(ISNUMBER(FIND(",",IFERROR(INDEX($G:$G,MATCH(AD16,$A:$A,0)),""))),LEFT(IFERROR(INDEX($G:$G,MATCH(AD16,$A:$A,0)),""),FIND(",",IFERROR(INDEX($G:$G,MATCH(AD16,$A:$A,0)),""))-1),IFERROR(INDEX($G:$G,MATCH(AD16,$A:$A,0)),"")))))</f>
        <v/>
      </c>
      <c r="AF16" s="18" t="str">
        <f aca="false">IF(AE16="","",IF(IFERROR(INDEX($G:$G,MATCH(AE16,$A:$A,0)),"")="","",TRIM(IF(ISNUMBER(FIND(",",IFERROR(INDEX($G:$G,MATCH(AE16,$A:$A,0)),""))),LEFT(IFERROR(INDEX($G:$G,MATCH(AE16,$A:$A,0)),""),FIND(",",IFERROR(INDEX($G:$G,MATCH(AE16,$A:$A,0)),""))-1),IFERROR(INDEX($G:$G,MATCH(AE16,$A:$A,0)),"")))))</f>
        <v/>
      </c>
      <c r="AG16" s="18" t="str">
        <f aca="false">IF(AF16="","",IF(IFERROR(INDEX($G:$G,MATCH(AF16,$A:$A,0)),"")="","",TRIM(IF(ISNUMBER(FIND(",",IFERROR(INDEX($G:$G,MATCH(AF16,$A:$A,0)),""))),LEFT(IFERROR(INDEX($G:$G,MATCH(AF16,$A:$A,0)),""),FIND(",",IFERROR(INDEX($G:$G,MATCH(AF16,$A:$A,0)),""))-1),IFERROR(INDEX($G:$G,MATCH(AF16,$A:$A,0)),"")))))</f>
        <v/>
      </c>
    </row>
    <row r="17" customFormat="false" ht="15" hidden="false" customHeight="false" outlineLevel="0" collapsed="false">
      <c r="A17" s="18"/>
      <c r="B17" s="19"/>
      <c r="C17" s="20"/>
      <c r="D17" s="20"/>
      <c r="E17" s="20"/>
      <c r="F17" s="20"/>
      <c r="G17" s="18"/>
      <c r="H17" s="20"/>
      <c r="I17" s="18"/>
      <c r="J17" s="20"/>
      <c r="K17" s="20"/>
      <c r="L17" s="20"/>
      <c r="M17" s="20"/>
      <c r="N17" s="20"/>
      <c r="O17" s="21" t="str">
        <f aca="false">IF(A17="","",IF(AD17="",0,IF(AE17="",1,IF(AF17="",2,IF(AG17="",3,"4+")))))</f>
        <v/>
      </c>
      <c r="P17" s="21" t="str">
        <f aca="false">IF(A17="","",B17&amp;IF(AD17="",""," &lt;- "&amp;IFERROR(INDEX($B:$B,MATCH(AD17,$A:$A,0)),AD17)&amp;IF(AE17="",""," &lt;- "&amp;IFERROR(INDEX($B:$B,MATCH(AE17,$A:$A,0)),AE17)&amp;IF(AF17="",""," &lt;- "&amp;IFERROR(INDEX($B:$B,MATCH(AF17,$A:$A,0)),AF17)&amp;IF(AG17="",""," &lt;- "&amp;IFERROR(INDEX($B:$B,MATCH(AG17,$A:$A,0)),AG17)))))&amp;IF(ISNUMBER(FIND(",",G17))," (+ other parents)",""))</f>
        <v/>
      </c>
      <c r="Q17" s="21" t="str">
        <f aca="false">IF(A17="","",IF(AD17="",E17&amp;"",IF(AE17="",IF(IFERROR(INDEX($E:$E,MATCH(AD17,$A:$A,0)),"")="","",INDEX($E:$E,MATCH(AD17,$A:$A,0))),IF(AF17="",IF(IFERROR(INDEX($E:$E,MATCH(AE17,$A:$A,0)),"")="","",INDEX($E:$E,MATCH(AE17,$A:$A,0))),IF(AG17="",IF(IFERROR(INDEX($E:$E,MATCH(AF17,$A:$A,0)),"")="","",INDEX($E:$E,MATCH(AF17,$A:$A,0))),IF(IFERROR(INDEX($E:$E,MATCH(AG17,$A:$A,0)),"")="","",INDEX($E:$E,MATCH(AG17,$A:$A,0))))))))</f>
        <v/>
      </c>
      <c r="R17" s="21" t="str">
        <f aca="false">IF(A17="","",COUNTIF(Fields!$D:$D,A17))</f>
        <v/>
      </c>
      <c r="S17" s="21" t="str">
        <f aca="false">IF(A17="","",SUMIF(Fields!$D:$D,A17,Fields!$Q:$Q))</f>
        <v/>
      </c>
      <c r="T17" s="21" t="str">
        <f aca="false">IF(A17="","",COUNTIF('Product inputs'!$D:$D,A17))</f>
        <v/>
      </c>
      <c r="U17" s="20"/>
      <c r="V17" s="20"/>
      <c r="W17" s="20"/>
      <c r="X17" s="20"/>
      <c r="Y17" s="20"/>
      <c r="Z17" s="20"/>
      <c r="AA17" s="20"/>
      <c r="AB17" s="20"/>
      <c r="AC17" s="20"/>
      <c r="AD17" s="18" t="str">
        <f aca="false">IF(A17="","",IF(IFERROR(INDEX($G:$G,MATCH(A17,$A:$A,0)),"")="","",TRIM(IF(ISNUMBER(FIND(",",IFERROR(INDEX($G:$G,MATCH(A17,$A:$A,0)),""))),LEFT(IFERROR(INDEX($G:$G,MATCH(A17,$A:$A,0)),""),FIND(",",IFERROR(INDEX($G:$G,MATCH(A17,$A:$A,0)),""))-1),IFERROR(INDEX($G:$G,MATCH(A17,$A:$A,0)),"")))))</f>
        <v/>
      </c>
      <c r="AE17" s="18" t="str">
        <f aca="false">IF(AD17="","",IF(IFERROR(INDEX($G:$G,MATCH(AD17,$A:$A,0)),"")="","",TRIM(IF(ISNUMBER(FIND(",",IFERROR(INDEX($G:$G,MATCH(AD17,$A:$A,0)),""))),LEFT(IFERROR(INDEX($G:$G,MATCH(AD17,$A:$A,0)),""),FIND(",",IFERROR(INDEX($G:$G,MATCH(AD17,$A:$A,0)),""))-1),IFERROR(INDEX($G:$G,MATCH(AD17,$A:$A,0)),"")))))</f>
        <v/>
      </c>
      <c r="AF17" s="18" t="str">
        <f aca="false">IF(AE17="","",IF(IFERROR(INDEX($G:$G,MATCH(AE17,$A:$A,0)),"")="","",TRIM(IF(ISNUMBER(FIND(",",IFERROR(INDEX($G:$G,MATCH(AE17,$A:$A,0)),""))),LEFT(IFERROR(INDEX($G:$G,MATCH(AE17,$A:$A,0)),""),FIND(",",IFERROR(INDEX($G:$G,MATCH(AE17,$A:$A,0)),""))-1),IFERROR(INDEX($G:$G,MATCH(AE17,$A:$A,0)),"")))))</f>
        <v/>
      </c>
      <c r="AG17" s="18" t="str">
        <f aca="false">IF(AF17="","",IF(IFERROR(INDEX($G:$G,MATCH(AF17,$A:$A,0)),"")="","",TRIM(IF(ISNUMBER(FIND(",",IFERROR(INDEX($G:$G,MATCH(AF17,$A:$A,0)),""))),LEFT(IFERROR(INDEX($G:$G,MATCH(AF17,$A:$A,0)),""),FIND(",",IFERROR(INDEX($G:$G,MATCH(AF17,$A:$A,0)),""))-1),IFERROR(INDEX($G:$G,MATCH(AF17,$A:$A,0)),"")))))</f>
        <v/>
      </c>
    </row>
    <row r="18" customFormat="false" ht="15" hidden="false" customHeight="false" outlineLevel="0" collapsed="false">
      <c r="A18" s="18"/>
      <c r="B18" s="19"/>
      <c r="C18" s="20"/>
      <c r="D18" s="20"/>
      <c r="E18" s="20"/>
      <c r="F18" s="20"/>
      <c r="G18" s="18"/>
      <c r="H18" s="20"/>
      <c r="I18" s="18"/>
      <c r="J18" s="20"/>
      <c r="K18" s="20"/>
      <c r="L18" s="20"/>
      <c r="M18" s="20"/>
      <c r="N18" s="20"/>
      <c r="O18" s="21" t="str">
        <f aca="false">IF(A18="","",IF(AD18="",0,IF(AE18="",1,IF(AF18="",2,IF(AG18="",3,"4+")))))</f>
        <v/>
      </c>
      <c r="P18" s="21" t="str">
        <f aca="false">IF(A18="","",B18&amp;IF(AD18="",""," &lt;- "&amp;IFERROR(INDEX($B:$B,MATCH(AD18,$A:$A,0)),AD18)&amp;IF(AE18="",""," &lt;- "&amp;IFERROR(INDEX($B:$B,MATCH(AE18,$A:$A,0)),AE18)&amp;IF(AF18="",""," &lt;- "&amp;IFERROR(INDEX($B:$B,MATCH(AF18,$A:$A,0)),AF18)&amp;IF(AG18="",""," &lt;- "&amp;IFERROR(INDEX($B:$B,MATCH(AG18,$A:$A,0)),AG18)))))&amp;IF(ISNUMBER(FIND(",",G18))," (+ other parents)",""))</f>
        <v/>
      </c>
      <c r="Q18" s="21" t="str">
        <f aca="false">IF(A18="","",IF(AD18="",E18&amp;"",IF(AE18="",IF(IFERROR(INDEX($E:$E,MATCH(AD18,$A:$A,0)),"")="","",INDEX($E:$E,MATCH(AD18,$A:$A,0))),IF(AF18="",IF(IFERROR(INDEX($E:$E,MATCH(AE18,$A:$A,0)),"")="","",INDEX($E:$E,MATCH(AE18,$A:$A,0))),IF(AG18="",IF(IFERROR(INDEX($E:$E,MATCH(AF18,$A:$A,0)),"")="","",INDEX($E:$E,MATCH(AF18,$A:$A,0))),IF(IFERROR(INDEX($E:$E,MATCH(AG18,$A:$A,0)),"")="","",INDEX($E:$E,MATCH(AG18,$A:$A,0))))))))</f>
        <v/>
      </c>
      <c r="R18" s="21" t="str">
        <f aca="false">IF(A18="","",COUNTIF(Fields!$D:$D,A18))</f>
        <v/>
      </c>
      <c r="S18" s="21" t="str">
        <f aca="false">IF(A18="","",SUMIF(Fields!$D:$D,A18,Fields!$Q:$Q))</f>
        <v/>
      </c>
      <c r="T18" s="21" t="str">
        <f aca="false">IF(A18="","",COUNTIF('Product inputs'!$D:$D,A18))</f>
        <v/>
      </c>
      <c r="U18" s="20"/>
      <c r="V18" s="20"/>
      <c r="W18" s="20"/>
      <c r="X18" s="20"/>
      <c r="Y18" s="20"/>
      <c r="Z18" s="20"/>
      <c r="AA18" s="20"/>
      <c r="AB18" s="20"/>
      <c r="AC18" s="20"/>
      <c r="AD18" s="18" t="str">
        <f aca="false">IF(A18="","",IF(IFERROR(INDEX($G:$G,MATCH(A18,$A:$A,0)),"")="","",TRIM(IF(ISNUMBER(FIND(",",IFERROR(INDEX($G:$G,MATCH(A18,$A:$A,0)),""))),LEFT(IFERROR(INDEX($G:$G,MATCH(A18,$A:$A,0)),""),FIND(",",IFERROR(INDEX($G:$G,MATCH(A18,$A:$A,0)),""))-1),IFERROR(INDEX($G:$G,MATCH(A18,$A:$A,0)),"")))))</f>
        <v/>
      </c>
      <c r="AE18" s="18" t="str">
        <f aca="false">IF(AD18="","",IF(IFERROR(INDEX($G:$G,MATCH(AD18,$A:$A,0)),"")="","",TRIM(IF(ISNUMBER(FIND(",",IFERROR(INDEX($G:$G,MATCH(AD18,$A:$A,0)),""))),LEFT(IFERROR(INDEX($G:$G,MATCH(AD18,$A:$A,0)),""),FIND(",",IFERROR(INDEX($G:$G,MATCH(AD18,$A:$A,0)),""))-1),IFERROR(INDEX($G:$G,MATCH(AD18,$A:$A,0)),"")))))</f>
        <v/>
      </c>
      <c r="AF18" s="18" t="str">
        <f aca="false">IF(AE18="","",IF(IFERROR(INDEX($G:$G,MATCH(AE18,$A:$A,0)),"")="","",TRIM(IF(ISNUMBER(FIND(",",IFERROR(INDEX($G:$G,MATCH(AE18,$A:$A,0)),""))),LEFT(IFERROR(INDEX($G:$G,MATCH(AE18,$A:$A,0)),""),FIND(",",IFERROR(INDEX($G:$G,MATCH(AE18,$A:$A,0)),""))-1),IFERROR(INDEX($G:$G,MATCH(AE18,$A:$A,0)),"")))))</f>
        <v/>
      </c>
      <c r="AG18" s="18" t="str">
        <f aca="false">IF(AF18="","",IF(IFERROR(INDEX($G:$G,MATCH(AF18,$A:$A,0)),"")="","",TRIM(IF(ISNUMBER(FIND(",",IFERROR(INDEX($G:$G,MATCH(AF18,$A:$A,0)),""))),LEFT(IFERROR(INDEX($G:$G,MATCH(AF18,$A:$A,0)),""),FIND(",",IFERROR(INDEX($G:$G,MATCH(AF18,$A:$A,0)),""))-1),IFERROR(INDEX($G:$G,MATCH(AF18,$A:$A,0)),"")))))</f>
        <v/>
      </c>
    </row>
    <row r="19" customFormat="false" ht="15" hidden="false" customHeight="false" outlineLevel="0" collapsed="false">
      <c r="A19" s="18"/>
      <c r="B19" s="19"/>
      <c r="C19" s="20"/>
      <c r="D19" s="20"/>
      <c r="E19" s="20"/>
      <c r="F19" s="20"/>
      <c r="G19" s="18"/>
      <c r="H19" s="20"/>
      <c r="I19" s="18"/>
      <c r="J19" s="20"/>
      <c r="K19" s="20"/>
      <c r="L19" s="20"/>
      <c r="M19" s="20"/>
      <c r="N19" s="20"/>
      <c r="O19" s="21" t="str">
        <f aca="false">IF(A19="","",IF(AD19="",0,IF(AE19="",1,IF(AF19="",2,IF(AG19="",3,"4+")))))</f>
        <v/>
      </c>
      <c r="P19" s="21" t="str">
        <f aca="false">IF(A19="","",B19&amp;IF(AD19="",""," &lt;- "&amp;IFERROR(INDEX($B:$B,MATCH(AD19,$A:$A,0)),AD19)&amp;IF(AE19="",""," &lt;- "&amp;IFERROR(INDEX($B:$B,MATCH(AE19,$A:$A,0)),AE19)&amp;IF(AF19="",""," &lt;- "&amp;IFERROR(INDEX($B:$B,MATCH(AF19,$A:$A,0)),AF19)&amp;IF(AG19="",""," &lt;- "&amp;IFERROR(INDEX($B:$B,MATCH(AG19,$A:$A,0)),AG19)))))&amp;IF(ISNUMBER(FIND(",",G19))," (+ other parents)",""))</f>
        <v/>
      </c>
      <c r="Q19" s="21" t="str">
        <f aca="false">IF(A19="","",IF(AD19="",E19&amp;"",IF(AE19="",IF(IFERROR(INDEX($E:$E,MATCH(AD19,$A:$A,0)),"")="","",INDEX($E:$E,MATCH(AD19,$A:$A,0))),IF(AF19="",IF(IFERROR(INDEX($E:$E,MATCH(AE19,$A:$A,0)),"")="","",INDEX($E:$E,MATCH(AE19,$A:$A,0))),IF(AG19="",IF(IFERROR(INDEX($E:$E,MATCH(AF19,$A:$A,0)),"")="","",INDEX($E:$E,MATCH(AF19,$A:$A,0))),IF(IFERROR(INDEX($E:$E,MATCH(AG19,$A:$A,0)),"")="","",INDEX($E:$E,MATCH(AG19,$A:$A,0))))))))</f>
        <v/>
      </c>
      <c r="R19" s="21" t="str">
        <f aca="false">IF(A19="","",COUNTIF(Fields!$D:$D,A19))</f>
        <v/>
      </c>
      <c r="S19" s="21" t="str">
        <f aca="false">IF(A19="","",SUMIF(Fields!$D:$D,A19,Fields!$Q:$Q))</f>
        <v/>
      </c>
      <c r="T19" s="21" t="str">
        <f aca="false">IF(A19="","",COUNTIF('Product inputs'!$D:$D,A19))</f>
        <v/>
      </c>
      <c r="U19" s="20"/>
      <c r="V19" s="20"/>
      <c r="W19" s="20"/>
      <c r="X19" s="20"/>
      <c r="Y19" s="20"/>
      <c r="Z19" s="20"/>
      <c r="AA19" s="20"/>
      <c r="AB19" s="20"/>
      <c r="AC19" s="20"/>
      <c r="AD19" s="18" t="str">
        <f aca="false">IF(A19="","",IF(IFERROR(INDEX($G:$G,MATCH(A19,$A:$A,0)),"")="","",TRIM(IF(ISNUMBER(FIND(",",IFERROR(INDEX($G:$G,MATCH(A19,$A:$A,0)),""))),LEFT(IFERROR(INDEX($G:$G,MATCH(A19,$A:$A,0)),""),FIND(",",IFERROR(INDEX($G:$G,MATCH(A19,$A:$A,0)),""))-1),IFERROR(INDEX($G:$G,MATCH(A19,$A:$A,0)),"")))))</f>
        <v/>
      </c>
      <c r="AE19" s="18" t="str">
        <f aca="false">IF(AD19="","",IF(IFERROR(INDEX($G:$G,MATCH(AD19,$A:$A,0)),"")="","",TRIM(IF(ISNUMBER(FIND(",",IFERROR(INDEX($G:$G,MATCH(AD19,$A:$A,0)),""))),LEFT(IFERROR(INDEX($G:$G,MATCH(AD19,$A:$A,0)),""),FIND(",",IFERROR(INDEX($G:$G,MATCH(AD19,$A:$A,0)),""))-1),IFERROR(INDEX($G:$G,MATCH(AD19,$A:$A,0)),"")))))</f>
        <v/>
      </c>
      <c r="AF19" s="18" t="str">
        <f aca="false">IF(AE19="","",IF(IFERROR(INDEX($G:$G,MATCH(AE19,$A:$A,0)),"")="","",TRIM(IF(ISNUMBER(FIND(",",IFERROR(INDEX($G:$G,MATCH(AE19,$A:$A,0)),""))),LEFT(IFERROR(INDEX($G:$G,MATCH(AE19,$A:$A,0)),""),FIND(",",IFERROR(INDEX($G:$G,MATCH(AE19,$A:$A,0)),""))-1),IFERROR(INDEX($G:$G,MATCH(AE19,$A:$A,0)),"")))))</f>
        <v/>
      </c>
      <c r="AG19" s="18" t="str">
        <f aca="false">IF(AF19="","",IF(IFERROR(INDEX($G:$G,MATCH(AF19,$A:$A,0)),"")="","",TRIM(IF(ISNUMBER(FIND(",",IFERROR(INDEX($G:$G,MATCH(AF19,$A:$A,0)),""))),LEFT(IFERROR(INDEX($G:$G,MATCH(AF19,$A:$A,0)),""),FIND(",",IFERROR(INDEX($G:$G,MATCH(AF19,$A:$A,0)),""))-1),IFERROR(INDEX($G:$G,MATCH(AF19,$A:$A,0)),"")))))</f>
        <v/>
      </c>
    </row>
    <row r="20" customFormat="false" ht="15" hidden="false" customHeight="false" outlineLevel="0" collapsed="false">
      <c r="A20" s="18"/>
      <c r="B20" s="19"/>
      <c r="C20" s="20"/>
      <c r="D20" s="20"/>
      <c r="E20" s="20"/>
      <c r="F20" s="20"/>
      <c r="G20" s="18"/>
      <c r="H20" s="20"/>
      <c r="I20" s="18"/>
      <c r="J20" s="20"/>
      <c r="K20" s="20"/>
      <c r="L20" s="20"/>
      <c r="M20" s="20"/>
      <c r="N20" s="20"/>
      <c r="O20" s="21" t="str">
        <f aca="false">IF(A20="","",IF(AD20="",0,IF(AE20="",1,IF(AF20="",2,IF(AG20="",3,"4+")))))</f>
        <v/>
      </c>
      <c r="P20" s="21" t="str">
        <f aca="false">IF(A20="","",B20&amp;IF(AD20="",""," &lt;- "&amp;IFERROR(INDEX($B:$B,MATCH(AD20,$A:$A,0)),AD20)&amp;IF(AE20="",""," &lt;- "&amp;IFERROR(INDEX($B:$B,MATCH(AE20,$A:$A,0)),AE20)&amp;IF(AF20="",""," &lt;- "&amp;IFERROR(INDEX($B:$B,MATCH(AF20,$A:$A,0)),AF20)&amp;IF(AG20="",""," &lt;- "&amp;IFERROR(INDEX($B:$B,MATCH(AG20,$A:$A,0)),AG20)))))&amp;IF(ISNUMBER(FIND(",",G20))," (+ other parents)",""))</f>
        <v/>
      </c>
      <c r="Q20" s="21" t="str">
        <f aca="false">IF(A20="","",IF(AD20="",E20&amp;"",IF(AE20="",IF(IFERROR(INDEX($E:$E,MATCH(AD20,$A:$A,0)),"")="","",INDEX($E:$E,MATCH(AD20,$A:$A,0))),IF(AF20="",IF(IFERROR(INDEX($E:$E,MATCH(AE20,$A:$A,0)),"")="","",INDEX($E:$E,MATCH(AE20,$A:$A,0))),IF(AG20="",IF(IFERROR(INDEX($E:$E,MATCH(AF20,$A:$A,0)),"")="","",INDEX($E:$E,MATCH(AF20,$A:$A,0))),IF(IFERROR(INDEX($E:$E,MATCH(AG20,$A:$A,0)),"")="","",INDEX($E:$E,MATCH(AG20,$A:$A,0))))))))</f>
        <v/>
      </c>
      <c r="R20" s="21" t="str">
        <f aca="false">IF(A20="","",COUNTIF(Fields!$D:$D,A20))</f>
        <v/>
      </c>
      <c r="S20" s="21" t="str">
        <f aca="false">IF(A20="","",SUMIF(Fields!$D:$D,A20,Fields!$Q:$Q))</f>
        <v/>
      </c>
      <c r="T20" s="21" t="str">
        <f aca="false">IF(A20="","",COUNTIF('Product inputs'!$D:$D,A20))</f>
        <v/>
      </c>
      <c r="U20" s="20"/>
      <c r="V20" s="20"/>
      <c r="W20" s="20"/>
      <c r="X20" s="20"/>
      <c r="Y20" s="20"/>
      <c r="Z20" s="20"/>
      <c r="AA20" s="20"/>
      <c r="AB20" s="20"/>
      <c r="AC20" s="20"/>
      <c r="AD20" s="18" t="str">
        <f aca="false">IF(A20="","",IF(IFERROR(INDEX($G:$G,MATCH(A20,$A:$A,0)),"")="","",TRIM(IF(ISNUMBER(FIND(",",IFERROR(INDEX($G:$G,MATCH(A20,$A:$A,0)),""))),LEFT(IFERROR(INDEX($G:$G,MATCH(A20,$A:$A,0)),""),FIND(",",IFERROR(INDEX($G:$G,MATCH(A20,$A:$A,0)),""))-1),IFERROR(INDEX($G:$G,MATCH(A20,$A:$A,0)),"")))))</f>
        <v/>
      </c>
      <c r="AE20" s="18" t="str">
        <f aca="false">IF(AD20="","",IF(IFERROR(INDEX($G:$G,MATCH(AD20,$A:$A,0)),"")="","",TRIM(IF(ISNUMBER(FIND(",",IFERROR(INDEX($G:$G,MATCH(AD20,$A:$A,0)),""))),LEFT(IFERROR(INDEX($G:$G,MATCH(AD20,$A:$A,0)),""),FIND(",",IFERROR(INDEX($G:$G,MATCH(AD20,$A:$A,0)),""))-1),IFERROR(INDEX($G:$G,MATCH(AD20,$A:$A,0)),"")))))</f>
        <v/>
      </c>
      <c r="AF20" s="18" t="str">
        <f aca="false">IF(AE20="","",IF(IFERROR(INDEX($G:$G,MATCH(AE20,$A:$A,0)),"")="","",TRIM(IF(ISNUMBER(FIND(",",IFERROR(INDEX($G:$G,MATCH(AE20,$A:$A,0)),""))),LEFT(IFERROR(INDEX($G:$G,MATCH(AE20,$A:$A,0)),""),FIND(",",IFERROR(INDEX($G:$G,MATCH(AE20,$A:$A,0)),""))-1),IFERROR(INDEX($G:$G,MATCH(AE20,$A:$A,0)),"")))))</f>
        <v/>
      </c>
      <c r="AG20" s="18" t="str">
        <f aca="false">IF(AF20="","",IF(IFERROR(INDEX($G:$G,MATCH(AF20,$A:$A,0)),"")="","",TRIM(IF(ISNUMBER(FIND(",",IFERROR(INDEX($G:$G,MATCH(AF20,$A:$A,0)),""))),LEFT(IFERROR(INDEX($G:$G,MATCH(AF20,$A:$A,0)),""),FIND(",",IFERROR(INDEX($G:$G,MATCH(AF20,$A:$A,0)),""))-1),IFERROR(INDEX($G:$G,MATCH(AF20,$A:$A,0)),"")))))</f>
        <v/>
      </c>
    </row>
    <row r="21" customFormat="false" ht="15" hidden="false" customHeight="false" outlineLevel="0" collapsed="false">
      <c r="A21" s="18"/>
      <c r="B21" s="19"/>
      <c r="C21" s="20"/>
      <c r="D21" s="20"/>
      <c r="E21" s="20"/>
      <c r="F21" s="20"/>
      <c r="G21" s="18"/>
      <c r="H21" s="20"/>
      <c r="I21" s="18"/>
      <c r="J21" s="20"/>
      <c r="K21" s="20"/>
      <c r="L21" s="20"/>
      <c r="M21" s="20"/>
      <c r="N21" s="20"/>
      <c r="O21" s="21" t="str">
        <f aca="false">IF(A21="","",IF(AD21="",0,IF(AE21="",1,IF(AF21="",2,IF(AG21="",3,"4+")))))</f>
        <v/>
      </c>
      <c r="P21" s="21" t="str">
        <f aca="false">IF(A21="","",B21&amp;IF(AD21="",""," &lt;- "&amp;IFERROR(INDEX($B:$B,MATCH(AD21,$A:$A,0)),AD21)&amp;IF(AE21="",""," &lt;- "&amp;IFERROR(INDEX($B:$B,MATCH(AE21,$A:$A,0)),AE21)&amp;IF(AF21="",""," &lt;- "&amp;IFERROR(INDEX($B:$B,MATCH(AF21,$A:$A,0)),AF21)&amp;IF(AG21="",""," &lt;- "&amp;IFERROR(INDEX($B:$B,MATCH(AG21,$A:$A,0)),AG21)))))&amp;IF(ISNUMBER(FIND(",",G21))," (+ other parents)",""))</f>
        <v/>
      </c>
      <c r="Q21" s="21" t="str">
        <f aca="false">IF(A21="","",IF(AD21="",E21&amp;"",IF(AE21="",IF(IFERROR(INDEX($E:$E,MATCH(AD21,$A:$A,0)),"")="","",INDEX($E:$E,MATCH(AD21,$A:$A,0))),IF(AF21="",IF(IFERROR(INDEX($E:$E,MATCH(AE21,$A:$A,0)),"")="","",INDEX($E:$E,MATCH(AE21,$A:$A,0))),IF(AG21="",IF(IFERROR(INDEX($E:$E,MATCH(AF21,$A:$A,0)),"")="","",INDEX($E:$E,MATCH(AF21,$A:$A,0))),IF(IFERROR(INDEX($E:$E,MATCH(AG21,$A:$A,0)),"")="","",INDEX($E:$E,MATCH(AG21,$A:$A,0))))))))</f>
        <v/>
      </c>
      <c r="R21" s="21" t="str">
        <f aca="false">IF(A21="","",COUNTIF(Fields!$D:$D,A21))</f>
        <v/>
      </c>
      <c r="S21" s="21" t="str">
        <f aca="false">IF(A21="","",SUMIF(Fields!$D:$D,A21,Fields!$Q:$Q))</f>
        <v/>
      </c>
      <c r="T21" s="21" t="str">
        <f aca="false">IF(A21="","",COUNTIF('Product inputs'!$D:$D,A21))</f>
        <v/>
      </c>
      <c r="U21" s="20"/>
      <c r="V21" s="20"/>
      <c r="W21" s="20"/>
      <c r="X21" s="20"/>
      <c r="Y21" s="20"/>
      <c r="Z21" s="20"/>
      <c r="AA21" s="20"/>
      <c r="AB21" s="20"/>
      <c r="AC21" s="20"/>
      <c r="AD21" s="18" t="str">
        <f aca="false">IF(A21="","",IF(IFERROR(INDEX($G:$G,MATCH(A21,$A:$A,0)),"")="","",TRIM(IF(ISNUMBER(FIND(",",IFERROR(INDEX($G:$G,MATCH(A21,$A:$A,0)),""))),LEFT(IFERROR(INDEX($G:$G,MATCH(A21,$A:$A,0)),""),FIND(",",IFERROR(INDEX($G:$G,MATCH(A21,$A:$A,0)),""))-1),IFERROR(INDEX($G:$G,MATCH(A21,$A:$A,0)),"")))))</f>
        <v/>
      </c>
      <c r="AE21" s="18" t="str">
        <f aca="false">IF(AD21="","",IF(IFERROR(INDEX($G:$G,MATCH(AD21,$A:$A,0)),"")="","",TRIM(IF(ISNUMBER(FIND(",",IFERROR(INDEX($G:$G,MATCH(AD21,$A:$A,0)),""))),LEFT(IFERROR(INDEX($G:$G,MATCH(AD21,$A:$A,0)),""),FIND(",",IFERROR(INDEX($G:$G,MATCH(AD21,$A:$A,0)),""))-1),IFERROR(INDEX($G:$G,MATCH(AD21,$A:$A,0)),"")))))</f>
        <v/>
      </c>
      <c r="AF21" s="18" t="str">
        <f aca="false">IF(AE21="","",IF(IFERROR(INDEX($G:$G,MATCH(AE21,$A:$A,0)),"")="","",TRIM(IF(ISNUMBER(FIND(",",IFERROR(INDEX($G:$G,MATCH(AE21,$A:$A,0)),""))),LEFT(IFERROR(INDEX($G:$G,MATCH(AE21,$A:$A,0)),""),FIND(",",IFERROR(INDEX($G:$G,MATCH(AE21,$A:$A,0)),""))-1),IFERROR(INDEX($G:$G,MATCH(AE21,$A:$A,0)),"")))))</f>
        <v/>
      </c>
      <c r="AG21" s="18" t="str">
        <f aca="false">IF(AF21="","",IF(IFERROR(INDEX($G:$G,MATCH(AF21,$A:$A,0)),"")="","",TRIM(IF(ISNUMBER(FIND(",",IFERROR(INDEX($G:$G,MATCH(AF21,$A:$A,0)),""))),LEFT(IFERROR(INDEX($G:$G,MATCH(AF21,$A:$A,0)),""),FIND(",",IFERROR(INDEX($G:$G,MATCH(AF21,$A:$A,0)),""))-1),IFERROR(INDEX($G:$G,MATCH(AF21,$A:$A,0)),"")))))</f>
        <v/>
      </c>
    </row>
    <row r="22" customFormat="false" ht="15" hidden="false" customHeight="false" outlineLevel="0" collapsed="false">
      <c r="A22" s="18"/>
      <c r="B22" s="19"/>
      <c r="C22" s="20"/>
      <c r="D22" s="20"/>
      <c r="E22" s="20"/>
      <c r="F22" s="20"/>
      <c r="G22" s="18"/>
      <c r="H22" s="20"/>
      <c r="I22" s="18"/>
      <c r="J22" s="20"/>
      <c r="K22" s="20"/>
      <c r="L22" s="20"/>
      <c r="M22" s="20"/>
      <c r="N22" s="20"/>
      <c r="O22" s="21" t="str">
        <f aca="false">IF(A22="","",IF(AD22="",0,IF(AE22="",1,IF(AF22="",2,IF(AG22="",3,"4+")))))</f>
        <v/>
      </c>
      <c r="P22" s="21" t="str">
        <f aca="false">IF(A22="","",B22&amp;IF(AD22="",""," &lt;- "&amp;IFERROR(INDEX($B:$B,MATCH(AD22,$A:$A,0)),AD22)&amp;IF(AE22="",""," &lt;- "&amp;IFERROR(INDEX($B:$B,MATCH(AE22,$A:$A,0)),AE22)&amp;IF(AF22="",""," &lt;- "&amp;IFERROR(INDEX($B:$B,MATCH(AF22,$A:$A,0)),AF22)&amp;IF(AG22="",""," &lt;- "&amp;IFERROR(INDEX($B:$B,MATCH(AG22,$A:$A,0)),AG22)))))&amp;IF(ISNUMBER(FIND(",",G22))," (+ other parents)",""))</f>
        <v/>
      </c>
      <c r="Q22" s="21" t="str">
        <f aca="false">IF(A22="","",IF(AD22="",E22&amp;"",IF(AE22="",IF(IFERROR(INDEX($E:$E,MATCH(AD22,$A:$A,0)),"")="","",INDEX($E:$E,MATCH(AD22,$A:$A,0))),IF(AF22="",IF(IFERROR(INDEX($E:$E,MATCH(AE22,$A:$A,0)),"")="","",INDEX($E:$E,MATCH(AE22,$A:$A,0))),IF(AG22="",IF(IFERROR(INDEX($E:$E,MATCH(AF22,$A:$A,0)),"")="","",INDEX($E:$E,MATCH(AF22,$A:$A,0))),IF(IFERROR(INDEX($E:$E,MATCH(AG22,$A:$A,0)),"")="","",INDEX($E:$E,MATCH(AG22,$A:$A,0))))))))</f>
        <v/>
      </c>
      <c r="R22" s="21" t="str">
        <f aca="false">IF(A22="","",COUNTIF(Fields!$D:$D,A22))</f>
        <v/>
      </c>
      <c r="S22" s="21" t="str">
        <f aca="false">IF(A22="","",SUMIF(Fields!$D:$D,A22,Fields!$Q:$Q))</f>
        <v/>
      </c>
      <c r="T22" s="21" t="str">
        <f aca="false">IF(A22="","",COUNTIF('Product inputs'!$D:$D,A22))</f>
        <v/>
      </c>
      <c r="U22" s="20"/>
      <c r="V22" s="20"/>
      <c r="W22" s="20"/>
      <c r="X22" s="20"/>
      <c r="Y22" s="20"/>
      <c r="Z22" s="20"/>
      <c r="AA22" s="20"/>
      <c r="AB22" s="20"/>
      <c r="AC22" s="20"/>
      <c r="AD22" s="18" t="str">
        <f aca="false">IF(A22="","",IF(IFERROR(INDEX($G:$G,MATCH(A22,$A:$A,0)),"")="","",TRIM(IF(ISNUMBER(FIND(",",IFERROR(INDEX($G:$G,MATCH(A22,$A:$A,0)),""))),LEFT(IFERROR(INDEX($G:$G,MATCH(A22,$A:$A,0)),""),FIND(",",IFERROR(INDEX($G:$G,MATCH(A22,$A:$A,0)),""))-1),IFERROR(INDEX($G:$G,MATCH(A22,$A:$A,0)),"")))))</f>
        <v/>
      </c>
      <c r="AE22" s="18" t="str">
        <f aca="false">IF(AD22="","",IF(IFERROR(INDEX($G:$G,MATCH(AD22,$A:$A,0)),"")="","",TRIM(IF(ISNUMBER(FIND(",",IFERROR(INDEX($G:$G,MATCH(AD22,$A:$A,0)),""))),LEFT(IFERROR(INDEX($G:$G,MATCH(AD22,$A:$A,0)),""),FIND(",",IFERROR(INDEX($G:$G,MATCH(AD22,$A:$A,0)),""))-1),IFERROR(INDEX($G:$G,MATCH(AD22,$A:$A,0)),"")))))</f>
        <v/>
      </c>
      <c r="AF22" s="18" t="str">
        <f aca="false">IF(AE22="","",IF(IFERROR(INDEX($G:$G,MATCH(AE22,$A:$A,0)),"")="","",TRIM(IF(ISNUMBER(FIND(",",IFERROR(INDEX($G:$G,MATCH(AE22,$A:$A,0)),""))),LEFT(IFERROR(INDEX($G:$G,MATCH(AE22,$A:$A,0)),""),FIND(",",IFERROR(INDEX($G:$G,MATCH(AE22,$A:$A,0)),""))-1),IFERROR(INDEX($G:$G,MATCH(AE22,$A:$A,0)),"")))))</f>
        <v/>
      </c>
      <c r="AG22" s="18" t="str">
        <f aca="false">IF(AF22="","",IF(IFERROR(INDEX($G:$G,MATCH(AF22,$A:$A,0)),"")="","",TRIM(IF(ISNUMBER(FIND(",",IFERROR(INDEX($G:$G,MATCH(AF22,$A:$A,0)),""))),LEFT(IFERROR(INDEX($G:$G,MATCH(AF22,$A:$A,0)),""),FIND(",",IFERROR(INDEX($G:$G,MATCH(AF22,$A:$A,0)),""))-1),IFERROR(INDEX($G:$G,MATCH(AF22,$A:$A,0)),"")))))</f>
        <v/>
      </c>
    </row>
    <row r="23" customFormat="false" ht="15" hidden="false" customHeight="false" outlineLevel="0" collapsed="false">
      <c r="A23" s="18"/>
      <c r="B23" s="19"/>
      <c r="C23" s="20"/>
      <c r="D23" s="20"/>
      <c r="E23" s="20"/>
      <c r="F23" s="20"/>
      <c r="G23" s="18"/>
      <c r="H23" s="20"/>
      <c r="I23" s="18"/>
      <c r="J23" s="20"/>
      <c r="K23" s="20"/>
      <c r="L23" s="20"/>
      <c r="M23" s="20"/>
      <c r="N23" s="20"/>
      <c r="O23" s="21" t="str">
        <f aca="false">IF(A23="","",IF(AD23="",0,IF(AE23="",1,IF(AF23="",2,IF(AG23="",3,"4+")))))</f>
        <v/>
      </c>
      <c r="P23" s="21" t="str">
        <f aca="false">IF(A23="","",B23&amp;IF(AD23="",""," &lt;- "&amp;IFERROR(INDEX($B:$B,MATCH(AD23,$A:$A,0)),AD23)&amp;IF(AE23="",""," &lt;- "&amp;IFERROR(INDEX($B:$B,MATCH(AE23,$A:$A,0)),AE23)&amp;IF(AF23="",""," &lt;- "&amp;IFERROR(INDEX($B:$B,MATCH(AF23,$A:$A,0)),AF23)&amp;IF(AG23="",""," &lt;- "&amp;IFERROR(INDEX($B:$B,MATCH(AG23,$A:$A,0)),AG23)))))&amp;IF(ISNUMBER(FIND(",",G23))," (+ other parents)",""))</f>
        <v/>
      </c>
      <c r="Q23" s="21" t="str">
        <f aca="false">IF(A23="","",IF(AD23="",E23&amp;"",IF(AE23="",IF(IFERROR(INDEX($E:$E,MATCH(AD23,$A:$A,0)),"")="","",INDEX($E:$E,MATCH(AD23,$A:$A,0))),IF(AF23="",IF(IFERROR(INDEX($E:$E,MATCH(AE23,$A:$A,0)),"")="","",INDEX($E:$E,MATCH(AE23,$A:$A,0))),IF(AG23="",IF(IFERROR(INDEX($E:$E,MATCH(AF23,$A:$A,0)),"")="","",INDEX($E:$E,MATCH(AF23,$A:$A,0))),IF(IFERROR(INDEX($E:$E,MATCH(AG23,$A:$A,0)),"")="","",INDEX($E:$E,MATCH(AG23,$A:$A,0))))))))</f>
        <v/>
      </c>
      <c r="R23" s="21" t="str">
        <f aca="false">IF(A23="","",COUNTIF(Fields!$D:$D,A23))</f>
        <v/>
      </c>
      <c r="S23" s="21" t="str">
        <f aca="false">IF(A23="","",SUMIF(Fields!$D:$D,A23,Fields!$Q:$Q))</f>
        <v/>
      </c>
      <c r="T23" s="21" t="str">
        <f aca="false">IF(A23="","",COUNTIF('Product inputs'!$D:$D,A23))</f>
        <v/>
      </c>
      <c r="U23" s="20"/>
      <c r="V23" s="20"/>
      <c r="W23" s="20"/>
      <c r="X23" s="20"/>
      <c r="Y23" s="20"/>
      <c r="Z23" s="20"/>
      <c r="AA23" s="20"/>
      <c r="AB23" s="20"/>
      <c r="AC23" s="20"/>
      <c r="AD23" s="18" t="str">
        <f aca="false">IF(A23="","",IF(IFERROR(INDEX($G:$G,MATCH(A23,$A:$A,0)),"")="","",TRIM(IF(ISNUMBER(FIND(",",IFERROR(INDEX($G:$G,MATCH(A23,$A:$A,0)),""))),LEFT(IFERROR(INDEX($G:$G,MATCH(A23,$A:$A,0)),""),FIND(",",IFERROR(INDEX($G:$G,MATCH(A23,$A:$A,0)),""))-1),IFERROR(INDEX($G:$G,MATCH(A23,$A:$A,0)),"")))))</f>
        <v/>
      </c>
      <c r="AE23" s="18" t="str">
        <f aca="false">IF(AD23="","",IF(IFERROR(INDEX($G:$G,MATCH(AD23,$A:$A,0)),"")="","",TRIM(IF(ISNUMBER(FIND(",",IFERROR(INDEX($G:$G,MATCH(AD23,$A:$A,0)),""))),LEFT(IFERROR(INDEX($G:$G,MATCH(AD23,$A:$A,0)),""),FIND(",",IFERROR(INDEX($G:$G,MATCH(AD23,$A:$A,0)),""))-1),IFERROR(INDEX($G:$G,MATCH(AD23,$A:$A,0)),"")))))</f>
        <v/>
      </c>
      <c r="AF23" s="18" t="str">
        <f aca="false">IF(AE23="","",IF(IFERROR(INDEX($G:$G,MATCH(AE23,$A:$A,0)),"")="","",TRIM(IF(ISNUMBER(FIND(",",IFERROR(INDEX($G:$G,MATCH(AE23,$A:$A,0)),""))),LEFT(IFERROR(INDEX($G:$G,MATCH(AE23,$A:$A,0)),""),FIND(",",IFERROR(INDEX($G:$G,MATCH(AE23,$A:$A,0)),""))-1),IFERROR(INDEX($G:$G,MATCH(AE23,$A:$A,0)),"")))))</f>
        <v/>
      </c>
      <c r="AG23" s="18" t="str">
        <f aca="false">IF(AF23="","",IF(IFERROR(INDEX($G:$G,MATCH(AF23,$A:$A,0)),"")="","",TRIM(IF(ISNUMBER(FIND(",",IFERROR(INDEX($G:$G,MATCH(AF23,$A:$A,0)),""))),LEFT(IFERROR(INDEX($G:$G,MATCH(AF23,$A:$A,0)),""),FIND(",",IFERROR(INDEX($G:$G,MATCH(AF23,$A:$A,0)),""))-1),IFERROR(INDEX($G:$G,MATCH(AF23,$A:$A,0)),"")))))</f>
        <v/>
      </c>
    </row>
    <row r="24" customFormat="false" ht="15" hidden="false" customHeight="false" outlineLevel="0" collapsed="false">
      <c r="A24" s="18"/>
      <c r="B24" s="19"/>
      <c r="C24" s="20"/>
      <c r="D24" s="20"/>
      <c r="E24" s="20"/>
      <c r="F24" s="20"/>
      <c r="G24" s="18"/>
      <c r="H24" s="20"/>
      <c r="I24" s="18"/>
      <c r="J24" s="20"/>
      <c r="K24" s="20"/>
      <c r="L24" s="20"/>
      <c r="M24" s="20"/>
      <c r="N24" s="20"/>
      <c r="O24" s="21" t="str">
        <f aca="false">IF(A24="","",IF(AD24="",0,IF(AE24="",1,IF(AF24="",2,IF(AG24="",3,"4+")))))</f>
        <v/>
      </c>
      <c r="P24" s="21" t="str">
        <f aca="false">IF(A24="","",B24&amp;IF(AD24="",""," &lt;- "&amp;IFERROR(INDEX($B:$B,MATCH(AD24,$A:$A,0)),AD24)&amp;IF(AE24="",""," &lt;- "&amp;IFERROR(INDEX($B:$B,MATCH(AE24,$A:$A,0)),AE24)&amp;IF(AF24="",""," &lt;- "&amp;IFERROR(INDEX($B:$B,MATCH(AF24,$A:$A,0)),AF24)&amp;IF(AG24="",""," &lt;- "&amp;IFERROR(INDEX($B:$B,MATCH(AG24,$A:$A,0)),AG24)))))&amp;IF(ISNUMBER(FIND(",",G24))," (+ other parents)",""))</f>
        <v/>
      </c>
      <c r="Q24" s="21" t="str">
        <f aca="false">IF(A24="","",IF(AD24="",E24&amp;"",IF(AE24="",IF(IFERROR(INDEX($E:$E,MATCH(AD24,$A:$A,0)),"")="","",INDEX($E:$E,MATCH(AD24,$A:$A,0))),IF(AF24="",IF(IFERROR(INDEX($E:$E,MATCH(AE24,$A:$A,0)),"")="","",INDEX($E:$E,MATCH(AE24,$A:$A,0))),IF(AG24="",IF(IFERROR(INDEX($E:$E,MATCH(AF24,$A:$A,0)),"")="","",INDEX($E:$E,MATCH(AF24,$A:$A,0))),IF(IFERROR(INDEX($E:$E,MATCH(AG24,$A:$A,0)),"")="","",INDEX($E:$E,MATCH(AG24,$A:$A,0))))))))</f>
        <v/>
      </c>
      <c r="R24" s="21" t="str">
        <f aca="false">IF(A24="","",COUNTIF(Fields!$D:$D,A24))</f>
        <v/>
      </c>
      <c r="S24" s="21" t="str">
        <f aca="false">IF(A24="","",SUMIF(Fields!$D:$D,A24,Fields!$Q:$Q))</f>
        <v/>
      </c>
      <c r="T24" s="21" t="str">
        <f aca="false">IF(A24="","",COUNTIF('Product inputs'!$D:$D,A24))</f>
        <v/>
      </c>
      <c r="U24" s="20"/>
      <c r="V24" s="20"/>
      <c r="W24" s="20"/>
      <c r="X24" s="20"/>
      <c r="Y24" s="20"/>
      <c r="Z24" s="20"/>
      <c r="AA24" s="20"/>
      <c r="AB24" s="20"/>
      <c r="AC24" s="20"/>
      <c r="AD24" s="18" t="str">
        <f aca="false">IF(A24="","",IF(IFERROR(INDEX($G:$G,MATCH(A24,$A:$A,0)),"")="","",TRIM(IF(ISNUMBER(FIND(",",IFERROR(INDEX($G:$G,MATCH(A24,$A:$A,0)),""))),LEFT(IFERROR(INDEX($G:$G,MATCH(A24,$A:$A,0)),""),FIND(",",IFERROR(INDEX($G:$G,MATCH(A24,$A:$A,0)),""))-1),IFERROR(INDEX($G:$G,MATCH(A24,$A:$A,0)),"")))))</f>
        <v/>
      </c>
      <c r="AE24" s="18" t="str">
        <f aca="false">IF(AD24="","",IF(IFERROR(INDEX($G:$G,MATCH(AD24,$A:$A,0)),"")="","",TRIM(IF(ISNUMBER(FIND(",",IFERROR(INDEX($G:$G,MATCH(AD24,$A:$A,0)),""))),LEFT(IFERROR(INDEX($G:$G,MATCH(AD24,$A:$A,0)),""),FIND(",",IFERROR(INDEX($G:$G,MATCH(AD24,$A:$A,0)),""))-1),IFERROR(INDEX($G:$G,MATCH(AD24,$A:$A,0)),"")))))</f>
        <v/>
      </c>
      <c r="AF24" s="18" t="str">
        <f aca="false">IF(AE24="","",IF(IFERROR(INDEX($G:$G,MATCH(AE24,$A:$A,0)),"")="","",TRIM(IF(ISNUMBER(FIND(",",IFERROR(INDEX($G:$G,MATCH(AE24,$A:$A,0)),""))),LEFT(IFERROR(INDEX($G:$G,MATCH(AE24,$A:$A,0)),""),FIND(",",IFERROR(INDEX($G:$G,MATCH(AE24,$A:$A,0)),""))-1),IFERROR(INDEX($G:$G,MATCH(AE24,$A:$A,0)),"")))))</f>
        <v/>
      </c>
      <c r="AG24" s="18" t="str">
        <f aca="false">IF(AF24="","",IF(IFERROR(INDEX($G:$G,MATCH(AF24,$A:$A,0)),"")="","",TRIM(IF(ISNUMBER(FIND(",",IFERROR(INDEX($G:$G,MATCH(AF24,$A:$A,0)),""))),LEFT(IFERROR(INDEX($G:$G,MATCH(AF24,$A:$A,0)),""),FIND(",",IFERROR(INDEX($G:$G,MATCH(AF24,$A:$A,0)),""))-1),IFERROR(INDEX($G:$G,MATCH(AF24,$A:$A,0)),"")))))</f>
        <v/>
      </c>
    </row>
    <row r="25" customFormat="false" ht="15" hidden="false" customHeight="false" outlineLevel="0" collapsed="false">
      <c r="A25" s="18"/>
      <c r="B25" s="19"/>
      <c r="C25" s="20"/>
      <c r="D25" s="20"/>
      <c r="E25" s="20"/>
      <c r="F25" s="20"/>
      <c r="G25" s="18"/>
      <c r="H25" s="20"/>
      <c r="I25" s="18"/>
      <c r="J25" s="20"/>
      <c r="K25" s="20"/>
      <c r="L25" s="20"/>
      <c r="M25" s="20"/>
      <c r="N25" s="20"/>
      <c r="O25" s="21" t="str">
        <f aca="false">IF(A25="","",IF(AD25="",0,IF(AE25="",1,IF(AF25="",2,IF(AG25="",3,"4+")))))</f>
        <v/>
      </c>
      <c r="P25" s="21" t="str">
        <f aca="false">IF(A25="","",B25&amp;IF(AD25="",""," &lt;- "&amp;IFERROR(INDEX($B:$B,MATCH(AD25,$A:$A,0)),AD25)&amp;IF(AE25="",""," &lt;- "&amp;IFERROR(INDEX($B:$B,MATCH(AE25,$A:$A,0)),AE25)&amp;IF(AF25="",""," &lt;- "&amp;IFERROR(INDEX($B:$B,MATCH(AF25,$A:$A,0)),AF25)&amp;IF(AG25="",""," &lt;- "&amp;IFERROR(INDEX($B:$B,MATCH(AG25,$A:$A,0)),AG25)))))&amp;IF(ISNUMBER(FIND(",",G25))," (+ other parents)",""))</f>
        <v/>
      </c>
      <c r="Q25" s="21" t="str">
        <f aca="false">IF(A25="","",IF(AD25="",E25&amp;"",IF(AE25="",IF(IFERROR(INDEX($E:$E,MATCH(AD25,$A:$A,0)),"")="","",INDEX($E:$E,MATCH(AD25,$A:$A,0))),IF(AF25="",IF(IFERROR(INDEX($E:$E,MATCH(AE25,$A:$A,0)),"")="","",INDEX($E:$E,MATCH(AE25,$A:$A,0))),IF(AG25="",IF(IFERROR(INDEX($E:$E,MATCH(AF25,$A:$A,0)),"")="","",INDEX($E:$E,MATCH(AF25,$A:$A,0))),IF(IFERROR(INDEX($E:$E,MATCH(AG25,$A:$A,0)),"")="","",INDEX($E:$E,MATCH(AG25,$A:$A,0))))))))</f>
        <v/>
      </c>
      <c r="R25" s="21" t="str">
        <f aca="false">IF(A25="","",COUNTIF(Fields!$D:$D,A25))</f>
        <v/>
      </c>
      <c r="S25" s="21" t="str">
        <f aca="false">IF(A25="","",SUMIF(Fields!$D:$D,A25,Fields!$Q:$Q))</f>
        <v/>
      </c>
      <c r="T25" s="21" t="str">
        <f aca="false">IF(A25="","",COUNTIF('Product inputs'!$D:$D,A25))</f>
        <v/>
      </c>
      <c r="U25" s="20"/>
      <c r="V25" s="20"/>
      <c r="W25" s="20"/>
      <c r="X25" s="20"/>
      <c r="Y25" s="20"/>
      <c r="Z25" s="20"/>
      <c r="AA25" s="20"/>
      <c r="AB25" s="20"/>
      <c r="AC25" s="20"/>
      <c r="AD25" s="18" t="str">
        <f aca="false">IF(A25="","",IF(IFERROR(INDEX($G:$G,MATCH(A25,$A:$A,0)),"")="","",TRIM(IF(ISNUMBER(FIND(",",IFERROR(INDEX($G:$G,MATCH(A25,$A:$A,0)),""))),LEFT(IFERROR(INDEX($G:$G,MATCH(A25,$A:$A,0)),""),FIND(",",IFERROR(INDEX($G:$G,MATCH(A25,$A:$A,0)),""))-1),IFERROR(INDEX($G:$G,MATCH(A25,$A:$A,0)),"")))))</f>
        <v/>
      </c>
      <c r="AE25" s="18" t="str">
        <f aca="false">IF(AD25="","",IF(IFERROR(INDEX($G:$G,MATCH(AD25,$A:$A,0)),"")="","",TRIM(IF(ISNUMBER(FIND(",",IFERROR(INDEX($G:$G,MATCH(AD25,$A:$A,0)),""))),LEFT(IFERROR(INDEX($G:$G,MATCH(AD25,$A:$A,0)),""),FIND(",",IFERROR(INDEX($G:$G,MATCH(AD25,$A:$A,0)),""))-1),IFERROR(INDEX($G:$G,MATCH(AD25,$A:$A,0)),"")))))</f>
        <v/>
      </c>
      <c r="AF25" s="18" t="str">
        <f aca="false">IF(AE25="","",IF(IFERROR(INDEX($G:$G,MATCH(AE25,$A:$A,0)),"")="","",TRIM(IF(ISNUMBER(FIND(",",IFERROR(INDEX($G:$G,MATCH(AE25,$A:$A,0)),""))),LEFT(IFERROR(INDEX($G:$G,MATCH(AE25,$A:$A,0)),""),FIND(",",IFERROR(INDEX($G:$G,MATCH(AE25,$A:$A,0)),""))-1),IFERROR(INDEX($G:$G,MATCH(AE25,$A:$A,0)),"")))))</f>
        <v/>
      </c>
      <c r="AG25" s="18" t="str">
        <f aca="false">IF(AF25="","",IF(IFERROR(INDEX($G:$G,MATCH(AF25,$A:$A,0)),"")="","",TRIM(IF(ISNUMBER(FIND(",",IFERROR(INDEX($G:$G,MATCH(AF25,$A:$A,0)),""))),LEFT(IFERROR(INDEX($G:$G,MATCH(AF25,$A:$A,0)),""),FIND(",",IFERROR(INDEX($G:$G,MATCH(AF25,$A:$A,0)),""))-1),IFERROR(INDEX($G:$G,MATCH(AF25,$A:$A,0)),"")))))</f>
        <v/>
      </c>
    </row>
    <row r="26" customFormat="false" ht="15" hidden="false" customHeight="false" outlineLevel="0" collapsed="false">
      <c r="A26" s="18"/>
      <c r="B26" s="19"/>
      <c r="C26" s="20"/>
      <c r="D26" s="20"/>
      <c r="E26" s="20"/>
      <c r="F26" s="20"/>
      <c r="G26" s="18"/>
      <c r="H26" s="20"/>
      <c r="I26" s="18"/>
      <c r="J26" s="20"/>
      <c r="K26" s="20"/>
      <c r="L26" s="20"/>
      <c r="M26" s="20"/>
      <c r="N26" s="20"/>
      <c r="O26" s="21" t="str">
        <f aca="false">IF(A26="","",IF(AD26="",0,IF(AE26="",1,IF(AF26="",2,IF(AG26="",3,"4+")))))</f>
        <v/>
      </c>
      <c r="P26" s="21" t="str">
        <f aca="false">IF(A26="","",B26&amp;IF(AD26="",""," &lt;- "&amp;IFERROR(INDEX($B:$B,MATCH(AD26,$A:$A,0)),AD26)&amp;IF(AE26="",""," &lt;- "&amp;IFERROR(INDEX($B:$B,MATCH(AE26,$A:$A,0)),AE26)&amp;IF(AF26="",""," &lt;- "&amp;IFERROR(INDEX($B:$B,MATCH(AF26,$A:$A,0)),AF26)&amp;IF(AG26="",""," &lt;- "&amp;IFERROR(INDEX($B:$B,MATCH(AG26,$A:$A,0)),AG26)))))&amp;IF(ISNUMBER(FIND(",",G26))," (+ other parents)",""))</f>
        <v/>
      </c>
      <c r="Q26" s="21" t="str">
        <f aca="false">IF(A26="","",IF(AD26="",E26&amp;"",IF(AE26="",IF(IFERROR(INDEX($E:$E,MATCH(AD26,$A:$A,0)),"")="","",INDEX($E:$E,MATCH(AD26,$A:$A,0))),IF(AF26="",IF(IFERROR(INDEX($E:$E,MATCH(AE26,$A:$A,0)),"")="","",INDEX($E:$E,MATCH(AE26,$A:$A,0))),IF(AG26="",IF(IFERROR(INDEX($E:$E,MATCH(AF26,$A:$A,0)),"")="","",INDEX($E:$E,MATCH(AF26,$A:$A,0))),IF(IFERROR(INDEX($E:$E,MATCH(AG26,$A:$A,0)),"")="","",INDEX($E:$E,MATCH(AG26,$A:$A,0))))))))</f>
        <v/>
      </c>
      <c r="R26" s="21" t="str">
        <f aca="false">IF(A26="","",COUNTIF(Fields!$D:$D,A26))</f>
        <v/>
      </c>
      <c r="S26" s="21" t="str">
        <f aca="false">IF(A26="","",SUMIF(Fields!$D:$D,A26,Fields!$Q:$Q))</f>
        <v/>
      </c>
      <c r="T26" s="21" t="str">
        <f aca="false">IF(A26="","",COUNTIF('Product inputs'!$D:$D,A26))</f>
        <v/>
      </c>
      <c r="U26" s="20"/>
      <c r="V26" s="20"/>
      <c r="W26" s="20"/>
      <c r="X26" s="20"/>
      <c r="Y26" s="20"/>
      <c r="Z26" s="20"/>
      <c r="AA26" s="20"/>
      <c r="AB26" s="20"/>
      <c r="AC26" s="20"/>
      <c r="AD26" s="18" t="str">
        <f aca="false">IF(A26="","",IF(IFERROR(INDEX($G:$G,MATCH(A26,$A:$A,0)),"")="","",TRIM(IF(ISNUMBER(FIND(",",IFERROR(INDEX($G:$G,MATCH(A26,$A:$A,0)),""))),LEFT(IFERROR(INDEX($G:$G,MATCH(A26,$A:$A,0)),""),FIND(",",IFERROR(INDEX($G:$G,MATCH(A26,$A:$A,0)),""))-1),IFERROR(INDEX($G:$G,MATCH(A26,$A:$A,0)),"")))))</f>
        <v/>
      </c>
      <c r="AE26" s="18" t="str">
        <f aca="false">IF(AD26="","",IF(IFERROR(INDEX($G:$G,MATCH(AD26,$A:$A,0)),"")="","",TRIM(IF(ISNUMBER(FIND(",",IFERROR(INDEX($G:$G,MATCH(AD26,$A:$A,0)),""))),LEFT(IFERROR(INDEX($G:$G,MATCH(AD26,$A:$A,0)),""),FIND(",",IFERROR(INDEX($G:$G,MATCH(AD26,$A:$A,0)),""))-1),IFERROR(INDEX($G:$G,MATCH(AD26,$A:$A,0)),"")))))</f>
        <v/>
      </c>
      <c r="AF26" s="18" t="str">
        <f aca="false">IF(AE26="","",IF(IFERROR(INDEX($G:$G,MATCH(AE26,$A:$A,0)),"")="","",TRIM(IF(ISNUMBER(FIND(",",IFERROR(INDEX($G:$G,MATCH(AE26,$A:$A,0)),""))),LEFT(IFERROR(INDEX($G:$G,MATCH(AE26,$A:$A,0)),""),FIND(",",IFERROR(INDEX($G:$G,MATCH(AE26,$A:$A,0)),""))-1),IFERROR(INDEX($G:$G,MATCH(AE26,$A:$A,0)),"")))))</f>
        <v/>
      </c>
      <c r="AG26" s="18" t="str">
        <f aca="false">IF(AF26="","",IF(IFERROR(INDEX($G:$G,MATCH(AF26,$A:$A,0)),"")="","",TRIM(IF(ISNUMBER(FIND(",",IFERROR(INDEX($G:$G,MATCH(AF26,$A:$A,0)),""))),LEFT(IFERROR(INDEX($G:$G,MATCH(AF26,$A:$A,0)),""),FIND(",",IFERROR(INDEX($G:$G,MATCH(AF26,$A:$A,0)),""))-1),IFERROR(INDEX($G:$G,MATCH(AF26,$A:$A,0)),"")))))</f>
        <v/>
      </c>
    </row>
    <row r="27" customFormat="false" ht="15" hidden="false" customHeight="false" outlineLevel="0" collapsed="false">
      <c r="A27" s="18"/>
      <c r="B27" s="19"/>
      <c r="C27" s="20"/>
      <c r="D27" s="20"/>
      <c r="E27" s="20"/>
      <c r="F27" s="20"/>
      <c r="G27" s="18"/>
      <c r="H27" s="20"/>
      <c r="I27" s="18"/>
      <c r="J27" s="20"/>
      <c r="K27" s="20"/>
      <c r="L27" s="20"/>
      <c r="M27" s="20"/>
      <c r="N27" s="20"/>
      <c r="O27" s="21" t="str">
        <f aca="false">IF(A27="","",IF(AD27="",0,IF(AE27="",1,IF(AF27="",2,IF(AG27="",3,"4+")))))</f>
        <v/>
      </c>
      <c r="P27" s="21" t="str">
        <f aca="false">IF(A27="","",B27&amp;IF(AD27="",""," &lt;- "&amp;IFERROR(INDEX($B:$B,MATCH(AD27,$A:$A,0)),AD27)&amp;IF(AE27="",""," &lt;- "&amp;IFERROR(INDEX($B:$B,MATCH(AE27,$A:$A,0)),AE27)&amp;IF(AF27="",""," &lt;- "&amp;IFERROR(INDEX($B:$B,MATCH(AF27,$A:$A,0)),AF27)&amp;IF(AG27="",""," &lt;- "&amp;IFERROR(INDEX($B:$B,MATCH(AG27,$A:$A,0)),AG27)))))&amp;IF(ISNUMBER(FIND(",",G27))," (+ other parents)",""))</f>
        <v/>
      </c>
      <c r="Q27" s="21" t="str">
        <f aca="false">IF(A27="","",IF(AD27="",E27&amp;"",IF(AE27="",IF(IFERROR(INDEX($E:$E,MATCH(AD27,$A:$A,0)),"")="","",INDEX($E:$E,MATCH(AD27,$A:$A,0))),IF(AF27="",IF(IFERROR(INDEX($E:$E,MATCH(AE27,$A:$A,0)),"")="","",INDEX($E:$E,MATCH(AE27,$A:$A,0))),IF(AG27="",IF(IFERROR(INDEX($E:$E,MATCH(AF27,$A:$A,0)),"")="","",INDEX($E:$E,MATCH(AF27,$A:$A,0))),IF(IFERROR(INDEX($E:$E,MATCH(AG27,$A:$A,0)),"")="","",INDEX($E:$E,MATCH(AG27,$A:$A,0))))))))</f>
        <v/>
      </c>
      <c r="R27" s="21" t="str">
        <f aca="false">IF(A27="","",COUNTIF(Fields!$D:$D,A27))</f>
        <v/>
      </c>
      <c r="S27" s="21" t="str">
        <f aca="false">IF(A27="","",SUMIF(Fields!$D:$D,A27,Fields!$Q:$Q))</f>
        <v/>
      </c>
      <c r="T27" s="21" t="str">
        <f aca="false">IF(A27="","",COUNTIF('Product inputs'!$D:$D,A27))</f>
        <v/>
      </c>
      <c r="U27" s="20"/>
      <c r="V27" s="20"/>
      <c r="W27" s="20"/>
      <c r="X27" s="20"/>
      <c r="Y27" s="20"/>
      <c r="Z27" s="20"/>
      <c r="AA27" s="20"/>
      <c r="AB27" s="20"/>
      <c r="AC27" s="20"/>
      <c r="AD27" s="18" t="str">
        <f aca="false">IF(A27="","",IF(IFERROR(INDEX($G:$G,MATCH(A27,$A:$A,0)),"")="","",TRIM(IF(ISNUMBER(FIND(",",IFERROR(INDEX($G:$G,MATCH(A27,$A:$A,0)),""))),LEFT(IFERROR(INDEX($G:$G,MATCH(A27,$A:$A,0)),""),FIND(",",IFERROR(INDEX($G:$G,MATCH(A27,$A:$A,0)),""))-1),IFERROR(INDEX($G:$G,MATCH(A27,$A:$A,0)),"")))))</f>
        <v/>
      </c>
      <c r="AE27" s="18" t="str">
        <f aca="false">IF(AD27="","",IF(IFERROR(INDEX($G:$G,MATCH(AD27,$A:$A,0)),"")="","",TRIM(IF(ISNUMBER(FIND(",",IFERROR(INDEX($G:$G,MATCH(AD27,$A:$A,0)),""))),LEFT(IFERROR(INDEX($G:$G,MATCH(AD27,$A:$A,0)),""),FIND(",",IFERROR(INDEX($G:$G,MATCH(AD27,$A:$A,0)),""))-1),IFERROR(INDEX($G:$G,MATCH(AD27,$A:$A,0)),"")))))</f>
        <v/>
      </c>
      <c r="AF27" s="18" t="str">
        <f aca="false">IF(AE27="","",IF(IFERROR(INDEX($G:$G,MATCH(AE27,$A:$A,0)),"")="","",TRIM(IF(ISNUMBER(FIND(",",IFERROR(INDEX($G:$G,MATCH(AE27,$A:$A,0)),""))),LEFT(IFERROR(INDEX($G:$G,MATCH(AE27,$A:$A,0)),""),FIND(",",IFERROR(INDEX($G:$G,MATCH(AE27,$A:$A,0)),""))-1),IFERROR(INDEX($G:$G,MATCH(AE27,$A:$A,0)),"")))))</f>
        <v/>
      </c>
      <c r="AG27" s="18" t="str">
        <f aca="false">IF(AF27="","",IF(IFERROR(INDEX($G:$G,MATCH(AF27,$A:$A,0)),"")="","",TRIM(IF(ISNUMBER(FIND(",",IFERROR(INDEX($G:$G,MATCH(AF27,$A:$A,0)),""))),LEFT(IFERROR(INDEX($G:$G,MATCH(AF27,$A:$A,0)),""),FIND(",",IFERROR(INDEX($G:$G,MATCH(AF27,$A:$A,0)),""))-1),IFERROR(INDEX($G:$G,MATCH(AF27,$A:$A,0)),"")))))</f>
        <v/>
      </c>
    </row>
    <row r="28" customFormat="false" ht="15" hidden="false" customHeight="false" outlineLevel="0" collapsed="false">
      <c r="A28" s="18"/>
      <c r="B28" s="19"/>
      <c r="C28" s="20"/>
      <c r="D28" s="20"/>
      <c r="E28" s="20"/>
      <c r="F28" s="20"/>
      <c r="G28" s="18"/>
      <c r="H28" s="20"/>
      <c r="I28" s="18"/>
      <c r="J28" s="20"/>
      <c r="K28" s="20"/>
      <c r="L28" s="20"/>
      <c r="M28" s="20"/>
      <c r="N28" s="20"/>
      <c r="O28" s="21" t="str">
        <f aca="false">IF(A28="","",IF(AD28="",0,IF(AE28="",1,IF(AF28="",2,IF(AG28="",3,"4+")))))</f>
        <v/>
      </c>
      <c r="P28" s="21" t="str">
        <f aca="false">IF(A28="","",B28&amp;IF(AD28="",""," &lt;- "&amp;IFERROR(INDEX($B:$B,MATCH(AD28,$A:$A,0)),AD28)&amp;IF(AE28="",""," &lt;- "&amp;IFERROR(INDEX($B:$B,MATCH(AE28,$A:$A,0)),AE28)&amp;IF(AF28="",""," &lt;- "&amp;IFERROR(INDEX($B:$B,MATCH(AF28,$A:$A,0)),AF28)&amp;IF(AG28="",""," &lt;- "&amp;IFERROR(INDEX($B:$B,MATCH(AG28,$A:$A,0)),AG28)))))&amp;IF(ISNUMBER(FIND(",",G28))," (+ other parents)",""))</f>
        <v/>
      </c>
      <c r="Q28" s="21" t="str">
        <f aca="false">IF(A28="","",IF(AD28="",E28&amp;"",IF(AE28="",IF(IFERROR(INDEX($E:$E,MATCH(AD28,$A:$A,0)),"")="","",INDEX($E:$E,MATCH(AD28,$A:$A,0))),IF(AF28="",IF(IFERROR(INDEX($E:$E,MATCH(AE28,$A:$A,0)),"")="","",INDEX($E:$E,MATCH(AE28,$A:$A,0))),IF(AG28="",IF(IFERROR(INDEX($E:$E,MATCH(AF28,$A:$A,0)),"")="","",INDEX($E:$E,MATCH(AF28,$A:$A,0))),IF(IFERROR(INDEX($E:$E,MATCH(AG28,$A:$A,0)),"")="","",INDEX($E:$E,MATCH(AG28,$A:$A,0))))))))</f>
        <v/>
      </c>
      <c r="R28" s="21" t="str">
        <f aca="false">IF(A28="","",COUNTIF(Fields!$D:$D,A28))</f>
        <v/>
      </c>
      <c r="S28" s="21" t="str">
        <f aca="false">IF(A28="","",SUMIF(Fields!$D:$D,A28,Fields!$Q:$Q))</f>
        <v/>
      </c>
      <c r="T28" s="21" t="str">
        <f aca="false">IF(A28="","",COUNTIF('Product inputs'!$D:$D,A28))</f>
        <v/>
      </c>
      <c r="U28" s="20"/>
      <c r="V28" s="20"/>
      <c r="W28" s="20"/>
      <c r="X28" s="20"/>
      <c r="Y28" s="20"/>
      <c r="Z28" s="20"/>
      <c r="AA28" s="20"/>
      <c r="AB28" s="20"/>
      <c r="AC28" s="20"/>
      <c r="AD28" s="18" t="str">
        <f aca="false">IF(A28="","",IF(IFERROR(INDEX($G:$G,MATCH(A28,$A:$A,0)),"")="","",TRIM(IF(ISNUMBER(FIND(",",IFERROR(INDEX($G:$G,MATCH(A28,$A:$A,0)),""))),LEFT(IFERROR(INDEX($G:$G,MATCH(A28,$A:$A,0)),""),FIND(",",IFERROR(INDEX($G:$G,MATCH(A28,$A:$A,0)),""))-1),IFERROR(INDEX($G:$G,MATCH(A28,$A:$A,0)),"")))))</f>
        <v/>
      </c>
      <c r="AE28" s="18" t="str">
        <f aca="false">IF(AD28="","",IF(IFERROR(INDEX($G:$G,MATCH(AD28,$A:$A,0)),"")="","",TRIM(IF(ISNUMBER(FIND(",",IFERROR(INDEX($G:$G,MATCH(AD28,$A:$A,0)),""))),LEFT(IFERROR(INDEX($G:$G,MATCH(AD28,$A:$A,0)),""),FIND(",",IFERROR(INDEX($G:$G,MATCH(AD28,$A:$A,0)),""))-1),IFERROR(INDEX($G:$G,MATCH(AD28,$A:$A,0)),"")))))</f>
        <v/>
      </c>
      <c r="AF28" s="18" t="str">
        <f aca="false">IF(AE28="","",IF(IFERROR(INDEX($G:$G,MATCH(AE28,$A:$A,0)),"")="","",TRIM(IF(ISNUMBER(FIND(",",IFERROR(INDEX($G:$G,MATCH(AE28,$A:$A,0)),""))),LEFT(IFERROR(INDEX($G:$G,MATCH(AE28,$A:$A,0)),""),FIND(",",IFERROR(INDEX($G:$G,MATCH(AE28,$A:$A,0)),""))-1),IFERROR(INDEX($G:$G,MATCH(AE28,$A:$A,0)),"")))))</f>
        <v/>
      </c>
      <c r="AG28" s="18" t="str">
        <f aca="false">IF(AF28="","",IF(IFERROR(INDEX($G:$G,MATCH(AF28,$A:$A,0)),"")="","",TRIM(IF(ISNUMBER(FIND(",",IFERROR(INDEX($G:$G,MATCH(AF28,$A:$A,0)),""))),LEFT(IFERROR(INDEX($G:$G,MATCH(AF28,$A:$A,0)),""),FIND(",",IFERROR(INDEX($G:$G,MATCH(AF28,$A:$A,0)),""))-1),IFERROR(INDEX($G:$G,MATCH(AF28,$A:$A,0)),"")))))</f>
        <v/>
      </c>
    </row>
    <row r="29" customFormat="false" ht="15" hidden="false" customHeight="false" outlineLevel="0" collapsed="false">
      <c r="A29" s="18"/>
      <c r="B29" s="19"/>
      <c r="C29" s="20"/>
      <c r="D29" s="20"/>
      <c r="E29" s="20"/>
      <c r="F29" s="20"/>
      <c r="G29" s="18"/>
      <c r="H29" s="20"/>
      <c r="I29" s="18"/>
      <c r="J29" s="20"/>
      <c r="K29" s="20"/>
      <c r="L29" s="20"/>
      <c r="M29" s="20"/>
      <c r="N29" s="20"/>
      <c r="O29" s="21" t="str">
        <f aca="false">IF(A29="","",IF(AD29="",0,IF(AE29="",1,IF(AF29="",2,IF(AG29="",3,"4+")))))</f>
        <v/>
      </c>
      <c r="P29" s="21" t="str">
        <f aca="false">IF(A29="","",B29&amp;IF(AD29="",""," &lt;- "&amp;IFERROR(INDEX($B:$B,MATCH(AD29,$A:$A,0)),AD29)&amp;IF(AE29="",""," &lt;- "&amp;IFERROR(INDEX($B:$B,MATCH(AE29,$A:$A,0)),AE29)&amp;IF(AF29="",""," &lt;- "&amp;IFERROR(INDEX($B:$B,MATCH(AF29,$A:$A,0)),AF29)&amp;IF(AG29="",""," &lt;- "&amp;IFERROR(INDEX($B:$B,MATCH(AG29,$A:$A,0)),AG29)))))&amp;IF(ISNUMBER(FIND(",",G29))," (+ other parents)",""))</f>
        <v/>
      </c>
      <c r="Q29" s="21" t="str">
        <f aca="false">IF(A29="","",IF(AD29="",E29&amp;"",IF(AE29="",IF(IFERROR(INDEX($E:$E,MATCH(AD29,$A:$A,0)),"")="","",INDEX($E:$E,MATCH(AD29,$A:$A,0))),IF(AF29="",IF(IFERROR(INDEX($E:$E,MATCH(AE29,$A:$A,0)),"")="","",INDEX($E:$E,MATCH(AE29,$A:$A,0))),IF(AG29="",IF(IFERROR(INDEX($E:$E,MATCH(AF29,$A:$A,0)),"")="","",INDEX($E:$E,MATCH(AF29,$A:$A,0))),IF(IFERROR(INDEX($E:$E,MATCH(AG29,$A:$A,0)),"")="","",INDEX($E:$E,MATCH(AG29,$A:$A,0))))))))</f>
        <v/>
      </c>
      <c r="R29" s="21" t="str">
        <f aca="false">IF(A29="","",COUNTIF(Fields!$D:$D,A29))</f>
        <v/>
      </c>
      <c r="S29" s="21" t="str">
        <f aca="false">IF(A29="","",SUMIF(Fields!$D:$D,A29,Fields!$Q:$Q))</f>
        <v/>
      </c>
      <c r="T29" s="21" t="str">
        <f aca="false">IF(A29="","",COUNTIF('Product inputs'!$D:$D,A29))</f>
        <v/>
      </c>
      <c r="U29" s="20"/>
      <c r="V29" s="20"/>
      <c r="W29" s="20"/>
      <c r="X29" s="20"/>
      <c r="Y29" s="20"/>
      <c r="Z29" s="20"/>
      <c r="AA29" s="20"/>
      <c r="AB29" s="20"/>
      <c r="AC29" s="20"/>
      <c r="AD29" s="18" t="str">
        <f aca="false">IF(A29="","",IF(IFERROR(INDEX($G:$G,MATCH(A29,$A:$A,0)),"")="","",TRIM(IF(ISNUMBER(FIND(",",IFERROR(INDEX($G:$G,MATCH(A29,$A:$A,0)),""))),LEFT(IFERROR(INDEX($G:$G,MATCH(A29,$A:$A,0)),""),FIND(",",IFERROR(INDEX($G:$G,MATCH(A29,$A:$A,0)),""))-1),IFERROR(INDEX($G:$G,MATCH(A29,$A:$A,0)),"")))))</f>
        <v/>
      </c>
      <c r="AE29" s="18" t="str">
        <f aca="false">IF(AD29="","",IF(IFERROR(INDEX($G:$G,MATCH(AD29,$A:$A,0)),"")="","",TRIM(IF(ISNUMBER(FIND(",",IFERROR(INDEX($G:$G,MATCH(AD29,$A:$A,0)),""))),LEFT(IFERROR(INDEX($G:$G,MATCH(AD29,$A:$A,0)),""),FIND(",",IFERROR(INDEX($G:$G,MATCH(AD29,$A:$A,0)),""))-1),IFERROR(INDEX($G:$G,MATCH(AD29,$A:$A,0)),"")))))</f>
        <v/>
      </c>
      <c r="AF29" s="18" t="str">
        <f aca="false">IF(AE29="","",IF(IFERROR(INDEX($G:$G,MATCH(AE29,$A:$A,0)),"")="","",TRIM(IF(ISNUMBER(FIND(",",IFERROR(INDEX($G:$G,MATCH(AE29,$A:$A,0)),""))),LEFT(IFERROR(INDEX($G:$G,MATCH(AE29,$A:$A,0)),""),FIND(",",IFERROR(INDEX($G:$G,MATCH(AE29,$A:$A,0)),""))-1),IFERROR(INDEX($G:$G,MATCH(AE29,$A:$A,0)),"")))))</f>
        <v/>
      </c>
      <c r="AG29" s="18" t="str">
        <f aca="false">IF(AF29="","",IF(IFERROR(INDEX($G:$G,MATCH(AF29,$A:$A,0)),"")="","",TRIM(IF(ISNUMBER(FIND(",",IFERROR(INDEX($G:$G,MATCH(AF29,$A:$A,0)),""))),LEFT(IFERROR(INDEX($G:$G,MATCH(AF29,$A:$A,0)),""),FIND(",",IFERROR(INDEX($G:$G,MATCH(AF29,$A:$A,0)),""))-1),IFERROR(INDEX($G:$G,MATCH(AF29,$A:$A,0)),"")))))</f>
        <v/>
      </c>
    </row>
    <row r="30" customFormat="false" ht="15" hidden="false" customHeight="false" outlineLevel="0" collapsed="false">
      <c r="A30" s="18"/>
      <c r="B30" s="19"/>
      <c r="C30" s="20"/>
      <c r="D30" s="20"/>
      <c r="E30" s="20"/>
      <c r="F30" s="20"/>
      <c r="G30" s="18"/>
      <c r="H30" s="20"/>
      <c r="I30" s="18"/>
      <c r="J30" s="20"/>
      <c r="K30" s="20"/>
      <c r="L30" s="20"/>
      <c r="M30" s="20"/>
      <c r="N30" s="20"/>
      <c r="O30" s="21" t="str">
        <f aca="false">IF(A30="","",IF(AD30="",0,IF(AE30="",1,IF(AF30="",2,IF(AG30="",3,"4+")))))</f>
        <v/>
      </c>
      <c r="P30" s="21" t="str">
        <f aca="false">IF(A30="","",B30&amp;IF(AD30="",""," &lt;- "&amp;IFERROR(INDEX($B:$B,MATCH(AD30,$A:$A,0)),AD30)&amp;IF(AE30="",""," &lt;- "&amp;IFERROR(INDEX($B:$B,MATCH(AE30,$A:$A,0)),AE30)&amp;IF(AF30="",""," &lt;- "&amp;IFERROR(INDEX($B:$B,MATCH(AF30,$A:$A,0)),AF30)&amp;IF(AG30="",""," &lt;- "&amp;IFERROR(INDEX($B:$B,MATCH(AG30,$A:$A,0)),AG30)))))&amp;IF(ISNUMBER(FIND(",",G30))," (+ other parents)",""))</f>
        <v/>
      </c>
      <c r="Q30" s="21" t="str">
        <f aca="false">IF(A30="","",IF(AD30="",E30&amp;"",IF(AE30="",IF(IFERROR(INDEX($E:$E,MATCH(AD30,$A:$A,0)),"")="","",INDEX($E:$E,MATCH(AD30,$A:$A,0))),IF(AF30="",IF(IFERROR(INDEX($E:$E,MATCH(AE30,$A:$A,0)),"")="","",INDEX($E:$E,MATCH(AE30,$A:$A,0))),IF(AG30="",IF(IFERROR(INDEX($E:$E,MATCH(AF30,$A:$A,0)),"")="","",INDEX($E:$E,MATCH(AF30,$A:$A,0))),IF(IFERROR(INDEX($E:$E,MATCH(AG30,$A:$A,0)),"")="","",INDEX($E:$E,MATCH(AG30,$A:$A,0))))))))</f>
        <v/>
      </c>
      <c r="R30" s="21" t="str">
        <f aca="false">IF(A30="","",COUNTIF(Fields!$D:$D,A30))</f>
        <v/>
      </c>
      <c r="S30" s="21" t="str">
        <f aca="false">IF(A30="","",SUMIF(Fields!$D:$D,A30,Fields!$Q:$Q))</f>
        <v/>
      </c>
      <c r="T30" s="21" t="str">
        <f aca="false">IF(A30="","",COUNTIF('Product inputs'!$D:$D,A30))</f>
        <v/>
      </c>
      <c r="U30" s="20"/>
      <c r="V30" s="20"/>
      <c r="W30" s="20"/>
      <c r="X30" s="20"/>
      <c r="Y30" s="20"/>
      <c r="Z30" s="20"/>
      <c r="AA30" s="20"/>
      <c r="AB30" s="20"/>
      <c r="AC30" s="20"/>
      <c r="AD30" s="18" t="str">
        <f aca="false">IF(A30="","",IF(IFERROR(INDEX($G:$G,MATCH(A30,$A:$A,0)),"")="","",TRIM(IF(ISNUMBER(FIND(",",IFERROR(INDEX($G:$G,MATCH(A30,$A:$A,0)),""))),LEFT(IFERROR(INDEX($G:$G,MATCH(A30,$A:$A,0)),""),FIND(",",IFERROR(INDEX($G:$G,MATCH(A30,$A:$A,0)),""))-1),IFERROR(INDEX($G:$G,MATCH(A30,$A:$A,0)),"")))))</f>
        <v/>
      </c>
      <c r="AE30" s="18" t="str">
        <f aca="false">IF(AD30="","",IF(IFERROR(INDEX($G:$G,MATCH(AD30,$A:$A,0)),"")="","",TRIM(IF(ISNUMBER(FIND(",",IFERROR(INDEX($G:$G,MATCH(AD30,$A:$A,0)),""))),LEFT(IFERROR(INDEX($G:$G,MATCH(AD30,$A:$A,0)),""),FIND(",",IFERROR(INDEX($G:$G,MATCH(AD30,$A:$A,0)),""))-1),IFERROR(INDEX($G:$G,MATCH(AD30,$A:$A,0)),"")))))</f>
        <v/>
      </c>
      <c r="AF30" s="18" t="str">
        <f aca="false">IF(AE30="","",IF(IFERROR(INDEX($G:$G,MATCH(AE30,$A:$A,0)),"")="","",TRIM(IF(ISNUMBER(FIND(",",IFERROR(INDEX($G:$G,MATCH(AE30,$A:$A,0)),""))),LEFT(IFERROR(INDEX($G:$G,MATCH(AE30,$A:$A,0)),""),FIND(",",IFERROR(INDEX($G:$G,MATCH(AE30,$A:$A,0)),""))-1),IFERROR(INDEX($G:$G,MATCH(AE30,$A:$A,0)),"")))))</f>
        <v/>
      </c>
      <c r="AG30" s="18" t="str">
        <f aca="false">IF(AF30="","",IF(IFERROR(INDEX($G:$G,MATCH(AF30,$A:$A,0)),"")="","",TRIM(IF(ISNUMBER(FIND(",",IFERROR(INDEX($G:$G,MATCH(AF30,$A:$A,0)),""))),LEFT(IFERROR(INDEX($G:$G,MATCH(AF30,$A:$A,0)),""),FIND(",",IFERROR(INDEX($G:$G,MATCH(AF30,$A:$A,0)),""))-1),IFERROR(INDEX($G:$G,MATCH(AF30,$A:$A,0)),"")))))</f>
        <v/>
      </c>
    </row>
    <row r="31" customFormat="false" ht="15" hidden="false" customHeight="false" outlineLevel="0" collapsed="false">
      <c r="A31" s="18"/>
      <c r="B31" s="19"/>
      <c r="C31" s="20"/>
      <c r="D31" s="20"/>
      <c r="E31" s="20"/>
      <c r="F31" s="20"/>
      <c r="G31" s="18"/>
      <c r="H31" s="20"/>
      <c r="I31" s="18"/>
      <c r="J31" s="20"/>
      <c r="K31" s="20"/>
      <c r="L31" s="20"/>
      <c r="M31" s="20"/>
      <c r="N31" s="20"/>
      <c r="O31" s="21" t="str">
        <f aca="false">IF(A31="","",IF(AD31="",0,IF(AE31="",1,IF(AF31="",2,IF(AG31="",3,"4+")))))</f>
        <v/>
      </c>
      <c r="P31" s="21" t="str">
        <f aca="false">IF(A31="","",B31&amp;IF(AD31="",""," &lt;- "&amp;IFERROR(INDEX($B:$B,MATCH(AD31,$A:$A,0)),AD31)&amp;IF(AE31="",""," &lt;- "&amp;IFERROR(INDEX($B:$B,MATCH(AE31,$A:$A,0)),AE31)&amp;IF(AF31="",""," &lt;- "&amp;IFERROR(INDEX($B:$B,MATCH(AF31,$A:$A,0)),AF31)&amp;IF(AG31="",""," &lt;- "&amp;IFERROR(INDEX($B:$B,MATCH(AG31,$A:$A,0)),AG31)))))&amp;IF(ISNUMBER(FIND(",",G31))," (+ other parents)",""))</f>
        <v/>
      </c>
      <c r="Q31" s="21" t="str">
        <f aca="false">IF(A31="","",IF(AD31="",E31&amp;"",IF(AE31="",IF(IFERROR(INDEX($E:$E,MATCH(AD31,$A:$A,0)),"")="","",INDEX($E:$E,MATCH(AD31,$A:$A,0))),IF(AF31="",IF(IFERROR(INDEX($E:$E,MATCH(AE31,$A:$A,0)),"")="","",INDEX($E:$E,MATCH(AE31,$A:$A,0))),IF(AG31="",IF(IFERROR(INDEX($E:$E,MATCH(AF31,$A:$A,0)),"")="","",INDEX($E:$E,MATCH(AF31,$A:$A,0))),IF(IFERROR(INDEX($E:$E,MATCH(AG31,$A:$A,0)),"")="","",INDEX($E:$E,MATCH(AG31,$A:$A,0))))))))</f>
        <v/>
      </c>
      <c r="R31" s="21" t="str">
        <f aca="false">IF(A31="","",COUNTIF(Fields!$D:$D,A31))</f>
        <v/>
      </c>
      <c r="S31" s="21" t="str">
        <f aca="false">IF(A31="","",SUMIF(Fields!$D:$D,A31,Fields!$Q:$Q))</f>
        <v/>
      </c>
      <c r="T31" s="21" t="str">
        <f aca="false">IF(A31="","",COUNTIF('Product inputs'!$D:$D,A31))</f>
        <v/>
      </c>
      <c r="U31" s="20"/>
      <c r="V31" s="20"/>
      <c r="W31" s="20"/>
      <c r="X31" s="20"/>
      <c r="Y31" s="20"/>
      <c r="Z31" s="20"/>
      <c r="AA31" s="20"/>
      <c r="AB31" s="20"/>
      <c r="AC31" s="20"/>
      <c r="AD31" s="18" t="str">
        <f aca="false">IF(A31="","",IF(IFERROR(INDEX($G:$G,MATCH(A31,$A:$A,0)),"")="","",TRIM(IF(ISNUMBER(FIND(",",IFERROR(INDEX($G:$G,MATCH(A31,$A:$A,0)),""))),LEFT(IFERROR(INDEX($G:$G,MATCH(A31,$A:$A,0)),""),FIND(",",IFERROR(INDEX($G:$G,MATCH(A31,$A:$A,0)),""))-1),IFERROR(INDEX($G:$G,MATCH(A31,$A:$A,0)),"")))))</f>
        <v/>
      </c>
      <c r="AE31" s="18" t="str">
        <f aca="false">IF(AD31="","",IF(IFERROR(INDEX($G:$G,MATCH(AD31,$A:$A,0)),"")="","",TRIM(IF(ISNUMBER(FIND(",",IFERROR(INDEX($G:$G,MATCH(AD31,$A:$A,0)),""))),LEFT(IFERROR(INDEX($G:$G,MATCH(AD31,$A:$A,0)),""),FIND(",",IFERROR(INDEX($G:$G,MATCH(AD31,$A:$A,0)),""))-1),IFERROR(INDEX($G:$G,MATCH(AD31,$A:$A,0)),"")))))</f>
        <v/>
      </c>
      <c r="AF31" s="18" t="str">
        <f aca="false">IF(AE31="","",IF(IFERROR(INDEX($G:$G,MATCH(AE31,$A:$A,0)),"")="","",TRIM(IF(ISNUMBER(FIND(",",IFERROR(INDEX($G:$G,MATCH(AE31,$A:$A,0)),""))),LEFT(IFERROR(INDEX($G:$G,MATCH(AE31,$A:$A,0)),""),FIND(",",IFERROR(INDEX($G:$G,MATCH(AE31,$A:$A,0)),""))-1),IFERROR(INDEX($G:$G,MATCH(AE31,$A:$A,0)),"")))))</f>
        <v/>
      </c>
      <c r="AG31" s="18" t="str">
        <f aca="false">IF(AF31="","",IF(IFERROR(INDEX($G:$G,MATCH(AF31,$A:$A,0)),"")="","",TRIM(IF(ISNUMBER(FIND(",",IFERROR(INDEX($G:$G,MATCH(AF31,$A:$A,0)),""))),LEFT(IFERROR(INDEX($G:$G,MATCH(AF31,$A:$A,0)),""),FIND(",",IFERROR(INDEX($G:$G,MATCH(AF31,$A:$A,0)),""))-1),IFERROR(INDEX($G:$G,MATCH(AF31,$A:$A,0)),"")))))</f>
        <v/>
      </c>
    </row>
    <row r="32" customFormat="false" ht="15" hidden="false" customHeight="false" outlineLevel="0" collapsed="false">
      <c r="A32" s="18"/>
      <c r="B32" s="19"/>
      <c r="C32" s="20"/>
      <c r="D32" s="20"/>
      <c r="E32" s="20"/>
      <c r="F32" s="20"/>
      <c r="G32" s="18"/>
      <c r="H32" s="20"/>
      <c r="I32" s="18"/>
      <c r="J32" s="20"/>
      <c r="K32" s="20"/>
      <c r="L32" s="20"/>
      <c r="M32" s="20"/>
      <c r="N32" s="20"/>
      <c r="O32" s="21" t="str">
        <f aca="false">IF(A32="","",IF(AD32="",0,IF(AE32="",1,IF(AF32="",2,IF(AG32="",3,"4+")))))</f>
        <v/>
      </c>
      <c r="P32" s="21" t="str">
        <f aca="false">IF(A32="","",B32&amp;IF(AD32="",""," &lt;- "&amp;IFERROR(INDEX($B:$B,MATCH(AD32,$A:$A,0)),AD32)&amp;IF(AE32="",""," &lt;- "&amp;IFERROR(INDEX($B:$B,MATCH(AE32,$A:$A,0)),AE32)&amp;IF(AF32="",""," &lt;- "&amp;IFERROR(INDEX($B:$B,MATCH(AF32,$A:$A,0)),AF32)&amp;IF(AG32="",""," &lt;- "&amp;IFERROR(INDEX($B:$B,MATCH(AG32,$A:$A,0)),AG32)))))&amp;IF(ISNUMBER(FIND(",",G32))," (+ other parents)",""))</f>
        <v/>
      </c>
      <c r="Q32" s="21" t="str">
        <f aca="false">IF(A32="","",IF(AD32="",E32&amp;"",IF(AE32="",IF(IFERROR(INDEX($E:$E,MATCH(AD32,$A:$A,0)),"")="","",INDEX($E:$E,MATCH(AD32,$A:$A,0))),IF(AF32="",IF(IFERROR(INDEX($E:$E,MATCH(AE32,$A:$A,0)),"")="","",INDEX($E:$E,MATCH(AE32,$A:$A,0))),IF(AG32="",IF(IFERROR(INDEX($E:$E,MATCH(AF32,$A:$A,0)),"")="","",INDEX($E:$E,MATCH(AF32,$A:$A,0))),IF(IFERROR(INDEX($E:$E,MATCH(AG32,$A:$A,0)),"")="","",INDEX($E:$E,MATCH(AG32,$A:$A,0))))))))</f>
        <v/>
      </c>
      <c r="R32" s="21" t="str">
        <f aca="false">IF(A32="","",COUNTIF(Fields!$D:$D,A32))</f>
        <v/>
      </c>
      <c r="S32" s="21" t="str">
        <f aca="false">IF(A32="","",SUMIF(Fields!$D:$D,A32,Fields!$Q:$Q))</f>
        <v/>
      </c>
      <c r="T32" s="21" t="str">
        <f aca="false">IF(A32="","",COUNTIF('Product inputs'!$D:$D,A32))</f>
        <v/>
      </c>
      <c r="U32" s="20"/>
      <c r="V32" s="20"/>
      <c r="W32" s="20"/>
      <c r="X32" s="20"/>
      <c r="Y32" s="20"/>
      <c r="Z32" s="20"/>
      <c r="AA32" s="20"/>
      <c r="AB32" s="20"/>
      <c r="AC32" s="20"/>
      <c r="AD32" s="18" t="str">
        <f aca="false">IF(A32="","",IF(IFERROR(INDEX($G:$G,MATCH(A32,$A:$A,0)),"")="","",TRIM(IF(ISNUMBER(FIND(",",IFERROR(INDEX($G:$G,MATCH(A32,$A:$A,0)),""))),LEFT(IFERROR(INDEX($G:$G,MATCH(A32,$A:$A,0)),""),FIND(",",IFERROR(INDEX($G:$G,MATCH(A32,$A:$A,0)),""))-1),IFERROR(INDEX($G:$G,MATCH(A32,$A:$A,0)),"")))))</f>
        <v/>
      </c>
      <c r="AE32" s="18" t="str">
        <f aca="false">IF(AD32="","",IF(IFERROR(INDEX($G:$G,MATCH(AD32,$A:$A,0)),"")="","",TRIM(IF(ISNUMBER(FIND(",",IFERROR(INDEX($G:$G,MATCH(AD32,$A:$A,0)),""))),LEFT(IFERROR(INDEX($G:$G,MATCH(AD32,$A:$A,0)),""),FIND(",",IFERROR(INDEX($G:$G,MATCH(AD32,$A:$A,0)),""))-1),IFERROR(INDEX($G:$G,MATCH(AD32,$A:$A,0)),"")))))</f>
        <v/>
      </c>
      <c r="AF32" s="18" t="str">
        <f aca="false">IF(AE32="","",IF(IFERROR(INDEX($G:$G,MATCH(AE32,$A:$A,0)),"")="","",TRIM(IF(ISNUMBER(FIND(",",IFERROR(INDEX($G:$G,MATCH(AE32,$A:$A,0)),""))),LEFT(IFERROR(INDEX($G:$G,MATCH(AE32,$A:$A,0)),""),FIND(",",IFERROR(INDEX($G:$G,MATCH(AE32,$A:$A,0)),""))-1),IFERROR(INDEX($G:$G,MATCH(AE32,$A:$A,0)),"")))))</f>
        <v/>
      </c>
      <c r="AG32" s="18" t="str">
        <f aca="false">IF(AF32="","",IF(IFERROR(INDEX($G:$G,MATCH(AF32,$A:$A,0)),"")="","",TRIM(IF(ISNUMBER(FIND(",",IFERROR(INDEX($G:$G,MATCH(AF32,$A:$A,0)),""))),LEFT(IFERROR(INDEX($G:$G,MATCH(AF32,$A:$A,0)),""),FIND(",",IFERROR(INDEX($G:$G,MATCH(AF32,$A:$A,0)),""))-1),IFERROR(INDEX($G:$G,MATCH(AF32,$A:$A,0)),"")))))</f>
        <v/>
      </c>
    </row>
    <row r="33" customFormat="false" ht="15" hidden="false" customHeight="false" outlineLevel="0" collapsed="false">
      <c r="A33" s="18"/>
      <c r="B33" s="19"/>
      <c r="C33" s="20"/>
      <c r="D33" s="20"/>
      <c r="E33" s="20"/>
      <c r="F33" s="20"/>
      <c r="G33" s="18"/>
      <c r="H33" s="20"/>
      <c r="I33" s="18"/>
      <c r="J33" s="20"/>
      <c r="K33" s="20"/>
      <c r="L33" s="20"/>
      <c r="M33" s="20"/>
      <c r="N33" s="20"/>
      <c r="O33" s="21" t="str">
        <f aca="false">IF(A33="","",IF(AD33="",0,IF(AE33="",1,IF(AF33="",2,IF(AG33="",3,"4+")))))</f>
        <v/>
      </c>
      <c r="P33" s="21" t="str">
        <f aca="false">IF(A33="","",B33&amp;IF(AD33="",""," &lt;- "&amp;IFERROR(INDEX($B:$B,MATCH(AD33,$A:$A,0)),AD33)&amp;IF(AE33="",""," &lt;- "&amp;IFERROR(INDEX($B:$B,MATCH(AE33,$A:$A,0)),AE33)&amp;IF(AF33="",""," &lt;- "&amp;IFERROR(INDEX($B:$B,MATCH(AF33,$A:$A,0)),AF33)&amp;IF(AG33="",""," &lt;- "&amp;IFERROR(INDEX($B:$B,MATCH(AG33,$A:$A,0)),AG33)))))&amp;IF(ISNUMBER(FIND(",",G33))," (+ other parents)",""))</f>
        <v/>
      </c>
      <c r="Q33" s="21" t="str">
        <f aca="false">IF(A33="","",IF(AD33="",E33&amp;"",IF(AE33="",IF(IFERROR(INDEX($E:$E,MATCH(AD33,$A:$A,0)),"")="","",INDEX($E:$E,MATCH(AD33,$A:$A,0))),IF(AF33="",IF(IFERROR(INDEX($E:$E,MATCH(AE33,$A:$A,0)),"")="","",INDEX($E:$E,MATCH(AE33,$A:$A,0))),IF(AG33="",IF(IFERROR(INDEX($E:$E,MATCH(AF33,$A:$A,0)),"")="","",INDEX($E:$E,MATCH(AF33,$A:$A,0))),IF(IFERROR(INDEX($E:$E,MATCH(AG33,$A:$A,0)),"")="","",INDEX($E:$E,MATCH(AG33,$A:$A,0))))))))</f>
        <v/>
      </c>
      <c r="R33" s="21" t="str">
        <f aca="false">IF(A33="","",COUNTIF(Fields!$D:$D,A33))</f>
        <v/>
      </c>
      <c r="S33" s="21" t="str">
        <f aca="false">IF(A33="","",SUMIF(Fields!$D:$D,A33,Fields!$Q:$Q))</f>
        <v/>
      </c>
      <c r="T33" s="21" t="str">
        <f aca="false">IF(A33="","",COUNTIF('Product inputs'!$D:$D,A33))</f>
        <v/>
      </c>
      <c r="U33" s="20"/>
      <c r="V33" s="20"/>
      <c r="W33" s="20"/>
      <c r="X33" s="20"/>
      <c r="Y33" s="20"/>
      <c r="Z33" s="20"/>
      <c r="AA33" s="20"/>
      <c r="AB33" s="20"/>
      <c r="AC33" s="20"/>
      <c r="AD33" s="18" t="str">
        <f aca="false">IF(A33="","",IF(IFERROR(INDEX($G:$G,MATCH(A33,$A:$A,0)),"")="","",TRIM(IF(ISNUMBER(FIND(",",IFERROR(INDEX($G:$G,MATCH(A33,$A:$A,0)),""))),LEFT(IFERROR(INDEX($G:$G,MATCH(A33,$A:$A,0)),""),FIND(",",IFERROR(INDEX($G:$G,MATCH(A33,$A:$A,0)),""))-1),IFERROR(INDEX($G:$G,MATCH(A33,$A:$A,0)),"")))))</f>
        <v/>
      </c>
      <c r="AE33" s="18" t="str">
        <f aca="false">IF(AD33="","",IF(IFERROR(INDEX($G:$G,MATCH(AD33,$A:$A,0)),"")="","",TRIM(IF(ISNUMBER(FIND(",",IFERROR(INDEX($G:$G,MATCH(AD33,$A:$A,0)),""))),LEFT(IFERROR(INDEX($G:$G,MATCH(AD33,$A:$A,0)),""),FIND(",",IFERROR(INDEX($G:$G,MATCH(AD33,$A:$A,0)),""))-1),IFERROR(INDEX($G:$G,MATCH(AD33,$A:$A,0)),"")))))</f>
        <v/>
      </c>
      <c r="AF33" s="18" t="str">
        <f aca="false">IF(AE33="","",IF(IFERROR(INDEX($G:$G,MATCH(AE33,$A:$A,0)),"")="","",TRIM(IF(ISNUMBER(FIND(",",IFERROR(INDEX($G:$G,MATCH(AE33,$A:$A,0)),""))),LEFT(IFERROR(INDEX($G:$G,MATCH(AE33,$A:$A,0)),""),FIND(",",IFERROR(INDEX($G:$G,MATCH(AE33,$A:$A,0)),""))-1),IFERROR(INDEX($G:$G,MATCH(AE33,$A:$A,0)),"")))))</f>
        <v/>
      </c>
      <c r="AG33" s="18" t="str">
        <f aca="false">IF(AF33="","",IF(IFERROR(INDEX($G:$G,MATCH(AF33,$A:$A,0)),"")="","",TRIM(IF(ISNUMBER(FIND(",",IFERROR(INDEX($G:$G,MATCH(AF33,$A:$A,0)),""))),LEFT(IFERROR(INDEX($G:$G,MATCH(AF33,$A:$A,0)),""),FIND(",",IFERROR(INDEX($G:$G,MATCH(AF33,$A:$A,0)),""))-1),IFERROR(INDEX($G:$G,MATCH(AF33,$A:$A,0)),"")))))</f>
        <v/>
      </c>
    </row>
    <row r="34" customFormat="false" ht="15" hidden="false" customHeight="false" outlineLevel="0" collapsed="false">
      <c r="A34" s="18"/>
      <c r="B34" s="19"/>
      <c r="C34" s="20"/>
      <c r="D34" s="20"/>
      <c r="E34" s="20"/>
      <c r="F34" s="20"/>
      <c r="G34" s="18"/>
      <c r="H34" s="20"/>
      <c r="I34" s="18"/>
      <c r="J34" s="20"/>
      <c r="K34" s="20"/>
      <c r="L34" s="20"/>
      <c r="M34" s="20"/>
      <c r="N34" s="20"/>
      <c r="O34" s="21" t="str">
        <f aca="false">IF(A34="","",IF(AD34="",0,IF(AE34="",1,IF(AF34="",2,IF(AG34="",3,"4+")))))</f>
        <v/>
      </c>
      <c r="P34" s="21" t="str">
        <f aca="false">IF(A34="","",B34&amp;IF(AD34="",""," &lt;- "&amp;IFERROR(INDEX($B:$B,MATCH(AD34,$A:$A,0)),AD34)&amp;IF(AE34="",""," &lt;- "&amp;IFERROR(INDEX($B:$B,MATCH(AE34,$A:$A,0)),AE34)&amp;IF(AF34="",""," &lt;- "&amp;IFERROR(INDEX($B:$B,MATCH(AF34,$A:$A,0)),AF34)&amp;IF(AG34="",""," &lt;- "&amp;IFERROR(INDEX($B:$B,MATCH(AG34,$A:$A,0)),AG34)))))&amp;IF(ISNUMBER(FIND(",",G34))," (+ other parents)",""))</f>
        <v/>
      </c>
      <c r="Q34" s="21" t="str">
        <f aca="false">IF(A34="","",IF(AD34="",E34&amp;"",IF(AE34="",IF(IFERROR(INDEX($E:$E,MATCH(AD34,$A:$A,0)),"")="","",INDEX($E:$E,MATCH(AD34,$A:$A,0))),IF(AF34="",IF(IFERROR(INDEX($E:$E,MATCH(AE34,$A:$A,0)),"")="","",INDEX($E:$E,MATCH(AE34,$A:$A,0))),IF(AG34="",IF(IFERROR(INDEX($E:$E,MATCH(AF34,$A:$A,0)),"")="","",INDEX($E:$E,MATCH(AF34,$A:$A,0))),IF(IFERROR(INDEX($E:$E,MATCH(AG34,$A:$A,0)),"")="","",INDEX($E:$E,MATCH(AG34,$A:$A,0))))))))</f>
        <v/>
      </c>
      <c r="R34" s="21" t="str">
        <f aca="false">IF(A34="","",COUNTIF(Fields!$D:$D,A34))</f>
        <v/>
      </c>
      <c r="S34" s="21" t="str">
        <f aca="false">IF(A34="","",SUMIF(Fields!$D:$D,A34,Fields!$Q:$Q))</f>
        <v/>
      </c>
      <c r="T34" s="21" t="str">
        <f aca="false">IF(A34="","",COUNTIF('Product inputs'!$D:$D,A34))</f>
        <v/>
      </c>
      <c r="U34" s="20"/>
      <c r="V34" s="20"/>
      <c r="W34" s="20"/>
      <c r="X34" s="20"/>
      <c r="Y34" s="20"/>
      <c r="Z34" s="20"/>
      <c r="AA34" s="20"/>
      <c r="AB34" s="20"/>
      <c r="AC34" s="20"/>
      <c r="AD34" s="18" t="str">
        <f aca="false">IF(A34="","",IF(IFERROR(INDEX($G:$G,MATCH(A34,$A:$A,0)),"")="","",TRIM(IF(ISNUMBER(FIND(",",IFERROR(INDEX($G:$G,MATCH(A34,$A:$A,0)),""))),LEFT(IFERROR(INDEX($G:$G,MATCH(A34,$A:$A,0)),""),FIND(",",IFERROR(INDEX($G:$G,MATCH(A34,$A:$A,0)),""))-1),IFERROR(INDEX($G:$G,MATCH(A34,$A:$A,0)),"")))))</f>
        <v/>
      </c>
      <c r="AE34" s="18" t="str">
        <f aca="false">IF(AD34="","",IF(IFERROR(INDEX($G:$G,MATCH(AD34,$A:$A,0)),"")="","",TRIM(IF(ISNUMBER(FIND(",",IFERROR(INDEX($G:$G,MATCH(AD34,$A:$A,0)),""))),LEFT(IFERROR(INDEX($G:$G,MATCH(AD34,$A:$A,0)),""),FIND(",",IFERROR(INDEX($G:$G,MATCH(AD34,$A:$A,0)),""))-1),IFERROR(INDEX($G:$G,MATCH(AD34,$A:$A,0)),"")))))</f>
        <v/>
      </c>
      <c r="AF34" s="18" t="str">
        <f aca="false">IF(AE34="","",IF(IFERROR(INDEX($G:$G,MATCH(AE34,$A:$A,0)),"")="","",TRIM(IF(ISNUMBER(FIND(",",IFERROR(INDEX($G:$G,MATCH(AE34,$A:$A,0)),""))),LEFT(IFERROR(INDEX($G:$G,MATCH(AE34,$A:$A,0)),""),FIND(",",IFERROR(INDEX($G:$G,MATCH(AE34,$A:$A,0)),""))-1),IFERROR(INDEX($G:$G,MATCH(AE34,$A:$A,0)),"")))))</f>
        <v/>
      </c>
      <c r="AG34" s="18" t="str">
        <f aca="false">IF(AF34="","",IF(IFERROR(INDEX($G:$G,MATCH(AF34,$A:$A,0)),"")="","",TRIM(IF(ISNUMBER(FIND(",",IFERROR(INDEX($G:$G,MATCH(AF34,$A:$A,0)),""))),LEFT(IFERROR(INDEX($G:$G,MATCH(AF34,$A:$A,0)),""),FIND(",",IFERROR(INDEX($G:$G,MATCH(AF34,$A:$A,0)),""))-1),IFERROR(INDEX($G:$G,MATCH(AF34,$A:$A,0)),"")))))</f>
        <v/>
      </c>
    </row>
    <row r="35" customFormat="false" ht="15" hidden="false" customHeight="false" outlineLevel="0" collapsed="false">
      <c r="A35" s="18"/>
      <c r="B35" s="19"/>
      <c r="C35" s="20"/>
      <c r="D35" s="20"/>
      <c r="E35" s="20"/>
      <c r="F35" s="20"/>
      <c r="G35" s="18"/>
      <c r="H35" s="20"/>
      <c r="I35" s="18"/>
      <c r="J35" s="20"/>
      <c r="K35" s="20"/>
      <c r="L35" s="20"/>
      <c r="M35" s="20"/>
      <c r="N35" s="20"/>
      <c r="O35" s="21" t="str">
        <f aca="false">IF(A35="","",IF(AD35="",0,IF(AE35="",1,IF(AF35="",2,IF(AG35="",3,"4+")))))</f>
        <v/>
      </c>
      <c r="P35" s="21" t="str">
        <f aca="false">IF(A35="","",B35&amp;IF(AD35="",""," &lt;- "&amp;IFERROR(INDEX($B:$B,MATCH(AD35,$A:$A,0)),AD35)&amp;IF(AE35="",""," &lt;- "&amp;IFERROR(INDEX($B:$B,MATCH(AE35,$A:$A,0)),AE35)&amp;IF(AF35="",""," &lt;- "&amp;IFERROR(INDEX($B:$B,MATCH(AF35,$A:$A,0)),AF35)&amp;IF(AG35="",""," &lt;- "&amp;IFERROR(INDEX($B:$B,MATCH(AG35,$A:$A,0)),AG35)))))&amp;IF(ISNUMBER(FIND(",",G35))," (+ other parents)",""))</f>
        <v/>
      </c>
      <c r="Q35" s="21" t="str">
        <f aca="false">IF(A35="","",IF(AD35="",E35&amp;"",IF(AE35="",IF(IFERROR(INDEX($E:$E,MATCH(AD35,$A:$A,0)),"")="","",INDEX($E:$E,MATCH(AD35,$A:$A,0))),IF(AF35="",IF(IFERROR(INDEX($E:$E,MATCH(AE35,$A:$A,0)),"")="","",INDEX($E:$E,MATCH(AE35,$A:$A,0))),IF(AG35="",IF(IFERROR(INDEX($E:$E,MATCH(AF35,$A:$A,0)),"")="","",INDEX($E:$E,MATCH(AF35,$A:$A,0))),IF(IFERROR(INDEX($E:$E,MATCH(AG35,$A:$A,0)),"")="","",INDEX($E:$E,MATCH(AG35,$A:$A,0))))))))</f>
        <v/>
      </c>
      <c r="R35" s="21" t="str">
        <f aca="false">IF(A35="","",COUNTIF(Fields!$D:$D,A35))</f>
        <v/>
      </c>
      <c r="S35" s="21" t="str">
        <f aca="false">IF(A35="","",SUMIF(Fields!$D:$D,A35,Fields!$Q:$Q))</f>
        <v/>
      </c>
      <c r="T35" s="21" t="str">
        <f aca="false">IF(A35="","",COUNTIF('Product inputs'!$D:$D,A35))</f>
        <v/>
      </c>
      <c r="U35" s="20"/>
      <c r="V35" s="20"/>
      <c r="W35" s="20"/>
      <c r="X35" s="20"/>
      <c r="Y35" s="20"/>
      <c r="Z35" s="20"/>
      <c r="AA35" s="20"/>
      <c r="AB35" s="20"/>
      <c r="AC35" s="20"/>
      <c r="AD35" s="18" t="str">
        <f aca="false">IF(A35="","",IF(IFERROR(INDEX($G:$G,MATCH(A35,$A:$A,0)),"")="","",TRIM(IF(ISNUMBER(FIND(",",IFERROR(INDEX($G:$G,MATCH(A35,$A:$A,0)),""))),LEFT(IFERROR(INDEX($G:$G,MATCH(A35,$A:$A,0)),""),FIND(",",IFERROR(INDEX($G:$G,MATCH(A35,$A:$A,0)),""))-1),IFERROR(INDEX($G:$G,MATCH(A35,$A:$A,0)),"")))))</f>
        <v/>
      </c>
      <c r="AE35" s="18" t="str">
        <f aca="false">IF(AD35="","",IF(IFERROR(INDEX($G:$G,MATCH(AD35,$A:$A,0)),"")="","",TRIM(IF(ISNUMBER(FIND(",",IFERROR(INDEX($G:$G,MATCH(AD35,$A:$A,0)),""))),LEFT(IFERROR(INDEX($G:$G,MATCH(AD35,$A:$A,0)),""),FIND(",",IFERROR(INDEX($G:$G,MATCH(AD35,$A:$A,0)),""))-1),IFERROR(INDEX($G:$G,MATCH(AD35,$A:$A,0)),"")))))</f>
        <v/>
      </c>
      <c r="AF35" s="18" t="str">
        <f aca="false">IF(AE35="","",IF(IFERROR(INDEX($G:$G,MATCH(AE35,$A:$A,0)),"")="","",TRIM(IF(ISNUMBER(FIND(",",IFERROR(INDEX($G:$G,MATCH(AE35,$A:$A,0)),""))),LEFT(IFERROR(INDEX($G:$G,MATCH(AE35,$A:$A,0)),""),FIND(",",IFERROR(INDEX($G:$G,MATCH(AE35,$A:$A,0)),""))-1),IFERROR(INDEX($G:$G,MATCH(AE35,$A:$A,0)),"")))))</f>
        <v/>
      </c>
      <c r="AG35" s="18" t="str">
        <f aca="false">IF(AF35="","",IF(IFERROR(INDEX($G:$G,MATCH(AF35,$A:$A,0)),"")="","",TRIM(IF(ISNUMBER(FIND(",",IFERROR(INDEX($G:$G,MATCH(AF35,$A:$A,0)),""))),LEFT(IFERROR(INDEX($G:$G,MATCH(AF35,$A:$A,0)),""),FIND(",",IFERROR(INDEX($G:$G,MATCH(AF35,$A:$A,0)),""))-1),IFERROR(INDEX($G:$G,MATCH(AF35,$A:$A,0)),"")))))</f>
        <v/>
      </c>
    </row>
    <row r="36" customFormat="false" ht="15" hidden="false" customHeight="false" outlineLevel="0" collapsed="false">
      <c r="A36" s="18"/>
      <c r="B36" s="19"/>
      <c r="C36" s="20"/>
      <c r="D36" s="20"/>
      <c r="E36" s="20"/>
      <c r="F36" s="20"/>
      <c r="G36" s="18"/>
      <c r="H36" s="20"/>
      <c r="I36" s="18"/>
      <c r="J36" s="20"/>
      <c r="K36" s="20"/>
      <c r="L36" s="20"/>
      <c r="M36" s="20"/>
      <c r="N36" s="20"/>
      <c r="O36" s="21" t="str">
        <f aca="false">IF(A36="","",IF(AD36="",0,IF(AE36="",1,IF(AF36="",2,IF(AG36="",3,"4+")))))</f>
        <v/>
      </c>
      <c r="P36" s="21" t="str">
        <f aca="false">IF(A36="","",B36&amp;IF(AD36="",""," &lt;- "&amp;IFERROR(INDEX($B:$B,MATCH(AD36,$A:$A,0)),AD36)&amp;IF(AE36="",""," &lt;- "&amp;IFERROR(INDEX($B:$B,MATCH(AE36,$A:$A,0)),AE36)&amp;IF(AF36="",""," &lt;- "&amp;IFERROR(INDEX($B:$B,MATCH(AF36,$A:$A,0)),AF36)&amp;IF(AG36="",""," &lt;- "&amp;IFERROR(INDEX($B:$B,MATCH(AG36,$A:$A,0)),AG36)))))&amp;IF(ISNUMBER(FIND(",",G36))," (+ other parents)",""))</f>
        <v/>
      </c>
      <c r="Q36" s="21" t="str">
        <f aca="false">IF(A36="","",IF(AD36="",E36&amp;"",IF(AE36="",IF(IFERROR(INDEX($E:$E,MATCH(AD36,$A:$A,0)),"")="","",INDEX($E:$E,MATCH(AD36,$A:$A,0))),IF(AF36="",IF(IFERROR(INDEX($E:$E,MATCH(AE36,$A:$A,0)),"")="","",INDEX($E:$E,MATCH(AE36,$A:$A,0))),IF(AG36="",IF(IFERROR(INDEX($E:$E,MATCH(AF36,$A:$A,0)),"")="","",INDEX($E:$E,MATCH(AF36,$A:$A,0))),IF(IFERROR(INDEX($E:$E,MATCH(AG36,$A:$A,0)),"")="","",INDEX($E:$E,MATCH(AG36,$A:$A,0))))))))</f>
        <v/>
      </c>
      <c r="R36" s="21" t="str">
        <f aca="false">IF(A36="","",COUNTIF(Fields!$D:$D,A36))</f>
        <v/>
      </c>
      <c r="S36" s="21" t="str">
        <f aca="false">IF(A36="","",SUMIF(Fields!$D:$D,A36,Fields!$Q:$Q))</f>
        <v/>
      </c>
      <c r="T36" s="21" t="str">
        <f aca="false">IF(A36="","",COUNTIF('Product inputs'!$D:$D,A36))</f>
        <v/>
      </c>
      <c r="U36" s="20"/>
      <c r="V36" s="20"/>
      <c r="W36" s="20"/>
      <c r="X36" s="20"/>
      <c r="Y36" s="20"/>
      <c r="Z36" s="20"/>
      <c r="AA36" s="20"/>
      <c r="AB36" s="20"/>
      <c r="AC36" s="20"/>
      <c r="AD36" s="18" t="str">
        <f aca="false">IF(A36="","",IF(IFERROR(INDEX($G:$G,MATCH(A36,$A:$A,0)),"")="","",TRIM(IF(ISNUMBER(FIND(",",IFERROR(INDEX($G:$G,MATCH(A36,$A:$A,0)),""))),LEFT(IFERROR(INDEX($G:$G,MATCH(A36,$A:$A,0)),""),FIND(",",IFERROR(INDEX($G:$G,MATCH(A36,$A:$A,0)),""))-1),IFERROR(INDEX($G:$G,MATCH(A36,$A:$A,0)),"")))))</f>
        <v/>
      </c>
      <c r="AE36" s="18" t="str">
        <f aca="false">IF(AD36="","",IF(IFERROR(INDEX($G:$G,MATCH(AD36,$A:$A,0)),"")="","",TRIM(IF(ISNUMBER(FIND(",",IFERROR(INDEX($G:$G,MATCH(AD36,$A:$A,0)),""))),LEFT(IFERROR(INDEX($G:$G,MATCH(AD36,$A:$A,0)),""),FIND(",",IFERROR(INDEX($G:$G,MATCH(AD36,$A:$A,0)),""))-1),IFERROR(INDEX($G:$G,MATCH(AD36,$A:$A,0)),"")))))</f>
        <v/>
      </c>
      <c r="AF36" s="18" t="str">
        <f aca="false">IF(AE36="","",IF(IFERROR(INDEX($G:$G,MATCH(AE36,$A:$A,0)),"")="","",TRIM(IF(ISNUMBER(FIND(",",IFERROR(INDEX($G:$G,MATCH(AE36,$A:$A,0)),""))),LEFT(IFERROR(INDEX($G:$G,MATCH(AE36,$A:$A,0)),""),FIND(",",IFERROR(INDEX($G:$G,MATCH(AE36,$A:$A,0)),""))-1),IFERROR(INDEX($G:$G,MATCH(AE36,$A:$A,0)),"")))))</f>
        <v/>
      </c>
      <c r="AG36" s="18" t="str">
        <f aca="false">IF(AF36="","",IF(IFERROR(INDEX($G:$G,MATCH(AF36,$A:$A,0)),"")="","",TRIM(IF(ISNUMBER(FIND(",",IFERROR(INDEX($G:$G,MATCH(AF36,$A:$A,0)),""))),LEFT(IFERROR(INDEX($G:$G,MATCH(AF36,$A:$A,0)),""),FIND(",",IFERROR(INDEX($G:$G,MATCH(AF36,$A:$A,0)),""))-1),IFERROR(INDEX($G:$G,MATCH(AF36,$A:$A,0)),"")))))</f>
        <v/>
      </c>
    </row>
    <row r="37" customFormat="false" ht="15" hidden="false" customHeight="false" outlineLevel="0" collapsed="false">
      <c r="A37" s="18"/>
      <c r="B37" s="19"/>
      <c r="C37" s="20"/>
      <c r="D37" s="20"/>
      <c r="E37" s="20"/>
      <c r="F37" s="20"/>
      <c r="G37" s="18"/>
      <c r="H37" s="20"/>
      <c r="I37" s="18"/>
      <c r="J37" s="20"/>
      <c r="K37" s="20"/>
      <c r="L37" s="20"/>
      <c r="M37" s="20"/>
      <c r="N37" s="20"/>
      <c r="O37" s="21" t="str">
        <f aca="false">IF(A37="","",IF(AD37="",0,IF(AE37="",1,IF(AF37="",2,IF(AG37="",3,"4+")))))</f>
        <v/>
      </c>
      <c r="P37" s="21" t="str">
        <f aca="false">IF(A37="","",B37&amp;IF(AD37="",""," &lt;- "&amp;IFERROR(INDEX($B:$B,MATCH(AD37,$A:$A,0)),AD37)&amp;IF(AE37="",""," &lt;- "&amp;IFERROR(INDEX($B:$B,MATCH(AE37,$A:$A,0)),AE37)&amp;IF(AF37="",""," &lt;- "&amp;IFERROR(INDEX($B:$B,MATCH(AF37,$A:$A,0)),AF37)&amp;IF(AG37="",""," &lt;- "&amp;IFERROR(INDEX($B:$B,MATCH(AG37,$A:$A,0)),AG37)))))&amp;IF(ISNUMBER(FIND(",",G37))," (+ other parents)",""))</f>
        <v/>
      </c>
      <c r="Q37" s="21" t="str">
        <f aca="false">IF(A37="","",IF(AD37="",E37&amp;"",IF(AE37="",IF(IFERROR(INDEX($E:$E,MATCH(AD37,$A:$A,0)),"")="","",INDEX($E:$E,MATCH(AD37,$A:$A,0))),IF(AF37="",IF(IFERROR(INDEX($E:$E,MATCH(AE37,$A:$A,0)),"")="","",INDEX($E:$E,MATCH(AE37,$A:$A,0))),IF(AG37="",IF(IFERROR(INDEX($E:$E,MATCH(AF37,$A:$A,0)),"")="","",INDEX($E:$E,MATCH(AF37,$A:$A,0))),IF(IFERROR(INDEX($E:$E,MATCH(AG37,$A:$A,0)),"")="","",INDEX($E:$E,MATCH(AG37,$A:$A,0))))))))</f>
        <v/>
      </c>
      <c r="R37" s="21" t="str">
        <f aca="false">IF(A37="","",COUNTIF(Fields!$D:$D,A37))</f>
        <v/>
      </c>
      <c r="S37" s="21" t="str">
        <f aca="false">IF(A37="","",SUMIF(Fields!$D:$D,A37,Fields!$Q:$Q))</f>
        <v/>
      </c>
      <c r="T37" s="21" t="str">
        <f aca="false">IF(A37="","",COUNTIF('Product inputs'!$D:$D,A37))</f>
        <v/>
      </c>
      <c r="U37" s="20"/>
      <c r="V37" s="20"/>
      <c r="W37" s="20"/>
      <c r="X37" s="20"/>
      <c r="Y37" s="20"/>
      <c r="Z37" s="20"/>
      <c r="AA37" s="20"/>
      <c r="AB37" s="20"/>
      <c r="AC37" s="20"/>
      <c r="AD37" s="18" t="str">
        <f aca="false">IF(A37="","",IF(IFERROR(INDEX($G:$G,MATCH(A37,$A:$A,0)),"")="","",TRIM(IF(ISNUMBER(FIND(",",IFERROR(INDEX($G:$G,MATCH(A37,$A:$A,0)),""))),LEFT(IFERROR(INDEX($G:$G,MATCH(A37,$A:$A,0)),""),FIND(",",IFERROR(INDEX($G:$G,MATCH(A37,$A:$A,0)),""))-1),IFERROR(INDEX($G:$G,MATCH(A37,$A:$A,0)),"")))))</f>
        <v/>
      </c>
      <c r="AE37" s="18" t="str">
        <f aca="false">IF(AD37="","",IF(IFERROR(INDEX($G:$G,MATCH(AD37,$A:$A,0)),"")="","",TRIM(IF(ISNUMBER(FIND(",",IFERROR(INDEX($G:$G,MATCH(AD37,$A:$A,0)),""))),LEFT(IFERROR(INDEX($G:$G,MATCH(AD37,$A:$A,0)),""),FIND(",",IFERROR(INDEX($G:$G,MATCH(AD37,$A:$A,0)),""))-1),IFERROR(INDEX($G:$G,MATCH(AD37,$A:$A,0)),"")))))</f>
        <v/>
      </c>
      <c r="AF37" s="18" t="str">
        <f aca="false">IF(AE37="","",IF(IFERROR(INDEX($G:$G,MATCH(AE37,$A:$A,0)),"")="","",TRIM(IF(ISNUMBER(FIND(",",IFERROR(INDEX($G:$G,MATCH(AE37,$A:$A,0)),""))),LEFT(IFERROR(INDEX($G:$G,MATCH(AE37,$A:$A,0)),""),FIND(",",IFERROR(INDEX($G:$G,MATCH(AE37,$A:$A,0)),""))-1),IFERROR(INDEX($G:$G,MATCH(AE37,$A:$A,0)),"")))))</f>
        <v/>
      </c>
      <c r="AG37" s="18" t="str">
        <f aca="false">IF(AF37="","",IF(IFERROR(INDEX($G:$G,MATCH(AF37,$A:$A,0)),"")="","",TRIM(IF(ISNUMBER(FIND(",",IFERROR(INDEX($G:$G,MATCH(AF37,$A:$A,0)),""))),LEFT(IFERROR(INDEX($G:$G,MATCH(AF37,$A:$A,0)),""),FIND(",",IFERROR(INDEX($G:$G,MATCH(AF37,$A:$A,0)),""))-1),IFERROR(INDEX($G:$G,MATCH(AF37,$A:$A,0)),"")))))</f>
        <v/>
      </c>
    </row>
    <row r="38" customFormat="false" ht="15" hidden="false" customHeight="false" outlineLevel="0" collapsed="false">
      <c r="A38" s="18"/>
      <c r="B38" s="19"/>
      <c r="C38" s="20"/>
      <c r="D38" s="20"/>
      <c r="E38" s="20"/>
      <c r="F38" s="20"/>
      <c r="G38" s="18"/>
      <c r="H38" s="20"/>
      <c r="I38" s="18"/>
      <c r="J38" s="20"/>
      <c r="K38" s="20"/>
      <c r="L38" s="20"/>
      <c r="M38" s="20"/>
      <c r="N38" s="20"/>
      <c r="O38" s="21" t="str">
        <f aca="false">IF(A38="","",IF(AD38="",0,IF(AE38="",1,IF(AF38="",2,IF(AG38="",3,"4+")))))</f>
        <v/>
      </c>
      <c r="P38" s="21" t="str">
        <f aca="false">IF(A38="","",B38&amp;IF(AD38="",""," &lt;- "&amp;IFERROR(INDEX($B:$B,MATCH(AD38,$A:$A,0)),AD38)&amp;IF(AE38="",""," &lt;- "&amp;IFERROR(INDEX($B:$B,MATCH(AE38,$A:$A,0)),AE38)&amp;IF(AF38="",""," &lt;- "&amp;IFERROR(INDEX($B:$B,MATCH(AF38,$A:$A,0)),AF38)&amp;IF(AG38="",""," &lt;- "&amp;IFERROR(INDEX($B:$B,MATCH(AG38,$A:$A,0)),AG38)))))&amp;IF(ISNUMBER(FIND(",",G38))," (+ other parents)",""))</f>
        <v/>
      </c>
      <c r="Q38" s="21" t="str">
        <f aca="false">IF(A38="","",IF(AD38="",E38&amp;"",IF(AE38="",IF(IFERROR(INDEX($E:$E,MATCH(AD38,$A:$A,0)),"")="","",INDEX($E:$E,MATCH(AD38,$A:$A,0))),IF(AF38="",IF(IFERROR(INDEX($E:$E,MATCH(AE38,$A:$A,0)),"")="","",INDEX($E:$E,MATCH(AE38,$A:$A,0))),IF(AG38="",IF(IFERROR(INDEX($E:$E,MATCH(AF38,$A:$A,0)),"")="","",INDEX($E:$E,MATCH(AF38,$A:$A,0))),IF(IFERROR(INDEX($E:$E,MATCH(AG38,$A:$A,0)),"")="","",INDEX($E:$E,MATCH(AG38,$A:$A,0))))))))</f>
        <v/>
      </c>
      <c r="R38" s="21" t="str">
        <f aca="false">IF(A38="","",COUNTIF(Fields!$D:$D,A38))</f>
        <v/>
      </c>
      <c r="S38" s="21" t="str">
        <f aca="false">IF(A38="","",SUMIF(Fields!$D:$D,A38,Fields!$Q:$Q))</f>
        <v/>
      </c>
      <c r="T38" s="21" t="str">
        <f aca="false">IF(A38="","",COUNTIF('Product inputs'!$D:$D,A38))</f>
        <v/>
      </c>
      <c r="U38" s="20"/>
      <c r="V38" s="20"/>
      <c r="W38" s="20"/>
      <c r="X38" s="20"/>
      <c r="Y38" s="20"/>
      <c r="Z38" s="20"/>
      <c r="AA38" s="20"/>
      <c r="AB38" s="20"/>
      <c r="AC38" s="20"/>
      <c r="AD38" s="18" t="str">
        <f aca="false">IF(A38="","",IF(IFERROR(INDEX($G:$G,MATCH(A38,$A:$A,0)),"")="","",TRIM(IF(ISNUMBER(FIND(",",IFERROR(INDEX($G:$G,MATCH(A38,$A:$A,0)),""))),LEFT(IFERROR(INDEX($G:$G,MATCH(A38,$A:$A,0)),""),FIND(",",IFERROR(INDEX($G:$G,MATCH(A38,$A:$A,0)),""))-1),IFERROR(INDEX($G:$G,MATCH(A38,$A:$A,0)),"")))))</f>
        <v/>
      </c>
      <c r="AE38" s="18" t="str">
        <f aca="false">IF(AD38="","",IF(IFERROR(INDEX($G:$G,MATCH(AD38,$A:$A,0)),"")="","",TRIM(IF(ISNUMBER(FIND(",",IFERROR(INDEX($G:$G,MATCH(AD38,$A:$A,0)),""))),LEFT(IFERROR(INDEX($G:$G,MATCH(AD38,$A:$A,0)),""),FIND(",",IFERROR(INDEX($G:$G,MATCH(AD38,$A:$A,0)),""))-1),IFERROR(INDEX($G:$G,MATCH(AD38,$A:$A,0)),"")))))</f>
        <v/>
      </c>
      <c r="AF38" s="18" t="str">
        <f aca="false">IF(AE38="","",IF(IFERROR(INDEX($G:$G,MATCH(AE38,$A:$A,0)),"")="","",TRIM(IF(ISNUMBER(FIND(",",IFERROR(INDEX($G:$G,MATCH(AE38,$A:$A,0)),""))),LEFT(IFERROR(INDEX($G:$G,MATCH(AE38,$A:$A,0)),""),FIND(",",IFERROR(INDEX($G:$G,MATCH(AE38,$A:$A,0)),""))-1),IFERROR(INDEX($G:$G,MATCH(AE38,$A:$A,0)),"")))))</f>
        <v/>
      </c>
      <c r="AG38" s="18" t="str">
        <f aca="false">IF(AF38="","",IF(IFERROR(INDEX($G:$G,MATCH(AF38,$A:$A,0)),"")="","",TRIM(IF(ISNUMBER(FIND(",",IFERROR(INDEX($G:$G,MATCH(AF38,$A:$A,0)),""))),LEFT(IFERROR(INDEX($G:$G,MATCH(AF38,$A:$A,0)),""),FIND(",",IFERROR(INDEX($G:$G,MATCH(AF38,$A:$A,0)),""))-1),IFERROR(INDEX($G:$G,MATCH(AF38,$A:$A,0)),"")))))</f>
        <v/>
      </c>
    </row>
    <row r="39" customFormat="false" ht="15" hidden="false" customHeight="false" outlineLevel="0" collapsed="false">
      <c r="A39" s="18"/>
      <c r="B39" s="19"/>
      <c r="C39" s="20"/>
      <c r="D39" s="20"/>
      <c r="E39" s="20"/>
      <c r="F39" s="20"/>
      <c r="G39" s="18"/>
      <c r="H39" s="20"/>
      <c r="I39" s="18"/>
      <c r="J39" s="20"/>
      <c r="K39" s="20"/>
      <c r="L39" s="20"/>
      <c r="M39" s="20"/>
      <c r="N39" s="20"/>
      <c r="O39" s="21" t="str">
        <f aca="false">IF(A39="","",IF(AD39="",0,IF(AE39="",1,IF(AF39="",2,IF(AG39="",3,"4+")))))</f>
        <v/>
      </c>
      <c r="P39" s="21" t="str">
        <f aca="false">IF(A39="","",B39&amp;IF(AD39="",""," &lt;- "&amp;IFERROR(INDEX($B:$B,MATCH(AD39,$A:$A,0)),AD39)&amp;IF(AE39="",""," &lt;- "&amp;IFERROR(INDEX($B:$B,MATCH(AE39,$A:$A,0)),AE39)&amp;IF(AF39="",""," &lt;- "&amp;IFERROR(INDEX($B:$B,MATCH(AF39,$A:$A,0)),AF39)&amp;IF(AG39="",""," &lt;- "&amp;IFERROR(INDEX($B:$B,MATCH(AG39,$A:$A,0)),AG39)))))&amp;IF(ISNUMBER(FIND(",",G39))," (+ other parents)",""))</f>
        <v/>
      </c>
      <c r="Q39" s="21" t="str">
        <f aca="false">IF(A39="","",IF(AD39="",E39&amp;"",IF(AE39="",IF(IFERROR(INDEX($E:$E,MATCH(AD39,$A:$A,0)),"")="","",INDEX($E:$E,MATCH(AD39,$A:$A,0))),IF(AF39="",IF(IFERROR(INDEX($E:$E,MATCH(AE39,$A:$A,0)),"")="","",INDEX($E:$E,MATCH(AE39,$A:$A,0))),IF(AG39="",IF(IFERROR(INDEX($E:$E,MATCH(AF39,$A:$A,0)),"")="","",INDEX($E:$E,MATCH(AF39,$A:$A,0))),IF(IFERROR(INDEX($E:$E,MATCH(AG39,$A:$A,0)),"")="","",INDEX($E:$E,MATCH(AG39,$A:$A,0))))))))</f>
        <v/>
      </c>
      <c r="R39" s="21" t="str">
        <f aca="false">IF(A39="","",COUNTIF(Fields!$D:$D,A39))</f>
        <v/>
      </c>
      <c r="S39" s="21" t="str">
        <f aca="false">IF(A39="","",SUMIF(Fields!$D:$D,A39,Fields!$Q:$Q))</f>
        <v/>
      </c>
      <c r="T39" s="21" t="str">
        <f aca="false">IF(A39="","",COUNTIF('Product inputs'!$D:$D,A39))</f>
        <v/>
      </c>
      <c r="U39" s="20"/>
      <c r="V39" s="20"/>
      <c r="W39" s="20"/>
      <c r="X39" s="20"/>
      <c r="Y39" s="20"/>
      <c r="Z39" s="20"/>
      <c r="AA39" s="20"/>
      <c r="AB39" s="20"/>
      <c r="AC39" s="20"/>
      <c r="AD39" s="18" t="str">
        <f aca="false">IF(A39="","",IF(IFERROR(INDEX($G:$G,MATCH(A39,$A:$A,0)),"")="","",TRIM(IF(ISNUMBER(FIND(",",IFERROR(INDEX($G:$G,MATCH(A39,$A:$A,0)),""))),LEFT(IFERROR(INDEX($G:$G,MATCH(A39,$A:$A,0)),""),FIND(",",IFERROR(INDEX($G:$G,MATCH(A39,$A:$A,0)),""))-1),IFERROR(INDEX($G:$G,MATCH(A39,$A:$A,0)),"")))))</f>
        <v/>
      </c>
      <c r="AE39" s="18" t="str">
        <f aca="false">IF(AD39="","",IF(IFERROR(INDEX($G:$G,MATCH(AD39,$A:$A,0)),"")="","",TRIM(IF(ISNUMBER(FIND(",",IFERROR(INDEX($G:$G,MATCH(AD39,$A:$A,0)),""))),LEFT(IFERROR(INDEX($G:$G,MATCH(AD39,$A:$A,0)),""),FIND(",",IFERROR(INDEX($G:$G,MATCH(AD39,$A:$A,0)),""))-1),IFERROR(INDEX($G:$G,MATCH(AD39,$A:$A,0)),"")))))</f>
        <v/>
      </c>
      <c r="AF39" s="18" t="str">
        <f aca="false">IF(AE39="","",IF(IFERROR(INDEX($G:$G,MATCH(AE39,$A:$A,0)),"")="","",TRIM(IF(ISNUMBER(FIND(",",IFERROR(INDEX($G:$G,MATCH(AE39,$A:$A,0)),""))),LEFT(IFERROR(INDEX($G:$G,MATCH(AE39,$A:$A,0)),""),FIND(",",IFERROR(INDEX($G:$G,MATCH(AE39,$A:$A,0)),""))-1),IFERROR(INDEX($G:$G,MATCH(AE39,$A:$A,0)),"")))))</f>
        <v/>
      </c>
      <c r="AG39" s="18" t="str">
        <f aca="false">IF(AF39="","",IF(IFERROR(INDEX($G:$G,MATCH(AF39,$A:$A,0)),"")="","",TRIM(IF(ISNUMBER(FIND(",",IFERROR(INDEX($G:$G,MATCH(AF39,$A:$A,0)),""))),LEFT(IFERROR(INDEX($G:$G,MATCH(AF39,$A:$A,0)),""),FIND(",",IFERROR(INDEX($G:$G,MATCH(AF39,$A:$A,0)),""))-1),IFERROR(INDEX($G:$G,MATCH(AF39,$A:$A,0)),"")))))</f>
        <v/>
      </c>
    </row>
    <row r="40" customFormat="false" ht="15" hidden="false" customHeight="false" outlineLevel="0" collapsed="false">
      <c r="A40" s="18"/>
      <c r="B40" s="19"/>
      <c r="C40" s="20"/>
      <c r="D40" s="20"/>
      <c r="E40" s="20"/>
      <c r="F40" s="20"/>
      <c r="G40" s="18"/>
      <c r="H40" s="20"/>
      <c r="I40" s="18"/>
      <c r="J40" s="20"/>
      <c r="K40" s="20"/>
      <c r="L40" s="20"/>
      <c r="M40" s="20"/>
      <c r="N40" s="20"/>
      <c r="O40" s="21" t="str">
        <f aca="false">IF(A40="","",IF(AD40="",0,IF(AE40="",1,IF(AF40="",2,IF(AG40="",3,"4+")))))</f>
        <v/>
      </c>
      <c r="P40" s="21" t="str">
        <f aca="false">IF(A40="","",B40&amp;IF(AD40="",""," &lt;- "&amp;IFERROR(INDEX($B:$B,MATCH(AD40,$A:$A,0)),AD40)&amp;IF(AE40="",""," &lt;- "&amp;IFERROR(INDEX($B:$B,MATCH(AE40,$A:$A,0)),AE40)&amp;IF(AF40="",""," &lt;- "&amp;IFERROR(INDEX($B:$B,MATCH(AF40,$A:$A,0)),AF40)&amp;IF(AG40="",""," &lt;- "&amp;IFERROR(INDEX($B:$B,MATCH(AG40,$A:$A,0)),AG40)))))&amp;IF(ISNUMBER(FIND(",",G40))," (+ other parents)",""))</f>
        <v/>
      </c>
      <c r="Q40" s="21" t="str">
        <f aca="false">IF(A40="","",IF(AD40="",E40&amp;"",IF(AE40="",IF(IFERROR(INDEX($E:$E,MATCH(AD40,$A:$A,0)),"")="","",INDEX($E:$E,MATCH(AD40,$A:$A,0))),IF(AF40="",IF(IFERROR(INDEX($E:$E,MATCH(AE40,$A:$A,0)),"")="","",INDEX($E:$E,MATCH(AE40,$A:$A,0))),IF(AG40="",IF(IFERROR(INDEX($E:$E,MATCH(AF40,$A:$A,0)),"")="","",INDEX($E:$E,MATCH(AF40,$A:$A,0))),IF(IFERROR(INDEX($E:$E,MATCH(AG40,$A:$A,0)),"")="","",INDEX($E:$E,MATCH(AG40,$A:$A,0))))))))</f>
        <v/>
      </c>
      <c r="R40" s="21" t="str">
        <f aca="false">IF(A40="","",COUNTIF(Fields!$D:$D,A40))</f>
        <v/>
      </c>
      <c r="S40" s="21" t="str">
        <f aca="false">IF(A40="","",SUMIF(Fields!$D:$D,A40,Fields!$Q:$Q))</f>
        <v/>
      </c>
      <c r="T40" s="21" t="str">
        <f aca="false">IF(A40="","",COUNTIF('Product inputs'!$D:$D,A40))</f>
        <v/>
      </c>
      <c r="U40" s="20"/>
      <c r="V40" s="20"/>
      <c r="W40" s="20"/>
      <c r="X40" s="20"/>
      <c r="Y40" s="20"/>
      <c r="Z40" s="20"/>
      <c r="AA40" s="20"/>
      <c r="AB40" s="20"/>
      <c r="AC40" s="20"/>
      <c r="AD40" s="18" t="str">
        <f aca="false">IF(A40="","",IF(IFERROR(INDEX($G:$G,MATCH(A40,$A:$A,0)),"")="","",TRIM(IF(ISNUMBER(FIND(",",IFERROR(INDEX($G:$G,MATCH(A40,$A:$A,0)),""))),LEFT(IFERROR(INDEX($G:$G,MATCH(A40,$A:$A,0)),""),FIND(",",IFERROR(INDEX($G:$G,MATCH(A40,$A:$A,0)),""))-1),IFERROR(INDEX($G:$G,MATCH(A40,$A:$A,0)),"")))))</f>
        <v/>
      </c>
      <c r="AE40" s="18" t="str">
        <f aca="false">IF(AD40="","",IF(IFERROR(INDEX($G:$G,MATCH(AD40,$A:$A,0)),"")="","",TRIM(IF(ISNUMBER(FIND(",",IFERROR(INDEX($G:$G,MATCH(AD40,$A:$A,0)),""))),LEFT(IFERROR(INDEX($G:$G,MATCH(AD40,$A:$A,0)),""),FIND(",",IFERROR(INDEX($G:$G,MATCH(AD40,$A:$A,0)),""))-1),IFERROR(INDEX($G:$G,MATCH(AD40,$A:$A,0)),"")))))</f>
        <v/>
      </c>
      <c r="AF40" s="18" t="str">
        <f aca="false">IF(AE40="","",IF(IFERROR(INDEX($G:$G,MATCH(AE40,$A:$A,0)),"")="","",TRIM(IF(ISNUMBER(FIND(",",IFERROR(INDEX($G:$G,MATCH(AE40,$A:$A,0)),""))),LEFT(IFERROR(INDEX($G:$G,MATCH(AE40,$A:$A,0)),""),FIND(",",IFERROR(INDEX($G:$G,MATCH(AE40,$A:$A,0)),""))-1),IFERROR(INDEX($G:$G,MATCH(AE40,$A:$A,0)),"")))))</f>
        <v/>
      </c>
      <c r="AG40" s="18" t="str">
        <f aca="false">IF(AF40="","",IF(IFERROR(INDEX($G:$G,MATCH(AF40,$A:$A,0)),"")="","",TRIM(IF(ISNUMBER(FIND(",",IFERROR(INDEX($G:$G,MATCH(AF40,$A:$A,0)),""))),LEFT(IFERROR(INDEX($G:$G,MATCH(AF40,$A:$A,0)),""),FIND(",",IFERROR(INDEX($G:$G,MATCH(AF40,$A:$A,0)),""))-1),IFERROR(INDEX($G:$G,MATCH(AF40,$A:$A,0)),"")))))</f>
        <v/>
      </c>
    </row>
    <row r="41" customFormat="false" ht="15" hidden="false" customHeight="false" outlineLevel="0" collapsed="false">
      <c r="A41" s="18"/>
      <c r="B41" s="19"/>
      <c r="C41" s="20"/>
      <c r="D41" s="20"/>
      <c r="E41" s="20"/>
      <c r="F41" s="20"/>
      <c r="G41" s="18"/>
      <c r="H41" s="20"/>
      <c r="I41" s="18"/>
      <c r="J41" s="20"/>
      <c r="K41" s="20"/>
      <c r="L41" s="20"/>
      <c r="M41" s="20"/>
      <c r="N41" s="20"/>
      <c r="O41" s="21" t="str">
        <f aca="false">IF(A41="","",IF(AD41="",0,IF(AE41="",1,IF(AF41="",2,IF(AG41="",3,"4+")))))</f>
        <v/>
      </c>
      <c r="P41" s="21" t="str">
        <f aca="false">IF(A41="","",B41&amp;IF(AD41="",""," &lt;- "&amp;IFERROR(INDEX($B:$B,MATCH(AD41,$A:$A,0)),AD41)&amp;IF(AE41="",""," &lt;- "&amp;IFERROR(INDEX($B:$B,MATCH(AE41,$A:$A,0)),AE41)&amp;IF(AF41="",""," &lt;- "&amp;IFERROR(INDEX($B:$B,MATCH(AF41,$A:$A,0)),AF41)&amp;IF(AG41="",""," &lt;- "&amp;IFERROR(INDEX($B:$B,MATCH(AG41,$A:$A,0)),AG41)))))&amp;IF(ISNUMBER(FIND(",",G41))," (+ other parents)",""))</f>
        <v/>
      </c>
      <c r="Q41" s="21" t="str">
        <f aca="false">IF(A41="","",IF(AD41="",E41&amp;"",IF(AE41="",IF(IFERROR(INDEX($E:$E,MATCH(AD41,$A:$A,0)),"")="","",INDEX($E:$E,MATCH(AD41,$A:$A,0))),IF(AF41="",IF(IFERROR(INDEX($E:$E,MATCH(AE41,$A:$A,0)),"")="","",INDEX($E:$E,MATCH(AE41,$A:$A,0))),IF(AG41="",IF(IFERROR(INDEX($E:$E,MATCH(AF41,$A:$A,0)),"")="","",INDEX($E:$E,MATCH(AF41,$A:$A,0))),IF(IFERROR(INDEX($E:$E,MATCH(AG41,$A:$A,0)),"")="","",INDEX($E:$E,MATCH(AG41,$A:$A,0))))))))</f>
        <v/>
      </c>
      <c r="R41" s="21" t="str">
        <f aca="false">IF(A41="","",COUNTIF(Fields!$D:$D,A41))</f>
        <v/>
      </c>
      <c r="S41" s="21" t="str">
        <f aca="false">IF(A41="","",SUMIF(Fields!$D:$D,A41,Fields!$Q:$Q))</f>
        <v/>
      </c>
      <c r="T41" s="21" t="str">
        <f aca="false">IF(A41="","",COUNTIF('Product inputs'!$D:$D,A41))</f>
        <v/>
      </c>
      <c r="U41" s="20"/>
      <c r="V41" s="20"/>
      <c r="W41" s="20"/>
      <c r="X41" s="20"/>
      <c r="Y41" s="20"/>
      <c r="Z41" s="20"/>
      <c r="AA41" s="20"/>
      <c r="AB41" s="20"/>
      <c r="AC41" s="20"/>
      <c r="AD41" s="18" t="str">
        <f aca="false">IF(A41="","",IF(IFERROR(INDEX($G:$G,MATCH(A41,$A:$A,0)),"")="","",TRIM(IF(ISNUMBER(FIND(",",IFERROR(INDEX($G:$G,MATCH(A41,$A:$A,0)),""))),LEFT(IFERROR(INDEX($G:$G,MATCH(A41,$A:$A,0)),""),FIND(",",IFERROR(INDEX($G:$G,MATCH(A41,$A:$A,0)),""))-1),IFERROR(INDEX($G:$G,MATCH(A41,$A:$A,0)),"")))))</f>
        <v/>
      </c>
      <c r="AE41" s="18" t="str">
        <f aca="false">IF(AD41="","",IF(IFERROR(INDEX($G:$G,MATCH(AD41,$A:$A,0)),"")="","",TRIM(IF(ISNUMBER(FIND(",",IFERROR(INDEX($G:$G,MATCH(AD41,$A:$A,0)),""))),LEFT(IFERROR(INDEX($G:$G,MATCH(AD41,$A:$A,0)),""),FIND(",",IFERROR(INDEX($G:$G,MATCH(AD41,$A:$A,0)),""))-1),IFERROR(INDEX($G:$G,MATCH(AD41,$A:$A,0)),"")))))</f>
        <v/>
      </c>
      <c r="AF41" s="18" t="str">
        <f aca="false">IF(AE41="","",IF(IFERROR(INDEX($G:$G,MATCH(AE41,$A:$A,0)),"")="","",TRIM(IF(ISNUMBER(FIND(",",IFERROR(INDEX($G:$G,MATCH(AE41,$A:$A,0)),""))),LEFT(IFERROR(INDEX($G:$G,MATCH(AE41,$A:$A,0)),""),FIND(",",IFERROR(INDEX($G:$G,MATCH(AE41,$A:$A,0)),""))-1),IFERROR(INDEX($G:$G,MATCH(AE41,$A:$A,0)),"")))))</f>
        <v/>
      </c>
      <c r="AG41" s="18" t="str">
        <f aca="false">IF(AF41="","",IF(IFERROR(INDEX($G:$G,MATCH(AF41,$A:$A,0)),"")="","",TRIM(IF(ISNUMBER(FIND(",",IFERROR(INDEX($G:$G,MATCH(AF41,$A:$A,0)),""))),LEFT(IFERROR(INDEX($G:$G,MATCH(AF41,$A:$A,0)),""),FIND(",",IFERROR(INDEX($G:$G,MATCH(AF41,$A:$A,0)),""))-1),IFERROR(INDEX($G:$G,MATCH(AF41,$A:$A,0)),"")))))</f>
        <v/>
      </c>
    </row>
    <row r="42" customFormat="false" ht="15" hidden="false" customHeight="false" outlineLevel="0" collapsed="false">
      <c r="A42" s="18"/>
      <c r="B42" s="19"/>
      <c r="C42" s="20"/>
      <c r="D42" s="20"/>
      <c r="E42" s="20"/>
      <c r="F42" s="20"/>
      <c r="G42" s="18"/>
      <c r="H42" s="20"/>
      <c r="I42" s="18"/>
      <c r="J42" s="20"/>
      <c r="K42" s="20"/>
      <c r="L42" s="20"/>
      <c r="M42" s="20"/>
      <c r="N42" s="20"/>
      <c r="O42" s="21" t="str">
        <f aca="false">IF(A42="","",IF(AD42="",0,IF(AE42="",1,IF(AF42="",2,IF(AG42="",3,"4+")))))</f>
        <v/>
      </c>
      <c r="P42" s="21" t="str">
        <f aca="false">IF(A42="","",B42&amp;IF(AD42="",""," &lt;- "&amp;IFERROR(INDEX($B:$B,MATCH(AD42,$A:$A,0)),AD42)&amp;IF(AE42="",""," &lt;- "&amp;IFERROR(INDEX($B:$B,MATCH(AE42,$A:$A,0)),AE42)&amp;IF(AF42="",""," &lt;- "&amp;IFERROR(INDEX($B:$B,MATCH(AF42,$A:$A,0)),AF42)&amp;IF(AG42="",""," &lt;- "&amp;IFERROR(INDEX($B:$B,MATCH(AG42,$A:$A,0)),AG42)))))&amp;IF(ISNUMBER(FIND(",",G42))," (+ other parents)",""))</f>
        <v/>
      </c>
      <c r="Q42" s="21" t="str">
        <f aca="false">IF(A42="","",IF(AD42="",E42&amp;"",IF(AE42="",IF(IFERROR(INDEX($E:$E,MATCH(AD42,$A:$A,0)),"")="","",INDEX($E:$E,MATCH(AD42,$A:$A,0))),IF(AF42="",IF(IFERROR(INDEX($E:$E,MATCH(AE42,$A:$A,0)),"")="","",INDEX($E:$E,MATCH(AE42,$A:$A,0))),IF(AG42="",IF(IFERROR(INDEX($E:$E,MATCH(AF42,$A:$A,0)),"")="","",INDEX($E:$E,MATCH(AF42,$A:$A,0))),IF(IFERROR(INDEX($E:$E,MATCH(AG42,$A:$A,0)),"")="","",INDEX($E:$E,MATCH(AG42,$A:$A,0))))))))</f>
        <v/>
      </c>
      <c r="R42" s="21" t="str">
        <f aca="false">IF(A42="","",COUNTIF(Fields!$D:$D,A42))</f>
        <v/>
      </c>
      <c r="S42" s="21" t="str">
        <f aca="false">IF(A42="","",SUMIF(Fields!$D:$D,A42,Fields!$Q:$Q))</f>
        <v/>
      </c>
      <c r="T42" s="21" t="str">
        <f aca="false">IF(A42="","",COUNTIF('Product inputs'!$D:$D,A42))</f>
        <v/>
      </c>
      <c r="U42" s="20"/>
      <c r="V42" s="20"/>
      <c r="W42" s="20"/>
      <c r="X42" s="20"/>
      <c r="Y42" s="20"/>
      <c r="Z42" s="20"/>
      <c r="AA42" s="20"/>
      <c r="AB42" s="20"/>
      <c r="AC42" s="20"/>
      <c r="AD42" s="18" t="str">
        <f aca="false">IF(A42="","",IF(IFERROR(INDEX($G:$G,MATCH(A42,$A:$A,0)),"")="","",TRIM(IF(ISNUMBER(FIND(",",IFERROR(INDEX($G:$G,MATCH(A42,$A:$A,0)),""))),LEFT(IFERROR(INDEX($G:$G,MATCH(A42,$A:$A,0)),""),FIND(",",IFERROR(INDEX($G:$G,MATCH(A42,$A:$A,0)),""))-1),IFERROR(INDEX($G:$G,MATCH(A42,$A:$A,0)),"")))))</f>
        <v/>
      </c>
      <c r="AE42" s="18" t="str">
        <f aca="false">IF(AD42="","",IF(IFERROR(INDEX($G:$G,MATCH(AD42,$A:$A,0)),"")="","",TRIM(IF(ISNUMBER(FIND(",",IFERROR(INDEX($G:$G,MATCH(AD42,$A:$A,0)),""))),LEFT(IFERROR(INDEX($G:$G,MATCH(AD42,$A:$A,0)),""),FIND(",",IFERROR(INDEX($G:$G,MATCH(AD42,$A:$A,0)),""))-1),IFERROR(INDEX($G:$G,MATCH(AD42,$A:$A,0)),"")))))</f>
        <v/>
      </c>
      <c r="AF42" s="18" t="str">
        <f aca="false">IF(AE42="","",IF(IFERROR(INDEX($G:$G,MATCH(AE42,$A:$A,0)),"")="","",TRIM(IF(ISNUMBER(FIND(",",IFERROR(INDEX($G:$G,MATCH(AE42,$A:$A,0)),""))),LEFT(IFERROR(INDEX($G:$G,MATCH(AE42,$A:$A,0)),""),FIND(",",IFERROR(INDEX($G:$G,MATCH(AE42,$A:$A,0)),""))-1),IFERROR(INDEX($G:$G,MATCH(AE42,$A:$A,0)),"")))))</f>
        <v/>
      </c>
      <c r="AG42" s="18" t="str">
        <f aca="false">IF(AF42="","",IF(IFERROR(INDEX($G:$G,MATCH(AF42,$A:$A,0)),"")="","",TRIM(IF(ISNUMBER(FIND(",",IFERROR(INDEX($G:$G,MATCH(AF42,$A:$A,0)),""))),LEFT(IFERROR(INDEX($G:$G,MATCH(AF42,$A:$A,0)),""),FIND(",",IFERROR(INDEX($G:$G,MATCH(AF42,$A:$A,0)),""))-1),IFERROR(INDEX($G:$G,MATCH(AF42,$A:$A,0)),"")))))</f>
        <v/>
      </c>
    </row>
    <row r="43" customFormat="false" ht="15" hidden="false" customHeight="false" outlineLevel="0" collapsed="false">
      <c r="A43" s="18"/>
      <c r="B43" s="19"/>
      <c r="C43" s="20"/>
      <c r="D43" s="20"/>
      <c r="E43" s="20"/>
      <c r="F43" s="20"/>
      <c r="G43" s="18"/>
      <c r="H43" s="20"/>
      <c r="I43" s="18"/>
      <c r="J43" s="20"/>
      <c r="K43" s="20"/>
      <c r="L43" s="20"/>
      <c r="M43" s="20"/>
      <c r="N43" s="20"/>
      <c r="O43" s="21" t="str">
        <f aca="false">IF(A43="","",IF(AD43="",0,IF(AE43="",1,IF(AF43="",2,IF(AG43="",3,"4+")))))</f>
        <v/>
      </c>
      <c r="P43" s="21" t="str">
        <f aca="false">IF(A43="","",B43&amp;IF(AD43="",""," &lt;- "&amp;IFERROR(INDEX($B:$B,MATCH(AD43,$A:$A,0)),AD43)&amp;IF(AE43="",""," &lt;- "&amp;IFERROR(INDEX($B:$B,MATCH(AE43,$A:$A,0)),AE43)&amp;IF(AF43="",""," &lt;- "&amp;IFERROR(INDEX($B:$B,MATCH(AF43,$A:$A,0)),AF43)&amp;IF(AG43="",""," &lt;- "&amp;IFERROR(INDEX($B:$B,MATCH(AG43,$A:$A,0)),AG43)))))&amp;IF(ISNUMBER(FIND(",",G43))," (+ other parents)",""))</f>
        <v/>
      </c>
      <c r="Q43" s="21" t="str">
        <f aca="false">IF(A43="","",IF(AD43="",E43&amp;"",IF(AE43="",IF(IFERROR(INDEX($E:$E,MATCH(AD43,$A:$A,0)),"")="","",INDEX($E:$E,MATCH(AD43,$A:$A,0))),IF(AF43="",IF(IFERROR(INDEX($E:$E,MATCH(AE43,$A:$A,0)),"")="","",INDEX($E:$E,MATCH(AE43,$A:$A,0))),IF(AG43="",IF(IFERROR(INDEX($E:$E,MATCH(AF43,$A:$A,0)),"")="","",INDEX($E:$E,MATCH(AF43,$A:$A,0))),IF(IFERROR(INDEX($E:$E,MATCH(AG43,$A:$A,0)),"")="","",INDEX($E:$E,MATCH(AG43,$A:$A,0))))))))</f>
        <v/>
      </c>
      <c r="R43" s="21" t="str">
        <f aca="false">IF(A43="","",COUNTIF(Fields!$D:$D,A43))</f>
        <v/>
      </c>
      <c r="S43" s="21" t="str">
        <f aca="false">IF(A43="","",SUMIF(Fields!$D:$D,A43,Fields!$Q:$Q))</f>
        <v/>
      </c>
      <c r="T43" s="21" t="str">
        <f aca="false">IF(A43="","",COUNTIF('Product inputs'!$D:$D,A43))</f>
        <v/>
      </c>
      <c r="U43" s="20"/>
      <c r="V43" s="20"/>
      <c r="W43" s="20"/>
      <c r="X43" s="20"/>
      <c r="Y43" s="20"/>
      <c r="Z43" s="20"/>
      <c r="AA43" s="20"/>
      <c r="AB43" s="20"/>
      <c r="AC43" s="20"/>
      <c r="AD43" s="18" t="str">
        <f aca="false">IF(A43="","",IF(IFERROR(INDEX($G:$G,MATCH(A43,$A:$A,0)),"")="","",TRIM(IF(ISNUMBER(FIND(",",IFERROR(INDEX($G:$G,MATCH(A43,$A:$A,0)),""))),LEFT(IFERROR(INDEX($G:$G,MATCH(A43,$A:$A,0)),""),FIND(",",IFERROR(INDEX($G:$G,MATCH(A43,$A:$A,0)),""))-1),IFERROR(INDEX($G:$G,MATCH(A43,$A:$A,0)),"")))))</f>
        <v/>
      </c>
      <c r="AE43" s="18" t="str">
        <f aca="false">IF(AD43="","",IF(IFERROR(INDEX($G:$G,MATCH(AD43,$A:$A,0)),"")="","",TRIM(IF(ISNUMBER(FIND(",",IFERROR(INDEX($G:$G,MATCH(AD43,$A:$A,0)),""))),LEFT(IFERROR(INDEX($G:$G,MATCH(AD43,$A:$A,0)),""),FIND(",",IFERROR(INDEX($G:$G,MATCH(AD43,$A:$A,0)),""))-1),IFERROR(INDEX($G:$G,MATCH(AD43,$A:$A,0)),"")))))</f>
        <v/>
      </c>
      <c r="AF43" s="18" t="str">
        <f aca="false">IF(AE43="","",IF(IFERROR(INDEX($G:$G,MATCH(AE43,$A:$A,0)),"")="","",TRIM(IF(ISNUMBER(FIND(",",IFERROR(INDEX($G:$G,MATCH(AE43,$A:$A,0)),""))),LEFT(IFERROR(INDEX($G:$G,MATCH(AE43,$A:$A,0)),""),FIND(",",IFERROR(INDEX($G:$G,MATCH(AE43,$A:$A,0)),""))-1),IFERROR(INDEX($G:$G,MATCH(AE43,$A:$A,0)),"")))))</f>
        <v/>
      </c>
      <c r="AG43" s="18" t="str">
        <f aca="false">IF(AF43="","",IF(IFERROR(INDEX($G:$G,MATCH(AF43,$A:$A,0)),"")="","",TRIM(IF(ISNUMBER(FIND(",",IFERROR(INDEX($G:$G,MATCH(AF43,$A:$A,0)),""))),LEFT(IFERROR(INDEX($G:$G,MATCH(AF43,$A:$A,0)),""),FIND(",",IFERROR(INDEX($G:$G,MATCH(AF43,$A:$A,0)),""))-1),IFERROR(INDEX($G:$G,MATCH(AF43,$A:$A,0)),"")))))</f>
        <v/>
      </c>
    </row>
    <row r="44" customFormat="false" ht="15" hidden="false" customHeight="false" outlineLevel="0" collapsed="false">
      <c r="A44" s="18"/>
      <c r="B44" s="19"/>
      <c r="C44" s="20"/>
      <c r="D44" s="20"/>
      <c r="E44" s="20"/>
      <c r="F44" s="20"/>
      <c r="G44" s="18"/>
      <c r="H44" s="20"/>
      <c r="I44" s="18"/>
      <c r="J44" s="20"/>
      <c r="K44" s="20"/>
      <c r="L44" s="20"/>
      <c r="M44" s="20"/>
      <c r="N44" s="20"/>
      <c r="O44" s="21" t="str">
        <f aca="false">IF(A44="","",IF(AD44="",0,IF(AE44="",1,IF(AF44="",2,IF(AG44="",3,"4+")))))</f>
        <v/>
      </c>
      <c r="P44" s="21" t="str">
        <f aca="false">IF(A44="","",B44&amp;IF(AD44="",""," &lt;- "&amp;IFERROR(INDEX($B:$B,MATCH(AD44,$A:$A,0)),AD44)&amp;IF(AE44="",""," &lt;- "&amp;IFERROR(INDEX($B:$B,MATCH(AE44,$A:$A,0)),AE44)&amp;IF(AF44="",""," &lt;- "&amp;IFERROR(INDEX($B:$B,MATCH(AF44,$A:$A,0)),AF44)&amp;IF(AG44="",""," &lt;- "&amp;IFERROR(INDEX($B:$B,MATCH(AG44,$A:$A,0)),AG44)))))&amp;IF(ISNUMBER(FIND(",",G44))," (+ other parents)",""))</f>
        <v/>
      </c>
      <c r="Q44" s="21" t="str">
        <f aca="false">IF(A44="","",IF(AD44="",E44&amp;"",IF(AE44="",IF(IFERROR(INDEX($E:$E,MATCH(AD44,$A:$A,0)),"")="","",INDEX($E:$E,MATCH(AD44,$A:$A,0))),IF(AF44="",IF(IFERROR(INDEX($E:$E,MATCH(AE44,$A:$A,0)),"")="","",INDEX($E:$E,MATCH(AE44,$A:$A,0))),IF(AG44="",IF(IFERROR(INDEX($E:$E,MATCH(AF44,$A:$A,0)),"")="","",INDEX($E:$E,MATCH(AF44,$A:$A,0))),IF(IFERROR(INDEX($E:$E,MATCH(AG44,$A:$A,0)),"")="","",INDEX($E:$E,MATCH(AG44,$A:$A,0))))))))</f>
        <v/>
      </c>
      <c r="R44" s="21" t="str">
        <f aca="false">IF(A44="","",COUNTIF(Fields!$D:$D,A44))</f>
        <v/>
      </c>
      <c r="S44" s="21" t="str">
        <f aca="false">IF(A44="","",SUMIF(Fields!$D:$D,A44,Fields!$Q:$Q))</f>
        <v/>
      </c>
      <c r="T44" s="21" t="str">
        <f aca="false">IF(A44="","",COUNTIF('Product inputs'!$D:$D,A44))</f>
        <v/>
      </c>
      <c r="U44" s="20"/>
      <c r="V44" s="20"/>
      <c r="W44" s="20"/>
      <c r="X44" s="20"/>
      <c r="Y44" s="20"/>
      <c r="Z44" s="20"/>
      <c r="AA44" s="20"/>
      <c r="AB44" s="20"/>
      <c r="AC44" s="20"/>
      <c r="AD44" s="18" t="str">
        <f aca="false">IF(A44="","",IF(IFERROR(INDEX($G:$G,MATCH(A44,$A:$A,0)),"")="","",TRIM(IF(ISNUMBER(FIND(",",IFERROR(INDEX($G:$G,MATCH(A44,$A:$A,0)),""))),LEFT(IFERROR(INDEX($G:$G,MATCH(A44,$A:$A,0)),""),FIND(",",IFERROR(INDEX($G:$G,MATCH(A44,$A:$A,0)),""))-1),IFERROR(INDEX($G:$G,MATCH(A44,$A:$A,0)),"")))))</f>
        <v/>
      </c>
      <c r="AE44" s="18" t="str">
        <f aca="false">IF(AD44="","",IF(IFERROR(INDEX($G:$G,MATCH(AD44,$A:$A,0)),"")="","",TRIM(IF(ISNUMBER(FIND(",",IFERROR(INDEX($G:$G,MATCH(AD44,$A:$A,0)),""))),LEFT(IFERROR(INDEX($G:$G,MATCH(AD44,$A:$A,0)),""),FIND(",",IFERROR(INDEX($G:$G,MATCH(AD44,$A:$A,0)),""))-1),IFERROR(INDEX($G:$G,MATCH(AD44,$A:$A,0)),"")))))</f>
        <v/>
      </c>
      <c r="AF44" s="18" t="str">
        <f aca="false">IF(AE44="","",IF(IFERROR(INDEX($G:$G,MATCH(AE44,$A:$A,0)),"")="","",TRIM(IF(ISNUMBER(FIND(",",IFERROR(INDEX($G:$G,MATCH(AE44,$A:$A,0)),""))),LEFT(IFERROR(INDEX($G:$G,MATCH(AE44,$A:$A,0)),""),FIND(",",IFERROR(INDEX($G:$G,MATCH(AE44,$A:$A,0)),""))-1),IFERROR(INDEX($G:$G,MATCH(AE44,$A:$A,0)),"")))))</f>
        <v/>
      </c>
      <c r="AG44" s="18" t="str">
        <f aca="false">IF(AF44="","",IF(IFERROR(INDEX($G:$G,MATCH(AF44,$A:$A,0)),"")="","",TRIM(IF(ISNUMBER(FIND(",",IFERROR(INDEX($G:$G,MATCH(AF44,$A:$A,0)),""))),LEFT(IFERROR(INDEX($G:$G,MATCH(AF44,$A:$A,0)),""),FIND(",",IFERROR(INDEX($G:$G,MATCH(AF44,$A:$A,0)),""))-1),IFERROR(INDEX($G:$G,MATCH(AF44,$A:$A,0)),"")))))</f>
        <v/>
      </c>
    </row>
    <row r="45" customFormat="false" ht="15" hidden="false" customHeight="false" outlineLevel="0" collapsed="false">
      <c r="A45" s="18"/>
      <c r="B45" s="19"/>
      <c r="C45" s="20"/>
      <c r="D45" s="20"/>
      <c r="E45" s="20"/>
      <c r="F45" s="20"/>
      <c r="G45" s="18"/>
      <c r="H45" s="20"/>
      <c r="I45" s="18"/>
      <c r="J45" s="20"/>
      <c r="K45" s="20"/>
      <c r="L45" s="20"/>
      <c r="M45" s="20"/>
      <c r="N45" s="20"/>
      <c r="O45" s="21" t="str">
        <f aca="false">IF(A45="","",IF(AD45="",0,IF(AE45="",1,IF(AF45="",2,IF(AG45="",3,"4+")))))</f>
        <v/>
      </c>
      <c r="P45" s="21" t="str">
        <f aca="false">IF(A45="","",B45&amp;IF(AD45="",""," &lt;- "&amp;IFERROR(INDEX($B:$B,MATCH(AD45,$A:$A,0)),AD45)&amp;IF(AE45="",""," &lt;- "&amp;IFERROR(INDEX($B:$B,MATCH(AE45,$A:$A,0)),AE45)&amp;IF(AF45="",""," &lt;- "&amp;IFERROR(INDEX($B:$B,MATCH(AF45,$A:$A,0)),AF45)&amp;IF(AG45="",""," &lt;- "&amp;IFERROR(INDEX($B:$B,MATCH(AG45,$A:$A,0)),AG45)))))&amp;IF(ISNUMBER(FIND(",",G45))," (+ other parents)",""))</f>
        <v/>
      </c>
      <c r="Q45" s="21" t="str">
        <f aca="false">IF(A45="","",IF(AD45="",E45&amp;"",IF(AE45="",IF(IFERROR(INDEX($E:$E,MATCH(AD45,$A:$A,0)),"")="","",INDEX($E:$E,MATCH(AD45,$A:$A,0))),IF(AF45="",IF(IFERROR(INDEX($E:$E,MATCH(AE45,$A:$A,0)),"")="","",INDEX($E:$E,MATCH(AE45,$A:$A,0))),IF(AG45="",IF(IFERROR(INDEX($E:$E,MATCH(AF45,$A:$A,0)),"")="","",INDEX($E:$E,MATCH(AF45,$A:$A,0))),IF(IFERROR(INDEX($E:$E,MATCH(AG45,$A:$A,0)),"")="","",INDEX($E:$E,MATCH(AG45,$A:$A,0))))))))</f>
        <v/>
      </c>
      <c r="R45" s="21" t="str">
        <f aca="false">IF(A45="","",COUNTIF(Fields!$D:$D,A45))</f>
        <v/>
      </c>
      <c r="S45" s="21" t="str">
        <f aca="false">IF(A45="","",SUMIF(Fields!$D:$D,A45,Fields!$Q:$Q))</f>
        <v/>
      </c>
      <c r="T45" s="21" t="str">
        <f aca="false">IF(A45="","",COUNTIF('Product inputs'!$D:$D,A45))</f>
        <v/>
      </c>
      <c r="U45" s="20"/>
      <c r="V45" s="20"/>
      <c r="W45" s="20"/>
      <c r="X45" s="20"/>
      <c r="Y45" s="20"/>
      <c r="Z45" s="20"/>
      <c r="AA45" s="20"/>
      <c r="AB45" s="20"/>
      <c r="AC45" s="20"/>
      <c r="AD45" s="18" t="str">
        <f aca="false">IF(A45="","",IF(IFERROR(INDEX($G:$G,MATCH(A45,$A:$A,0)),"")="","",TRIM(IF(ISNUMBER(FIND(",",IFERROR(INDEX($G:$G,MATCH(A45,$A:$A,0)),""))),LEFT(IFERROR(INDEX($G:$G,MATCH(A45,$A:$A,0)),""),FIND(",",IFERROR(INDEX($G:$G,MATCH(A45,$A:$A,0)),""))-1),IFERROR(INDEX($G:$G,MATCH(A45,$A:$A,0)),"")))))</f>
        <v/>
      </c>
      <c r="AE45" s="18" t="str">
        <f aca="false">IF(AD45="","",IF(IFERROR(INDEX($G:$G,MATCH(AD45,$A:$A,0)),"")="","",TRIM(IF(ISNUMBER(FIND(",",IFERROR(INDEX($G:$G,MATCH(AD45,$A:$A,0)),""))),LEFT(IFERROR(INDEX($G:$G,MATCH(AD45,$A:$A,0)),""),FIND(",",IFERROR(INDEX($G:$G,MATCH(AD45,$A:$A,0)),""))-1),IFERROR(INDEX($G:$G,MATCH(AD45,$A:$A,0)),"")))))</f>
        <v/>
      </c>
      <c r="AF45" s="18" t="str">
        <f aca="false">IF(AE45="","",IF(IFERROR(INDEX($G:$G,MATCH(AE45,$A:$A,0)),"")="","",TRIM(IF(ISNUMBER(FIND(",",IFERROR(INDEX($G:$G,MATCH(AE45,$A:$A,0)),""))),LEFT(IFERROR(INDEX($G:$G,MATCH(AE45,$A:$A,0)),""),FIND(",",IFERROR(INDEX($G:$G,MATCH(AE45,$A:$A,0)),""))-1),IFERROR(INDEX($G:$G,MATCH(AE45,$A:$A,0)),"")))))</f>
        <v/>
      </c>
      <c r="AG45" s="18" t="str">
        <f aca="false">IF(AF45="","",IF(IFERROR(INDEX($G:$G,MATCH(AF45,$A:$A,0)),"")="","",TRIM(IF(ISNUMBER(FIND(",",IFERROR(INDEX($G:$G,MATCH(AF45,$A:$A,0)),""))),LEFT(IFERROR(INDEX($G:$G,MATCH(AF45,$A:$A,0)),""),FIND(",",IFERROR(INDEX($G:$G,MATCH(AF45,$A:$A,0)),""))-1),IFERROR(INDEX($G:$G,MATCH(AF45,$A:$A,0)),"")))))</f>
        <v/>
      </c>
    </row>
    <row r="46" customFormat="false" ht="15" hidden="false" customHeight="false" outlineLevel="0" collapsed="false">
      <c r="A46" s="18"/>
      <c r="B46" s="19"/>
      <c r="C46" s="20"/>
      <c r="D46" s="20"/>
      <c r="E46" s="20"/>
      <c r="F46" s="20"/>
      <c r="G46" s="18"/>
      <c r="H46" s="20"/>
      <c r="I46" s="18"/>
      <c r="J46" s="20"/>
      <c r="K46" s="20"/>
      <c r="L46" s="20"/>
      <c r="M46" s="20"/>
      <c r="N46" s="20"/>
      <c r="O46" s="21" t="str">
        <f aca="false">IF(A46="","",IF(AD46="",0,IF(AE46="",1,IF(AF46="",2,IF(AG46="",3,"4+")))))</f>
        <v/>
      </c>
      <c r="P46" s="21" t="str">
        <f aca="false">IF(A46="","",B46&amp;IF(AD46="",""," &lt;- "&amp;IFERROR(INDEX($B:$B,MATCH(AD46,$A:$A,0)),AD46)&amp;IF(AE46="",""," &lt;- "&amp;IFERROR(INDEX($B:$B,MATCH(AE46,$A:$A,0)),AE46)&amp;IF(AF46="",""," &lt;- "&amp;IFERROR(INDEX($B:$B,MATCH(AF46,$A:$A,0)),AF46)&amp;IF(AG46="",""," &lt;- "&amp;IFERROR(INDEX($B:$B,MATCH(AG46,$A:$A,0)),AG46)))))&amp;IF(ISNUMBER(FIND(",",G46))," (+ other parents)",""))</f>
        <v/>
      </c>
      <c r="Q46" s="21" t="str">
        <f aca="false">IF(A46="","",IF(AD46="",E46&amp;"",IF(AE46="",IF(IFERROR(INDEX($E:$E,MATCH(AD46,$A:$A,0)),"")="","",INDEX($E:$E,MATCH(AD46,$A:$A,0))),IF(AF46="",IF(IFERROR(INDEX($E:$E,MATCH(AE46,$A:$A,0)),"")="","",INDEX($E:$E,MATCH(AE46,$A:$A,0))),IF(AG46="",IF(IFERROR(INDEX($E:$E,MATCH(AF46,$A:$A,0)),"")="","",INDEX($E:$E,MATCH(AF46,$A:$A,0))),IF(IFERROR(INDEX($E:$E,MATCH(AG46,$A:$A,0)),"")="","",INDEX($E:$E,MATCH(AG46,$A:$A,0))))))))</f>
        <v/>
      </c>
      <c r="R46" s="21" t="str">
        <f aca="false">IF(A46="","",COUNTIF(Fields!$D:$D,A46))</f>
        <v/>
      </c>
      <c r="S46" s="21" t="str">
        <f aca="false">IF(A46="","",SUMIF(Fields!$D:$D,A46,Fields!$Q:$Q))</f>
        <v/>
      </c>
      <c r="T46" s="21" t="str">
        <f aca="false">IF(A46="","",COUNTIF('Product inputs'!$D:$D,A46))</f>
        <v/>
      </c>
      <c r="U46" s="20"/>
      <c r="V46" s="20"/>
      <c r="W46" s="20"/>
      <c r="X46" s="20"/>
      <c r="Y46" s="20"/>
      <c r="Z46" s="20"/>
      <c r="AA46" s="20"/>
      <c r="AB46" s="20"/>
      <c r="AC46" s="20"/>
      <c r="AD46" s="18" t="str">
        <f aca="false">IF(A46="","",IF(IFERROR(INDEX($G:$G,MATCH(A46,$A:$A,0)),"")="","",TRIM(IF(ISNUMBER(FIND(",",IFERROR(INDEX($G:$G,MATCH(A46,$A:$A,0)),""))),LEFT(IFERROR(INDEX($G:$G,MATCH(A46,$A:$A,0)),""),FIND(",",IFERROR(INDEX($G:$G,MATCH(A46,$A:$A,0)),""))-1),IFERROR(INDEX($G:$G,MATCH(A46,$A:$A,0)),"")))))</f>
        <v/>
      </c>
      <c r="AE46" s="18" t="str">
        <f aca="false">IF(AD46="","",IF(IFERROR(INDEX($G:$G,MATCH(AD46,$A:$A,0)),"")="","",TRIM(IF(ISNUMBER(FIND(",",IFERROR(INDEX($G:$G,MATCH(AD46,$A:$A,0)),""))),LEFT(IFERROR(INDEX($G:$G,MATCH(AD46,$A:$A,0)),""),FIND(",",IFERROR(INDEX($G:$G,MATCH(AD46,$A:$A,0)),""))-1),IFERROR(INDEX($G:$G,MATCH(AD46,$A:$A,0)),"")))))</f>
        <v/>
      </c>
      <c r="AF46" s="18" t="str">
        <f aca="false">IF(AE46="","",IF(IFERROR(INDEX($G:$G,MATCH(AE46,$A:$A,0)),"")="","",TRIM(IF(ISNUMBER(FIND(",",IFERROR(INDEX($G:$G,MATCH(AE46,$A:$A,0)),""))),LEFT(IFERROR(INDEX($G:$G,MATCH(AE46,$A:$A,0)),""),FIND(",",IFERROR(INDEX($G:$G,MATCH(AE46,$A:$A,0)),""))-1),IFERROR(INDEX($G:$G,MATCH(AE46,$A:$A,0)),"")))))</f>
        <v/>
      </c>
      <c r="AG46" s="18" t="str">
        <f aca="false">IF(AF46="","",IF(IFERROR(INDEX($G:$G,MATCH(AF46,$A:$A,0)),"")="","",TRIM(IF(ISNUMBER(FIND(",",IFERROR(INDEX($G:$G,MATCH(AF46,$A:$A,0)),""))),LEFT(IFERROR(INDEX($G:$G,MATCH(AF46,$A:$A,0)),""),FIND(",",IFERROR(INDEX($G:$G,MATCH(AF46,$A:$A,0)),""))-1),IFERROR(INDEX($G:$G,MATCH(AF46,$A:$A,0)),"")))))</f>
        <v/>
      </c>
    </row>
    <row r="47" customFormat="false" ht="15" hidden="false" customHeight="false" outlineLevel="0" collapsed="false">
      <c r="A47" s="18"/>
      <c r="B47" s="19"/>
      <c r="C47" s="20"/>
      <c r="D47" s="20"/>
      <c r="E47" s="20"/>
      <c r="F47" s="20"/>
      <c r="G47" s="18"/>
      <c r="H47" s="20"/>
      <c r="I47" s="18"/>
      <c r="J47" s="20"/>
      <c r="K47" s="20"/>
      <c r="L47" s="20"/>
      <c r="M47" s="20"/>
      <c r="N47" s="20"/>
      <c r="O47" s="21" t="str">
        <f aca="false">IF(A47="","",IF(AD47="",0,IF(AE47="",1,IF(AF47="",2,IF(AG47="",3,"4+")))))</f>
        <v/>
      </c>
      <c r="P47" s="21" t="str">
        <f aca="false">IF(A47="","",B47&amp;IF(AD47="",""," &lt;- "&amp;IFERROR(INDEX($B:$B,MATCH(AD47,$A:$A,0)),AD47)&amp;IF(AE47="",""," &lt;- "&amp;IFERROR(INDEX($B:$B,MATCH(AE47,$A:$A,0)),AE47)&amp;IF(AF47="",""," &lt;- "&amp;IFERROR(INDEX($B:$B,MATCH(AF47,$A:$A,0)),AF47)&amp;IF(AG47="",""," &lt;- "&amp;IFERROR(INDEX($B:$B,MATCH(AG47,$A:$A,0)),AG47)))))&amp;IF(ISNUMBER(FIND(",",G47))," (+ other parents)",""))</f>
        <v/>
      </c>
      <c r="Q47" s="21" t="str">
        <f aca="false">IF(A47="","",IF(AD47="",E47&amp;"",IF(AE47="",IF(IFERROR(INDEX($E:$E,MATCH(AD47,$A:$A,0)),"")="","",INDEX($E:$E,MATCH(AD47,$A:$A,0))),IF(AF47="",IF(IFERROR(INDEX($E:$E,MATCH(AE47,$A:$A,0)),"")="","",INDEX($E:$E,MATCH(AE47,$A:$A,0))),IF(AG47="",IF(IFERROR(INDEX($E:$E,MATCH(AF47,$A:$A,0)),"")="","",INDEX($E:$E,MATCH(AF47,$A:$A,0))),IF(IFERROR(INDEX($E:$E,MATCH(AG47,$A:$A,0)),"")="","",INDEX($E:$E,MATCH(AG47,$A:$A,0))))))))</f>
        <v/>
      </c>
      <c r="R47" s="21" t="str">
        <f aca="false">IF(A47="","",COUNTIF(Fields!$D:$D,A47))</f>
        <v/>
      </c>
      <c r="S47" s="21" t="str">
        <f aca="false">IF(A47="","",SUMIF(Fields!$D:$D,A47,Fields!$Q:$Q))</f>
        <v/>
      </c>
      <c r="T47" s="21" t="str">
        <f aca="false">IF(A47="","",COUNTIF('Product inputs'!$D:$D,A47))</f>
        <v/>
      </c>
      <c r="U47" s="20"/>
      <c r="V47" s="20"/>
      <c r="W47" s="20"/>
      <c r="X47" s="20"/>
      <c r="Y47" s="20"/>
      <c r="Z47" s="20"/>
      <c r="AA47" s="20"/>
      <c r="AB47" s="20"/>
      <c r="AC47" s="20"/>
      <c r="AD47" s="18" t="str">
        <f aca="false">IF(A47="","",IF(IFERROR(INDEX($G:$G,MATCH(A47,$A:$A,0)),"")="","",TRIM(IF(ISNUMBER(FIND(",",IFERROR(INDEX($G:$G,MATCH(A47,$A:$A,0)),""))),LEFT(IFERROR(INDEX($G:$G,MATCH(A47,$A:$A,0)),""),FIND(",",IFERROR(INDEX($G:$G,MATCH(A47,$A:$A,0)),""))-1),IFERROR(INDEX($G:$G,MATCH(A47,$A:$A,0)),"")))))</f>
        <v/>
      </c>
      <c r="AE47" s="18" t="str">
        <f aca="false">IF(AD47="","",IF(IFERROR(INDEX($G:$G,MATCH(AD47,$A:$A,0)),"")="","",TRIM(IF(ISNUMBER(FIND(",",IFERROR(INDEX($G:$G,MATCH(AD47,$A:$A,0)),""))),LEFT(IFERROR(INDEX($G:$G,MATCH(AD47,$A:$A,0)),""),FIND(",",IFERROR(INDEX($G:$G,MATCH(AD47,$A:$A,0)),""))-1),IFERROR(INDEX($G:$G,MATCH(AD47,$A:$A,0)),"")))))</f>
        <v/>
      </c>
      <c r="AF47" s="18" t="str">
        <f aca="false">IF(AE47="","",IF(IFERROR(INDEX($G:$G,MATCH(AE47,$A:$A,0)),"")="","",TRIM(IF(ISNUMBER(FIND(",",IFERROR(INDEX($G:$G,MATCH(AE47,$A:$A,0)),""))),LEFT(IFERROR(INDEX($G:$G,MATCH(AE47,$A:$A,0)),""),FIND(",",IFERROR(INDEX($G:$G,MATCH(AE47,$A:$A,0)),""))-1),IFERROR(INDEX($G:$G,MATCH(AE47,$A:$A,0)),"")))))</f>
        <v/>
      </c>
      <c r="AG47" s="18" t="str">
        <f aca="false">IF(AF47="","",IF(IFERROR(INDEX($G:$G,MATCH(AF47,$A:$A,0)),"")="","",TRIM(IF(ISNUMBER(FIND(",",IFERROR(INDEX($G:$G,MATCH(AF47,$A:$A,0)),""))),LEFT(IFERROR(INDEX($G:$G,MATCH(AF47,$A:$A,0)),""),FIND(",",IFERROR(INDEX($G:$G,MATCH(AF47,$A:$A,0)),""))-1),IFERROR(INDEX($G:$G,MATCH(AF47,$A:$A,0)),"")))))</f>
        <v/>
      </c>
    </row>
    <row r="48" customFormat="false" ht="15" hidden="false" customHeight="false" outlineLevel="0" collapsed="false">
      <c r="A48" s="18"/>
      <c r="B48" s="19"/>
      <c r="C48" s="20"/>
      <c r="D48" s="20"/>
      <c r="E48" s="20"/>
      <c r="F48" s="20"/>
      <c r="G48" s="18"/>
      <c r="H48" s="20"/>
      <c r="I48" s="18"/>
      <c r="J48" s="20"/>
      <c r="K48" s="20"/>
      <c r="L48" s="20"/>
      <c r="M48" s="20"/>
      <c r="N48" s="20"/>
      <c r="O48" s="21" t="str">
        <f aca="false">IF(A48="","",IF(AD48="",0,IF(AE48="",1,IF(AF48="",2,IF(AG48="",3,"4+")))))</f>
        <v/>
      </c>
      <c r="P48" s="21" t="str">
        <f aca="false">IF(A48="","",B48&amp;IF(AD48="",""," &lt;- "&amp;IFERROR(INDEX($B:$B,MATCH(AD48,$A:$A,0)),AD48)&amp;IF(AE48="",""," &lt;- "&amp;IFERROR(INDEX($B:$B,MATCH(AE48,$A:$A,0)),AE48)&amp;IF(AF48="",""," &lt;- "&amp;IFERROR(INDEX($B:$B,MATCH(AF48,$A:$A,0)),AF48)&amp;IF(AG48="",""," &lt;- "&amp;IFERROR(INDEX($B:$B,MATCH(AG48,$A:$A,0)),AG48)))))&amp;IF(ISNUMBER(FIND(",",G48))," (+ other parents)",""))</f>
        <v/>
      </c>
      <c r="Q48" s="21" t="str">
        <f aca="false">IF(A48="","",IF(AD48="",E48&amp;"",IF(AE48="",IF(IFERROR(INDEX($E:$E,MATCH(AD48,$A:$A,0)),"")="","",INDEX($E:$E,MATCH(AD48,$A:$A,0))),IF(AF48="",IF(IFERROR(INDEX($E:$E,MATCH(AE48,$A:$A,0)),"")="","",INDEX($E:$E,MATCH(AE48,$A:$A,0))),IF(AG48="",IF(IFERROR(INDEX($E:$E,MATCH(AF48,$A:$A,0)),"")="","",INDEX($E:$E,MATCH(AF48,$A:$A,0))),IF(IFERROR(INDEX($E:$E,MATCH(AG48,$A:$A,0)),"")="","",INDEX($E:$E,MATCH(AG48,$A:$A,0))))))))</f>
        <v/>
      </c>
      <c r="R48" s="21" t="str">
        <f aca="false">IF(A48="","",COUNTIF(Fields!$D:$D,A48))</f>
        <v/>
      </c>
      <c r="S48" s="21" t="str">
        <f aca="false">IF(A48="","",SUMIF(Fields!$D:$D,A48,Fields!$Q:$Q))</f>
        <v/>
      </c>
      <c r="T48" s="21" t="str">
        <f aca="false">IF(A48="","",COUNTIF('Product inputs'!$D:$D,A48))</f>
        <v/>
      </c>
      <c r="U48" s="20"/>
      <c r="V48" s="20"/>
      <c r="W48" s="20"/>
      <c r="X48" s="20"/>
      <c r="Y48" s="20"/>
      <c r="Z48" s="20"/>
      <c r="AA48" s="20"/>
      <c r="AB48" s="20"/>
      <c r="AC48" s="20"/>
      <c r="AD48" s="18" t="str">
        <f aca="false">IF(A48="","",IF(IFERROR(INDEX($G:$G,MATCH(A48,$A:$A,0)),"")="","",TRIM(IF(ISNUMBER(FIND(",",IFERROR(INDEX($G:$G,MATCH(A48,$A:$A,0)),""))),LEFT(IFERROR(INDEX($G:$G,MATCH(A48,$A:$A,0)),""),FIND(",",IFERROR(INDEX($G:$G,MATCH(A48,$A:$A,0)),""))-1),IFERROR(INDEX($G:$G,MATCH(A48,$A:$A,0)),"")))))</f>
        <v/>
      </c>
      <c r="AE48" s="18" t="str">
        <f aca="false">IF(AD48="","",IF(IFERROR(INDEX($G:$G,MATCH(AD48,$A:$A,0)),"")="","",TRIM(IF(ISNUMBER(FIND(",",IFERROR(INDEX($G:$G,MATCH(AD48,$A:$A,0)),""))),LEFT(IFERROR(INDEX($G:$G,MATCH(AD48,$A:$A,0)),""),FIND(",",IFERROR(INDEX($G:$G,MATCH(AD48,$A:$A,0)),""))-1),IFERROR(INDEX($G:$G,MATCH(AD48,$A:$A,0)),"")))))</f>
        <v/>
      </c>
      <c r="AF48" s="18" t="str">
        <f aca="false">IF(AE48="","",IF(IFERROR(INDEX($G:$G,MATCH(AE48,$A:$A,0)),"")="","",TRIM(IF(ISNUMBER(FIND(",",IFERROR(INDEX($G:$G,MATCH(AE48,$A:$A,0)),""))),LEFT(IFERROR(INDEX($G:$G,MATCH(AE48,$A:$A,0)),""),FIND(",",IFERROR(INDEX($G:$G,MATCH(AE48,$A:$A,0)),""))-1),IFERROR(INDEX($G:$G,MATCH(AE48,$A:$A,0)),"")))))</f>
        <v/>
      </c>
      <c r="AG48" s="18" t="str">
        <f aca="false">IF(AF48="","",IF(IFERROR(INDEX($G:$G,MATCH(AF48,$A:$A,0)),"")="","",TRIM(IF(ISNUMBER(FIND(",",IFERROR(INDEX($G:$G,MATCH(AF48,$A:$A,0)),""))),LEFT(IFERROR(INDEX($G:$G,MATCH(AF48,$A:$A,0)),""),FIND(",",IFERROR(INDEX($G:$G,MATCH(AF48,$A:$A,0)),""))-1),IFERROR(INDEX($G:$G,MATCH(AF48,$A:$A,0)),"")))))</f>
        <v/>
      </c>
    </row>
    <row r="49" customFormat="false" ht="15" hidden="false" customHeight="false" outlineLevel="0" collapsed="false">
      <c r="A49" s="18"/>
      <c r="B49" s="19"/>
      <c r="C49" s="20"/>
      <c r="D49" s="20"/>
      <c r="E49" s="20"/>
      <c r="F49" s="20"/>
      <c r="G49" s="18"/>
      <c r="H49" s="20"/>
      <c r="I49" s="18"/>
      <c r="J49" s="20"/>
      <c r="K49" s="20"/>
      <c r="L49" s="20"/>
      <c r="M49" s="20"/>
      <c r="N49" s="20"/>
      <c r="O49" s="21" t="str">
        <f aca="false">IF(A49="","",IF(AD49="",0,IF(AE49="",1,IF(AF49="",2,IF(AG49="",3,"4+")))))</f>
        <v/>
      </c>
      <c r="P49" s="21" t="str">
        <f aca="false">IF(A49="","",B49&amp;IF(AD49="",""," &lt;- "&amp;IFERROR(INDEX($B:$B,MATCH(AD49,$A:$A,0)),AD49)&amp;IF(AE49="",""," &lt;- "&amp;IFERROR(INDEX($B:$B,MATCH(AE49,$A:$A,0)),AE49)&amp;IF(AF49="",""," &lt;- "&amp;IFERROR(INDEX($B:$B,MATCH(AF49,$A:$A,0)),AF49)&amp;IF(AG49="",""," &lt;- "&amp;IFERROR(INDEX($B:$B,MATCH(AG49,$A:$A,0)),AG49)))))&amp;IF(ISNUMBER(FIND(",",G49))," (+ other parents)",""))</f>
        <v/>
      </c>
      <c r="Q49" s="21" t="str">
        <f aca="false">IF(A49="","",IF(AD49="",E49&amp;"",IF(AE49="",IF(IFERROR(INDEX($E:$E,MATCH(AD49,$A:$A,0)),"")="","",INDEX($E:$E,MATCH(AD49,$A:$A,0))),IF(AF49="",IF(IFERROR(INDEX($E:$E,MATCH(AE49,$A:$A,0)),"")="","",INDEX($E:$E,MATCH(AE49,$A:$A,0))),IF(AG49="",IF(IFERROR(INDEX($E:$E,MATCH(AF49,$A:$A,0)),"")="","",INDEX($E:$E,MATCH(AF49,$A:$A,0))),IF(IFERROR(INDEX($E:$E,MATCH(AG49,$A:$A,0)),"")="","",INDEX($E:$E,MATCH(AG49,$A:$A,0))))))))</f>
        <v/>
      </c>
      <c r="R49" s="21" t="str">
        <f aca="false">IF(A49="","",COUNTIF(Fields!$D:$D,A49))</f>
        <v/>
      </c>
      <c r="S49" s="21" t="str">
        <f aca="false">IF(A49="","",SUMIF(Fields!$D:$D,A49,Fields!$Q:$Q))</f>
        <v/>
      </c>
      <c r="T49" s="21" t="str">
        <f aca="false">IF(A49="","",COUNTIF('Product inputs'!$D:$D,A49))</f>
        <v/>
      </c>
      <c r="U49" s="20"/>
      <c r="V49" s="20"/>
      <c r="W49" s="20"/>
      <c r="X49" s="20"/>
      <c r="Y49" s="20"/>
      <c r="Z49" s="20"/>
      <c r="AA49" s="20"/>
      <c r="AB49" s="20"/>
      <c r="AC49" s="20"/>
      <c r="AD49" s="18" t="str">
        <f aca="false">IF(A49="","",IF(IFERROR(INDEX($G:$G,MATCH(A49,$A:$A,0)),"")="","",TRIM(IF(ISNUMBER(FIND(",",IFERROR(INDEX($G:$G,MATCH(A49,$A:$A,0)),""))),LEFT(IFERROR(INDEX($G:$G,MATCH(A49,$A:$A,0)),""),FIND(",",IFERROR(INDEX($G:$G,MATCH(A49,$A:$A,0)),""))-1),IFERROR(INDEX($G:$G,MATCH(A49,$A:$A,0)),"")))))</f>
        <v/>
      </c>
      <c r="AE49" s="18" t="str">
        <f aca="false">IF(AD49="","",IF(IFERROR(INDEX($G:$G,MATCH(AD49,$A:$A,0)),"")="","",TRIM(IF(ISNUMBER(FIND(",",IFERROR(INDEX($G:$G,MATCH(AD49,$A:$A,0)),""))),LEFT(IFERROR(INDEX($G:$G,MATCH(AD49,$A:$A,0)),""),FIND(",",IFERROR(INDEX($G:$G,MATCH(AD49,$A:$A,0)),""))-1),IFERROR(INDEX($G:$G,MATCH(AD49,$A:$A,0)),"")))))</f>
        <v/>
      </c>
      <c r="AF49" s="18" t="str">
        <f aca="false">IF(AE49="","",IF(IFERROR(INDEX($G:$G,MATCH(AE49,$A:$A,0)),"")="","",TRIM(IF(ISNUMBER(FIND(",",IFERROR(INDEX($G:$G,MATCH(AE49,$A:$A,0)),""))),LEFT(IFERROR(INDEX($G:$G,MATCH(AE49,$A:$A,0)),""),FIND(",",IFERROR(INDEX($G:$G,MATCH(AE49,$A:$A,0)),""))-1),IFERROR(INDEX($G:$G,MATCH(AE49,$A:$A,0)),"")))))</f>
        <v/>
      </c>
      <c r="AG49" s="18" t="str">
        <f aca="false">IF(AF49="","",IF(IFERROR(INDEX($G:$G,MATCH(AF49,$A:$A,0)),"")="","",TRIM(IF(ISNUMBER(FIND(",",IFERROR(INDEX($G:$G,MATCH(AF49,$A:$A,0)),""))),LEFT(IFERROR(INDEX($G:$G,MATCH(AF49,$A:$A,0)),""),FIND(",",IFERROR(INDEX($G:$G,MATCH(AF49,$A:$A,0)),""))-1),IFERROR(INDEX($G:$G,MATCH(AF49,$A:$A,0)),"")))))</f>
        <v/>
      </c>
    </row>
    <row r="50" customFormat="false" ht="15" hidden="false" customHeight="false" outlineLevel="0" collapsed="false">
      <c r="A50" s="18"/>
      <c r="B50" s="19"/>
      <c r="C50" s="20"/>
      <c r="D50" s="20"/>
      <c r="E50" s="20"/>
      <c r="F50" s="20"/>
      <c r="G50" s="18"/>
      <c r="H50" s="20"/>
      <c r="I50" s="18"/>
      <c r="J50" s="20"/>
      <c r="K50" s="20"/>
      <c r="L50" s="20"/>
      <c r="M50" s="20"/>
      <c r="N50" s="20"/>
      <c r="O50" s="21" t="str">
        <f aca="false">IF(A50="","",IF(AD50="",0,IF(AE50="",1,IF(AF50="",2,IF(AG50="",3,"4+")))))</f>
        <v/>
      </c>
      <c r="P50" s="21" t="str">
        <f aca="false">IF(A50="","",B50&amp;IF(AD50="",""," &lt;- "&amp;IFERROR(INDEX($B:$B,MATCH(AD50,$A:$A,0)),AD50)&amp;IF(AE50="",""," &lt;- "&amp;IFERROR(INDEX($B:$B,MATCH(AE50,$A:$A,0)),AE50)&amp;IF(AF50="",""," &lt;- "&amp;IFERROR(INDEX($B:$B,MATCH(AF50,$A:$A,0)),AF50)&amp;IF(AG50="",""," &lt;- "&amp;IFERROR(INDEX($B:$B,MATCH(AG50,$A:$A,0)),AG50)))))&amp;IF(ISNUMBER(FIND(",",G50))," (+ other parents)",""))</f>
        <v/>
      </c>
      <c r="Q50" s="21" t="str">
        <f aca="false">IF(A50="","",IF(AD50="",E50&amp;"",IF(AE50="",IF(IFERROR(INDEX($E:$E,MATCH(AD50,$A:$A,0)),"")="","",INDEX($E:$E,MATCH(AD50,$A:$A,0))),IF(AF50="",IF(IFERROR(INDEX($E:$E,MATCH(AE50,$A:$A,0)),"")="","",INDEX($E:$E,MATCH(AE50,$A:$A,0))),IF(AG50="",IF(IFERROR(INDEX($E:$E,MATCH(AF50,$A:$A,0)),"")="","",INDEX($E:$E,MATCH(AF50,$A:$A,0))),IF(IFERROR(INDEX($E:$E,MATCH(AG50,$A:$A,0)),"")="","",INDEX($E:$E,MATCH(AG50,$A:$A,0))))))))</f>
        <v/>
      </c>
      <c r="R50" s="21" t="str">
        <f aca="false">IF(A50="","",COUNTIF(Fields!$D:$D,A50))</f>
        <v/>
      </c>
      <c r="S50" s="21" t="str">
        <f aca="false">IF(A50="","",SUMIF(Fields!$D:$D,A50,Fields!$Q:$Q))</f>
        <v/>
      </c>
      <c r="T50" s="21" t="str">
        <f aca="false">IF(A50="","",COUNTIF('Product inputs'!$D:$D,A50))</f>
        <v/>
      </c>
      <c r="U50" s="20"/>
      <c r="V50" s="20"/>
      <c r="W50" s="20"/>
      <c r="X50" s="20"/>
      <c r="Y50" s="20"/>
      <c r="Z50" s="20"/>
      <c r="AA50" s="20"/>
      <c r="AB50" s="20"/>
      <c r="AC50" s="20"/>
      <c r="AD50" s="18" t="str">
        <f aca="false">IF(A50="","",IF(IFERROR(INDEX($G:$G,MATCH(A50,$A:$A,0)),"")="","",TRIM(IF(ISNUMBER(FIND(",",IFERROR(INDEX($G:$G,MATCH(A50,$A:$A,0)),""))),LEFT(IFERROR(INDEX($G:$G,MATCH(A50,$A:$A,0)),""),FIND(",",IFERROR(INDEX($G:$G,MATCH(A50,$A:$A,0)),""))-1),IFERROR(INDEX($G:$G,MATCH(A50,$A:$A,0)),"")))))</f>
        <v/>
      </c>
      <c r="AE50" s="18" t="str">
        <f aca="false">IF(AD50="","",IF(IFERROR(INDEX($G:$G,MATCH(AD50,$A:$A,0)),"")="","",TRIM(IF(ISNUMBER(FIND(",",IFERROR(INDEX($G:$G,MATCH(AD50,$A:$A,0)),""))),LEFT(IFERROR(INDEX($G:$G,MATCH(AD50,$A:$A,0)),""),FIND(",",IFERROR(INDEX($G:$G,MATCH(AD50,$A:$A,0)),""))-1),IFERROR(INDEX($G:$G,MATCH(AD50,$A:$A,0)),"")))))</f>
        <v/>
      </c>
      <c r="AF50" s="18" t="str">
        <f aca="false">IF(AE50="","",IF(IFERROR(INDEX($G:$G,MATCH(AE50,$A:$A,0)),"")="","",TRIM(IF(ISNUMBER(FIND(",",IFERROR(INDEX($G:$G,MATCH(AE50,$A:$A,0)),""))),LEFT(IFERROR(INDEX($G:$G,MATCH(AE50,$A:$A,0)),""),FIND(",",IFERROR(INDEX($G:$G,MATCH(AE50,$A:$A,0)),""))-1),IFERROR(INDEX($G:$G,MATCH(AE50,$A:$A,0)),"")))))</f>
        <v/>
      </c>
      <c r="AG50" s="18" t="str">
        <f aca="false">IF(AF50="","",IF(IFERROR(INDEX($G:$G,MATCH(AF50,$A:$A,0)),"")="","",TRIM(IF(ISNUMBER(FIND(",",IFERROR(INDEX($G:$G,MATCH(AF50,$A:$A,0)),""))),LEFT(IFERROR(INDEX($G:$G,MATCH(AF50,$A:$A,0)),""),FIND(",",IFERROR(INDEX($G:$G,MATCH(AF50,$A:$A,0)),""))-1),IFERROR(INDEX($G:$G,MATCH(AF50,$A:$A,0)),"")))))</f>
        <v/>
      </c>
    </row>
    <row r="51" customFormat="false" ht="15" hidden="false" customHeight="false" outlineLevel="0" collapsed="false">
      <c r="A51" s="18"/>
      <c r="B51" s="19"/>
      <c r="C51" s="20"/>
      <c r="D51" s="20"/>
      <c r="E51" s="20"/>
      <c r="F51" s="20"/>
      <c r="G51" s="18"/>
      <c r="H51" s="20"/>
      <c r="I51" s="18"/>
      <c r="J51" s="20"/>
      <c r="K51" s="20"/>
      <c r="L51" s="20"/>
      <c r="M51" s="20"/>
      <c r="N51" s="20"/>
      <c r="O51" s="21" t="str">
        <f aca="false">IF(A51="","",IF(AD51="",0,IF(AE51="",1,IF(AF51="",2,IF(AG51="",3,"4+")))))</f>
        <v/>
      </c>
      <c r="P51" s="21" t="str">
        <f aca="false">IF(A51="","",B51&amp;IF(AD51="",""," &lt;- "&amp;IFERROR(INDEX($B:$B,MATCH(AD51,$A:$A,0)),AD51)&amp;IF(AE51="",""," &lt;- "&amp;IFERROR(INDEX($B:$B,MATCH(AE51,$A:$A,0)),AE51)&amp;IF(AF51="",""," &lt;- "&amp;IFERROR(INDEX($B:$B,MATCH(AF51,$A:$A,0)),AF51)&amp;IF(AG51="",""," &lt;- "&amp;IFERROR(INDEX($B:$B,MATCH(AG51,$A:$A,0)),AG51)))))&amp;IF(ISNUMBER(FIND(",",G51))," (+ other parents)",""))</f>
        <v/>
      </c>
      <c r="Q51" s="21" t="str">
        <f aca="false">IF(A51="","",IF(AD51="",E51&amp;"",IF(AE51="",IF(IFERROR(INDEX($E:$E,MATCH(AD51,$A:$A,0)),"")="","",INDEX($E:$E,MATCH(AD51,$A:$A,0))),IF(AF51="",IF(IFERROR(INDEX($E:$E,MATCH(AE51,$A:$A,0)),"")="","",INDEX($E:$E,MATCH(AE51,$A:$A,0))),IF(AG51="",IF(IFERROR(INDEX($E:$E,MATCH(AF51,$A:$A,0)),"")="","",INDEX($E:$E,MATCH(AF51,$A:$A,0))),IF(IFERROR(INDEX($E:$E,MATCH(AG51,$A:$A,0)),"")="","",INDEX($E:$E,MATCH(AG51,$A:$A,0))))))))</f>
        <v/>
      </c>
      <c r="R51" s="21" t="str">
        <f aca="false">IF(A51="","",COUNTIF(Fields!$D:$D,A51))</f>
        <v/>
      </c>
      <c r="S51" s="21" t="str">
        <f aca="false">IF(A51="","",SUMIF(Fields!$D:$D,A51,Fields!$Q:$Q))</f>
        <v/>
      </c>
      <c r="T51" s="21" t="str">
        <f aca="false">IF(A51="","",COUNTIF('Product inputs'!$D:$D,A51))</f>
        <v/>
      </c>
      <c r="U51" s="20"/>
      <c r="V51" s="20"/>
      <c r="W51" s="20"/>
      <c r="X51" s="20"/>
      <c r="Y51" s="20"/>
      <c r="Z51" s="20"/>
      <c r="AA51" s="20"/>
      <c r="AB51" s="20"/>
      <c r="AC51" s="20"/>
      <c r="AD51" s="18" t="str">
        <f aca="false">IF(A51="","",IF(IFERROR(INDEX($G:$G,MATCH(A51,$A:$A,0)),"")="","",TRIM(IF(ISNUMBER(FIND(",",IFERROR(INDEX($G:$G,MATCH(A51,$A:$A,0)),""))),LEFT(IFERROR(INDEX($G:$G,MATCH(A51,$A:$A,0)),""),FIND(",",IFERROR(INDEX($G:$G,MATCH(A51,$A:$A,0)),""))-1),IFERROR(INDEX($G:$G,MATCH(A51,$A:$A,0)),"")))))</f>
        <v/>
      </c>
      <c r="AE51" s="18" t="str">
        <f aca="false">IF(AD51="","",IF(IFERROR(INDEX($G:$G,MATCH(AD51,$A:$A,0)),"")="","",TRIM(IF(ISNUMBER(FIND(",",IFERROR(INDEX($G:$G,MATCH(AD51,$A:$A,0)),""))),LEFT(IFERROR(INDEX($G:$G,MATCH(AD51,$A:$A,0)),""),FIND(",",IFERROR(INDEX($G:$G,MATCH(AD51,$A:$A,0)),""))-1),IFERROR(INDEX($G:$G,MATCH(AD51,$A:$A,0)),"")))))</f>
        <v/>
      </c>
      <c r="AF51" s="18" t="str">
        <f aca="false">IF(AE51="","",IF(IFERROR(INDEX($G:$G,MATCH(AE51,$A:$A,0)),"")="","",TRIM(IF(ISNUMBER(FIND(",",IFERROR(INDEX($G:$G,MATCH(AE51,$A:$A,0)),""))),LEFT(IFERROR(INDEX($G:$G,MATCH(AE51,$A:$A,0)),""),FIND(",",IFERROR(INDEX($G:$G,MATCH(AE51,$A:$A,0)),""))-1),IFERROR(INDEX($G:$G,MATCH(AE51,$A:$A,0)),"")))))</f>
        <v/>
      </c>
      <c r="AG51" s="18" t="str">
        <f aca="false">IF(AF51="","",IF(IFERROR(INDEX($G:$G,MATCH(AF51,$A:$A,0)),"")="","",TRIM(IF(ISNUMBER(FIND(",",IFERROR(INDEX($G:$G,MATCH(AF51,$A:$A,0)),""))),LEFT(IFERROR(INDEX($G:$G,MATCH(AF51,$A:$A,0)),""),FIND(",",IFERROR(INDEX($G:$G,MATCH(AF51,$A:$A,0)),""))-1),IFERROR(INDEX($G:$G,MATCH(AF51,$A:$A,0)),"")))))</f>
        <v/>
      </c>
    </row>
    <row r="52" customFormat="false" ht="15" hidden="false" customHeight="false" outlineLevel="0" collapsed="false">
      <c r="A52" s="18"/>
      <c r="B52" s="19"/>
      <c r="C52" s="20"/>
      <c r="D52" s="20"/>
      <c r="E52" s="20"/>
      <c r="F52" s="20"/>
      <c r="G52" s="18"/>
      <c r="H52" s="20"/>
      <c r="I52" s="18"/>
      <c r="J52" s="20"/>
      <c r="K52" s="20"/>
      <c r="L52" s="20"/>
      <c r="M52" s="20"/>
      <c r="N52" s="20"/>
      <c r="O52" s="21" t="str">
        <f aca="false">IF(A52="","",IF(AD52="",0,IF(AE52="",1,IF(AF52="",2,IF(AG52="",3,"4+")))))</f>
        <v/>
      </c>
      <c r="P52" s="21" t="str">
        <f aca="false">IF(A52="","",B52&amp;IF(AD52="",""," &lt;- "&amp;IFERROR(INDEX($B:$B,MATCH(AD52,$A:$A,0)),AD52)&amp;IF(AE52="",""," &lt;- "&amp;IFERROR(INDEX($B:$B,MATCH(AE52,$A:$A,0)),AE52)&amp;IF(AF52="",""," &lt;- "&amp;IFERROR(INDEX($B:$B,MATCH(AF52,$A:$A,0)),AF52)&amp;IF(AG52="",""," &lt;- "&amp;IFERROR(INDEX($B:$B,MATCH(AG52,$A:$A,0)),AG52)))))&amp;IF(ISNUMBER(FIND(",",G52))," (+ other parents)",""))</f>
        <v/>
      </c>
      <c r="Q52" s="21" t="str">
        <f aca="false">IF(A52="","",IF(AD52="",E52&amp;"",IF(AE52="",IF(IFERROR(INDEX($E:$E,MATCH(AD52,$A:$A,0)),"")="","",INDEX($E:$E,MATCH(AD52,$A:$A,0))),IF(AF52="",IF(IFERROR(INDEX($E:$E,MATCH(AE52,$A:$A,0)),"")="","",INDEX($E:$E,MATCH(AE52,$A:$A,0))),IF(AG52="",IF(IFERROR(INDEX($E:$E,MATCH(AF52,$A:$A,0)),"")="","",INDEX($E:$E,MATCH(AF52,$A:$A,0))),IF(IFERROR(INDEX($E:$E,MATCH(AG52,$A:$A,0)),"")="","",INDEX($E:$E,MATCH(AG52,$A:$A,0))))))))</f>
        <v/>
      </c>
      <c r="R52" s="21" t="str">
        <f aca="false">IF(A52="","",COUNTIF(Fields!$D:$D,A52))</f>
        <v/>
      </c>
      <c r="S52" s="21" t="str">
        <f aca="false">IF(A52="","",SUMIF(Fields!$D:$D,A52,Fields!$Q:$Q))</f>
        <v/>
      </c>
      <c r="T52" s="21" t="str">
        <f aca="false">IF(A52="","",COUNTIF('Product inputs'!$D:$D,A52))</f>
        <v/>
      </c>
      <c r="U52" s="20"/>
      <c r="V52" s="20"/>
      <c r="W52" s="20"/>
      <c r="X52" s="20"/>
      <c r="Y52" s="20"/>
      <c r="Z52" s="20"/>
      <c r="AA52" s="20"/>
      <c r="AB52" s="20"/>
      <c r="AC52" s="20"/>
      <c r="AD52" s="18" t="str">
        <f aca="false">IF(A52="","",IF(IFERROR(INDEX($G:$G,MATCH(A52,$A:$A,0)),"")="","",TRIM(IF(ISNUMBER(FIND(",",IFERROR(INDEX($G:$G,MATCH(A52,$A:$A,0)),""))),LEFT(IFERROR(INDEX($G:$G,MATCH(A52,$A:$A,0)),""),FIND(",",IFERROR(INDEX($G:$G,MATCH(A52,$A:$A,0)),""))-1),IFERROR(INDEX($G:$G,MATCH(A52,$A:$A,0)),"")))))</f>
        <v/>
      </c>
      <c r="AE52" s="18" t="str">
        <f aca="false">IF(AD52="","",IF(IFERROR(INDEX($G:$G,MATCH(AD52,$A:$A,0)),"")="","",TRIM(IF(ISNUMBER(FIND(",",IFERROR(INDEX($G:$G,MATCH(AD52,$A:$A,0)),""))),LEFT(IFERROR(INDEX($G:$G,MATCH(AD52,$A:$A,0)),""),FIND(",",IFERROR(INDEX($G:$G,MATCH(AD52,$A:$A,0)),""))-1),IFERROR(INDEX($G:$G,MATCH(AD52,$A:$A,0)),"")))))</f>
        <v/>
      </c>
      <c r="AF52" s="18" t="str">
        <f aca="false">IF(AE52="","",IF(IFERROR(INDEX($G:$G,MATCH(AE52,$A:$A,0)),"")="","",TRIM(IF(ISNUMBER(FIND(",",IFERROR(INDEX($G:$G,MATCH(AE52,$A:$A,0)),""))),LEFT(IFERROR(INDEX($G:$G,MATCH(AE52,$A:$A,0)),""),FIND(",",IFERROR(INDEX($G:$G,MATCH(AE52,$A:$A,0)),""))-1),IFERROR(INDEX($G:$G,MATCH(AE52,$A:$A,0)),"")))))</f>
        <v/>
      </c>
      <c r="AG52" s="18" t="str">
        <f aca="false">IF(AF52="","",IF(IFERROR(INDEX($G:$G,MATCH(AF52,$A:$A,0)),"")="","",TRIM(IF(ISNUMBER(FIND(",",IFERROR(INDEX($G:$G,MATCH(AF52,$A:$A,0)),""))),LEFT(IFERROR(INDEX($G:$G,MATCH(AF52,$A:$A,0)),""),FIND(",",IFERROR(INDEX($G:$G,MATCH(AF52,$A:$A,0)),""))-1),IFERROR(INDEX($G:$G,MATCH(AF52,$A:$A,0)),"")))))</f>
        <v/>
      </c>
    </row>
    <row r="53" customFormat="false" ht="15" hidden="false" customHeight="false" outlineLevel="0" collapsed="false">
      <c r="A53" s="18"/>
      <c r="B53" s="19"/>
      <c r="C53" s="20"/>
      <c r="D53" s="20"/>
      <c r="E53" s="20"/>
      <c r="F53" s="20"/>
      <c r="G53" s="18"/>
      <c r="H53" s="20"/>
      <c r="I53" s="18"/>
      <c r="J53" s="20"/>
      <c r="K53" s="20"/>
      <c r="L53" s="20"/>
      <c r="M53" s="20"/>
      <c r="N53" s="20"/>
      <c r="O53" s="21" t="str">
        <f aca="false">IF(A53="","",IF(AD53="",0,IF(AE53="",1,IF(AF53="",2,IF(AG53="",3,"4+")))))</f>
        <v/>
      </c>
      <c r="P53" s="21" t="str">
        <f aca="false">IF(A53="","",B53&amp;IF(AD53="",""," &lt;- "&amp;IFERROR(INDEX($B:$B,MATCH(AD53,$A:$A,0)),AD53)&amp;IF(AE53="",""," &lt;- "&amp;IFERROR(INDEX($B:$B,MATCH(AE53,$A:$A,0)),AE53)&amp;IF(AF53="",""," &lt;- "&amp;IFERROR(INDEX($B:$B,MATCH(AF53,$A:$A,0)),AF53)&amp;IF(AG53="",""," &lt;- "&amp;IFERROR(INDEX($B:$B,MATCH(AG53,$A:$A,0)),AG53)))))&amp;IF(ISNUMBER(FIND(",",G53))," (+ other parents)",""))</f>
        <v/>
      </c>
      <c r="Q53" s="21" t="str">
        <f aca="false">IF(A53="","",IF(AD53="",E53&amp;"",IF(AE53="",IF(IFERROR(INDEX($E:$E,MATCH(AD53,$A:$A,0)),"")="","",INDEX($E:$E,MATCH(AD53,$A:$A,0))),IF(AF53="",IF(IFERROR(INDEX($E:$E,MATCH(AE53,$A:$A,0)),"")="","",INDEX($E:$E,MATCH(AE53,$A:$A,0))),IF(AG53="",IF(IFERROR(INDEX($E:$E,MATCH(AF53,$A:$A,0)),"")="","",INDEX($E:$E,MATCH(AF53,$A:$A,0))),IF(IFERROR(INDEX($E:$E,MATCH(AG53,$A:$A,0)),"")="","",INDEX($E:$E,MATCH(AG53,$A:$A,0))))))))</f>
        <v/>
      </c>
      <c r="R53" s="21" t="str">
        <f aca="false">IF(A53="","",COUNTIF(Fields!$D:$D,A53))</f>
        <v/>
      </c>
      <c r="S53" s="21" t="str">
        <f aca="false">IF(A53="","",SUMIF(Fields!$D:$D,A53,Fields!$Q:$Q))</f>
        <v/>
      </c>
      <c r="T53" s="21" t="str">
        <f aca="false">IF(A53="","",COUNTIF('Product inputs'!$D:$D,A53))</f>
        <v/>
      </c>
      <c r="U53" s="20"/>
      <c r="V53" s="20"/>
      <c r="W53" s="20"/>
      <c r="X53" s="20"/>
      <c r="Y53" s="20"/>
      <c r="Z53" s="20"/>
      <c r="AA53" s="20"/>
      <c r="AB53" s="20"/>
      <c r="AC53" s="20"/>
      <c r="AD53" s="18" t="str">
        <f aca="false">IF(A53="","",IF(IFERROR(INDEX($G:$G,MATCH(A53,$A:$A,0)),"")="","",TRIM(IF(ISNUMBER(FIND(",",IFERROR(INDEX($G:$G,MATCH(A53,$A:$A,0)),""))),LEFT(IFERROR(INDEX($G:$G,MATCH(A53,$A:$A,0)),""),FIND(",",IFERROR(INDEX($G:$G,MATCH(A53,$A:$A,0)),""))-1),IFERROR(INDEX($G:$G,MATCH(A53,$A:$A,0)),"")))))</f>
        <v/>
      </c>
      <c r="AE53" s="18" t="str">
        <f aca="false">IF(AD53="","",IF(IFERROR(INDEX($G:$G,MATCH(AD53,$A:$A,0)),"")="","",TRIM(IF(ISNUMBER(FIND(",",IFERROR(INDEX($G:$G,MATCH(AD53,$A:$A,0)),""))),LEFT(IFERROR(INDEX($G:$G,MATCH(AD53,$A:$A,0)),""),FIND(",",IFERROR(INDEX($G:$G,MATCH(AD53,$A:$A,0)),""))-1),IFERROR(INDEX($G:$G,MATCH(AD53,$A:$A,0)),"")))))</f>
        <v/>
      </c>
      <c r="AF53" s="18" t="str">
        <f aca="false">IF(AE53="","",IF(IFERROR(INDEX($G:$G,MATCH(AE53,$A:$A,0)),"")="","",TRIM(IF(ISNUMBER(FIND(",",IFERROR(INDEX($G:$G,MATCH(AE53,$A:$A,0)),""))),LEFT(IFERROR(INDEX($G:$G,MATCH(AE53,$A:$A,0)),""),FIND(",",IFERROR(INDEX($G:$G,MATCH(AE53,$A:$A,0)),""))-1),IFERROR(INDEX($G:$G,MATCH(AE53,$A:$A,0)),"")))))</f>
        <v/>
      </c>
      <c r="AG53" s="18" t="str">
        <f aca="false">IF(AF53="","",IF(IFERROR(INDEX($G:$G,MATCH(AF53,$A:$A,0)),"")="","",TRIM(IF(ISNUMBER(FIND(",",IFERROR(INDEX($G:$G,MATCH(AF53,$A:$A,0)),""))),LEFT(IFERROR(INDEX($G:$G,MATCH(AF53,$A:$A,0)),""),FIND(",",IFERROR(INDEX($G:$G,MATCH(AF53,$A:$A,0)),""))-1),IFERROR(INDEX($G:$G,MATCH(AF53,$A:$A,0)),"")))))</f>
        <v/>
      </c>
    </row>
    <row r="54" customFormat="false" ht="15" hidden="false" customHeight="false" outlineLevel="0" collapsed="false">
      <c r="A54" s="18"/>
      <c r="B54" s="19"/>
      <c r="C54" s="20"/>
      <c r="D54" s="20"/>
      <c r="E54" s="20"/>
      <c r="F54" s="20"/>
      <c r="G54" s="18"/>
      <c r="H54" s="20"/>
      <c r="I54" s="18"/>
      <c r="J54" s="20"/>
      <c r="K54" s="20"/>
      <c r="L54" s="20"/>
      <c r="M54" s="20"/>
      <c r="N54" s="20"/>
      <c r="O54" s="21" t="str">
        <f aca="false">IF(A54="","",IF(AD54="",0,IF(AE54="",1,IF(AF54="",2,IF(AG54="",3,"4+")))))</f>
        <v/>
      </c>
      <c r="P54" s="21" t="str">
        <f aca="false">IF(A54="","",B54&amp;IF(AD54="",""," &lt;- "&amp;IFERROR(INDEX($B:$B,MATCH(AD54,$A:$A,0)),AD54)&amp;IF(AE54="",""," &lt;- "&amp;IFERROR(INDEX($B:$B,MATCH(AE54,$A:$A,0)),AE54)&amp;IF(AF54="",""," &lt;- "&amp;IFERROR(INDEX($B:$B,MATCH(AF54,$A:$A,0)),AF54)&amp;IF(AG54="",""," &lt;- "&amp;IFERROR(INDEX($B:$B,MATCH(AG54,$A:$A,0)),AG54)))))&amp;IF(ISNUMBER(FIND(",",G54))," (+ other parents)",""))</f>
        <v/>
      </c>
      <c r="Q54" s="21" t="str">
        <f aca="false">IF(A54="","",IF(AD54="",E54&amp;"",IF(AE54="",IF(IFERROR(INDEX($E:$E,MATCH(AD54,$A:$A,0)),"")="","",INDEX($E:$E,MATCH(AD54,$A:$A,0))),IF(AF54="",IF(IFERROR(INDEX($E:$E,MATCH(AE54,$A:$A,0)),"")="","",INDEX($E:$E,MATCH(AE54,$A:$A,0))),IF(AG54="",IF(IFERROR(INDEX($E:$E,MATCH(AF54,$A:$A,0)),"")="","",INDEX($E:$E,MATCH(AF54,$A:$A,0))),IF(IFERROR(INDEX($E:$E,MATCH(AG54,$A:$A,0)),"")="","",INDEX($E:$E,MATCH(AG54,$A:$A,0))))))))</f>
        <v/>
      </c>
      <c r="R54" s="21" t="str">
        <f aca="false">IF(A54="","",COUNTIF(Fields!$D:$D,A54))</f>
        <v/>
      </c>
      <c r="S54" s="21" t="str">
        <f aca="false">IF(A54="","",SUMIF(Fields!$D:$D,A54,Fields!$Q:$Q))</f>
        <v/>
      </c>
      <c r="T54" s="21" t="str">
        <f aca="false">IF(A54="","",COUNTIF('Product inputs'!$D:$D,A54))</f>
        <v/>
      </c>
      <c r="U54" s="20"/>
      <c r="V54" s="20"/>
      <c r="W54" s="20"/>
      <c r="X54" s="20"/>
      <c r="Y54" s="20"/>
      <c r="Z54" s="20"/>
      <c r="AA54" s="20"/>
      <c r="AB54" s="20"/>
      <c r="AC54" s="20"/>
      <c r="AD54" s="18" t="str">
        <f aca="false">IF(A54="","",IF(IFERROR(INDEX($G:$G,MATCH(A54,$A:$A,0)),"")="","",TRIM(IF(ISNUMBER(FIND(",",IFERROR(INDEX($G:$G,MATCH(A54,$A:$A,0)),""))),LEFT(IFERROR(INDEX($G:$G,MATCH(A54,$A:$A,0)),""),FIND(",",IFERROR(INDEX($G:$G,MATCH(A54,$A:$A,0)),""))-1),IFERROR(INDEX($G:$G,MATCH(A54,$A:$A,0)),"")))))</f>
        <v/>
      </c>
      <c r="AE54" s="18" t="str">
        <f aca="false">IF(AD54="","",IF(IFERROR(INDEX($G:$G,MATCH(AD54,$A:$A,0)),"")="","",TRIM(IF(ISNUMBER(FIND(",",IFERROR(INDEX($G:$G,MATCH(AD54,$A:$A,0)),""))),LEFT(IFERROR(INDEX($G:$G,MATCH(AD54,$A:$A,0)),""),FIND(",",IFERROR(INDEX($G:$G,MATCH(AD54,$A:$A,0)),""))-1),IFERROR(INDEX($G:$G,MATCH(AD54,$A:$A,0)),"")))))</f>
        <v/>
      </c>
      <c r="AF54" s="18" t="str">
        <f aca="false">IF(AE54="","",IF(IFERROR(INDEX($G:$G,MATCH(AE54,$A:$A,0)),"")="","",TRIM(IF(ISNUMBER(FIND(",",IFERROR(INDEX($G:$G,MATCH(AE54,$A:$A,0)),""))),LEFT(IFERROR(INDEX($G:$G,MATCH(AE54,$A:$A,0)),""),FIND(",",IFERROR(INDEX($G:$G,MATCH(AE54,$A:$A,0)),""))-1),IFERROR(INDEX($G:$G,MATCH(AE54,$A:$A,0)),"")))))</f>
        <v/>
      </c>
      <c r="AG54" s="18" t="str">
        <f aca="false">IF(AF54="","",IF(IFERROR(INDEX($G:$G,MATCH(AF54,$A:$A,0)),"")="","",TRIM(IF(ISNUMBER(FIND(",",IFERROR(INDEX($G:$G,MATCH(AF54,$A:$A,0)),""))),LEFT(IFERROR(INDEX($G:$G,MATCH(AF54,$A:$A,0)),""),FIND(",",IFERROR(INDEX($G:$G,MATCH(AF54,$A:$A,0)),""))-1),IFERROR(INDEX($G:$G,MATCH(AF54,$A:$A,0)),"")))))</f>
        <v/>
      </c>
    </row>
    <row r="55" customFormat="false" ht="15" hidden="false" customHeight="false" outlineLevel="0" collapsed="false">
      <c r="A55" s="18"/>
      <c r="B55" s="19"/>
      <c r="C55" s="20"/>
      <c r="D55" s="20"/>
      <c r="E55" s="20"/>
      <c r="F55" s="20"/>
      <c r="G55" s="18"/>
      <c r="H55" s="20"/>
      <c r="I55" s="18"/>
      <c r="J55" s="20"/>
      <c r="K55" s="20"/>
      <c r="L55" s="20"/>
      <c r="M55" s="20"/>
      <c r="N55" s="20"/>
      <c r="O55" s="21" t="str">
        <f aca="false">IF(A55="","",IF(AD55="",0,IF(AE55="",1,IF(AF55="",2,IF(AG55="",3,"4+")))))</f>
        <v/>
      </c>
      <c r="P55" s="21" t="str">
        <f aca="false">IF(A55="","",B55&amp;IF(AD55="",""," &lt;- "&amp;IFERROR(INDEX($B:$B,MATCH(AD55,$A:$A,0)),AD55)&amp;IF(AE55="",""," &lt;- "&amp;IFERROR(INDEX($B:$B,MATCH(AE55,$A:$A,0)),AE55)&amp;IF(AF55="",""," &lt;- "&amp;IFERROR(INDEX($B:$B,MATCH(AF55,$A:$A,0)),AF55)&amp;IF(AG55="",""," &lt;- "&amp;IFERROR(INDEX($B:$B,MATCH(AG55,$A:$A,0)),AG55)))))&amp;IF(ISNUMBER(FIND(",",G55))," (+ other parents)",""))</f>
        <v/>
      </c>
      <c r="Q55" s="21" t="str">
        <f aca="false">IF(A55="","",IF(AD55="",E55&amp;"",IF(AE55="",IF(IFERROR(INDEX($E:$E,MATCH(AD55,$A:$A,0)),"")="","",INDEX($E:$E,MATCH(AD55,$A:$A,0))),IF(AF55="",IF(IFERROR(INDEX($E:$E,MATCH(AE55,$A:$A,0)),"")="","",INDEX($E:$E,MATCH(AE55,$A:$A,0))),IF(AG55="",IF(IFERROR(INDEX($E:$E,MATCH(AF55,$A:$A,0)),"")="","",INDEX($E:$E,MATCH(AF55,$A:$A,0))),IF(IFERROR(INDEX($E:$E,MATCH(AG55,$A:$A,0)),"")="","",INDEX($E:$E,MATCH(AG55,$A:$A,0))))))))</f>
        <v/>
      </c>
      <c r="R55" s="21" t="str">
        <f aca="false">IF(A55="","",COUNTIF(Fields!$D:$D,A55))</f>
        <v/>
      </c>
      <c r="S55" s="21" t="str">
        <f aca="false">IF(A55="","",SUMIF(Fields!$D:$D,A55,Fields!$Q:$Q))</f>
        <v/>
      </c>
      <c r="T55" s="21" t="str">
        <f aca="false">IF(A55="","",COUNTIF('Product inputs'!$D:$D,A55))</f>
        <v/>
      </c>
      <c r="U55" s="20"/>
      <c r="V55" s="20"/>
      <c r="W55" s="20"/>
      <c r="X55" s="20"/>
      <c r="Y55" s="20"/>
      <c r="Z55" s="20"/>
      <c r="AA55" s="20"/>
      <c r="AB55" s="20"/>
      <c r="AC55" s="20"/>
      <c r="AD55" s="18" t="str">
        <f aca="false">IF(A55="","",IF(IFERROR(INDEX($G:$G,MATCH(A55,$A:$A,0)),"")="","",TRIM(IF(ISNUMBER(FIND(",",IFERROR(INDEX($G:$G,MATCH(A55,$A:$A,0)),""))),LEFT(IFERROR(INDEX($G:$G,MATCH(A55,$A:$A,0)),""),FIND(",",IFERROR(INDEX($G:$G,MATCH(A55,$A:$A,0)),""))-1),IFERROR(INDEX($G:$G,MATCH(A55,$A:$A,0)),"")))))</f>
        <v/>
      </c>
      <c r="AE55" s="18" t="str">
        <f aca="false">IF(AD55="","",IF(IFERROR(INDEX($G:$G,MATCH(AD55,$A:$A,0)),"")="","",TRIM(IF(ISNUMBER(FIND(",",IFERROR(INDEX($G:$G,MATCH(AD55,$A:$A,0)),""))),LEFT(IFERROR(INDEX($G:$G,MATCH(AD55,$A:$A,0)),""),FIND(",",IFERROR(INDEX($G:$G,MATCH(AD55,$A:$A,0)),""))-1),IFERROR(INDEX($G:$G,MATCH(AD55,$A:$A,0)),"")))))</f>
        <v/>
      </c>
      <c r="AF55" s="18" t="str">
        <f aca="false">IF(AE55="","",IF(IFERROR(INDEX($G:$G,MATCH(AE55,$A:$A,0)),"")="","",TRIM(IF(ISNUMBER(FIND(",",IFERROR(INDEX($G:$G,MATCH(AE55,$A:$A,0)),""))),LEFT(IFERROR(INDEX($G:$G,MATCH(AE55,$A:$A,0)),""),FIND(",",IFERROR(INDEX($G:$G,MATCH(AE55,$A:$A,0)),""))-1),IFERROR(INDEX($G:$G,MATCH(AE55,$A:$A,0)),"")))))</f>
        <v/>
      </c>
      <c r="AG55" s="18" t="str">
        <f aca="false">IF(AF55="","",IF(IFERROR(INDEX($G:$G,MATCH(AF55,$A:$A,0)),"")="","",TRIM(IF(ISNUMBER(FIND(",",IFERROR(INDEX($G:$G,MATCH(AF55,$A:$A,0)),""))),LEFT(IFERROR(INDEX($G:$G,MATCH(AF55,$A:$A,0)),""),FIND(",",IFERROR(INDEX($G:$G,MATCH(AF55,$A:$A,0)),""))-1),IFERROR(INDEX($G:$G,MATCH(AF55,$A:$A,0)),"")))))</f>
        <v/>
      </c>
    </row>
    <row r="56" customFormat="false" ht="15" hidden="false" customHeight="false" outlineLevel="0" collapsed="false">
      <c r="A56" s="18"/>
      <c r="B56" s="19"/>
      <c r="C56" s="20"/>
      <c r="D56" s="20"/>
      <c r="E56" s="20"/>
      <c r="F56" s="20"/>
      <c r="G56" s="18"/>
      <c r="H56" s="20"/>
      <c r="I56" s="18"/>
      <c r="J56" s="20"/>
      <c r="K56" s="20"/>
      <c r="L56" s="20"/>
      <c r="M56" s="20"/>
      <c r="N56" s="20"/>
      <c r="O56" s="21" t="str">
        <f aca="false">IF(A56="","",IF(AD56="",0,IF(AE56="",1,IF(AF56="",2,IF(AG56="",3,"4+")))))</f>
        <v/>
      </c>
      <c r="P56" s="21" t="str">
        <f aca="false">IF(A56="","",B56&amp;IF(AD56="",""," &lt;- "&amp;IFERROR(INDEX($B:$B,MATCH(AD56,$A:$A,0)),AD56)&amp;IF(AE56="",""," &lt;- "&amp;IFERROR(INDEX($B:$B,MATCH(AE56,$A:$A,0)),AE56)&amp;IF(AF56="",""," &lt;- "&amp;IFERROR(INDEX($B:$B,MATCH(AF56,$A:$A,0)),AF56)&amp;IF(AG56="",""," &lt;- "&amp;IFERROR(INDEX($B:$B,MATCH(AG56,$A:$A,0)),AG56)))))&amp;IF(ISNUMBER(FIND(",",G56))," (+ other parents)",""))</f>
        <v/>
      </c>
      <c r="Q56" s="21" t="str">
        <f aca="false">IF(A56="","",IF(AD56="",E56&amp;"",IF(AE56="",IF(IFERROR(INDEX($E:$E,MATCH(AD56,$A:$A,0)),"")="","",INDEX($E:$E,MATCH(AD56,$A:$A,0))),IF(AF56="",IF(IFERROR(INDEX($E:$E,MATCH(AE56,$A:$A,0)),"")="","",INDEX($E:$E,MATCH(AE56,$A:$A,0))),IF(AG56="",IF(IFERROR(INDEX($E:$E,MATCH(AF56,$A:$A,0)),"")="","",INDEX($E:$E,MATCH(AF56,$A:$A,0))),IF(IFERROR(INDEX($E:$E,MATCH(AG56,$A:$A,0)),"")="","",INDEX($E:$E,MATCH(AG56,$A:$A,0))))))))</f>
        <v/>
      </c>
      <c r="R56" s="21" t="str">
        <f aca="false">IF(A56="","",COUNTIF(Fields!$D:$D,A56))</f>
        <v/>
      </c>
      <c r="S56" s="21" t="str">
        <f aca="false">IF(A56="","",SUMIF(Fields!$D:$D,A56,Fields!$Q:$Q))</f>
        <v/>
      </c>
      <c r="T56" s="21" t="str">
        <f aca="false">IF(A56="","",COUNTIF('Product inputs'!$D:$D,A56))</f>
        <v/>
      </c>
      <c r="U56" s="20"/>
      <c r="V56" s="20"/>
      <c r="W56" s="20"/>
      <c r="X56" s="20"/>
      <c r="Y56" s="20"/>
      <c r="Z56" s="20"/>
      <c r="AA56" s="20"/>
      <c r="AB56" s="20"/>
      <c r="AC56" s="20"/>
      <c r="AD56" s="18" t="str">
        <f aca="false">IF(A56="","",IF(IFERROR(INDEX($G:$G,MATCH(A56,$A:$A,0)),"")="","",TRIM(IF(ISNUMBER(FIND(",",IFERROR(INDEX($G:$G,MATCH(A56,$A:$A,0)),""))),LEFT(IFERROR(INDEX($G:$G,MATCH(A56,$A:$A,0)),""),FIND(",",IFERROR(INDEX($G:$G,MATCH(A56,$A:$A,0)),""))-1),IFERROR(INDEX($G:$G,MATCH(A56,$A:$A,0)),"")))))</f>
        <v/>
      </c>
      <c r="AE56" s="18" t="str">
        <f aca="false">IF(AD56="","",IF(IFERROR(INDEX($G:$G,MATCH(AD56,$A:$A,0)),"")="","",TRIM(IF(ISNUMBER(FIND(",",IFERROR(INDEX($G:$G,MATCH(AD56,$A:$A,0)),""))),LEFT(IFERROR(INDEX($G:$G,MATCH(AD56,$A:$A,0)),""),FIND(",",IFERROR(INDEX($G:$G,MATCH(AD56,$A:$A,0)),""))-1),IFERROR(INDEX($G:$G,MATCH(AD56,$A:$A,0)),"")))))</f>
        <v/>
      </c>
      <c r="AF56" s="18" t="str">
        <f aca="false">IF(AE56="","",IF(IFERROR(INDEX($G:$G,MATCH(AE56,$A:$A,0)),"")="","",TRIM(IF(ISNUMBER(FIND(",",IFERROR(INDEX($G:$G,MATCH(AE56,$A:$A,0)),""))),LEFT(IFERROR(INDEX($G:$G,MATCH(AE56,$A:$A,0)),""),FIND(",",IFERROR(INDEX($G:$G,MATCH(AE56,$A:$A,0)),""))-1),IFERROR(INDEX($G:$G,MATCH(AE56,$A:$A,0)),"")))))</f>
        <v/>
      </c>
      <c r="AG56" s="18" t="str">
        <f aca="false">IF(AF56="","",IF(IFERROR(INDEX($G:$G,MATCH(AF56,$A:$A,0)),"")="","",TRIM(IF(ISNUMBER(FIND(",",IFERROR(INDEX($G:$G,MATCH(AF56,$A:$A,0)),""))),LEFT(IFERROR(INDEX($G:$G,MATCH(AF56,$A:$A,0)),""),FIND(",",IFERROR(INDEX($G:$G,MATCH(AF56,$A:$A,0)),""))-1),IFERROR(INDEX($G:$G,MATCH(AF56,$A:$A,0)),"")))))</f>
        <v/>
      </c>
    </row>
    <row r="57" customFormat="false" ht="15" hidden="false" customHeight="false" outlineLevel="0" collapsed="false">
      <c r="A57" s="18"/>
      <c r="B57" s="19"/>
      <c r="C57" s="20"/>
      <c r="D57" s="20"/>
      <c r="E57" s="20"/>
      <c r="F57" s="20"/>
      <c r="G57" s="18"/>
      <c r="H57" s="20"/>
      <c r="I57" s="18"/>
      <c r="J57" s="20"/>
      <c r="K57" s="20"/>
      <c r="L57" s="20"/>
      <c r="M57" s="20"/>
      <c r="N57" s="20"/>
      <c r="O57" s="21" t="str">
        <f aca="false">IF(A57="","",IF(AD57="",0,IF(AE57="",1,IF(AF57="",2,IF(AG57="",3,"4+")))))</f>
        <v/>
      </c>
      <c r="P57" s="21" t="str">
        <f aca="false">IF(A57="","",B57&amp;IF(AD57="",""," &lt;- "&amp;IFERROR(INDEX($B:$B,MATCH(AD57,$A:$A,0)),AD57)&amp;IF(AE57="",""," &lt;- "&amp;IFERROR(INDEX($B:$B,MATCH(AE57,$A:$A,0)),AE57)&amp;IF(AF57="",""," &lt;- "&amp;IFERROR(INDEX($B:$B,MATCH(AF57,$A:$A,0)),AF57)&amp;IF(AG57="",""," &lt;- "&amp;IFERROR(INDEX($B:$B,MATCH(AG57,$A:$A,0)),AG57)))))&amp;IF(ISNUMBER(FIND(",",G57))," (+ other parents)",""))</f>
        <v/>
      </c>
      <c r="Q57" s="21" t="str">
        <f aca="false">IF(A57="","",IF(AD57="",E57&amp;"",IF(AE57="",IF(IFERROR(INDEX($E:$E,MATCH(AD57,$A:$A,0)),"")="","",INDEX($E:$E,MATCH(AD57,$A:$A,0))),IF(AF57="",IF(IFERROR(INDEX($E:$E,MATCH(AE57,$A:$A,0)),"")="","",INDEX($E:$E,MATCH(AE57,$A:$A,0))),IF(AG57="",IF(IFERROR(INDEX($E:$E,MATCH(AF57,$A:$A,0)),"")="","",INDEX($E:$E,MATCH(AF57,$A:$A,0))),IF(IFERROR(INDEX($E:$E,MATCH(AG57,$A:$A,0)),"")="","",INDEX($E:$E,MATCH(AG57,$A:$A,0))))))))</f>
        <v/>
      </c>
      <c r="R57" s="21" t="str">
        <f aca="false">IF(A57="","",COUNTIF(Fields!$D:$D,A57))</f>
        <v/>
      </c>
      <c r="S57" s="21" t="str">
        <f aca="false">IF(A57="","",SUMIF(Fields!$D:$D,A57,Fields!$Q:$Q))</f>
        <v/>
      </c>
      <c r="T57" s="21" t="str">
        <f aca="false">IF(A57="","",COUNTIF('Product inputs'!$D:$D,A57))</f>
        <v/>
      </c>
      <c r="U57" s="20"/>
      <c r="V57" s="20"/>
      <c r="W57" s="20"/>
      <c r="X57" s="20"/>
      <c r="Y57" s="20"/>
      <c r="Z57" s="20"/>
      <c r="AA57" s="20"/>
      <c r="AB57" s="20"/>
      <c r="AC57" s="20"/>
      <c r="AD57" s="18" t="str">
        <f aca="false">IF(A57="","",IF(IFERROR(INDEX($G:$G,MATCH(A57,$A:$A,0)),"")="","",TRIM(IF(ISNUMBER(FIND(",",IFERROR(INDEX($G:$G,MATCH(A57,$A:$A,0)),""))),LEFT(IFERROR(INDEX($G:$G,MATCH(A57,$A:$A,0)),""),FIND(",",IFERROR(INDEX($G:$G,MATCH(A57,$A:$A,0)),""))-1),IFERROR(INDEX($G:$G,MATCH(A57,$A:$A,0)),"")))))</f>
        <v/>
      </c>
      <c r="AE57" s="18" t="str">
        <f aca="false">IF(AD57="","",IF(IFERROR(INDEX($G:$G,MATCH(AD57,$A:$A,0)),"")="","",TRIM(IF(ISNUMBER(FIND(",",IFERROR(INDEX($G:$G,MATCH(AD57,$A:$A,0)),""))),LEFT(IFERROR(INDEX($G:$G,MATCH(AD57,$A:$A,0)),""),FIND(",",IFERROR(INDEX($G:$G,MATCH(AD57,$A:$A,0)),""))-1),IFERROR(INDEX($G:$G,MATCH(AD57,$A:$A,0)),"")))))</f>
        <v/>
      </c>
      <c r="AF57" s="18" t="str">
        <f aca="false">IF(AE57="","",IF(IFERROR(INDEX($G:$G,MATCH(AE57,$A:$A,0)),"")="","",TRIM(IF(ISNUMBER(FIND(",",IFERROR(INDEX($G:$G,MATCH(AE57,$A:$A,0)),""))),LEFT(IFERROR(INDEX($G:$G,MATCH(AE57,$A:$A,0)),""),FIND(",",IFERROR(INDEX($G:$G,MATCH(AE57,$A:$A,0)),""))-1),IFERROR(INDEX($G:$G,MATCH(AE57,$A:$A,0)),"")))))</f>
        <v/>
      </c>
      <c r="AG57" s="18" t="str">
        <f aca="false">IF(AF57="","",IF(IFERROR(INDEX($G:$G,MATCH(AF57,$A:$A,0)),"")="","",TRIM(IF(ISNUMBER(FIND(",",IFERROR(INDEX($G:$G,MATCH(AF57,$A:$A,0)),""))),LEFT(IFERROR(INDEX($G:$G,MATCH(AF57,$A:$A,0)),""),FIND(",",IFERROR(INDEX($G:$G,MATCH(AF57,$A:$A,0)),""))-1),IFERROR(INDEX($G:$G,MATCH(AF57,$A:$A,0)),"")))))</f>
        <v/>
      </c>
    </row>
    <row r="58" customFormat="false" ht="15" hidden="false" customHeight="false" outlineLevel="0" collapsed="false">
      <c r="A58" s="18"/>
      <c r="B58" s="19"/>
      <c r="C58" s="20"/>
      <c r="D58" s="20"/>
      <c r="E58" s="20"/>
      <c r="F58" s="20"/>
      <c r="G58" s="18"/>
      <c r="H58" s="20"/>
      <c r="I58" s="18"/>
      <c r="J58" s="20"/>
      <c r="K58" s="20"/>
      <c r="L58" s="20"/>
      <c r="M58" s="20"/>
      <c r="N58" s="20"/>
      <c r="O58" s="21" t="str">
        <f aca="false">IF(A58="","",IF(AD58="",0,IF(AE58="",1,IF(AF58="",2,IF(AG58="",3,"4+")))))</f>
        <v/>
      </c>
      <c r="P58" s="21" t="str">
        <f aca="false">IF(A58="","",B58&amp;IF(AD58="",""," &lt;- "&amp;IFERROR(INDEX($B:$B,MATCH(AD58,$A:$A,0)),AD58)&amp;IF(AE58="",""," &lt;- "&amp;IFERROR(INDEX($B:$B,MATCH(AE58,$A:$A,0)),AE58)&amp;IF(AF58="",""," &lt;- "&amp;IFERROR(INDEX($B:$B,MATCH(AF58,$A:$A,0)),AF58)&amp;IF(AG58="",""," &lt;- "&amp;IFERROR(INDEX($B:$B,MATCH(AG58,$A:$A,0)),AG58)))))&amp;IF(ISNUMBER(FIND(",",G58))," (+ other parents)",""))</f>
        <v/>
      </c>
      <c r="Q58" s="21" t="str">
        <f aca="false">IF(A58="","",IF(AD58="",E58&amp;"",IF(AE58="",IF(IFERROR(INDEX($E:$E,MATCH(AD58,$A:$A,0)),"")="","",INDEX($E:$E,MATCH(AD58,$A:$A,0))),IF(AF58="",IF(IFERROR(INDEX($E:$E,MATCH(AE58,$A:$A,0)),"")="","",INDEX($E:$E,MATCH(AE58,$A:$A,0))),IF(AG58="",IF(IFERROR(INDEX($E:$E,MATCH(AF58,$A:$A,0)),"")="","",INDEX($E:$E,MATCH(AF58,$A:$A,0))),IF(IFERROR(INDEX($E:$E,MATCH(AG58,$A:$A,0)),"")="","",INDEX($E:$E,MATCH(AG58,$A:$A,0))))))))</f>
        <v/>
      </c>
      <c r="R58" s="21" t="str">
        <f aca="false">IF(A58="","",COUNTIF(Fields!$D:$D,A58))</f>
        <v/>
      </c>
      <c r="S58" s="21" t="str">
        <f aca="false">IF(A58="","",SUMIF(Fields!$D:$D,A58,Fields!$Q:$Q))</f>
        <v/>
      </c>
      <c r="T58" s="21" t="str">
        <f aca="false">IF(A58="","",COUNTIF('Product inputs'!$D:$D,A58))</f>
        <v/>
      </c>
      <c r="U58" s="20"/>
      <c r="V58" s="20"/>
      <c r="W58" s="20"/>
      <c r="X58" s="20"/>
      <c r="Y58" s="20"/>
      <c r="Z58" s="20"/>
      <c r="AA58" s="20"/>
      <c r="AB58" s="20"/>
      <c r="AC58" s="20"/>
      <c r="AD58" s="18" t="str">
        <f aca="false">IF(A58="","",IF(IFERROR(INDEX($G:$G,MATCH(A58,$A:$A,0)),"")="","",TRIM(IF(ISNUMBER(FIND(",",IFERROR(INDEX($G:$G,MATCH(A58,$A:$A,0)),""))),LEFT(IFERROR(INDEX($G:$G,MATCH(A58,$A:$A,0)),""),FIND(",",IFERROR(INDEX($G:$G,MATCH(A58,$A:$A,0)),""))-1),IFERROR(INDEX($G:$G,MATCH(A58,$A:$A,0)),"")))))</f>
        <v/>
      </c>
      <c r="AE58" s="18" t="str">
        <f aca="false">IF(AD58="","",IF(IFERROR(INDEX($G:$G,MATCH(AD58,$A:$A,0)),"")="","",TRIM(IF(ISNUMBER(FIND(",",IFERROR(INDEX($G:$G,MATCH(AD58,$A:$A,0)),""))),LEFT(IFERROR(INDEX($G:$G,MATCH(AD58,$A:$A,0)),""),FIND(",",IFERROR(INDEX($G:$G,MATCH(AD58,$A:$A,0)),""))-1),IFERROR(INDEX($G:$G,MATCH(AD58,$A:$A,0)),"")))))</f>
        <v/>
      </c>
      <c r="AF58" s="18" t="str">
        <f aca="false">IF(AE58="","",IF(IFERROR(INDEX($G:$G,MATCH(AE58,$A:$A,0)),"")="","",TRIM(IF(ISNUMBER(FIND(",",IFERROR(INDEX($G:$G,MATCH(AE58,$A:$A,0)),""))),LEFT(IFERROR(INDEX($G:$G,MATCH(AE58,$A:$A,0)),""),FIND(",",IFERROR(INDEX($G:$G,MATCH(AE58,$A:$A,0)),""))-1),IFERROR(INDEX($G:$G,MATCH(AE58,$A:$A,0)),"")))))</f>
        <v/>
      </c>
      <c r="AG58" s="18" t="str">
        <f aca="false">IF(AF58="","",IF(IFERROR(INDEX($G:$G,MATCH(AF58,$A:$A,0)),"")="","",TRIM(IF(ISNUMBER(FIND(",",IFERROR(INDEX($G:$G,MATCH(AF58,$A:$A,0)),""))),LEFT(IFERROR(INDEX($G:$G,MATCH(AF58,$A:$A,0)),""),FIND(",",IFERROR(INDEX($G:$G,MATCH(AF58,$A:$A,0)),""))-1),IFERROR(INDEX($G:$G,MATCH(AF58,$A:$A,0)),"")))))</f>
        <v/>
      </c>
    </row>
    <row r="59" customFormat="false" ht="15" hidden="false" customHeight="false" outlineLevel="0" collapsed="false">
      <c r="A59" s="18"/>
      <c r="B59" s="19"/>
      <c r="C59" s="20"/>
      <c r="D59" s="20"/>
      <c r="E59" s="20"/>
      <c r="F59" s="20"/>
      <c r="G59" s="18"/>
      <c r="H59" s="20"/>
      <c r="I59" s="18"/>
      <c r="J59" s="20"/>
      <c r="K59" s="20"/>
      <c r="L59" s="20"/>
      <c r="M59" s="20"/>
      <c r="N59" s="20"/>
      <c r="O59" s="21" t="str">
        <f aca="false">IF(A59="","",IF(AD59="",0,IF(AE59="",1,IF(AF59="",2,IF(AG59="",3,"4+")))))</f>
        <v/>
      </c>
      <c r="P59" s="21" t="str">
        <f aca="false">IF(A59="","",B59&amp;IF(AD59="",""," &lt;- "&amp;IFERROR(INDEX($B:$B,MATCH(AD59,$A:$A,0)),AD59)&amp;IF(AE59="",""," &lt;- "&amp;IFERROR(INDEX($B:$B,MATCH(AE59,$A:$A,0)),AE59)&amp;IF(AF59="",""," &lt;- "&amp;IFERROR(INDEX($B:$B,MATCH(AF59,$A:$A,0)),AF59)&amp;IF(AG59="",""," &lt;- "&amp;IFERROR(INDEX($B:$B,MATCH(AG59,$A:$A,0)),AG59)))))&amp;IF(ISNUMBER(FIND(",",G59))," (+ other parents)",""))</f>
        <v/>
      </c>
      <c r="Q59" s="21" t="str">
        <f aca="false">IF(A59="","",IF(AD59="",E59&amp;"",IF(AE59="",IF(IFERROR(INDEX($E:$E,MATCH(AD59,$A:$A,0)),"")="","",INDEX($E:$E,MATCH(AD59,$A:$A,0))),IF(AF59="",IF(IFERROR(INDEX($E:$E,MATCH(AE59,$A:$A,0)),"")="","",INDEX($E:$E,MATCH(AE59,$A:$A,0))),IF(AG59="",IF(IFERROR(INDEX($E:$E,MATCH(AF59,$A:$A,0)),"")="","",INDEX($E:$E,MATCH(AF59,$A:$A,0))),IF(IFERROR(INDEX($E:$E,MATCH(AG59,$A:$A,0)),"")="","",INDEX($E:$E,MATCH(AG59,$A:$A,0))))))))</f>
        <v/>
      </c>
      <c r="R59" s="21" t="str">
        <f aca="false">IF(A59="","",COUNTIF(Fields!$D:$D,A59))</f>
        <v/>
      </c>
      <c r="S59" s="21" t="str">
        <f aca="false">IF(A59="","",SUMIF(Fields!$D:$D,A59,Fields!$Q:$Q))</f>
        <v/>
      </c>
      <c r="T59" s="21" t="str">
        <f aca="false">IF(A59="","",COUNTIF('Product inputs'!$D:$D,A59))</f>
        <v/>
      </c>
      <c r="U59" s="20"/>
      <c r="V59" s="20"/>
      <c r="W59" s="20"/>
      <c r="X59" s="20"/>
      <c r="Y59" s="20"/>
      <c r="Z59" s="20"/>
      <c r="AA59" s="20"/>
      <c r="AB59" s="20"/>
      <c r="AC59" s="20"/>
      <c r="AD59" s="18" t="str">
        <f aca="false">IF(A59="","",IF(IFERROR(INDEX($G:$G,MATCH(A59,$A:$A,0)),"")="","",TRIM(IF(ISNUMBER(FIND(",",IFERROR(INDEX($G:$G,MATCH(A59,$A:$A,0)),""))),LEFT(IFERROR(INDEX($G:$G,MATCH(A59,$A:$A,0)),""),FIND(",",IFERROR(INDEX($G:$G,MATCH(A59,$A:$A,0)),""))-1),IFERROR(INDEX($G:$G,MATCH(A59,$A:$A,0)),"")))))</f>
        <v/>
      </c>
      <c r="AE59" s="18" t="str">
        <f aca="false">IF(AD59="","",IF(IFERROR(INDEX($G:$G,MATCH(AD59,$A:$A,0)),"")="","",TRIM(IF(ISNUMBER(FIND(",",IFERROR(INDEX($G:$G,MATCH(AD59,$A:$A,0)),""))),LEFT(IFERROR(INDEX($G:$G,MATCH(AD59,$A:$A,0)),""),FIND(",",IFERROR(INDEX($G:$G,MATCH(AD59,$A:$A,0)),""))-1),IFERROR(INDEX($G:$G,MATCH(AD59,$A:$A,0)),"")))))</f>
        <v/>
      </c>
      <c r="AF59" s="18" t="str">
        <f aca="false">IF(AE59="","",IF(IFERROR(INDEX($G:$G,MATCH(AE59,$A:$A,0)),"")="","",TRIM(IF(ISNUMBER(FIND(",",IFERROR(INDEX($G:$G,MATCH(AE59,$A:$A,0)),""))),LEFT(IFERROR(INDEX($G:$G,MATCH(AE59,$A:$A,0)),""),FIND(",",IFERROR(INDEX($G:$G,MATCH(AE59,$A:$A,0)),""))-1),IFERROR(INDEX($G:$G,MATCH(AE59,$A:$A,0)),"")))))</f>
        <v/>
      </c>
      <c r="AG59" s="18" t="str">
        <f aca="false">IF(AF59="","",IF(IFERROR(INDEX($G:$G,MATCH(AF59,$A:$A,0)),"")="","",TRIM(IF(ISNUMBER(FIND(",",IFERROR(INDEX($G:$G,MATCH(AF59,$A:$A,0)),""))),LEFT(IFERROR(INDEX($G:$G,MATCH(AF59,$A:$A,0)),""),FIND(",",IFERROR(INDEX($G:$G,MATCH(AF59,$A:$A,0)),""))-1),IFERROR(INDEX($G:$G,MATCH(AF59,$A:$A,0)),"")))))</f>
        <v/>
      </c>
    </row>
    <row r="60" customFormat="false" ht="15" hidden="false" customHeight="false" outlineLevel="0" collapsed="false">
      <c r="A60" s="18"/>
      <c r="B60" s="19"/>
      <c r="C60" s="20"/>
      <c r="D60" s="20"/>
      <c r="E60" s="20"/>
      <c r="F60" s="20"/>
      <c r="G60" s="18"/>
      <c r="H60" s="20"/>
      <c r="I60" s="18"/>
      <c r="J60" s="20"/>
      <c r="K60" s="20"/>
      <c r="L60" s="20"/>
      <c r="M60" s="20"/>
      <c r="N60" s="20"/>
      <c r="O60" s="21" t="str">
        <f aca="false">IF(A60="","",IF(AD60="",0,IF(AE60="",1,IF(AF60="",2,IF(AG60="",3,"4+")))))</f>
        <v/>
      </c>
      <c r="P60" s="21" t="str">
        <f aca="false">IF(A60="","",B60&amp;IF(AD60="",""," &lt;- "&amp;IFERROR(INDEX($B:$B,MATCH(AD60,$A:$A,0)),AD60)&amp;IF(AE60="",""," &lt;- "&amp;IFERROR(INDEX($B:$B,MATCH(AE60,$A:$A,0)),AE60)&amp;IF(AF60="",""," &lt;- "&amp;IFERROR(INDEX($B:$B,MATCH(AF60,$A:$A,0)),AF60)&amp;IF(AG60="",""," &lt;- "&amp;IFERROR(INDEX($B:$B,MATCH(AG60,$A:$A,0)),AG60)))))&amp;IF(ISNUMBER(FIND(",",G60))," (+ other parents)",""))</f>
        <v/>
      </c>
      <c r="Q60" s="21" t="str">
        <f aca="false">IF(A60="","",IF(AD60="",E60&amp;"",IF(AE60="",IF(IFERROR(INDEX($E:$E,MATCH(AD60,$A:$A,0)),"")="","",INDEX($E:$E,MATCH(AD60,$A:$A,0))),IF(AF60="",IF(IFERROR(INDEX($E:$E,MATCH(AE60,$A:$A,0)),"")="","",INDEX($E:$E,MATCH(AE60,$A:$A,0))),IF(AG60="",IF(IFERROR(INDEX($E:$E,MATCH(AF60,$A:$A,0)),"")="","",INDEX($E:$E,MATCH(AF60,$A:$A,0))),IF(IFERROR(INDEX($E:$E,MATCH(AG60,$A:$A,0)),"")="","",INDEX($E:$E,MATCH(AG60,$A:$A,0))))))))</f>
        <v/>
      </c>
      <c r="R60" s="21" t="str">
        <f aca="false">IF(A60="","",COUNTIF(Fields!$D:$D,A60))</f>
        <v/>
      </c>
      <c r="S60" s="21" t="str">
        <f aca="false">IF(A60="","",SUMIF(Fields!$D:$D,A60,Fields!$Q:$Q))</f>
        <v/>
      </c>
      <c r="T60" s="21" t="str">
        <f aca="false">IF(A60="","",COUNTIF('Product inputs'!$D:$D,A60))</f>
        <v/>
      </c>
      <c r="U60" s="20"/>
      <c r="V60" s="20"/>
      <c r="W60" s="20"/>
      <c r="X60" s="20"/>
      <c r="Y60" s="20"/>
      <c r="Z60" s="20"/>
      <c r="AA60" s="20"/>
      <c r="AB60" s="20"/>
      <c r="AC60" s="20"/>
      <c r="AD60" s="18" t="str">
        <f aca="false">IF(A60="","",IF(IFERROR(INDEX($G:$G,MATCH(A60,$A:$A,0)),"")="","",TRIM(IF(ISNUMBER(FIND(",",IFERROR(INDEX($G:$G,MATCH(A60,$A:$A,0)),""))),LEFT(IFERROR(INDEX($G:$G,MATCH(A60,$A:$A,0)),""),FIND(",",IFERROR(INDEX($G:$G,MATCH(A60,$A:$A,0)),""))-1),IFERROR(INDEX($G:$G,MATCH(A60,$A:$A,0)),"")))))</f>
        <v/>
      </c>
      <c r="AE60" s="18" t="str">
        <f aca="false">IF(AD60="","",IF(IFERROR(INDEX($G:$G,MATCH(AD60,$A:$A,0)),"")="","",TRIM(IF(ISNUMBER(FIND(",",IFERROR(INDEX($G:$G,MATCH(AD60,$A:$A,0)),""))),LEFT(IFERROR(INDEX($G:$G,MATCH(AD60,$A:$A,0)),""),FIND(",",IFERROR(INDEX($G:$G,MATCH(AD60,$A:$A,0)),""))-1),IFERROR(INDEX($G:$G,MATCH(AD60,$A:$A,0)),"")))))</f>
        <v/>
      </c>
      <c r="AF60" s="18" t="str">
        <f aca="false">IF(AE60="","",IF(IFERROR(INDEX($G:$G,MATCH(AE60,$A:$A,0)),"")="","",TRIM(IF(ISNUMBER(FIND(",",IFERROR(INDEX($G:$G,MATCH(AE60,$A:$A,0)),""))),LEFT(IFERROR(INDEX($G:$G,MATCH(AE60,$A:$A,0)),""),FIND(",",IFERROR(INDEX($G:$G,MATCH(AE60,$A:$A,0)),""))-1),IFERROR(INDEX($G:$G,MATCH(AE60,$A:$A,0)),"")))))</f>
        <v/>
      </c>
      <c r="AG60" s="18" t="str">
        <f aca="false">IF(AF60="","",IF(IFERROR(INDEX($G:$G,MATCH(AF60,$A:$A,0)),"")="","",TRIM(IF(ISNUMBER(FIND(",",IFERROR(INDEX($G:$G,MATCH(AF60,$A:$A,0)),""))),LEFT(IFERROR(INDEX($G:$G,MATCH(AF60,$A:$A,0)),""),FIND(",",IFERROR(INDEX($G:$G,MATCH(AF60,$A:$A,0)),""))-1),IFERROR(INDEX($G:$G,MATCH(AF60,$A:$A,0)),"")))))</f>
        <v/>
      </c>
    </row>
    <row r="61" customFormat="false" ht="15" hidden="false" customHeight="false" outlineLevel="0" collapsed="false">
      <c r="A61" s="18"/>
      <c r="B61" s="19"/>
      <c r="C61" s="20"/>
      <c r="D61" s="20"/>
      <c r="E61" s="20"/>
      <c r="F61" s="20"/>
      <c r="G61" s="18"/>
      <c r="H61" s="20"/>
      <c r="I61" s="18"/>
      <c r="J61" s="20"/>
      <c r="K61" s="20"/>
      <c r="L61" s="20"/>
      <c r="M61" s="20"/>
      <c r="N61" s="20"/>
      <c r="O61" s="21" t="str">
        <f aca="false">IF(A61="","",IF(AD61="",0,IF(AE61="",1,IF(AF61="",2,IF(AG61="",3,"4+")))))</f>
        <v/>
      </c>
      <c r="P61" s="21" t="str">
        <f aca="false">IF(A61="","",B61&amp;IF(AD61="",""," &lt;- "&amp;IFERROR(INDEX($B:$B,MATCH(AD61,$A:$A,0)),AD61)&amp;IF(AE61="",""," &lt;- "&amp;IFERROR(INDEX($B:$B,MATCH(AE61,$A:$A,0)),AE61)&amp;IF(AF61="",""," &lt;- "&amp;IFERROR(INDEX($B:$B,MATCH(AF61,$A:$A,0)),AF61)&amp;IF(AG61="",""," &lt;- "&amp;IFERROR(INDEX($B:$B,MATCH(AG61,$A:$A,0)),AG61)))))&amp;IF(ISNUMBER(FIND(",",G61))," (+ other parents)",""))</f>
        <v/>
      </c>
      <c r="Q61" s="21" t="str">
        <f aca="false">IF(A61="","",IF(AD61="",E61&amp;"",IF(AE61="",IF(IFERROR(INDEX($E:$E,MATCH(AD61,$A:$A,0)),"")="","",INDEX($E:$E,MATCH(AD61,$A:$A,0))),IF(AF61="",IF(IFERROR(INDEX($E:$E,MATCH(AE61,$A:$A,0)),"")="","",INDEX($E:$E,MATCH(AE61,$A:$A,0))),IF(AG61="",IF(IFERROR(INDEX($E:$E,MATCH(AF61,$A:$A,0)),"")="","",INDEX($E:$E,MATCH(AF61,$A:$A,0))),IF(IFERROR(INDEX($E:$E,MATCH(AG61,$A:$A,0)),"")="","",INDEX($E:$E,MATCH(AG61,$A:$A,0))))))))</f>
        <v/>
      </c>
      <c r="R61" s="21" t="str">
        <f aca="false">IF(A61="","",COUNTIF(Fields!$D:$D,A61))</f>
        <v/>
      </c>
      <c r="S61" s="21" t="str">
        <f aca="false">IF(A61="","",SUMIF(Fields!$D:$D,A61,Fields!$Q:$Q))</f>
        <v/>
      </c>
      <c r="T61" s="21" t="str">
        <f aca="false">IF(A61="","",COUNTIF('Product inputs'!$D:$D,A61))</f>
        <v/>
      </c>
      <c r="U61" s="20"/>
      <c r="V61" s="20"/>
      <c r="W61" s="20"/>
      <c r="X61" s="20"/>
      <c r="Y61" s="20"/>
      <c r="Z61" s="20"/>
      <c r="AA61" s="20"/>
      <c r="AB61" s="20"/>
      <c r="AC61" s="20"/>
      <c r="AD61" s="18" t="str">
        <f aca="false">IF(A61="","",IF(IFERROR(INDEX($G:$G,MATCH(A61,$A:$A,0)),"")="","",TRIM(IF(ISNUMBER(FIND(",",IFERROR(INDEX($G:$G,MATCH(A61,$A:$A,0)),""))),LEFT(IFERROR(INDEX($G:$G,MATCH(A61,$A:$A,0)),""),FIND(",",IFERROR(INDEX($G:$G,MATCH(A61,$A:$A,0)),""))-1),IFERROR(INDEX($G:$G,MATCH(A61,$A:$A,0)),"")))))</f>
        <v/>
      </c>
      <c r="AE61" s="18" t="str">
        <f aca="false">IF(AD61="","",IF(IFERROR(INDEX($G:$G,MATCH(AD61,$A:$A,0)),"")="","",TRIM(IF(ISNUMBER(FIND(",",IFERROR(INDEX($G:$G,MATCH(AD61,$A:$A,0)),""))),LEFT(IFERROR(INDEX($G:$G,MATCH(AD61,$A:$A,0)),""),FIND(",",IFERROR(INDEX($G:$G,MATCH(AD61,$A:$A,0)),""))-1),IFERROR(INDEX($G:$G,MATCH(AD61,$A:$A,0)),"")))))</f>
        <v/>
      </c>
      <c r="AF61" s="18" t="str">
        <f aca="false">IF(AE61="","",IF(IFERROR(INDEX($G:$G,MATCH(AE61,$A:$A,0)),"")="","",TRIM(IF(ISNUMBER(FIND(",",IFERROR(INDEX($G:$G,MATCH(AE61,$A:$A,0)),""))),LEFT(IFERROR(INDEX($G:$G,MATCH(AE61,$A:$A,0)),""),FIND(",",IFERROR(INDEX($G:$G,MATCH(AE61,$A:$A,0)),""))-1),IFERROR(INDEX($G:$G,MATCH(AE61,$A:$A,0)),"")))))</f>
        <v/>
      </c>
      <c r="AG61" s="18" t="str">
        <f aca="false">IF(AF61="","",IF(IFERROR(INDEX($G:$G,MATCH(AF61,$A:$A,0)),"")="","",TRIM(IF(ISNUMBER(FIND(",",IFERROR(INDEX($G:$G,MATCH(AF61,$A:$A,0)),""))),LEFT(IFERROR(INDEX($G:$G,MATCH(AF61,$A:$A,0)),""),FIND(",",IFERROR(INDEX($G:$G,MATCH(AF61,$A:$A,0)),""))-1),IFERROR(INDEX($G:$G,MATCH(AF61,$A:$A,0)),"")))))</f>
        <v/>
      </c>
    </row>
    <row r="62" customFormat="false" ht="15" hidden="false" customHeight="false" outlineLevel="0" collapsed="false">
      <c r="A62" s="18"/>
      <c r="B62" s="19"/>
      <c r="C62" s="20"/>
      <c r="D62" s="20"/>
      <c r="E62" s="20"/>
      <c r="F62" s="20"/>
      <c r="G62" s="18"/>
      <c r="H62" s="20"/>
      <c r="I62" s="18"/>
      <c r="J62" s="20"/>
      <c r="K62" s="20"/>
      <c r="L62" s="20"/>
      <c r="M62" s="20"/>
      <c r="N62" s="20"/>
      <c r="O62" s="21" t="str">
        <f aca="false">IF(A62="","",IF(AD62="",0,IF(AE62="",1,IF(AF62="",2,IF(AG62="",3,"4+")))))</f>
        <v/>
      </c>
      <c r="P62" s="21" t="str">
        <f aca="false">IF(A62="","",B62&amp;IF(AD62="",""," &lt;- "&amp;IFERROR(INDEX($B:$B,MATCH(AD62,$A:$A,0)),AD62)&amp;IF(AE62="",""," &lt;- "&amp;IFERROR(INDEX($B:$B,MATCH(AE62,$A:$A,0)),AE62)&amp;IF(AF62="",""," &lt;- "&amp;IFERROR(INDEX($B:$B,MATCH(AF62,$A:$A,0)),AF62)&amp;IF(AG62="",""," &lt;- "&amp;IFERROR(INDEX($B:$B,MATCH(AG62,$A:$A,0)),AG62)))))&amp;IF(ISNUMBER(FIND(",",G62))," (+ other parents)",""))</f>
        <v/>
      </c>
      <c r="Q62" s="21" t="str">
        <f aca="false">IF(A62="","",IF(AD62="",E62&amp;"",IF(AE62="",IF(IFERROR(INDEX($E:$E,MATCH(AD62,$A:$A,0)),"")="","",INDEX($E:$E,MATCH(AD62,$A:$A,0))),IF(AF62="",IF(IFERROR(INDEX($E:$E,MATCH(AE62,$A:$A,0)),"")="","",INDEX($E:$E,MATCH(AE62,$A:$A,0))),IF(AG62="",IF(IFERROR(INDEX($E:$E,MATCH(AF62,$A:$A,0)),"")="","",INDEX($E:$E,MATCH(AF62,$A:$A,0))),IF(IFERROR(INDEX($E:$E,MATCH(AG62,$A:$A,0)),"")="","",INDEX($E:$E,MATCH(AG62,$A:$A,0))))))))</f>
        <v/>
      </c>
      <c r="R62" s="21" t="str">
        <f aca="false">IF(A62="","",COUNTIF(Fields!$D:$D,A62))</f>
        <v/>
      </c>
      <c r="S62" s="21" t="str">
        <f aca="false">IF(A62="","",SUMIF(Fields!$D:$D,A62,Fields!$Q:$Q))</f>
        <v/>
      </c>
      <c r="T62" s="21" t="str">
        <f aca="false">IF(A62="","",COUNTIF('Product inputs'!$D:$D,A62))</f>
        <v/>
      </c>
      <c r="U62" s="20"/>
      <c r="V62" s="20"/>
      <c r="W62" s="20"/>
      <c r="X62" s="20"/>
      <c r="Y62" s="20"/>
      <c r="Z62" s="20"/>
      <c r="AA62" s="20"/>
      <c r="AB62" s="20"/>
      <c r="AC62" s="20"/>
      <c r="AD62" s="18" t="str">
        <f aca="false">IF(A62="","",IF(IFERROR(INDEX($G:$G,MATCH(A62,$A:$A,0)),"")="","",TRIM(IF(ISNUMBER(FIND(",",IFERROR(INDEX($G:$G,MATCH(A62,$A:$A,0)),""))),LEFT(IFERROR(INDEX($G:$G,MATCH(A62,$A:$A,0)),""),FIND(",",IFERROR(INDEX($G:$G,MATCH(A62,$A:$A,0)),""))-1),IFERROR(INDEX($G:$G,MATCH(A62,$A:$A,0)),"")))))</f>
        <v/>
      </c>
      <c r="AE62" s="18" t="str">
        <f aca="false">IF(AD62="","",IF(IFERROR(INDEX($G:$G,MATCH(AD62,$A:$A,0)),"")="","",TRIM(IF(ISNUMBER(FIND(",",IFERROR(INDEX($G:$G,MATCH(AD62,$A:$A,0)),""))),LEFT(IFERROR(INDEX($G:$G,MATCH(AD62,$A:$A,0)),""),FIND(",",IFERROR(INDEX($G:$G,MATCH(AD62,$A:$A,0)),""))-1),IFERROR(INDEX($G:$G,MATCH(AD62,$A:$A,0)),"")))))</f>
        <v/>
      </c>
      <c r="AF62" s="18" t="str">
        <f aca="false">IF(AE62="","",IF(IFERROR(INDEX($G:$G,MATCH(AE62,$A:$A,0)),"")="","",TRIM(IF(ISNUMBER(FIND(",",IFERROR(INDEX($G:$G,MATCH(AE62,$A:$A,0)),""))),LEFT(IFERROR(INDEX($G:$G,MATCH(AE62,$A:$A,0)),""),FIND(",",IFERROR(INDEX($G:$G,MATCH(AE62,$A:$A,0)),""))-1),IFERROR(INDEX($G:$G,MATCH(AE62,$A:$A,0)),"")))))</f>
        <v/>
      </c>
      <c r="AG62" s="18" t="str">
        <f aca="false">IF(AF62="","",IF(IFERROR(INDEX($G:$G,MATCH(AF62,$A:$A,0)),"")="","",TRIM(IF(ISNUMBER(FIND(",",IFERROR(INDEX($G:$G,MATCH(AF62,$A:$A,0)),""))),LEFT(IFERROR(INDEX($G:$G,MATCH(AF62,$A:$A,0)),""),FIND(",",IFERROR(INDEX($G:$G,MATCH(AF62,$A:$A,0)),""))-1),IFERROR(INDEX($G:$G,MATCH(AF62,$A:$A,0)),"")))))</f>
        <v/>
      </c>
    </row>
    <row r="63" customFormat="false" ht="15" hidden="false" customHeight="false" outlineLevel="0" collapsed="false">
      <c r="A63" s="18"/>
      <c r="B63" s="19"/>
      <c r="C63" s="20"/>
      <c r="D63" s="20"/>
      <c r="E63" s="20"/>
      <c r="F63" s="20"/>
      <c r="G63" s="18"/>
      <c r="H63" s="20"/>
      <c r="I63" s="18"/>
      <c r="J63" s="20"/>
      <c r="K63" s="20"/>
      <c r="L63" s="20"/>
      <c r="M63" s="20"/>
      <c r="N63" s="20"/>
      <c r="O63" s="21" t="str">
        <f aca="false">IF(A63="","",IF(AD63="",0,IF(AE63="",1,IF(AF63="",2,IF(AG63="",3,"4+")))))</f>
        <v/>
      </c>
      <c r="P63" s="21" t="str">
        <f aca="false">IF(A63="","",B63&amp;IF(AD63="",""," &lt;- "&amp;IFERROR(INDEX($B:$B,MATCH(AD63,$A:$A,0)),AD63)&amp;IF(AE63="",""," &lt;- "&amp;IFERROR(INDEX($B:$B,MATCH(AE63,$A:$A,0)),AE63)&amp;IF(AF63="",""," &lt;- "&amp;IFERROR(INDEX($B:$B,MATCH(AF63,$A:$A,0)),AF63)&amp;IF(AG63="",""," &lt;- "&amp;IFERROR(INDEX($B:$B,MATCH(AG63,$A:$A,0)),AG63)))))&amp;IF(ISNUMBER(FIND(",",G63))," (+ other parents)",""))</f>
        <v/>
      </c>
      <c r="Q63" s="21" t="str">
        <f aca="false">IF(A63="","",IF(AD63="",E63&amp;"",IF(AE63="",IF(IFERROR(INDEX($E:$E,MATCH(AD63,$A:$A,0)),"")="","",INDEX($E:$E,MATCH(AD63,$A:$A,0))),IF(AF63="",IF(IFERROR(INDEX($E:$E,MATCH(AE63,$A:$A,0)),"")="","",INDEX($E:$E,MATCH(AE63,$A:$A,0))),IF(AG63="",IF(IFERROR(INDEX($E:$E,MATCH(AF63,$A:$A,0)),"")="","",INDEX($E:$E,MATCH(AF63,$A:$A,0))),IF(IFERROR(INDEX($E:$E,MATCH(AG63,$A:$A,0)),"")="","",INDEX($E:$E,MATCH(AG63,$A:$A,0))))))))</f>
        <v/>
      </c>
      <c r="R63" s="21" t="str">
        <f aca="false">IF(A63="","",COUNTIF(Fields!$D:$D,A63))</f>
        <v/>
      </c>
      <c r="S63" s="21" t="str">
        <f aca="false">IF(A63="","",SUMIF(Fields!$D:$D,A63,Fields!$Q:$Q))</f>
        <v/>
      </c>
      <c r="T63" s="21" t="str">
        <f aca="false">IF(A63="","",COUNTIF('Product inputs'!$D:$D,A63))</f>
        <v/>
      </c>
      <c r="U63" s="20"/>
      <c r="V63" s="20"/>
      <c r="W63" s="20"/>
      <c r="X63" s="20"/>
      <c r="Y63" s="20"/>
      <c r="Z63" s="20"/>
      <c r="AA63" s="20"/>
      <c r="AB63" s="20"/>
      <c r="AC63" s="20"/>
      <c r="AD63" s="18" t="str">
        <f aca="false">IF(A63="","",IF(IFERROR(INDEX($G:$G,MATCH(A63,$A:$A,0)),"")="","",TRIM(IF(ISNUMBER(FIND(",",IFERROR(INDEX($G:$G,MATCH(A63,$A:$A,0)),""))),LEFT(IFERROR(INDEX($G:$G,MATCH(A63,$A:$A,0)),""),FIND(",",IFERROR(INDEX($G:$G,MATCH(A63,$A:$A,0)),""))-1),IFERROR(INDEX($G:$G,MATCH(A63,$A:$A,0)),"")))))</f>
        <v/>
      </c>
      <c r="AE63" s="18" t="str">
        <f aca="false">IF(AD63="","",IF(IFERROR(INDEX($G:$G,MATCH(AD63,$A:$A,0)),"")="","",TRIM(IF(ISNUMBER(FIND(",",IFERROR(INDEX($G:$G,MATCH(AD63,$A:$A,0)),""))),LEFT(IFERROR(INDEX($G:$G,MATCH(AD63,$A:$A,0)),""),FIND(",",IFERROR(INDEX($G:$G,MATCH(AD63,$A:$A,0)),""))-1),IFERROR(INDEX($G:$G,MATCH(AD63,$A:$A,0)),"")))))</f>
        <v/>
      </c>
      <c r="AF63" s="18" t="str">
        <f aca="false">IF(AE63="","",IF(IFERROR(INDEX($G:$G,MATCH(AE63,$A:$A,0)),"")="","",TRIM(IF(ISNUMBER(FIND(",",IFERROR(INDEX($G:$G,MATCH(AE63,$A:$A,0)),""))),LEFT(IFERROR(INDEX($G:$G,MATCH(AE63,$A:$A,0)),""),FIND(",",IFERROR(INDEX($G:$G,MATCH(AE63,$A:$A,0)),""))-1),IFERROR(INDEX($G:$G,MATCH(AE63,$A:$A,0)),"")))))</f>
        <v/>
      </c>
      <c r="AG63" s="18" t="str">
        <f aca="false">IF(AF63="","",IF(IFERROR(INDEX($G:$G,MATCH(AF63,$A:$A,0)),"")="","",TRIM(IF(ISNUMBER(FIND(",",IFERROR(INDEX($G:$G,MATCH(AF63,$A:$A,0)),""))),LEFT(IFERROR(INDEX($G:$G,MATCH(AF63,$A:$A,0)),""),FIND(",",IFERROR(INDEX($G:$G,MATCH(AF63,$A:$A,0)),""))-1),IFERROR(INDEX($G:$G,MATCH(AF63,$A:$A,0)),"")))))</f>
        <v/>
      </c>
    </row>
    <row r="64" customFormat="false" ht="15" hidden="false" customHeight="false" outlineLevel="0" collapsed="false">
      <c r="A64" s="18"/>
      <c r="B64" s="19"/>
      <c r="C64" s="20"/>
      <c r="D64" s="20"/>
      <c r="E64" s="20"/>
      <c r="F64" s="20"/>
      <c r="G64" s="18"/>
      <c r="H64" s="20"/>
      <c r="I64" s="18"/>
      <c r="J64" s="20"/>
      <c r="K64" s="20"/>
      <c r="L64" s="20"/>
      <c r="M64" s="20"/>
      <c r="N64" s="20"/>
      <c r="O64" s="21" t="str">
        <f aca="false">IF(A64="","",IF(AD64="",0,IF(AE64="",1,IF(AF64="",2,IF(AG64="",3,"4+")))))</f>
        <v/>
      </c>
      <c r="P64" s="21" t="str">
        <f aca="false">IF(A64="","",B64&amp;IF(AD64="",""," &lt;- "&amp;IFERROR(INDEX($B:$B,MATCH(AD64,$A:$A,0)),AD64)&amp;IF(AE64="",""," &lt;- "&amp;IFERROR(INDEX($B:$B,MATCH(AE64,$A:$A,0)),AE64)&amp;IF(AF64="",""," &lt;- "&amp;IFERROR(INDEX($B:$B,MATCH(AF64,$A:$A,0)),AF64)&amp;IF(AG64="",""," &lt;- "&amp;IFERROR(INDEX($B:$B,MATCH(AG64,$A:$A,0)),AG64)))))&amp;IF(ISNUMBER(FIND(",",G64))," (+ other parents)",""))</f>
        <v/>
      </c>
      <c r="Q64" s="21" t="str">
        <f aca="false">IF(A64="","",IF(AD64="",E64&amp;"",IF(AE64="",IF(IFERROR(INDEX($E:$E,MATCH(AD64,$A:$A,0)),"")="","",INDEX($E:$E,MATCH(AD64,$A:$A,0))),IF(AF64="",IF(IFERROR(INDEX($E:$E,MATCH(AE64,$A:$A,0)),"")="","",INDEX($E:$E,MATCH(AE64,$A:$A,0))),IF(AG64="",IF(IFERROR(INDEX($E:$E,MATCH(AF64,$A:$A,0)),"")="","",INDEX($E:$E,MATCH(AF64,$A:$A,0))),IF(IFERROR(INDEX($E:$E,MATCH(AG64,$A:$A,0)),"")="","",INDEX($E:$E,MATCH(AG64,$A:$A,0))))))))</f>
        <v/>
      </c>
      <c r="R64" s="21" t="str">
        <f aca="false">IF(A64="","",COUNTIF(Fields!$D:$D,A64))</f>
        <v/>
      </c>
      <c r="S64" s="21" t="str">
        <f aca="false">IF(A64="","",SUMIF(Fields!$D:$D,A64,Fields!$Q:$Q))</f>
        <v/>
      </c>
      <c r="T64" s="21" t="str">
        <f aca="false">IF(A64="","",COUNTIF('Product inputs'!$D:$D,A64))</f>
        <v/>
      </c>
      <c r="U64" s="20"/>
      <c r="V64" s="20"/>
      <c r="W64" s="20"/>
      <c r="X64" s="20"/>
      <c r="Y64" s="20"/>
      <c r="Z64" s="20"/>
      <c r="AA64" s="20"/>
      <c r="AB64" s="20"/>
      <c r="AC64" s="20"/>
      <c r="AD64" s="18" t="str">
        <f aca="false">IF(A64="","",IF(IFERROR(INDEX($G:$G,MATCH(A64,$A:$A,0)),"")="","",TRIM(IF(ISNUMBER(FIND(",",IFERROR(INDEX($G:$G,MATCH(A64,$A:$A,0)),""))),LEFT(IFERROR(INDEX($G:$G,MATCH(A64,$A:$A,0)),""),FIND(",",IFERROR(INDEX($G:$G,MATCH(A64,$A:$A,0)),""))-1),IFERROR(INDEX($G:$G,MATCH(A64,$A:$A,0)),"")))))</f>
        <v/>
      </c>
      <c r="AE64" s="18" t="str">
        <f aca="false">IF(AD64="","",IF(IFERROR(INDEX($G:$G,MATCH(AD64,$A:$A,0)),"")="","",TRIM(IF(ISNUMBER(FIND(",",IFERROR(INDEX($G:$G,MATCH(AD64,$A:$A,0)),""))),LEFT(IFERROR(INDEX($G:$G,MATCH(AD64,$A:$A,0)),""),FIND(",",IFERROR(INDEX($G:$G,MATCH(AD64,$A:$A,0)),""))-1),IFERROR(INDEX($G:$G,MATCH(AD64,$A:$A,0)),"")))))</f>
        <v/>
      </c>
      <c r="AF64" s="18" t="str">
        <f aca="false">IF(AE64="","",IF(IFERROR(INDEX($G:$G,MATCH(AE64,$A:$A,0)),"")="","",TRIM(IF(ISNUMBER(FIND(",",IFERROR(INDEX($G:$G,MATCH(AE64,$A:$A,0)),""))),LEFT(IFERROR(INDEX($G:$G,MATCH(AE64,$A:$A,0)),""),FIND(",",IFERROR(INDEX($G:$G,MATCH(AE64,$A:$A,0)),""))-1),IFERROR(INDEX($G:$G,MATCH(AE64,$A:$A,0)),"")))))</f>
        <v/>
      </c>
      <c r="AG64" s="18" t="str">
        <f aca="false">IF(AF64="","",IF(IFERROR(INDEX($G:$G,MATCH(AF64,$A:$A,0)),"")="","",TRIM(IF(ISNUMBER(FIND(",",IFERROR(INDEX($G:$G,MATCH(AF64,$A:$A,0)),""))),LEFT(IFERROR(INDEX($G:$G,MATCH(AF64,$A:$A,0)),""),FIND(",",IFERROR(INDEX($G:$G,MATCH(AF64,$A:$A,0)),""))-1),IFERROR(INDEX($G:$G,MATCH(AF64,$A:$A,0)),"")))))</f>
        <v/>
      </c>
    </row>
    <row r="65" customFormat="false" ht="15" hidden="false" customHeight="false" outlineLevel="0" collapsed="false">
      <c r="A65" s="18"/>
      <c r="B65" s="19"/>
      <c r="C65" s="20"/>
      <c r="D65" s="20"/>
      <c r="E65" s="20"/>
      <c r="F65" s="20"/>
      <c r="G65" s="18"/>
      <c r="H65" s="20"/>
      <c r="I65" s="18"/>
      <c r="J65" s="20"/>
      <c r="K65" s="20"/>
      <c r="L65" s="20"/>
      <c r="M65" s="20"/>
      <c r="N65" s="20"/>
      <c r="O65" s="21" t="str">
        <f aca="false">IF(A65="","",IF(AD65="",0,IF(AE65="",1,IF(AF65="",2,IF(AG65="",3,"4+")))))</f>
        <v/>
      </c>
      <c r="P65" s="21" t="str">
        <f aca="false">IF(A65="","",B65&amp;IF(AD65="",""," &lt;- "&amp;IFERROR(INDEX($B:$B,MATCH(AD65,$A:$A,0)),AD65)&amp;IF(AE65="",""," &lt;- "&amp;IFERROR(INDEX($B:$B,MATCH(AE65,$A:$A,0)),AE65)&amp;IF(AF65="",""," &lt;- "&amp;IFERROR(INDEX($B:$B,MATCH(AF65,$A:$A,0)),AF65)&amp;IF(AG65="",""," &lt;- "&amp;IFERROR(INDEX($B:$B,MATCH(AG65,$A:$A,0)),AG65)))))&amp;IF(ISNUMBER(FIND(",",G65))," (+ other parents)",""))</f>
        <v/>
      </c>
      <c r="Q65" s="21" t="str">
        <f aca="false">IF(A65="","",IF(AD65="",E65&amp;"",IF(AE65="",IF(IFERROR(INDEX($E:$E,MATCH(AD65,$A:$A,0)),"")="","",INDEX($E:$E,MATCH(AD65,$A:$A,0))),IF(AF65="",IF(IFERROR(INDEX($E:$E,MATCH(AE65,$A:$A,0)),"")="","",INDEX($E:$E,MATCH(AE65,$A:$A,0))),IF(AG65="",IF(IFERROR(INDEX($E:$E,MATCH(AF65,$A:$A,0)),"")="","",INDEX($E:$E,MATCH(AF65,$A:$A,0))),IF(IFERROR(INDEX($E:$E,MATCH(AG65,$A:$A,0)),"")="","",INDEX($E:$E,MATCH(AG65,$A:$A,0))))))))</f>
        <v/>
      </c>
      <c r="R65" s="21" t="str">
        <f aca="false">IF(A65="","",COUNTIF(Fields!$D:$D,A65))</f>
        <v/>
      </c>
      <c r="S65" s="21" t="str">
        <f aca="false">IF(A65="","",SUMIF(Fields!$D:$D,A65,Fields!$Q:$Q))</f>
        <v/>
      </c>
      <c r="T65" s="21" t="str">
        <f aca="false">IF(A65="","",COUNTIF('Product inputs'!$D:$D,A65))</f>
        <v/>
      </c>
      <c r="U65" s="20"/>
      <c r="V65" s="20"/>
      <c r="W65" s="20"/>
      <c r="X65" s="20"/>
      <c r="Y65" s="20"/>
      <c r="Z65" s="20"/>
      <c r="AA65" s="20"/>
      <c r="AB65" s="20"/>
      <c r="AC65" s="20"/>
      <c r="AD65" s="18" t="str">
        <f aca="false">IF(A65="","",IF(IFERROR(INDEX($G:$G,MATCH(A65,$A:$A,0)),"")="","",TRIM(IF(ISNUMBER(FIND(",",IFERROR(INDEX($G:$G,MATCH(A65,$A:$A,0)),""))),LEFT(IFERROR(INDEX($G:$G,MATCH(A65,$A:$A,0)),""),FIND(",",IFERROR(INDEX($G:$G,MATCH(A65,$A:$A,0)),""))-1),IFERROR(INDEX($G:$G,MATCH(A65,$A:$A,0)),"")))))</f>
        <v/>
      </c>
      <c r="AE65" s="18" t="str">
        <f aca="false">IF(AD65="","",IF(IFERROR(INDEX($G:$G,MATCH(AD65,$A:$A,0)),"")="","",TRIM(IF(ISNUMBER(FIND(",",IFERROR(INDEX($G:$G,MATCH(AD65,$A:$A,0)),""))),LEFT(IFERROR(INDEX($G:$G,MATCH(AD65,$A:$A,0)),""),FIND(",",IFERROR(INDEX($G:$G,MATCH(AD65,$A:$A,0)),""))-1),IFERROR(INDEX($G:$G,MATCH(AD65,$A:$A,0)),"")))))</f>
        <v/>
      </c>
      <c r="AF65" s="18" t="str">
        <f aca="false">IF(AE65="","",IF(IFERROR(INDEX($G:$G,MATCH(AE65,$A:$A,0)),"")="","",TRIM(IF(ISNUMBER(FIND(",",IFERROR(INDEX($G:$G,MATCH(AE65,$A:$A,0)),""))),LEFT(IFERROR(INDEX($G:$G,MATCH(AE65,$A:$A,0)),""),FIND(",",IFERROR(INDEX($G:$G,MATCH(AE65,$A:$A,0)),""))-1),IFERROR(INDEX($G:$G,MATCH(AE65,$A:$A,0)),"")))))</f>
        <v/>
      </c>
      <c r="AG65" s="18" t="str">
        <f aca="false">IF(AF65="","",IF(IFERROR(INDEX($G:$G,MATCH(AF65,$A:$A,0)),"")="","",TRIM(IF(ISNUMBER(FIND(",",IFERROR(INDEX($G:$G,MATCH(AF65,$A:$A,0)),""))),LEFT(IFERROR(INDEX($G:$G,MATCH(AF65,$A:$A,0)),""),FIND(",",IFERROR(INDEX($G:$G,MATCH(AF65,$A:$A,0)),""))-1),IFERROR(INDEX($G:$G,MATCH(AF65,$A:$A,0)),"")))))</f>
        <v/>
      </c>
    </row>
    <row r="66" customFormat="false" ht="15" hidden="false" customHeight="false" outlineLevel="0" collapsed="false">
      <c r="A66" s="18"/>
      <c r="B66" s="19"/>
      <c r="C66" s="20"/>
      <c r="D66" s="20"/>
      <c r="E66" s="20"/>
      <c r="F66" s="20"/>
      <c r="G66" s="18"/>
      <c r="H66" s="20"/>
      <c r="I66" s="18"/>
      <c r="J66" s="20"/>
      <c r="K66" s="20"/>
      <c r="L66" s="20"/>
      <c r="M66" s="20"/>
      <c r="N66" s="20"/>
      <c r="O66" s="21" t="str">
        <f aca="false">IF(A66="","",IF(AD66="",0,IF(AE66="",1,IF(AF66="",2,IF(AG66="",3,"4+")))))</f>
        <v/>
      </c>
      <c r="P66" s="21" t="str">
        <f aca="false">IF(A66="","",B66&amp;IF(AD66="",""," &lt;- "&amp;IFERROR(INDEX($B:$B,MATCH(AD66,$A:$A,0)),AD66)&amp;IF(AE66="",""," &lt;- "&amp;IFERROR(INDEX($B:$B,MATCH(AE66,$A:$A,0)),AE66)&amp;IF(AF66="",""," &lt;- "&amp;IFERROR(INDEX($B:$B,MATCH(AF66,$A:$A,0)),AF66)&amp;IF(AG66="",""," &lt;- "&amp;IFERROR(INDEX($B:$B,MATCH(AG66,$A:$A,0)),AG66)))))&amp;IF(ISNUMBER(FIND(",",G66))," (+ other parents)",""))</f>
        <v/>
      </c>
      <c r="Q66" s="21" t="str">
        <f aca="false">IF(A66="","",IF(AD66="",E66&amp;"",IF(AE66="",IF(IFERROR(INDEX($E:$E,MATCH(AD66,$A:$A,0)),"")="","",INDEX($E:$E,MATCH(AD66,$A:$A,0))),IF(AF66="",IF(IFERROR(INDEX($E:$E,MATCH(AE66,$A:$A,0)),"")="","",INDEX($E:$E,MATCH(AE66,$A:$A,0))),IF(AG66="",IF(IFERROR(INDEX($E:$E,MATCH(AF66,$A:$A,0)),"")="","",INDEX($E:$E,MATCH(AF66,$A:$A,0))),IF(IFERROR(INDEX($E:$E,MATCH(AG66,$A:$A,0)),"")="","",INDEX($E:$E,MATCH(AG66,$A:$A,0))))))))</f>
        <v/>
      </c>
      <c r="R66" s="21" t="str">
        <f aca="false">IF(A66="","",COUNTIF(Fields!$D:$D,A66))</f>
        <v/>
      </c>
      <c r="S66" s="21" t="str">
        <f aca="false">IF(A66="","",SUMIF(Fields!$D:$D,A66,Fields!$Q:$Q))</f>
        <v/>
      </c>
      <c r="T66" s="21" t="str">
        <f aca="false">IF(A66="","",COUNTIF('Product inputs'!$D:$D,A66))</f>
        <v/>
      </c>
      <c r="U66" s="20"/>
      <c r="V66" s="20"/>
      <c r="W66" s="20"/>
      <c r="X66" s="20"/>
      <c r="Y66" s="20"/>
      <c r="Z66" s="20"/>
      <c r="AA66" s="20"/>
      <c r="AB66" s="20"/>
      <c r="AC66" s="20"/>
      <c r="AD66" s="18" t="str">
        <f aca="false">IF(A66="","",IF(IFERROR(INDEX($G:$G,MATCH(A66,$A:$A,0)),"")="","",TRIM(IF(ISNUMBER(FIND(",",IFERROR(INDEX($G:$G,MATCH(A66,$A:$A,0)),""))),LEFT(IFERROR(INDEX($G:$G,MATCH(A66,$A:$A,0)),""),FIND(",",IFERROR(INDEX($G:$G,MATCH(A66,$A:$A,0)),""))-1),IFERROR(INDEX($G:$G,MATCH(A66,$A:$A,0)),"")))))</f>
        <v/>
      </c>
      <c r="AE66" s="18" t="str">
        <f aca="false">IF(AD66="","",IF(IFERROR(INDEX($G:$G,MATCH(AD66,$A:$A,0)),"")="","",TRIM(IF(ISNUMBER(FIND(",",IFERROR(INDEX($G:$G,MATCH(AD66,$A:$A,0)),""))),LEFT(IFERROR(INDEX($G:$G,MATCH(AD66,$A:$A,0)),""),FIND(",",IFERROR(INDEX($G:$G,MATCH(AD66,$A:$A,0)),""))-1),IFERROR(INDEX($G:$G,MATCH(AD66,$A:$A,0)),"")))))</f>
        <v/>
      </c>
      <c r="AF66" s="18" t="str">
        <f aca="false">IF(AE66="","",IF(IFERROR(INDEX($G:$G,MATCH(AE66,$A:$A,0)),"")="","",TRIM(IF(ISNUMBER(FIND(",",IFERROR(INDEX($G:$G,MATCH(AE66,$A:$A,0)),""))),LEFT(IFERROR(INDEX($G:$G,MATCH(AE66,$A:$A,0)),""),FIND(",",IFERROR(INDEX($G:$G,MATCH(AE66,$A:$A,0)),""))-1),IFERROR(INDEX($G:$G,MATCH(AE66,$A:$A,0)),"")))))</f>
        <v/>
      </c>
      <c r="AG66" s="18" t="str">
        <f aca="false">IF(AF66="","",IF(IFERROR(INDEX($G:$G,MATCH(AF66,$A:$A,0)),"")="","",TRIM(IF(ISNUMBER(FIND(",",IFERROR(INDEX($G:$G,MATCH(AF66,$A:$A,0)),""))),LEFT(IFERROR(INDEX($G:$G,MATCH(AF66,$A:$A,0)),""),FIND(",",IFERROR(INDEX($G:$G,MATCH(AF66,$A:$A,0)),""))-1),IFERROR(INDEX($G:$G,MATCH(AF66,$A:$A,0)),"")))))</f>
        <v/>
      </c>
    </row>
    <row r="67" customFormat="false" ht="15" hidden="false" customHeight="false" outlineLevel="0" collapsed="false">
      <c r="A67" s="18"/>
      <c r="B67" s="19"/>
      <c r="C67" s="20"/>
      <c r="D67" s="20"/>
      <c r="E67" s="20"/>
      <c r="F67" s="20"/>
      <c r="G67" s="18"/>
      <c r="H67" s="20"/>
      <c r="I67" s="18"/>
      <c r="J67" s="20"/>
      <c r="K67" s="20"/>
      <c r="L67" s="20"/>
      <c r="M67" s="20"/>
      <c r="N67" s="20"/>
      <c r="O67" s="21" t="str">
        <f aca="false">IF(A67="","",IF(AD67="",0,IF(AE67="",1,IF(AF67="",2,IF(AG67="",3,"4+")))))</f>
        <v/>
      </c>
      <c r="P67" s="21" t="str">
        <f aca="false">IF(A67="","",B67&amp;IF(AD67="",""," &lt;- "&amp;IFERROR(INDEX($B:$B,MATCH(AD67,$A:$A,0)),AD67)&amp;IF(AE67="",""," &lt;- "&amp;IFERROR(INDEX($B:$B,MATCH(AE67,$A:$A,0)),AE67)&amp;IF(AF67="",""," &lt;- "&amp;IFERROR(INDEX($B:$B,MATCH(AF67,$A:$A,0)),AF67)&amp;IF(AG67="",""," &lt;- "&amp;IFERROR(INDEX($B:$B,MATCH(AG67,$A:$A,0)),AG67)))))&amp;IF(ISNUMBER(FIND(",",G67))," (+ other parents)",""))</f>
        <v/>
      </c>
      <c r="Q67" s="21" t="str">
        <f aca="false">IF(A67="","",IF(AD67="",E67&amp;"",IF(AE67="",IF(IFERROR(INDEX($E:$E,MATCH(AD67,$A:$A,0)),"")="","",INDEX($E:$E,MATCH(AD67,$A:$A,0))),IF(AF67="",IF(IFERROR(INDEX($E:$E,MATCH(AE67,$A:$A,0)),"")="","",INDEX($E:$E,MATCH(AE67,$A:$A,0))),IF(AG67="",IF(IFERROR(INDEX($E:$E,MATCH(AF67,$A:$A,0)),"")="","",INDEX($E:$E,MATCH(AF67,$A:$A,0))),IF(IFERROR(INDEX($E:$E,MATCH(AG67,$A:$A,0)),"")="","",INDEX($E:$E,MATCH(AG67,$A:$A,0))))))))</f>
        <v/>
      </c>
      <c r="R67" s="21" t="str">
        <f aca="false">IF(A67="","",COUNTIF(Fields!$D:$D,A67))</f>
        <v/>
      </c>
      <c r="S67" s="21" t="str">
        <f aca="false">IF(A67="","",SUMIF(Fields!$D:$D,A67,Fields!$Q:$Q))</f>
        <v/>
      </c>
      <c r="T67" s="21" t="str">
        <f aca="false">IF(A67="","",COUNTIF('Product inputs'!$D:$D,A67))</f>
        <v/>
      </c>
      <c r="U67" s="20"/>
      <c r="V67" s="20"/>
      <c r="W67" s="20"/>
      <c r="X67" s="20"/>
      <c r="Y67" s="20"/>
      <c r="Z67" s="20"/>
      <c r="AA67" s="20"/>
      <c r="AB67" s="20"/>
      <c r="AC67" s="20"/>
      <c r="AD67" s="18" t="str">
        <f aca="false">IF(A67="","",IF(IFERROR(INDEX($G:$G,MATCH(A67,$A:$A,0)),"")="","",TRIM(IF(ISNUMBER(FIND(",",IFERROR(INDEX($G:$G,MATCH(A67,$A:$A,0)),""))),LEFT(IFERROR(INDEX($G:$G,MATCH(A67,$A:$A,0)),""),FIND(",",IFERROR(INDEX($G:$G,MATCH(A67,$A:$A,0)),""))-1),IFERROR(INDEX($G:$G,MATCH(A67,$A:$A,0)),"")))))</f>
        <v/>
      </c>
      <c r="AE67" s="18" t="str">
        <f aca="false">IF(AD67="","",IF(IFERROR(INDEX($G:$G,MATCH(AD67,$A:$A,0)),"")="","",TRIM(IF(ISNUMBER(FIND(",",IFERROR(INDEX($G:$G,MATCH(AD67,$A:$A,0)),""))),LEFT(IFERROR(INDEX($G:$G,MATCH(AD67,$A:$A,0)),""),FIND(",",IFERROR(INDEX($G:$G,MATCH(AD67,$A:$A,0)),""))-1),IFERROR(INDEX($G:$G,MATCH(AD67,$A:$A,0)),"")))))</f>
        <v/>
      </c>
      <c r="AF67" s="18" t="str">
        <f aca="false">IF(AE67="","",IF(IFERROR(INDEX($G:$G,MATCH(AE67,$A:$A,0)),"")="","",TRIM(IF(ISNUMBER(FIND(",",IFERROR(INDEX($G:$G,MATCH(AE67,$A:$A,0)),""))),LEFT(IFERROR(INDEX($G:$G,MATCH(AE67,$A:$A,0)),""),FIND(",",IFERROR(INDEX($G:$G,MATCH(AE67,$A:$A,0)),""))-1),IFERROR(INDEX($G:$G,MATCH(AE67,$A:$A,0)),"")))))</f>
        <v/>
      </c>
      <c r="AG67" s="18" t="str">
        <f aca="false">IF(AF67="","",IF(IFERROR(INDEX($G:$G,MATCH(AF67,$A:$A,0)),"")="","",TRIM(IF(ISNUMBER(FIND(",",IFERROR(INDEX($G:$G,MATCH(AF67,$A:$A,0)),""))),LEFT(IFERROR(INDEX($G:$G,MATCH(AF67,$A:$A,0)),""),FIND(",",IFERROR(INDEX($G:$G,MATCH(AF67,$A:$A,0)),""))-1),IFERROR(INDEX($G:$G,MATCH(AF67,$A:$A,0)),"")))))</f>
        <v/>
      </c>
    </row>
    <row r="68" customFormat="false" ht="15" hidden="false" customHeight="false" outlineLevel="0" collapsed="false">
      <c r="A68" s="18"/>
      <c r="B68" s="19"/>
      <c r="C68" s="20"/>
      <c r="D68" s="20"/>
      <c r="E68" s="20"/>
      <c r="F68" s="20"/>
      <c r="G68" s="18"/>
      <c r="H68" s="20"/>
      <c r="I68" s="18"/>
      <c r="J68" s="20"/>
      <c r="K68" s="20"/>
      <c r="L68" s="20"/>
      <c r="M68" s="20"/>
      <c r="N68" s="20"/>
      <c r="O68" s="21" t="str">
        <f aca="false">IF(A68="","",IF(AD68="",0,IF(AE68="",1,IF(AF68="",2,IF(AG68="",3,"4+")))))</f>
        <v/>
      </c>
      <c r="P68" s="21" t="str">
        <f aca="false">IF(A68="","",B68&amp;IF(AD68="",""," &lt;- "&amp;IFERROR(INDEX($B:$B,MATCH(AD68,$A:$A,0)),AD68)&amp;IF(AE68="",""," &lt;- "&amp;IFERROR(INDEX($B:$B,MATCH(AE68,$A:$A,0)),AE68)&amp;IF(AF68="",""," &lt;- "&amp;IFERROR(INDEX($B:$B,MATCH(AF68,$A:$A,0)),AF68)&amp;IF(AG68="",""," &lt;- "&amp;IFERROR(INDEX($B:$B,MATCH(AG68,$A:$A,0)),AG68)))))&amp;IF(ISNUMBER(FIND(",",G68))," (+ other parents)",""))</f>
        <v/>
      </c>
      <c r="Q68" s="21" t="str">
        <f aca="false">IF(A68="","",IF(AD68="",E68&amp;"",IF(AE68="",IF(IFERROR(INDEX($E:$E,MATCH(AD68,$A:$A,0)),"")="","",INDEX($E:$E,MATCH(AD68,$A:$A,0))),IF(AF68="",IF(IFERROR(INDEX($E:$E,MATCH(AE68,$A:$A,0)),"")="","",INDEX($E:$E,MATCH(AE68,$A:$A,0))),IF(AG68="",IF(IFERROR(INDEX($E:$E,MATCH(AF68,$A:$A,0)),"")="","",INDEX($E:$E,MATCH(AF68,$A:$A,0))),IF(IFERROR(INDEX($E:$E,MATCH(AG68,$A:$A,0)),"")="","",INDEX($E:$E,MATCH(AG68,$A:$A,0))))))))</f>
        <v/>
      </c>
      <c r="R68" s="21" t="str">
        <f aca="false">IF(A68="","",COUNTIF(Fields!$D:$D,A68))</f>
        <v/>
      </c>
      <c r="S68" s="21" t="str">
        <f aca="false">IF(A68="","",SUMIF(Fields!$D:$D,A68,Fields!$Q:$Q))</f>
        <v/>
      </c>
      <c r="T68" s="21" t="str">
        <f aca="false">IF(A68="","",COUNTIF('Product inputs'!$D:$D,A68))</f>
        <v/>
      </c>
      <c r="U68" s="20"/>
      <c r="V68" s="20"/>
      <c r="W68" s="20"/>
      <c r="X68" s="20"/>
      <c r="Y68" s="20"/>
      <c r="Z68" s="20"/>
      <c r="AA68" s="20"/>
      <c r="AB68" s="20"/>
      <c r="AC68" s="20"/>
      <c r="AD68" s="18" t="str">
        <f aca="false">IF(A68="","",IF(IFERROR(INDEX($G:$G,MATCH(A68,$A:$A,0)),"")="","",TRIM(IF(ISNUMBER(FIND(",",IFERROR(INDEX($G:$G,MATCH(A68,$A:$A,0)),""))),LEFT(IFERROR(INDEX($G:$G,MATCH(A68,$A:$A,0)),""),FIND(",",IFERROR(INDEX($G:$G,MATCH(A68,$A:$A,0)),""))-1),IFERROR(INDEX($G:$G,MATCH(A68,$A:$A,0)),"")))))</f>
        <v/>
      </c>
      <c r="AE68" s="18" t="str">
        <f aca="false">IF(AD68="","",IF(IFERROR(INDEX($G:$G,MATCH(AD68,$A:$A,0)),"")="","",TRIM(IF(ISNUMBER(FIND(",",IFERROR(INDEX($G:$G,MATCH(AD68,$A:$A,0)),""))),LEFT(IFERROR(INDEX($G:$G,MATCH(AD68,$A:$A,0)),""),FIND(",",IFERROR(INDEX($G:$G,MATCH(AD68,$A:$A,0)),""))-1),IFERROR(INDEX($G:$G,MATCH(AD68,$A:$A,0)),"")))))</f>
        <v/>
      </c>
      <c r="AF68" s="18" t="str">
        <f aca="false">IF(AE68="","",IF(IFERROR(INDEX($G:$G,MATCH(AE68,$A:$A,0)),"")="","",TRIM(IF(ISNUMBER(FIND(",",IFERROR(INDEX($G:$G,MATCH(AE68,$A:$A,0)),""))),LEFT(IFERROR(INDEX($G:$G,MATCH(AE68,$A:$A,0)),""),FIND(",",IFERROR(INDEX($G:$G,MATCH(AE68,$A:$A,0)),""))-1),IFERROR(INDEX($G:$G,MATCH(AE68,$A:$A,0)),"")))))</f>
        <v/>
      </c>
      <c r="AG68" s="18" t="str">
        <f aca="false">IF(AF68="","",IF(IFERROR(INDEX($G:$G,MATCH(AF68,$A:$A,0)),"")="","",TRIM(IF(ISNUMBER(FIND(",",IFERROR(INDEX($G:$G,MATCH(AF68,$A:$A,0)),""))),LEFT(IFERROR(INDEX($G:$G,MATCH(AF68,$A:$A,0)),""),FIND(",",IFERROR(INDEX($G:$G,MATCH(AF68,$A:$A,0)),""))-1),IFERROR(INDEX($G:$G,MATCH(AF68,$A:$A,0)),"")))))</f>
        <v/>
      </c>
    </row>
    <row r="69" customFormat="false" ht="15" hidden="false" customHeight="false" outlineLevel="0" collapsed="false">
      <c r="A69" s="18"/>
      <c r="B69" s="19"/>
      <c r="C69" s="20"/>
      <c r="D69" s="20"/>
      <c r="E69" s="20"/>
      <c r="F69" s="20"/>
      <c r="G69" s="18"/>
      <c r="H69" s="20"/>
      <c r="I69" s="18"/>
      <c r="J69" s="20"/>
      <c r="K69" s="20"/>
      <c r="L69" s="20"/>
      <c r="M69" s="20"/>
      <c r="N69" s="20"/>
      <c r="O69" s="21" t="str">
        <f aca="false">IF(A69="","",IF(AD69="",0,IF(AE69="",1,IF(AF69="",2,IF(AG69="",3,"4+")))))</f>
        <v/>
      </c>
      <c r="P69" s="21" t="str">
        <f aca="false">IF(A69="","",B69&amp;IF(AD69="",""," &lt;- "&amp;IFERROR(INDEX($B:$B,MATCH(AD69,$A:$A,0)),AD69)&amp;IF(AE69="",""," &lt;- "&amp;IFERROR(INDEX($B:$B,MATCH(AE69,$A:$A,0)),AE69)&amp;IF(AF69="",""," &lt;- "&amp;IFERROR(INDEX($B:$B,MATCH(AF69,$A:$A,0)),AF69)&amp;IF(AG69="",""," &lt;- "&amp;IFERROR(INDEX($B:$B,MATCH(AG69,$A:$A,0)),AG69)))))&amp;IF(ISNUMBER(FIND(",",G69))," (+ other parents)",""))</f>
        <v/>
      </c>
      <c r="Q69" s="21" t="str">
        <f aca="false">IF(A69="","",IF(AD69="",E69&amp;"",IF(AE69="",IF(IFERROR(INDEX($E:$E,MATCH(AD69,$A:$A,0)),"")="","",INDEX($E:$E,MATCH(AD69,$A:$A,0))),IF(AF69="",IF(IFERROR(INDEX($E:$E,MATCH(AE69,$A:$A,0)),"")="","",INDEX($E:$E,MATCH(AE69,$A:$A,0))),IF(AG69="",IF(IFERROR(INDEX($E:$E,MATCH(AF69,$A:$A,0)),"")="","",INDEX($E:$E,MATCH(AF69,$A:$A,0))),IF(IFERROR(INDEX($E:$E,MATCH(AG69,$A:$A,0)),"")="","",INDEX($E:$E,MATCH(AG69,$A:$A,0))))))))</f>
        <v/>
      </c>
      <c r="R69" s="21" t="str">
        <f aca="false">IF(A69="","",COUNTIF(Fields!$D:$D,A69))</f>
        <v/>
      </c>
      <c r="S69" s="21" t="str">
        <f aca="false">IF(A69="","",SUMIF(Fields!$D:$D,A69,Fields!$Q:$Q))</f>
        <v/>
      </c>
      <c r="T69" s="21" t="str">
        <f aca="false">IF(A69="","",COUNTIF('Product inputs'!$D:$D,A69))</f>
        <v/>
      </c>
      <c r="U69" s="20"/>
      <c r="V69" s="20"/>
      <c r="W69" s="20"/>
      <c r="X69" s="20"/>
      <c r="Y69" s="20"/>
      <c r="Z69" s="20"/>
      <c r="AA69" s="20"/>
      <c r="AB69" s="20"/>
      <c r="AC69" s="20"/>
      <c r="AD69" s="18" t="str">
        <f aca="false">IF(A69="","",IF(IFERROR(INDEX($G:$G,MATCH(A69,$A:$A,0)),"")="","",TRIM(IF(ISNUMBER(FIND(",",IFERROR(INDEX($G:$G,MATCH(A69,$A:$A,0)),""))),LEFT(IFERROR(INDEX($G:$G,MATCH(A69,$A:$A,0)),""),FIND(",",IFERROR(INDEX($G:$G,MATCH(A69,$A:$A,0)),""))-1),IFERROR(INDEX($G:$G,MATCH(A69,$A:$A,0)),"")))))</f>
        <v/>
      </c>
      <c r="AE69" s="18" t="str">
        <f aca="false">IF(AD69="","",IF(IFERROR(INDEX($G:$G,MATCH(AD69,$A:$A,0)),"")="","",TRIM(IF(ISNUMBER(FIND(",",IFERROR(INDEX($G:$G,MATCH(AD69,$A:$A,0)),""))),LEFT(IFERROR(INDEX($G:$G,MATCH(AD69,$A:$A,0)),""),FIND(",",IFERROR(INDEX($G:$G,MATCH(AD69,$A:$A,0)),""))-1),IFERROR(INDEX($G:$G,MATCH(AD69,$A:$A,0)),"")))))</f>
        <v/>
      </c>
      <c r="AF69" s="18" t="str">
        <f aca="false">IF(AE69="","",IF(IFERROR(INDEX($G:$G,MATCH(AE69,$A:$A,0)),"")="","",TRIM(IF(ISNUMBER(FIND(",",IFERROR(INDEX($G:$G,MATCH(AE69,$A:$A,0)),""))),LEFT(IFERROR(INDEX($G:$G,MATCH(AE69,$A:$A,0)),""),FIND(",",IFERROR(INDEX($G:$G,MATCH(AE69,$A:$A,0)),""))-1),IFERROR(INDEX($G:$G,MATCH(AE69,$A:$A,0)),"")))))</f>
        <v/>
      </c>
      <c r="AG69" s="18" t="str">
        <f aca="false">IF(AF69="","",IF(IFERROR(INDEX($G:$G,MATCH(AF69,$A:$A,0)),"")="","",TRIM(IF(ISNUMBER(FIND(",",IFERROR(INDEX($G:$G,MATCH(AF69,$A:$A,0)),""))),LEFT(IFERROR(INDEX($G:$G,MATCH(AF69,$A:$A,0)),""),FIND(",",IFERROR(INDEX($G:$G,MATCH(AF69,$A:$A,0)),""))-1),IFERROR(INDEX($G:$G,MATCH(AF69,$A:$A,0)),"")))))</f>
        <v/>
      </c>
    </row>
    <row r="70" customFormat="false" ht="15" hidden="false" customHeight="false" outlineLevel="0" collapsed="false">
      <c r="A70" s="18"/>
      <c r="B70" s="19"/>
      <c r="C70" s="20"/>
      <c r="D70" s="20"/>
      <c r="E70" s="20"/>
      <c r="F70" s="20"/>
      <c r="G70" s="18"/>
      <c r="H70" s="20"/>
      <c r="I70" s="18"/>
      <c r="J70" s="20"/>
      <c r="K70" s="20"/>
      <c r="L70" s="20"/>
      <c r="M70" s="20"/>
      <c r="N70" s="20"/>
      <c r="O70" s="21" t="str">
        <f aca="false">IF(A70="","",IF(AD70="",0,IF(AE70="",1,IF(AF70="",2,IF(AG70="",3,"4+")))))</f>
        <v/>
      </c>
      <c r="P70" s="21" t="str">
        <f aca="false">IF(A70="","",B70&amp;IF(AD70="",""," &lt;- "&amp;IFERROR(INDEX($B:$B,MATCH(AD70,$A:$A,0)),AD70)&amp;IF(AE70="",""," &lt;- "&amp;IFERROR(INDEX($B:$B,MATCH(AE70,$A:$A,0)),AE70)&amp;IF(AF70="",""," &lt;- "&amp;IFERROR(INDEX($B:$B,MATCH(AF70,$A:$A,0)),AF70)&amp;IF(AG70="",""," &lt;- "&amp;IFERROR(INDEX($B:$B,MATCH(AG70,$A:$A,0)),AG70)))))&amp;IF(ISNUMBER(FIND(",",G70))," (+ other parents)",""))</f>
        <v/>
      </c>
      <c r="Q70" s="21" t="str">
        <f aca="false">IF(A70="","",IF(AD70="",E70&amp;"",IF(AE70="",IF(IFERROR(INDEX($E:$E,MATCH(AD70,$A:$A,0)),"")="","",INDEX($E:$E,MATCH(AD70,$A:$A,0))),IF(AF70="",IF(IFERROR(INDEX($E:$E,MATCH(AE70,$A:$A,0)),"")="","",INDEX($E:$E,MATCH(AE70,$A:$A,0))),IF(AG70="",IF(IFERROR(INDEX($E:$E,MATCH(AF70,$A:$A,0)),"")="","",INDEX($E:$E,MATCH(AF70,$A:$A,0))),IF(IFERROR(INDEX($E:$E,MATCH(AG70,$A:$A,0)),"")="","",INDEX($E:$E,MATCH(AG70,$A:$A,0))))))))</f>
        <v/>
      </c>
      <c r="R70" s="21" t="str">
        <f aca="false">IF(A70="","",COUNTIF(Fields!$D:$D,A70))</f>
        <v/>
      </c>
      <c r="S70" s="21" t="str">
        <f aca="false">IF(A70="","",SUMIF(Fields!$D:$D,A70,Fields!$Q:$Q))</f>
        <v/>
      </c>
      <c r="T70" s="21" t="str">
        <f aca="false">IF(A70="","",COUNTIF('Product inputs'!$D:$D,A70))</f>
        <v/>
      </c>
      <c r="U70" s="20"/>
      <c r="V70" s="20"/>
      <c r="W70" s="20"/>
      <c r="X70" s="20"/>
      <c r="Y70" s="20"/>
      <c r="Z70" s="20"/>
      <c r="AA70" s="20"/>
      <c r="AB70" s="20"/>
      <c r="AC70" s="20"/>
      <c r="AD70" s="18" t="str">
        <f aca="false">IF(A70="","",IF(IFERROR(INDEX($G:$G,MATCH(A70,$A:$A,0)),"")="","",TRIM(IF(ISNUMBER(FIND(",",IFERROR(INDEX($G:$G,MATCH(A70,$A:$A,0)),""))),LEFT(IFERROR(INDEX($G:$G,MATCH(A70,$A:$A,0)),""),FIND(",",IFERROR(INDEX($G:$G,MATCH(A70,$A:$A,0)),""))-1),IFERROR(INDEX($G:$G,MATCH(A70,$A:$A,0)),"")))))</f>
        <v/>
      </c>
      <c r="AE70" s="18" t="str">
        <f aca="false">IF(AD70="","",IF(IFERROR(INDEX($G:$G,MATCH(AD70,$A:$A,0)),"")="","",TRIM(IF(ISNUMBER(FIND(",",IFERROR(INDEX($G:$G,MATCH(AD70,$A:$A,0)),""))),LEFT(IFERROR(INDEX($G:$G,MATCH(AD70,$A:$A,0)),""),FIND(",",IFERROR(INDEX($G:$G,MATCH(AD70,$A:$A,0)),""))-1),IFERROR(INDEX($G:$G,MATCH(AD70,$A:$A,0)),"")))))</f>
        <v/>
      </c>
      <c r="AF70" s="18" t="str">
        <f aca="false">IF(AE70="","",IF(IFERROR(INDEX($G:$G,MATCH(AE70,$A:$A,0)),"")="","",TRIM(IF(ISNUMBER(FIND(",",IFERROR(INDEX($G:$G,MATCH(AE70,$A:$A,0)),""))),LEFT(IFERROR(INDEX($G:$G,MATCH(AE70,$A:$A,0)),""),FIND(",",IFERROR(INDEX($G:$G,MATCH(AE70,$A:$A,0)),""))-1),IFERROR(INDEX($G:$G,MATCH(AE70,$A:$A,0)),"")))))</f>
        <v/>
      </c>
      <c r="AG70" s="18" t="str">
        <f aca="false">IF(AF70="","",IF(IFERROR(INDEX($G:$G,MATCH(AF70,$A:$A,0)),"")="","",TRIM(IF(ISNUMBER(FIND(",",IFERROR(INDEX($G:$G,MATCH(AF70,$A:$A,0)),""))),LEFT(IFERROR(INDEX($G:$G,MATCH(AF70,$A:$A,0)),""),FIND(",",IFERROR(INDEX($G:$G,MATCH(AF70,$A:$A,0)),""))-1),IFERROR(INDEX($G:$G,MATCH(AF70,$A:$A,0)),"")))))</f>
        <v/>
      </c>
    </row>
    <row r="71" customFormat="false" ht="15" hidden="false" customHeight="false" outlineLevel="0" collapsed="false">
      <c r="A71" s="18"/>
      <c r="B71" s="19"/>
      <c r="C71" s="20"/>
      <c r="D71" s="20"/>
      <c r="E71" s="20"/>
      <c r="F71" s="20"/>
      <c r="G71" s="18"/>
      <c r="H71" s="20"/>
      <c r="I71" s="18"/>
      <c r="J71" s="20"/>
      <c r="K71" s="20"/>
      <c r="L71" s="20"/>
      <c r="M71" s="20"/>
      <c r="N71" s="20"/>
      <c r="O71" s="21" t="str">
        <f aca="false">IF(A71="","",IF(AD71="",0,IF(AE71="",1,IF(AF71="",2,IF(AG71="",3,"4+")))))</f>
        <v/>
      </c>
      <c r="P71" s="21" t="str">
        <f aca="false">IF(A71="","",B71&amp;IF(AD71="",""," &lt;- "&amp;IFERROR(INDEX($B:$B,MATCH(AD71,$A:$A,0)),AD71)&amp;IF(AE71="",""," &lt;- "&amp;IFERROR(INDEX($B:$B,MATCH(AE71,$A:$A,0)),AE71)&amp;IF(AF71="",""," &lt;- "&amp;IFERROR(INDEX($B:$B,MATCH(AF71,$A:$A,0)),AF71)&amp;IF(AG71="",""," &lt;- "&amp;IFERROR(INDEX($B:$B,MATCH(AG71,$A:$A,0)),AG71)))))&amp;IF(ISNUMBER(FIND(",",G71))," (+ other parents)",""))</f>
        <v/>
      </c>
      <c r="Q71" s="21" t="str">
        <f aca="false">IF(A71="","",IF(AD71="",E71&amp;"",IF(AE71="",IF(IFERROR(INDEX($E:$E,MATCH(AD71,$A:$A,0)),"")="","",INDEX($E:$E,MATCH(AD71,$A:$A,0))),IF(AF71="",IF(IFERROR(INDEX($E:$E,MATCH(AE71,$A:$A,0)),"")="","",INDEX($E:$E,MATCH(AE71,$A:$A,0))),IF(AG71="",IF(IFERROR(INDEX($E:$E,MATCH(AF71,$A:$A,0)),"")="","",INDEX($E:$E,MATCH(AF71,$A:$A,0))),IF(IFERROR(INDEX($E:$E,MATCH(AG71,$A:$A,0)),"")="","",INDEX($E:$E,MATCH(AG71,$A:$A,0))))))))</f>
        <v/>
      </c>
      <c r="R71" s="21" t="str">
        <f aca="false">IF(A71="","",COUNTIF(Fields!$D:$D,A71))</f>
        <v/>
      </c>
      <c r="S71" s="21" t="str">
        <f aca="false">IF(A71="","",SUMIF(Fields!$D:$D,A71,Fields!$Q:$Q))</f>
        <v/>
      </c>
      <c r="T71" s="21" t="str">
        <f aca="false">IF(A71="","",COUNTIF('Product inputs'!$D:$D,A71))</f>
        <v/>
      </c>
      <c r="U71" s="20"/>
      <c r="V71" s="20"/>
      <c r="W71" s="20"/>
      <c r="X71" s="20"/>
      <c r="Y71" s="20"/>
      <c r="Z71" s="20"/>
      <c r="AA71" s="20"/>
      <c r="AB71" s="20"/>
      <c r="AC71" s="20"/>
      <c r="AD71" s="18" t="str">
        <f aca="false">IF(A71="","",IF(IFERROR(INDEX($G:$G,MATCH(A71,$A:$A,0)),"")="","",TRIM(IF(ISNUMBER(FIND(",",IFERROR(INDEX($G:$G,MATCH(A71,$A:$A,0)),""))),LEFT(IFERROR(INDEX($G:$G,MATCH(A71,$A:$A,0)),""),FIND(",",IFERROR(INDEX($G:$G,MATCH(A71,$A:$A,0)),""))-1),IFERROR(INDEX($G:$G,MATCH(A71,$A:$A,0)),"")))))</f>
        <v/>
      </c>
      <c r="AE71" s="18" t="str">
        <f aca="false">IF(AD71="","",IF(IFERROR(INDEX($G:$G,MATCH(AD71,$A:$A,0)),"")="","",TRIM(IF(ISNUMBER(FIND(",",IFERROR(INDEX($G:$G,MATCH(AD71,$A:$A,0)),""))),LEFT(IFERROR(INDEX($G:$G,MATCH(AD71,$A:$A,0)),""),FIND(",",IFERROR(INDEX($G:$G,MATCH(AD71,$A:$A,0)),""))-1),IFERROR(INDEX($G:$G,MATCH(AD71,$A:$A,0)),"")))))</f>
        <v/>
      </c>
      <c r="AF71" s="18" t="str">
        <f aca="false">IF(AE71="","",IF(IFERROR(INDEX($G:$G,MATCH(AE71,$A:$A,0)),"")="","",TRIM(IF(ISNUMBER(FIND(",",IFERROR(INDEX($G:$G,MATCH(AE71,$A:$A,0)),""))),LEFT(IFERROR(INDEX($G:$G,MATCH(AE71,$A:$A,0)),""),FIND(",",IFERROR(INDEX($G:$G,MATCH(AE71,$A:$A,0)),""))-1),IFERROR(INDEX($G:$G,MATCH(AE71,$A:$A,0)),"")))))</f>
        <v/>
      </c>
      <c r="AG71" s="18" t="str">
        <f aca="false">IF(AF71="","",IF(IFERROR(INDEX($G:$G,MATCH(AF71,$A:$A,0)),"")="","",TRIM(IF(ISNUMBER(FIND(",",IFERROR(INDEX($G:$G,MATCH(AF71,$A:$A,0)),""))),LEFT(IFERROR(INDEX($G:$G,MATCH(AF71,$A:$A,0)),""),FIND(",",IFERROR(INDEX($G:$G,MATCH(AF71,$A:$A,0)),""))-1),IFERROR(INDEX($G:$G,MATCH(AF71,$A:$A,0)),"")))))</f>
        <v/>
      </c>
    </row>
    <row r="72" customFormat="false" ht="15" hidden="false" customHeight="false" outlineLevel="0" collapsed="false">
      <c r="A72" s="18"/>
      <c r="B72" s="19"/>
      <c r="C72" s="20"/>
      <c r="D72" s="20"/>
      <c r="E72" s="20"/>
      <c r="F72" s="20"/>
      <c r="G72" s="18"/>
      <c r="H72" s="20"/>
      <c r="I72" s="18"/>
      <c r="J72" s="20"/>
      <c r="K72" s="20"/>
      <c r="L72" s="20"/>
      <c r="M72" s="20"/>
      <c r="N72" s="20"/>
      <c r="O72" s="21" t="str">
        <f aca="false">IF(A72="","",IF(AD72="",0,IF(AE72="",1,IF(AF72="",2,IF(AG72="",3,"4+")))))</f>
        <v/>
      </c>
      <c r="P72" s="21" t="str">
        <f aca="false">IF(A72="","",B72&amp;IF(AD72="",""," &lt;- "&amp;IFERROR(INDEX($B:$B,MATCH(AD72,$A:$A,0)),AD72)&amp;IF(AE72="",""," &lt;- "&amp;IFERROR(INDEX($B:$B,MATCH(AE72,$A:$A,0)),AE72)&amp;IF(AF72="",""," &lt;- "&amp;IFERROR(INDEX($B:$B,MATCH(AF72,$A:$A,0)),AF72)&amp;IF(AG72="",""," &lt;- "&amp;IFERROR(INDEX($B:$B,MATCH(AG72,$A:$A,0)),AG72)))))&amp;IF(ISNUMBER(FIND(",",G72))," (+ other parents)",""))</f>
        <v/>
      </c>
      <c r="Q72" s="21" t="str">
        <f aca="false">IF(A72="","",IF(AD72="",E72&amp;"",IF(AE72="",IF(IFERROR(INDEX($E:$E,MATCH(AD72,$A:$A,0)),"")="","",INDEX($E:$E,MATCH(AD72,$A:$A,0))),IF(AF72="",IF(IFERROR(INDEX($E:$E,MATCH(AE72,$A:$A,0)),"")="","",INDEX($E:$E,MATCH(AE72,$A:$A,0))),IF(AG72="",IF(IFERROR(INDEX($E:$E,MATCH(AF72,$A:$A,0)),"")="","",INDEX($E:$E,MATCH(AF72,$A:$A,0))),IF(IFERROR(INDEX($E:$E,MATCH(AG72,$A:$A,0)),"")="","",INDEX($E:$E,MATCH(AG72,$A:$A,0))))))))</f>
        <v/>
      </c>
      <c r="R72" s="21" t="str">
        <f aca="false">IF(A72="","",COUNTIF(Fields!$D:$D,A72))</f>
        <v/>
      </c>
      <c r="S72" s="21" t="str">
        <f aca="false">IF(A72="","",SUMIF(Fields!$D:$D,A72,Fields!$Q:$Q))</f>
        <v/>
      </c>
      <c r="T72" s="21" t="str">
        <f aca="false">IF(A72="","",COUNTIF('Product inputs'!$D:$D,A72))</f>
        <v/>
      </c>
      <c r="U72" s="20"/>
      <c r="V72" s="20"/>
      <c r="W72" s="20"/>
      <c r="X72" s="20"/>
      <c r="Y72" s="20"/>
      <c r="Z72" s="20"/>
      <c r="AA72" s="20"/>
      <c r="AB72" s="20"/>
      <c r="AC72" s="20"/>
      <c r="AD72" s="18" t="str">
        <f aca="false">IF(A72="","",IF(IFERROR(INDEX($G:$G,MATCH(A72,$A:$A,0)),"")="","",TRIM(IF(ISNUMBER(FIND(",",IFERROR(INDEX($G:$G,MATCH(A72,$A:$A,0)),""))),LEFT(IFERROR(INDEX($G:$G,MATCH(A72,$A:$A,0)),""),FIND(",",IFERROR(INDEX($G:$G,MATCH(A72,$A:$A,0)),""))-1),IFERROR(INDEX($G:$G,MATCH(A72,$A:$A,0)),"")))))</f>
        <v/>
      </c>
      <c r="AE72" s="18" t="str">
        <f aca="false">IF(AD72="","",IF(IFERROR(INDEX($G:$G,MATCH(AD72,$A:$A,0)),"")="","",TRIM(IF(ISNUMBER(FIND(",",IFERROR(INDEX($G:$G,MATCH(AD72,$A:$A,0)),""))),LEFT(IFERROR(INDEX($G:$G,MATCH(AD72,$A:$A,0)),""),FIND(",",IFERROR(INDEX($G:$G,MATCH(AD72,$A:$A,0)),""))-1),IFERROR(INDEX($G:$G,MATCH(AD72,$A:$A,0)),"")))))</f>
        <v/>
      </c>
      <c r="AF72" s="18" t="str">
        <f aca="false">IF(AE72="","",IF(IFERROR(INDEX($G:$G,MATCH(AE72,$A:$A,0)),"")="","",TRIM(IF(ISNUMBER(FIND(",",IFERROR(INDEX($G:$G,MATCH(AE72,$A:$A,0)),""))),LEFT(IFERROR(INDEX($G:$G,MATCH(AE72,$A:$A,0)),""),FIND(",",IFERROR(INDEX($G:$G,MATCH(AE72,$A:$A,0)),""))-1),IFERROR(INDEX($G:$G,MATCH(AE72,$A:$A,0)),"")))))</f>
        <v/>
      </c>
      <c r="AG72" s="18" t="str">
        <f aca="false">IF(AF72="","",IF(IFERROR(INDEX($G:$G,MATCH(AF72,$A:$A,0)),"")="","",TRIM(IF(ISNUMBER(FIND(",",IFERROR(INDEX($G:$G,MATCH(AF72,$A:$A,0)),""))),LEFT(IFERROR(INDEX($G:$G,MATCH(AF72,$A:$A,0)),""),FIND(",",IFERROR(INDEX($G:$G,MATCH(AF72,$A:$A,0)),""))-1),IFERROR(INDEX($G:$G,MATCH(AF72,$A:$A,0)),"")))))</f>
        <v/>
      </c>
    </row>
    <row r="73" customFormat="false" ht="15" hidden="false" customHeight="false" outlineLevel="0" collapsed="false">
      <c r="A73" s="18"/>
      <c r="B73" s="19"/>
      <c r="C73" s="20"/>
      <c r="D73" s="20"/>
      <c r="E73" s="20"/>
      <c r="F73" s="20"/>
      <c r="G73" s="18"/>
      <c r="H73" s="20"/>
      <c r="I73" s="18"/>
      <c r="J73" s="20"/>
      <c r="K73" s="20"/>
      <c r="L73" s="20"/>
      <c r="M73" s="20"/>
      <c r="N73" s="20"/>
      <c r="O73" s="21" t="str">
        <f aca="false">IF(A73="","",IF(AD73="",0,IF(AE73="",1,IF(AF73="",2,IF(AG73="",3,"4+")))))</f>
        <v/>
      </c>
      <c r="P73" s="21" t="str">
        <f aca="false">IF(A73="","",B73&amp;IF(AD73="",""," &lt;- "&amp;IFERROR(INDEX($B:$B,MATCH(AD73,$A:$A,0)),AD73)&amp;IF(AE73="",""," &lt;- "&amp;IFERROR(INDEX($B:$B,MATCH(AE73,$A:$A,0)),AE73)&amp;IF(AF73="",""," &lt;- "&amp;IFERROR(INDEX($B:$B,MATCH(AF73,$A:$A,0)),AF73)&amp;IF(AG73="",""," &lt;- "&amp;IFERROR(INDEX($B:$B,MATCH(AG73,$A:$A,0)),AG73)))))&amp;IF(ISNUMBER(FIND(",",G73))," (+ other parents)",""))</f>
        <v/>
      </c>
      <c r="Q73" s="21" t="str">
        <f aca="false">IF(A73="","",IF(AD73="",E73&amp;"",IF(AE73="",IF(IFERROR(INDEX($E:$E,MATCH(AD73,$A:$A,0)),"")="","",INDEX($E:$E,MATCH(AD73,$A:$A,0))),IF(AF73="",IF(IFERROR(INDEX($E:$E,MATCH(AE73,$A:$A,0)),"")="","",INDEX($E:$E,MATCH(AE73,$A:$A,0))),IF(AG73="",IF(IFERROR(INDEX($E:$E,MATCH(AF73,$A:$A,0)),"")="","",INDEX($E:$E,MATCH(AF73,$A:$A,0))),IF(IFERROR(INDEX($E:$E,MATCH(AG73,$A:$A,0)),"")="","",INDEX($E:$E,MATCH(AG73,$A:$A,0))))))))</f>
        <v/>
      </c>
      <c r="R73" s="21" t="str">
        <f aca="false">IF(A73="","",COUNTIF(Fields!$D:$D,A73))</f>
        <v/>
      </c>
      <c r="S73" s="21" t="str">
        <f aca="false">IF(A73="","",SUMIF(Fields!$D:$D,A73,Fields!$Q:$Q))</f>
        <v/>
      </c>
      <c r="T73" s="21" t="str">
        <f aca="false">IF(A73="","",COUNTIF('Product inputs'!$D:$D,A73))</f>
        <v/>
      </c>
      <c r="U73" s="20"/>
      <c r="V73" s="20"/>
      <c r="W73" s="20"/>
      <c r="X73" s="20"/>
      <c r="Y73" s="20"/>
      <c r="Z73" s="20"/>
      <c r="AA73" s="20"/>
      <c r="AB73" s="20"/>
      <c r="AC73" s="20"/>
      <c r="AD73" s="18" t="str">
        <f aca="false">IF(A73="","",IF(IFERROR(INDEX($G:$G,MATCH(A73,$A:$A,0)),"")="","",TRIM(IF(ISNUMBER(FIND(",",IFERROR(INDEX($G:$G,MATCH(A73,$A:$A,0)),""))),LEFT(IFERROR(INDEX($G:$G,MATCH(A73,$A:$A,0)),""),FIND(",",IFERROR(INDEX($G:$G,MATCH(A73,$A:$A,0)),""))-1),IFERROR(INDEX($G:$G,MATCH(A73,$A:$A,0)),"")))))</f>
        <v/>
      </c>
      <c r="AE73" s="18" t="str">
        <f aca="false">IF(AD73="","",IF(IFERROR(INDEX($G:$G,MATCH(AD73,$A:$A,0)),"")="","",TRIM(IF(ISNUMBER(FIND(",",IFERROR(INDEX($G:$G,MATCH(AD73,$A:$A,0)),""))),LEFT(IFERROR(INDEX($G:$G,MATCH(AD73,$A:$A,0)),""),FIND(",",IFERROR(INDEX($G:$G,MATCH(AD73,$A:$A,0)),""))-1),IFERROR(INDEX($G:$G,MATCH(AD73,$A:$A,0)),"")))))</f>
        <v/>
      </c>
      <c r="AF73" s="18" t="str">
        <f aca="false">IF(AE73="","",IF(IFERROR(INDEX($G:$G,MATCH(AE73,$A:$A,0)),"")="","",TRIM(IF(ISNUMBER(FIND(",",IFERROR(INDEX($G:$G,MATCH(AE73,$A:$A,0)),""))),LEFT(IFERROR(INDEX($G:$G,MATCH(AE73,$A:$A,0)),""),FIND(",",IFERROR(INDEX($G:$G,MATCH(AE73,$A:$A,0)),""))-1),IFERROR(INDEX($G:$G,MATCH(AE73,$A:$A,0)),"")))))</f>
        <v/>
      </c>
      <c r="AG73" s="18" t="str">
        <f aca="false">IF(AF73="","",IF(IFERROR(INDEX($G:$G,MATCH(AF73,$A:$A,0)),"")="","",TRIM(IF(ISNUMBER(FIND(",",IFERROR(INDEX($G:$G,MATCH(AF73,$A:$A,0)),""))),LEFT(IFERROR(INDEX($G:$G,MATCH(AF73,$A:$A,0)),""),FIND(",",IFERROR(INDEX($G:$G,MATCH(AF73,$A:$A,0)),""))-1),IFERROR(INDEX($G:$G,MATCH(AF73,$A:$A,0)),"")))))</f>
        <v/>
      </c>
    </row>
    <row r="74" customFormat="false" ht="15" hidden="false" customHeight="false" outlineLevel="0" collapsed="false">
      <c r="A74" s="18"/>
      <c r="B74" s="19"/>
      <c r="C74" s="20"/>
      <c r="D74" s="20"/>
      <c r="E74" s="20"/>
      <c r="F74" s="20"/>
      <c r="G74" s="18"/>
      <c r="H74" s="20"/>
      <c r="I74" s="18"/>
      <c r="J74" s="20"/>
      <c r="K74" s="20"/>
      <c r="L74" s="20"/>
      <c r="M74" s="20"/>
      <c r="N74" s="20"/>
      <c r="O74" s="21" t="str">
        <f aca="false">IF(A74="","",IF(AD74="",0,IF(AE74="",1,IF(AF74="",2,IF(AG74="",3,"4+")))))</f>
        <v/>
      </c>
      <c r="P74" s="21" t="str">
        <f aca="false">IF(A74="","",B74&amp;IF(AD74="",""," &lt;- "&amp;IFERROR(INDEX($B:$B,MATCH(AD74,$A:$A,0)),AD74)&amp;IF(AE74="",""," &lt;- "&amp;IFERROR(INDEX($B:$B,MATCH(AE74,$A:$A,0)),AE74)&amp;IF(AF74="",""," &lt;- "&amp;IFERROR(INDEX($B:$B,MATCH(AF74,$A:$A,0)),AF74)&amp;IF(AG74="",""," &lt;- "&amp;IFERROR(INDEX($B:$B,MATCH(AG74,$A:$A,0)),AG74)))))&amp;IF(ISNUMBER(FIND(",",G74))," (+ other parents)",""))</f>
        <v/>
      </c>
      <c r="Q74" s="21" t="str">
        <f aca="false">IF(A74="","",IF(AD74="",E74&amp;"",IF(AE74="",IF(IFERROR(INDEX($E:$E,MATCH(AD74,$A:$A,0)),"")="","",INDEX($E:$E,MATCH(AD74,$A:$A,0))),IF(AF74="",IF(IFERROR(INDEX($E:$E,MATCH(AE74,$A:$A,0)),"")="","",INDEX($E:$E,MATCH(AE74,$A:$A,0))),IF(AG74="",IF(IFERROR(INDEX($E:$E,MATCH(AF74,$A:$A,0)),"")="","",INDEX($E:$E,MATCH(AF74,$A:$A,0))),IF(IFERROR(INDEX($E:$E,MATCH(AG74,$A:$A,0)),"")="","",INDEX($E:$E,MATCH(AG74,$A:$A,0))))))))</f>
        <v/>
      </c>
      <c r="R74" s="21" t="str">
        <f aca="false">IF(A74="","",COUNTIF(Fields!$D:$D,A74))</f>
        <v/>
      </c>
      <c r="S74" s="21" t="str">
        <f aca="false">IF(A74="","",SUMIF(Fields!$D:$D,A74,Fields!$Q:$Q))</f>
        <v/>
      </c>
      <c r="T74" s="21" t="str">
        <f aca="false">IF(A74="","",COUNTIF('Product inputs'!$D:$D,A74))</f>
        <v/>
      </c>
      <c r="U74" s="20"/>
      <c r="V74" s="20"/>
      <c r="W74" s="20"/>
      <c r="X74" s="20"/>
      <c r="Y74" s="20"/>
      <c r="Z74" s="20"/>
      <c r="AA74" s="20"/>
      <c r="AB74" s="20"/>
      <c r="AC74" s="20"/>
      <c r="AD74" s="18" t="str">
        <f aca="false">IF(A74="","",IF(IFERROR(INDEX($G:$G,MATCH(A74,$A:$A,0)),"")="","",TRIM(IF(ISNUMBER(FIND(",",IFERROR(INDEX($G:$G,MATCH(A74,$A:$A,0)),""))),LEFT(IFERROR(INDEX($G:$G,MATCH(A74,$A:$A,0)),""),FIND(",",IFERROR(INDEX($G:$G,MATCH(A74,$A:$A,0)),""))-1),IFERROR(INDEX($G:$G,MATCH(A74,$A:$A,0)),"")))))</f>
        <v/>
      </c>
      <c r="AE74" s="18" t="str">
        <f aca="false">IF(AD74="","",IF(IFERROR(INDEX($G:$G,MATCH(AD74,$A:$A,0)),"")="","",TRIM(IF(ISNUMBER(FIND(",",IFERROR(INDEX($G:$G,MATCH(AD74,$A:$A,0)),""))),LEFT(IFERROR(INDEX($G:$G,MATCH(AD74,$A:$A,0)),""),FIND(",",IFERROR(INDEX($G:$G,MATCH(AD74,$A:$A,0)),""))-1),IFERROR(INDEX($G:$G,MATCH(AD74,$A:$A,0)),"")))))</f>
        <v/>
      </c>
      <c r="AF74" s="18" t="str">
        <f aca="false">IF(AE74="","",IF(IFERROR(INDEX($G:$G,MATCH(AE74,$A:$A,0)),"")="","",TRIM(IF(ISNUMBER(FIND(",",IFERROR(INDEX($G:$G,MATCH(AE74,$A:$A,0)),""))),LEFT(IFERROR(INDEX($G:$G,MATCH(AE74,$A:$A,0)),""),FIND(",",IFERROR(INDEX($G:$G,MATCH(AE74,$A:$A,0)),""))-1),IFERROR(INDEX($G:$G,MATCH(AE74,$A:$A,0)),"")))))</f>
        <v/>
      </c>
      <c r="AG74" s="18" t="str">
        <f aca="false">IF(AF74="","",IF(IFERROR(INDEX($G:$G,MATCH(AF74,$A:$A,0)),"")="","",TRIM(IF(ISNUMBER(FIND(",",IFERROR(INDEX($G:$G,MATCH(AF74,$A:$A,0)),""))),LEFT(IFERROR(INDEX($G:$G,MATCH(AF74,$A:$A,0)),""),FIND(",",IFERROR(INDEX($G:$G,MATCH(AF74,$A:$A,0)),""))-1),IFERROR(INDEX($G:$G,MATCH(AF74,$A:$A,0)),"")))))</f>
        <v/>
      </c>
    </row>
    <row r="75" customFormat="false" ht="15" hidden="false" customHeight="false" outlineLevel="0" collapsed="false">
      <c r="A75" s="18"/>
      <c r="B75" s="19"/>
      <c r="C75" s="20"/>
      <c r="D75" s="20"/>
      <c r="E75" s="20"/>
      <c r="F75" s="20"/>
      <c r="G75" s="18"/>
      <c r="H75" s="20"/>
      <c r="I75" s="18"/>
      <c r="J75" s="20"/>
      <c r="K75" s="20"/>
      <c r="L75" s="20"/>
      <c r="M75" s="20"/>
      <c r="N75" s="20"/>
      <c r="O75" s="21" t="str">
        <f aca="false">IF(A75="","",IF(AD75="",0,IF(AE75="",1,IF(AF75="",2,IF(AG75="",3,"4+")))))</f>
        <v/>
      </c>
      <c r="P75" s="21" t="str">
        <f aca="false">IF(A75="","",B75&amp;IF(AD75="",""," &lt;- "&amp;IFERROR(INDEX($B:$B,MATCH(AD75,$A:$A,0)),AD75)&amp;IF(AE75="",""," &lt;- "&amp;IFERROR(INDEX($B:$B,MATCH(AE75,$A:$A,0)),AE75)&amp;IF(AF75="",""," &lt;- "&amp;IFERROR(INDEX($B:$B,MATCH(AF75,$A:$A,0)),AF75)&amp;IF(AG75="",""," &lt;- "&amp;IFERROR(INDEX($B:$B,MATCH(AG75,$A:$A,0)),AG75)))))&amp;IF(ISNUMBER(FIND(",",G75))," (+ other parents)",""))</f>
        <v/>
      </c>
      <c r="Q75" s="21" t="str">
        <f aca="false">IF(A75="","",IF(AD75="",E75&amp;"",IF(AE75="",IF(IFERROR(INDEX($E:$E,MATCH(AD75,$A:$A,0)),"")="","",INDEX($E:$E,MATCH(AD75,$A:$A,0))),IF(AF75="",IF(IFERROR(INDEX($E:$E,MATCH(AE75,$A:$A,0)),"")="","",INDEX($E:$E,MATCH(AE75,$A:$A,0))),IF(AG75="",IF(IFERROR(INDEX($E:$E,MATCH(AF75,$A:$A,0)),"")="","",INDEX($E:$E,MATCH(AF75,$A:$A,0))),IF(IFERROR(INDEX($E:$E,MATCH(AG75,$A:$A,0)),"")="","",INDEX($E:$E,MATCH(AG75,$A:$A,0))))))))</f>
        <v/>
      </c>
      <c r="R75" s="21" t="str">
        <f aca="false">IF(A75="","",COUNTIF(Fields!$D:$D,A75))</f>
        <v/>
      </c>
      <c r="S75" s="21" t="str">
        <f aca="false">IF(A75="","",SUMIF(Fields!$D:$D,A75,Fields!$Q:$Q))</f>
        <v/>
      </c>
      <c r="T75" s="21" t="str">
        <f aca="false">IF(A75="","",COUNTIF('Product inputs'!$D:$D,A75))</f>
        <v/>
      </c>
      <c r="U75" s="20"/>
      <c r="V75" s="20"/>
      <c r="W75" s="20"/>
      <c r="X75" s="20"/>
      <c r="Y75" s="20"/>
      <c r="Z75" s="20"/>
      <c r="AA75" s="20"/>
      <c r="AB75" s="20"/>
      <c r="AC75" s="20"/>
      <c r="AD75" s="18" t="str">
        <f aca="false">IF(A75="","",IF(IFERROR(INDEX($G:$G,MATCH(A75,$A:$A,0)),"")="","",TRIM(IF(ISNUMBER(FIND(",",IFERROR(INDEX($G:$G,MATCH(A75,$A:$A,0)),""))),LEFT(IFERROR(INDEX($G:$G,MATCH(A75,$A:$A,0)),""),FIND(",",IFERROR(INDEX($G:$G,MATCH(A75,$A:$A,0)),""))-1),IFERROR(INDEX($G:$G,MATCH(A75,$A:$A,0)),"")))))</f>
        <v/>
      </c>
      <c r="AE75" s="18" t="str">
        <f aca="false">IF(AD75="","",IF(IFERROR(INDEX($G:$G,MATCH(AD75,$A:$A,0)),"")="","",TRIM(IF(ISNUMBER(FIND(",",IFERROR(INDEX($G:$G,MATCH(AD75,$A:$A,0)),""))),LEFT(IFERROR(INDEX($G:$G,MATCH(AD75,$A:$A,0)),""),FIND(",",IFERROR(INDEX($G:$G,MATCH(AD75,$A:$A,0)),""))-1),IFERROR(INDEX($G:$G,MATCH(AD75,$A:$A,0)),"")))))</f>
        <v/>
      </c>
      <c r="AF75" s="18" t="str">
        <f aca="false">IF(AE75="","",IF(IFERROR(INDEX($G:$G,MATCH(AE75,$A:$A,0)),"")="","",TRIM(IF(ISNUMBER(FIND(",",IFERROR(INDEX($G:$G,MATCH(AE75,$A:$A,0)),""))),LEFT(IFERROR(INDEX($G:$G,MATCH(AE75,$A:$A,0)),""),FIND(",",IFERROR(INDEX($G:$G,MATCH(AE75,$A:$A,0)),""))-1),IFERROR(INDEX($G:$G,MATCH(AE75,$A:$A,0)),"")))))</f>
        <v/>
      </c>
      <c r="AG75" s="18" t="str">
        <f aca="false">IF(AF75="","",IF(IFERROR(INDEX($G:$G,MATCH(AF75,$A:$A,0)),"")="","",TRIM(IF(ISNUMBER(FIND(",",IFERROR(INDEX($G:$G,MATCH(AF75,$A:$A,0)),""))),LEFT(IFERROR(INDEX($G:$G,MATCH(AF75,$A:$A,0)),""),FIND(",",IFERROR(INDEX($G:$G,MATCH(AF75,$A:$A,0)),""))-1),IFERROR(INDEX($G:$G,MATCH(AF75,$A:$A,0)),"")))))</f>
        <v/>
      </c>
    </row>
    <row r="76" customFormat="false" ht="15" hidden="false" customHeight="false" outlineLevel="0" collapsed="false">
      <c r="A76" s="18"/>
      <c r="B76" s="19"/>
      <c r="C76" s="20"/>
      <c r="D76" s="20"/>
      <c r="E76" s="20"/>
      <c r="F76" s="20"/>
      <c r="G76" s="18"/>
      <c r="H76" s="20"/>
      <c r="I76" s="18"/>
      <c r="J76" s="20"/>
      <c r="K76" s="20"/>
      <c r="L76" s="20"/>
      <c r="M76" s="20"/>
      <c r="N76" s="20"/>
      <c r="O76" s="21" t="str">
        <f aca="false">IF(A76="","",IF(AD76="",0,IF(AE76="",1,IF(AF76="",2,IF(AG76="",3,"4+")))))</f>
        <v/>
      </c>
      <c r="P76" s="21" t="str">
        <f aca="false">IF(A76="","",B76&amp;IF(AD76="",""," &lt;- "&amp;IFERROR(INDEX($B:$B,MATCH(AD76,$A:$A,0)),AD76)&amp;IF(AE76="",""," &lt;- "&amp;IFERROR(INDEX($B:$B,MATCH(AE76,$A:$A,0)),AE76)&amp;IF(AF76="",""," &lt;- "&amp;IFERROR(INDEX($B:$B,MATCH(AF76,$A:$A,0)),AF76)&amp;IF(AG76="",""," &lt;- "&amp;IFERROR(INDEX($B:$B,MATCH(AG76,$A:$A,0)),AG76)))))&amp;IF(ISNUMBER(FIND(",",G76))," (+ other parents)",""))</f>
        <v/>
      </c>
      <c r="Q76" s="21" t="str">
        <f aca="false">IF(A76="","",IF(AD76="",E76&amp;"",IF(AE76="",IF(IFERROR(INDEX($E:$E,MATCH(AD76,$A:$A,0)),"")="","",INDEX($E:$E,MATCH(AD76,$A:$A,0))),IF(AF76="",IF(IFERROR(INDEX($E:$E,MATCH(AE76,$A:$A,0)),"")="","",INDEX($E:$E,MATCH(AE76,$A:$A,0))),IF(AG76="",IF(IFERROR(INDEX($E:$E,MATCH(AF76,$A:$A,0)),"")="","",INDEX($E:$E,MATCH(AF76,$A:$A,0))),IF(IFERROR(INDEX($E:$E,MATCH(AG76,$A:$A,0)),"")="","",INDEX($E:$E,MATCH(AG76,$A:$A,0))))))))</f>
        <v/>
      </c>
      <c r="R76" s="21" t="str">
        <f aca="false">IF(A76="","",COUNTIF(Fields!$D:$D,A76))</f>
        <v/>
      </c>
      <c r="S76" s="21" t="str">
        <f aca="false">IF(A76="","",SUMIF(Fields!$D:$D,A76,Fields!$Q:$Q))</f>
        <v/>
      </c>
      <c r="T76" s="21" t="str">
        <f aca="false">IF(A76="","",COUNTIF('Product inputs'!$D:$D,A76))</f>
        <v/>
      </c>
      <c r="U76" s="20"/>
      <c r="V76" s="20"/>
      <c r="W76" s="20"/>
      <c r="X76" s="20"/>
      <c r="Y76" s="20"/>
      <c r="Z76" s="20"/>
      <c r="AA76" s="20"/>
      <c r="AB76" s="20"/>
      <c r="AC76" s="20"/>
      <c r="AD76" s="18" t="str">
        <f aca="false">IF(A76="","",IF(IFERROR(INDEX($G:$G,MATCH(A76,$A:$A,0)),"")="","",TRIM(IF(ISNUMBER(FIND(",",IFERROR(INDEX($G:$G,MATCH(A76,$A:$A,0)),""))),LEFT(IFERROR(INDEX($G:$G,MATCH(A76,$A:$A,0)),""),FIND(",",IFERROR(INDEX($G:$G,MATCH(A76,$A:$A,0)),""))-1),IFERROR(INDEX($G:$G,MATCH(A76,$A:$A,0)),"")))))</f>
        <v/>
      </c>
      <c r="AE76" s="18" t="str">
        <f aca="false">IF(AD76="","",IF(IFERROR(INDEX($G:$G,MATCH(AD76,$A:$A,0)),"")="","",TRIM(IF(ISNUMBER(FIND(",",IFERROR(INDEX($G:$G,MATCH(AD76,$A:$A,0)),""))),LEFT(IFERROR(INDEX($G:$G,MATCH(AD76,$A:$A,0)),""),FIND(",",IFERROR(INDEX($G:$G,MATCH(AD76,$A:$A,0)),""))-1),IFERROR(INDEX($G:$G,MATCH(AD76,$A:$A,0)),"")))))</f>
        <v/>
      </c>
      <c r="AF76" s="18" t="str">
        <f aca="false">IF(AE76="","",IF(IFERROR(INDEX($G:$G,MATCH(AE76,$A:$A,0)),"")="","",TRIM(IF(ISNUMBER(FIND(",",IFERROR(INDEX($G:$G,MATCH(AE76,$A:$A,0)),""))),LEFT(IFERROR(INDEX($G:$G,MATCH(AE76,$A:$A,0)),""),FIND(",",IFERROR(INDEX($G:$G,MATCH(AE76,$A:$A,0)),""))-1),IFERROR(INDEX($G:$G,MATCH(AE76,$A:$A,0)),"")))))</f>
        <v/>
      </c>
      <c r="AG76" s="18" t="str">
        <f aca="false">IF(AF76="","",IF(IFERROR(INDEX($G:$G,MATCH(AF76,$A:$A,0)),"")="","",TRIM(IF(ISNUMBER(FIND(",",IFERROR(INDEX($G:$G,MATCH(AF76,$A:$A,0)),""))),LEFT(IFERROR(INDEX($G:$G,MATCH(AF76,$A:$A,0)),""),FIND(",",IFERROR(INDEX($G:$G,MATCH(AF76,$A:$A,0)),""))-1),IFERROR(INDEX($G:$G,MATCH(AF76,$A:$A,0)),"")))))</f>
        <v/>
      </c>
    </row>
    <row r="77" customFormat="false" ht="15" hidden="false" customHeight="false" outlineLevel="0" collapsed="false">
      <c r="A77" s="18"/>
      <c r="B77" s="19"/>
      <c r="C77" s="20"/>
      <c r="D77" s="20"/>
      <c r="E77" s="20"/>
      <c r="F77" s="20"/>
      <c r="G77" s="18"/>
      <c r="H77" s="20"/>
      <c r="I77" s="18"/>
      <c r="J77" s="20"/>
      <c r="K77" s="20"/>
      <c r="L77" s="20"/>
      <c r="M77" s="20"/>
      <c r="N77" s="20"/>
      <c r="O77" s="21" t="str">
        <f aca="false">IF(A77="","",IF(AD77="",0,IF(AE77="",1,IF(AF77="",2,IF(AG77="",3,"4+")))))</f>
        <v/>
      </c>
      <c r="P77" s="21" t="str">
        <f aca="false">IF(A77="","",B77&amp;IF(AD77="",""," &lt;- "&amp;IFERROR(INDEX($B:$B,MATCH(AD77,$A:$A,0)),AD77)&amp;IF(AE77="",""," &lt;- "&amp;IFERROR(INDEX($B:$B,MATCH(AE77,$A:$A,0)),AE77)&amp;IF(AF77="",""," &lt;- "&amp;IFERROR(INDEX($B:$B,MATCH(AF77,$A:$A,0)),AF77)&amp;IF(AG77="",""," &lt;- "&amp;IFERROR(INDEX($B:$B,MATCH(AG77,$A:$A,0)),AG77)))))&amp;IF(ISNUMBER(FIND(",",G77))," (+ other parents)",""))</f>
        <v/>
      </c>
      <c r="Q77" s="21" t="str">
        <f aca="false">IF(A77="","",IF(AD77="",E77&amp;"",IF(AE77="",IF(IFERROR(INDEX($E:$E,MATCH(AD77,$A:$A,0)),"")="","",INDEX($E:$E,MATCH(AD77,$A:$A,0))),IF(AF77="",IF(IFERROR(INDEX($E:$E,MATCH(AE77,$A:$A,0)),"")="","",INDEX($E:$E,MATCH(AE77,$A:$A,0))),IF(AG77="",IF(IFERROR(INDEX($E:$E,MATCH(AF77,$A:$A,0)),"")="","",INDEX($E:$E,MATCH(AF77,$A:$A,0))),IF(IFERROR(INDEX($E:$E,MATCH(AG77,$A:$A,0)),"")="","",INDEX($E:$E,MATCH(AG77,$A:$A,0))))))))</f>
        <v/>
      </c>
      <c r="R77" s="21" t="str">
        <f aca="false">IF(A77="","",COUNTIF(Fields!$D:$D,A77))</f>
        <v/>
      </c>
      <c r="S77" s="21" t="str">
        <f aca="false">IF(A77="","",SUMIF(Fields!$D:$D,A77,Fields!$Q:$Q))</f>
        <v/>
      </c>
      <c r="T77" s="21" t="str">
        <f aca="false">IF(A77="","",COUNTIF('Product inputs'!$D:$D,A77))</f>
        <v/>
      </c>
      <c r="U77" s="20"/>
      <c r="V77" s="20"/>
      <c r="W77" s="20"/>
      <c r="X77" s="20"/>
      <c r="Y77" s="20"/>
      <c r="Z77" s="20"/>
      <c r="AA77" s="20"/>
      <c r="AB77" s="20"/>
      <c r="AC77" s="20"/>
      <c r="AD77" s="18" t="str">
        <f aca="false">IF(A77="","",IF(IFERROR(INDEX($G:$G,MATCH(A77,$A:$A,0)),"")="","",TRIM(IF(ISNUMBER(FIND(",",IFERROR(INDEX($G:$G,MATCH(A77,$A:$A,0)),""))),LEFT(IFERROR(INDEX($G:$G,MATCH(A77,$A:$A,0)),""),FIND(",",IFERROR(INDEX($G:$G,MATCH(A77,$A:$A,0)),""))-1),IFERROR(INDEX($G:$G,MATCH(A77,$A:$A,0)),"")))))</f>
        <v/>
      </c>
      <c r="AE77" s="18" t="str">
        <f aca="false">IF(AD77="","",IF(IFERROR(INDEX($G:$G,MATCH(AD77,$A:$A,0)),"")="","",TRIM(IF(ISNUMBER(FIND(",",IFERROR(INDEX($G:$G,MATCH(AD77,$A:$A,0)),""))),LEFT(IFERROR(INDEX($G:$G,MATCH(AD77,$A:$A,0)),""),FIND(",",IFERROR(INDEX($G:$G,MATCH(AD77,$A:$A,0)),""))-1),IFERROR(INDEX($G:$G,MATCH(AD77,$A:$A,0)),"")))))</f>
        <v/>
      </c>
      <c r="AF77" s="18" t="str">
        <f aca="false">IF(AE77="","",IF(IFERROR(INDEX($G:$G,MATCH(AE77,$A:$A,0)),"")="","",TRIM(IF(ISNUMBER(FIND(",",IFERROR(INDEX($G:$G,MATCH(AE77,$A:$A,0)),""))),LEFT(IFERROR(INDEX($G:$G,MATCH(AE77,$A:$A,0)),""),FIND(",",IFERROR(INDEX($G:$G,MATCH(AE77,$A:$A,0)),""))-1),IFERROR(INDEX($G:$G,MATCH(AE77,$A:$A,0)),"")))))</f>
        <v/>
      </c>
      <c r="AG77" s="18" t="str">
        <f aca="false">IF(AF77="","",IF(IFERROR(INDEX($G:$G,MATCH(AF77,$A:$A,0)),"")="","",TRIM(IF(ISNUMBER(FIND(",",IFERROR(INDEX($G:$G,MATCH(AF77,$A:$A,0)),""))),LEFT(IFERROR(INDEX($G:$G,MATCH(AF77,$A:$A,0)),""),FIND(",",IFERROR(INDEX($G:$G,MATCH(AF77,$A:$A,0)),""))-1),IFERROR(INDEX($G:$G,MATCH(AF77,$A:$A,0)),"")))))</f>
        <v/>
      </c>
    </row>
    <row r="78" customFormat="false" ht="15" hidden="false" customHeight="false" outlineLevel="0" collapsed="false">
      <c r="A78" s="18"/>
      <c r="B78" s="19"/>
      <c r="C78" s="20"/>
      <c r="D78" s="20"/>
      <c r="E78" s="20"/>
      <c r="F78" s="20"/>
      <c r="G78" s="18"/>
      <c r="H78" s="20"/>
      <c r="I78" s="18"/>
      <c r="J78" s="20"/>
      <c r="K78" s="20"/>
      <c r="L78" s="20"/>
      <c r="M78" s="20"/>
      <c r="N78" s="20"/>
      <c r="O78" s="21" t="str">
        <f aca="false">IF(A78="","",IF(AD78="",0,IF(AE78="",1,IF(AF78="",2,IF(AG78="",3,"4+")))))</f>
        <v/>
      </c>
      <c r="P78" s="21" t="str">
        <f aca="false">IF(A78="","",B78&amp;IF(AD78="",""," &lt;- "&amp;IFERROR(INDEX($B:$B,MATCH(AD78,$A:$A,0)),AD78)&amp;IF(AE78="",""," &lt;- "&amp;IFERROR(INDEX($B:$B,MATCH(AE78,$A:$A,0)),AE78)&amp;IF(AF78="",""," &lt;- "&amp;IFERROR(INDEX($B:$B,MATCH(AF78,$A:$A,0)),AF78)&amp;IF(AG78="",""," &lt;- "&amp;IFERROR(INDEX($B:$B,MATCH(AG78,$A:$A,0)),AG78)))))&amp;IF(ISNUMBER(FIND(",",G78))," (+ other parents)",""))</f>
        <v/>
      </c>
      <c r="Q78" s="21" t="str">
        <f aca="false">IF(A78="","",IF(AD78="",E78&amp;"",IF(AE78="",IF(IFERROR(INDEX($E:$E,MATCH(AD78,$A:$A,0)),"")="","",INDEX($E:$E,MATCH(AD78,$A:$A,0))),IF(AF78="",IF(IFERROR(INDEX($E:$E,MATCH(AE78,$A:$A,0)),"")="","",INDEX($E:$E,MATCH(AE78,$A:$A,0))),IF(AG78="",IF(IFERROR(INDEX($E:$E,MATCH(AF78,$A:$A,0)),"")="","",INDEX($E:$E,MATCH(AF78,$A:$A,0))),IF(IFERROR(INDEX($E:$E,MATCH(AG78,$A:$A,0)),"")="","",INDEX($E:$E,MATCH(AG78,$A:$A,0))))))))</f>
        <v/>
      </c>
      <c r="R78" s="21" t="str">
        <f aca="false">IF(A78="","",COUNTIF(Fields!$D:$D,A78))</f>
        <v/>
      </c>
      <c r="S78" s="21" t="str">
        <f aca="false">IF(A78="","",SUMIF(Fields!$D:$D,A78,Fields!$Q:$Q))</f>
        <v/>
      </c>
      <c r="T78" s="21" t="str">
        <f aca="false">IF(A78="","",COUNTIF('Product inputs'!$D:$D,A78))</f>
        <v/>
      </c>
      <c r="U78" s="20"/>
      <c r="V78" s="20"/>
      <c r="W78" s="20"/>
      <c r="X78" s="20"/>
      <c r="Y78" s="20"/>
      <c r="Z78" s="20"/>
      <c r="AA78" s="20"/>
      <c r="AB78" s="20"/>
      <c r="AC78" s="20"/>
      <c r="AD78" s="18" t="str">
        <f aca="false">IF(A78="","",IF(IFERROR(INDEX($G:$G,MATCH(A78,$A:$A,0)),"")="","",TRIM(IF(ISNUMBER(FIND(",",IFERROR(INDEX($G:$G,MATCH(A78,$A:$A,0)),""))),LEFT(IFERROR(INDEX($G:$G,MATCH(A78,$A:$A,0)),""),FIND(",",IFERROR(INDEX($G:$G,MATCH(A78,$A:$A,0)),""))-1),IFERROR(INDEX($G:$G,MATCH(A78,$A:$A,0)),"")))))</f>
        <v/>
      </c>
      <c r="AE78" s="18" t="str">
        <f aca="false">IF(AD78="","",IF(IFERROR(INDEX($G:$G,MATCH(AD78,$A:$A,0)),"")="","",TRIM(IF(ISNUMBER(FIND(",",IFERROR(INDEX($G:$G,MATCH(AD78,$A:$A,0)),""))),LEFT(IFERROR(INDEX($G:$G,MATCH(AD78,$A:$A,0)),""),FIND(",",IFERROR(INDEX($G:$G,MATCH(AD78,$A:$A,0)),""))-1),IFERROR(INDEX($G:$G,MATCH(AD78,$A:$A,0)),"")))))</f>
        <v/>
      </c>
      <c r="AF78" s="18" t="str">
        <f aca="false">IF(AE78="","",IF(IFERROR(INDEX($G:$G,MATCH(AE78,$A:$A,0)),"")="","",TRIM(IF(ISNUMBER(FIND(",",IFERROR(INDEX($G:$G,MATCH(AE78,$A:$A,0)),""))),LEFT(IFERROR(INDEX($G:$G,MATCH(AE78,$A:$A,0)),""),FIND(",",IFERROR(INDEX($G:$G,MATCH(AE78,$A:$A,0)),""))-1),IFERROR(INDEX($G:$G,MATCH(AE78,$A:$A,0)),"")))))</f>
        <v/>
      </c>
      <c r="AG78" s="18" t="str">
        <f aca="false">IF(AF78="","",IF(IFERROR(INDEX($G:$G,MATCH(AF78,$A:$A,0)),"")="","",TRIM(IF(ISNUMBER(FIND(",",IFERROR(INDEX($G:$G,MATCH(AF78,$A:$A,0)),""))),LEFT(IFERROR(INDEX($G:$G,MATCH(AF78,$A:$A,0)),""),FIND(",",IFERROR(INDEX($G:$G,MATCH(AF78,$A:$A,0)),""))-1),IFERROR(INDEX($G:$G,MATCH(AF78,$A:$A,0)),"")))))</f>
        <v/>
      </c>
    </row>
    <row r="79" customFormat="false" ht="15" hidden="false" customHeight="false" outlineLevel="0" collapsed="false">
      <c r="A79" s="18"/>
      <c r="B79" s="19"/>
      <c r="C79" s="20"/>
      <c r="D79" s="20"/>
      <c r="E79" s="20"/>
      <c r="F79" s="20"/>
      <c r="G79" s="18"/>
      <c r="H79" s="20"/>
      <c r="I79" s="18"/>
      <c r="J79" s="20"/>
      <c r="K79" s="20"/>
      <c r="L79" s="20"/>
      <c r="M79" s="20"/>
      <c r="N79" s="20"/>
      <c r="O79" s="21" t="str">
        <f aca="false">IF(A79="","",IF(AD79="",0,IF(AE79="",1,IF(AF79="",2,IF(AG79="",3,"4+")))))</f>
        <v/>
      </c>
      <c r="P79" s="21" t="str">
        <f aca="false">IF(A79="","",B79&amp;IF(AD79="",""," &lt;- "&amp;IFERROR(INDEX($B:$B,MATCH(AD79,$A:$A,0)),AD79)&amp;IF(AE79="",""," &lt;- "&amp;IFERROR(INDEX($B:$B,MATCH(AE79,$A:$A,0)),AE79)&amp;IF(AF79="",""," &lt;- "&amp;IFERROR(INDEX($B:$B,MATCH(AF79,$A:$A,0)),AF79)&amp;IF(AG79="",""," &lt;- "&amp;IFERROR(INDEX($B:$B,MATCH(AG79,$A:$A,0)),AG79)))))&amp;IF(ISNUMBER(FIND(",",G79))," (+ other parents)",""))</f>
        <v/>
      </c>
      <c r="Q79" s="21" t="str">
        <f aca="false">IF(A79="","",IF(AD79="",E79&amp;"",IF(AE79="",IF(IFERROR(INDEX($E:$E,MATCH(AD79,$A:$A,0)),"")="","",INDEX($E:$E,MATCH(AD79,$A:$A,0))),IF(AF79="",IF(IFERROR(INDEX($E:$E,MATCH(AE79,$A:$A,0)),"")="","",INDEX($E:$E,MATCH(AE79,$A:$A,0))),IF(AG79="",IF(IFERROR(INDEX($E:$E,MATCH(AF79,$A:$A,0)),"")="","",INDEX($E:$E,MATCH(AF79,$A:$A,0))),IF(IFERROR(INDEX($E:$E,MATCH(AG79,$A:$A,0)),"")="","",INDEX($E:$E,MATCH(AG79,$A:$A,0))))))))</f>
        <v/>
      </c>
      <c r="R79" s="21" t="str">
        <f aca="false">IF(A79="","",COUNTIF(Fields!$D:$D,A79))</f>
        <v/>
      </c>
      <c r="S79" s="21" t="str">
        <f aca="false">IF(A79="","",SUMIF(Fields!$D:$D,A79,Fields!$Q:$Q))</f>
        <v/>
      </c>
      <c r="T79" s="21" t="str">
        <f aca="false">IF(A79="","",COUNTIF('Product inputs'!$D:$D,A79))</f>
        <v/>
      </c>
      <c r="U79" s="20"/>
      <c r="V79" s="20"/>
      <c r="W79" s="20"/>
      <c r="X79" s="20"/>
      <c r="Y79" s="20"/>
      <c r="Z79" s="20"/>
      <c r="AA79" s="20"/>
      <c r="AB79" s="20"/>
      <c r="AC79" s="20"/>
      <c r="AD79" s="18" t="str">
        <f aca="false">IF(A79="","",IF(IFERROR(INDEX($G:$G,MATCH(A79,$A:$A,0)),"")="","",TRIM(IF(ISNUMBER(FIND(",",IFERROR(INDEX($G:$G,MATCH(A79,$A:$A,0)),""))),LEFT(IFERROR(INDEX($G:$G,MATCH(A79,$A:$A,0)),""),FIND(",",IFERROR(INDEX($G:$G,MATCH(A79,$A:$A,0)),""))-1),IFERROR(INDEX($G:$G,MATCH(A79,$A:$A,0)),"")))))</f>
        <v/>
      </c>
      <c r="AE79" s="18" t="str">
        <f aca="false">IF(AD79="","",IF(IFERROR(INDEX($G:$G,MATCH(AD79,$A:$A,0)),"")="","",TRIM(IF(ISNUMBER(FIND(",",IFERROR(INDEX($G:$G,MATCH(AD79,$A:$A,0)),""))),LEFT(IFERROR(INDEX($G:$G,MATCH(AD79,$A:$A,0)),""),FIND(",",IFERROR(INDEX($G:$G,MATCH(AD79,$A:$A,0)),""))-1),IFERROR(INDEX($G:$G,MATCH(AD79,$A:$A,0)),"")))))</f>
        <v/>
      </c>
      <c r="AF79" s="18" t="str">
        <f aca="false">IF(AE79="","",IF(IFERROR(INDEX($G:$G,MATCH(AE79,$A:$A,0)),"")="","",TRIM(IF(ISNUMBER(FIND(",",IFERROR(INDEX($G:$G,MATCH(AE79,$A:$A,0)),""))),LEFT(IFERROR(INDEX($G:$G,MATCH(AE79,$A:$A,0)),""),FIND(",",IFERROR(INDEX($G:$G,MATCH(AE79,$A:$A,0)),""))-1),IFERROR(INDEX($G:$G,MATCH(AE79,$A:$A,0)),"")))))</f>
        <v/>
      </c>
      <c r="AG79" s="18" t="str">
        <f aca="false">IF(AF79="","",IF(IFERROR(INDEX($G:$G,MATCH(AF79,$A:$A,0)),"")="","",TRIM(IF(ISNUMBER(FIND(",",IFERROR(INDEX($G:$G,MATCH(AF79,$A:$A,0)),""))),LEFT(IFERROR(INDEX($G:$G,MATCH(AF79,$A:$A,0)),""),FIND(",",IFERROR(INDEX($G:$G,MATCH(AF79,$A:$A,0)),""))-1),IFERROR(INDEX($G:$G,MATCH(AF79,$A:$A,0)),"")))))</f>
        <v/>
      </c>
    </row>
    <row r="80" customFormat="false" ht="15" hidden="false" customHeight="false" outlineLevel="0" collapsed="false">
      <c r="A80" s="18"/>
      <c r="B80" s="19"/>
      <c r="C80" s="20"/>
      <c r="D80" s="20"/>
      <c r="E80" s="20"/>
      <c r="F80" s="20"/>
      <c r="G80" s="18"/>
      <c r="H80" s="20"/>
      <c r="I80" s="18"/>
      <c r="J80" s="20"/>
      <c r="K80" s="20"/>
      <c r="L80" s="20"/>
      <c r="M80" s="20"/>
      <c r="N80" s="20"/>
      <c r="O80" s="21" t="str">
        <f aca="false">IF(A80="","",IF(AD80="",0,IF(AE80="",1,IF(AF80="",2,IF(AG80="",3,"4+")))))</f>
        <v/>
      </c>
      <c r="P80" s="21" t="str">
        <f aca="false">IF(A80="","",B80&amp;IF(AD80="",""," &lt;- "&amp;IFERROR(INDEX($B:$B,MATCH(AD80,$A:$A,0)),AD80)&amp;IF(AE80="",""," &lt;- "&amp;IFERROR(INDEX($B:$B,MATCH(AE80,$A:$A,0)),AE80)&amp;IF(AF80="",""," &lt;- "&amp;IFERROR(INDEX($B:$B,MATCH(AF80,$A:$A,0)),AF80)&amp;IF(AG80="",""," &lt;- "&amp;IFERROR(INDEX($B:$B,MATCH(AG80,$A:$A,0)),AG80)))))&amp;IF(ISNUMBER(FIND(",",G80))," (+ other parents)",""))</f>
        <v/>
      </c>
      <c r="Q80" s="21" t="str">
        <f aca="false">IF(A80="","",IF(AD80="",E80&amp;"",IF(AE80="",IF(IFERROR(INDEX($E:$E,MATCH(AD80,$A:$A,0)),"")="","",INDEX($E:$E,MATCH(AD80,$A:$A,0))),IF(AF80="",IF(IFERROR(INDEX($E:$E,MATCH(AE80,$A:$A,0)),"")="","",INDEX($E:$E,MATCH(AE80,$A:$A,0))),IF(AG80="",IF(IFERROR(INDEX($E:$E,MATCH(AF80,$A:$A,0)),"")="","",INDEX($E:$E,MATCH(AF80,$A:$A,0))),IF(IFERROR(INDEX($E:$E,MATCH(AG80,$A:$A,0)),"")="","",INDEX($E:$E,MATCH(AG80,$A:$A,0))))))))</f>
        <v/>
      </c>
      <c r="R80" s="21" t="str">
        <f aca="false">IF(A80="","",COUNTIF(Fields!$D:$D,A80))</f>
        <v/>
      </c>
      <c r="S80" s="21" t="str">
        <f aca="false">IF(A80="","",SUMIF(Fields!$D:$D,A80,Fields!$Q:$Q))</f>
        <v/>
      </c>
      <c r="T80" s="21" t="str">
        <f aca="false">IF(A80="","",COUNTIF('Product inputs'!$D:$D,A80))</f>
        <v/>
      </c>
      <c r="U80" s="20"/>
      <c r="V80" s="20"/>
      <c r="W80" s="20"/>
      <c r="X80" s="20"/>
      <c r="Y80" s="20"/>
      <c r="Z80" s="20"/>
      <c r="AA80" s="20"/>
      <c r="AB80" s="20"/>
      <c r="AC80" s="20"/>
      <c r="AD80" s="18" t="str">
        <f aca="false">IF(A80="","",IF(IFERROR(INDEX($G:$G,MATCH(A80,$A:$A,0)),"")="","",TRIM(IF(ISNUMBER(FIND(",",IFERROR(INDEX($G:$G,MATCH(A80,$A:$A,0)),""))),LEFT(IFERROR(INDEX($G:$G,MATCH(A80,$A:$A,0)),""),FIND(",",IFERROR(INDEX($G:$G,MATCH(A80,$A:$A,0)),""))-1),IFERROR(INDEX($G:$G,MATCH(A80,$A:$A,0)),"")))))</f>
        <v/>
      </c>
      <c r="AE80" s="18" t="str">
        <f aca="false">IF(AD80="","",IF(IFERROR(INDEX($G:$G,MATCH(AD80,$A:$A,0)),"")="","",TRIM(IF(ISNUMBER(FIND(",",IFERROR(INDEX($G:$G,MATCH(AD80,$A:$A,0)),""))),LEFT(IFERROR(INDEX($G:$G,MATCH(AD80,$A:$A,0)),""),FIND(",",IFERROR(INDEX($G:$G,MATCH(AD80,$A:$A,0)),""))-1),IFERROR(INDEX($G:$G,MATCH(AD80,$A:$A,0)),"")))))</f>
        <v/>
      </c>
      <c r="AF80" s="18" t="str">
        <f aca="false">IF(AE80="","",IF(IFERROR(INDEX($G:$G,MATCH(AE80,$A:$A,0)),"")="","",TRIM(IF(ISNUMBER(FIND(",",IFERROR(INDEX($G:$G,MATCH(AE80,$A:$A,0)),""))),LEFT(IFERROR(INDEX($G:$G,MATCH(AE80,$A:$A,0)),""),FIND(",",IFERROR(INDEX($G:$G,MATCH(AE80,$A:$A,0)),""))-1),IFERROR(INDEX($G:$G,MATCH(AE80,$A:$A,0)),"")))))</f>
        <v/>
      </c>
      <c r="AG80" s="18" t="str">
        <f aca="false">IF(AF80="","",IF(IFERROR(INDEX($G:$G,MATCH(AF80,$A:$A,0)),"")="","",TRIM(IF(ISNUMBER(FIND(",",IFERROR(INDEX($G:$G,MATCH(AF80,$A:$A,0)),""))),LEFT(IFERROR(INDEX($G:$G,MATCH(AF80,$A:$A,0)),""),FIND(",",IFERROR(INDEX($G:$G,MATCH(AF80,$A:$A,0)),""))-1),IFERROR(INDEX($G:$G,MATCH(AF80,$A:$A,0)),"")))))</f>
        <v/>
      </c>
    </row>
    <row r="81" customFormat="false" ht="15" hidden="false" customHeight="false" outlineLevel="0" collapsed="false">
      <c r="A81" s="18"/>
      <c r="B81" s="19"/>
      <c r="C81" s="20"/>
      <c r="D81" s="20"/>
      <c r="E81" s="20"/>
      <c r="F81" s="20"/>
      <c r="G81" s="18"/>
      <c r="H81" s="20"/>
      <c r="I81" s="18"/>
      <c r="J81" s="20"/>
      <c r="K81" s="20"/>
      <c r="L81" s="20"/>
      <c r="M81" s="20"/>
      <c r="N81" s="20"/>
      <c r="O81" s="21" t="str">
        <f aca="false">IF(A81="","",IF(AD81="",0,IF(AE81="",1,IF(AF81="",2,IF(AG81="",3,"4+")))))</f>
        <v/>
      </c>
      <c r="P81" s="21" t="str">
        <f aca="false">IF(A81="","",B81&amp;IF(AD81="",""," &lt;- "&amp;IFERROR(INDEX($B:$B,MATCH(AD81,$A:$A,0)),AD81)&amp;IF(AE81="",""," &lt;- "&amp;IFERROR(INDEX($B:$B,MATCH(AE81,$A:$A,0)),AE81)&amp;IF(AF81="",""," &lt;- "&amp;IFERROR(INDEX($B:$B,MATCH(AF81,$A:$A,0)),AF81)&amp;IF(AG81="",""," &lt;- "&amp;IFERROR(INDEX($B:$B,MATCH(AG81,$A:$A,0)),AG81)))))&amp;IF(ISNUMBER(FIND(",",G81))," (+ other parents)",""))</f>
        <v/>
      </c>
      <c r="Q81" s="21" t="str">
        <f aca="false">IF(A81="","",IF(AD81="",E81&amp;"",IF(AE81="",IF(IFERROR(INDEX($E:$E,MATCH(AD81,$A:$A,0)),"")="","",INDEX($E:$E,MATCH(AD81,$A:$A,0))),IF(AF81="",IF(IFERROR(INDEX($E:$E,MATCH(AE81,$A:$A,0)),"")="","",INDEX($E:$E,MATCH(AE81,$A:$A,0))),IF(AG81="",IF(IFERROR(INDEX($E:$E,MATCH(AF81,$A:$A,0)),"")="","",INDEX($E:$E,MATCH(AF81,$A:$A,0))),IF(IFERROR(INDEX($E:$E,MATCH(AG81,$A:$A,0)),"")="","",INDEX($E:$E,MATCH(AG81,$A:$A,0))))))))</f>
        <v/>
      </c>
      <c r="R81" s="21" t="str">
        <f aca="false">IF(A81="","",COUNTIF(Fields!$D:$D,A81))</f>
        <v/>
      </c>
      <c r="S81" s="21" t="str">
        <f aca="false">IF(A81="","",SUMIF(Fields!$D:$D,A81,Fields!$Q:$Q))</f>
        <v/>
      </c>
      <c r="T81" s="21" t="str">
        <f aca="false">IF(A81="","",COUNTIF('Product inputs'!$D:$D,A81))</f>
        <v/>
      </c>
      <c r="U81" s="20"/>
      <c r="V81" s="20"/>
      <c r="W81" s="20"/>
      <c r="X81" s="20"/>
      <c r="Y81" s="20"/>
      <c r="Z81" s="20"/>
      <c r="AA81" s="20"/>
      <c r="AB81" s="20"/>
      <c r="AC81" s="20"/>
      <c r="AD81" s="18" t="str">
        <f aca="false">IF(A81="","",IF(IFERROR(INDEX($G:$G,MATCH(A81,$A:$A,0)),"")="","",TRIM(IF(ISNUMBER(FIND(",",IFERROR(INDEX($G:$G,MATCH(A81,$A:$A,0)),""))),LEFT(IFERROR(INDEX($G:$G,MATCH(A81,$A:$A,0)),""),FIND(",",IFERROR(INDEX($G:$G,MATCH(A81,$A:$A,0)),""))-1),IFERROR(INDEX($G:$G,MATCH(A81,$A:$A,0)),"")))))</f>
        <v/>
      </c>
      <c r="AE81" s="18" t="str">
        <f aca="false">IF(AD81="","",IF(IFERROR(INDEX($G:$G,MATCH(AD81,$A:$A,0)),"")="","",TRIM(IF(ISNUMBER(FIND(",",IFERROR(INDEX($G:$G,MATCH(AD81,$A:$A,0)),""))),LEFT(IFERROR(INDEX($G:$G,MATCH(AD81,$A:$A,0)),""),FIND(",",IFERROR(INDEX($G:$G,MATCH(AD81,$A:$A,0)),""))-1),IFERROR(INDEX($G:$G,MATCH(AD81,$A:$A,0)),"")))))</f>
        <v/>
      </c>
      <c r="AF81" s="18" t="str">
        <f aca="false">IF(AE81="","",IF(IFERROR(INDEX($G:$G,MATCH(AE81,$A:$A,0)),"")="","",TRIM(IF(ISNUMBER(FIND(",",IFERROR(INDEX($G:$G,MATCH(AE81,$A:$A,0)),""))),LEFT(IFERROR(INDEX($G:$G,MATCH(AE81,$A:$A,0)),""),FIND(",",IFERROR(INDEX($G:$G,MATCH(AE81,$A:$A,0)),""))-1),IFERROR(INDEX($G:$G,MATCH(AE81,$A:$A,0)),"")))))</f>
        <v/>
      </c>
      <c r="AG81" s="18" t="str">
        <f aca="false">IF(AF81="","",IF(IFERROR(INDEX($G:$G,MATCH(AF81,$A:$A,0)),"")="","",TRIM(IF(ISNUMBER(FIND(",",IFERROR(INDEX($G:$G,MATCH(AF81,$A:$A,0)),""))),LEFT(IFERROR(INDEX($G:$G,MATCH(AF81,$A:$A,0)),""),FIND(",",IFERROR(INDEX($G:$G,MATCH(AF81,$A:$A,0)),""))-1),IFERROR(INDEX($G:$G,MATCH(AF81,$A:$A,0)),"")))))</f>
        <v/>
      </c>
    </row>
    <row r="82" customFormat="false" ht="15" hidden="false" customHeight="false" outlineLevel="0" collapsed="false">
      <c r="A82" s="18"/>
      <c r="B82" s="19"/>
      <c r="C82" s="20"/>
      <c r="D82" s="20"/>
      <c r="E82" s="20"/>
      <c r="F82" s="20"/>
      <c r="G82" s="18"/>
      <c r="H82" s="20"/>
      <c r="I82" s="18"/>
      <c r="J82" s="20"/>
      <c r="K82" s="20"/>
      <c r="L82" s="20"/>
      <c r="M82" s="20"/>
      <c r="N82" s="20"/>
      <c r="O82" s="21" t="str">
        <f aca="false">IF(A82="","",IF(AD82="",0,IF(AE82="",1,IF(AF82="",2,IF(AG82="",3,"4+")))))</f>
        <v/>
      </c>
      <c r="P82" s="21" t="str">
        <f aca="false">IF(A82="","",B82&amp;IF(AD82="",""," &lt;- "&amp;IFERROR(INDEX($B:$B,MATCH(AD82,$A:$A,0)),AD82)&amp;IF(AE82="",""," &lt;- "&amp;IFERROR(INDEX($B:$B,MATCH(AE82,$A:$A,0)),AE82)&amp;IF(AF82="",""," &lt;- "&amp;IFERROR(INDEX($B:$B,MATCH(AF82,$A:$A,0)),AF82)&amp;IF(AG82="",""," &lt;- "&amp;IFERROR(INDEX($B:$B,MATCH(AG82,$A:$A,0)),AG82)))))&amp;IF(ISNUMBER(FIND(",",G82))," (+ other parents)",""))</f>
        <v/>
      </c>
      <c r="Q82" s="21" t="str">
        <f aca="false">IF(A82="","",IF(AD82="",E82&amp;"",IF(AE82="",IF(IFERROR(INDEX($E:$E,MATCH(AD82,$A:$A,0)),"")="","",INDEX($E:$E,MATCH(AD82,$A:$A,0))),IF(AF82="",IF(IFERROR(INDEX($E:$E,MATCH(AE82,$A:$A,0)),"")="","",INDEX($E:$E,MATCH(AE82,$A:$A,0))),IF(AG82="",IF(IFERROR(INDEX($E:$E,MATCH(AF82,$A:$A,0)),"")="","",INDEX($E:$E,MATCH(AF82,$A:$A,0))),IF(IFERROR(INDEX($E:$E,MATCH(AG82,$A:$A,0)),"")="","",INDEX($E:$E,MATCH(AG82,$A:$A,0))))))))</f>
        <v/>
      </c>
      <c r="R82" s="21" t="str">
        <f aca="false">IF(A82="","",COUNTIF(Fields!$D:$D,A82))</f>
        <v/>
      </c>
      <c r="S82" s="21" t="str">
        <f aca="false">IF(A82="","",SUMIF(Fields!$D:$D,A82,Fields!$Q:$Q))</f>
        <v/>
      </c>
      <c r="T82" s="21" t="str">
        <f aca="false">IF(A82="","",COUNTIF('Product inputs'!$D:$D,A82))</f>
        <v/>
      </c>
      <c r="U82" s="20"/>
      <c r="V82" s="20"/>
      <c r="W82" s="20"/>
      <c r="X82" s="20"/>
      <c r="Y82" s="20"/>
      <c r="Z82" s="20"/>
      <c r="AA82" s="20"/>
      <c r="AB82" s="20"/>
      <c r="AC82" s="20"/>
      <c r="AD82" s="18" t="str">
        <f aca="false">IF(A82="","",IF(IFERROR(INDEX($G:$G,MATCH(A82,$A:$A,0)),"")="","",TRIM(IF(ISNUMBER(FIND(",",IFERROR(INDEX($G:$G,MATCH(A82,$A:$A,0)),""))),LEFT(IFERROR(INDEX($G:$G,MATCH(A82,$A:$A,0)),""),FIND(",",IFERROR(INDEX($G:$G,MATCH(A82,$A:$A,0)),""))-1),IFERROR(INDEX($G:$G,MATCH(A82,$A:$A,0)),"")))))</f>
        <v/>
      </c>
      <c r="AE82" s="18" t="str">
        <f aca="false">IF(AD82="","",IF(IFERROR(INDEX($G:$G,MATCH(AD82,$A:$A,0)),"")="","",TRIM(IF(ISNUMBER(FIND(",",IFERROR(INDEX($G:$G,MATCH(AD82,$A:$A,0)),""))),LEFT(IFERROR(INDEX($G:$G,MATCH(AD82,$A:$A,0)),""),FIND(",",IFERROR(INDEX($G:$G,MATCH(AD82,$A:$A,0)),""))-1),IFERROR(INDEX($G:$G,MATCH(AD82,$A:$A,0)),"")))))</f>
        <v/>
      </c>
      <c r="AF82" s="18" t="str">
        <f aca="false">IF(AE82="","",IF(IFERROR(INDEX($G:$G,MATCH(AE82,$A:$A,0)),"")="","",TRIM(IF(ISNUMBER(FIND(",",IFERROR(INDEX($G:$G,MATCH(AE82,$A:$A,0)),""))),LEFT(IFERROR(INDEX($G:$G,MATCH(AE82,$A:$A,0)),""),FIND(",",IFERROR(INDEX($G:$G,MATCH(AE82,$A:$A,0)),""))-1),IFERROR(INDEX($G:$G,MATCH(AE82,$A:$A,0)),"")))))</f>
        <v/>
      </c>
      <c r="AG82" s="18" t="str">
        <f aca="false">IF(AF82="","",IF(IFERROR(INDEX($G:$G,MATCH(AF82,$A:$A,0)),"")="","",TRIM(IF(ISNUMBER(FIND(",",IFERROR(INDEX($G:$G,MATCH(AF82,$A:$A,0)),""))),LEFT(IFERROR(INDEX($G:$G,MATCH(AF82,$A:$A,0)),""),FIND(",",IFERROR(INDEX($G:$G,MATCH(AF82,$A:$A,0)),""))-1),IFERROR(INDEX($G:$G,MATCH(AF82,$A:$A,0)),"")))))</f>
        <v/>
      </c>
    </row>
    <row r="83" customFormat="false" ht="15" hidden="false" customHeight="false" outlineLevel="0" collapsed="false">
      <c r="A83" s="18"/>
      <c r="B83" s="19"/>
      <c r="C83" s="20"/>
      <c r="D83" s="20"/>
      <c r="E83" s="20"/>
      <c r="F83" s="20"/>
      <c r="G83" s="18"/>
      <c r="H83" s="20"/>
      <c r="I83" s="18"/>
      <c r="J83" s="20"/>
      <c r="K83" s="20"/>
      <c r="L83" s="20"/>
      <c r="M83" s="20"/>
      <c r="N83" s="20"/>
      <c r="O83" s="21" t="str">
        <f aca="false">IF(A83="","",IF(AD83="",0,IF(AE83="",1,IF(AF83="",2,IF(AG83="",3,"4+")))))</f>
        <v/>
      </c>
      <c r="P83" s="21" t="str">
        <f aca="false">IF(A83="","",B83&amp;IF(AD83="",""," &lt;- "&amp;IFERROR(INDEX($B:$B,MATCH(AD83,$A:$A,0)),AD83)&amp;IF(AE83="",""," &lt;- "&amp;IFERROR(INDEX($B:$B,MATCH(AE83,$A:$A,0)),AE83)&amp;IF(AF83="",""," &lt;- "&amp;IFERROR(INDEX($B:$B,MATCH(AF83,$A:$A,0)),AF83)&amp;IF(AG83="",""," &lt;- "&amp;IFERROR(INDEX($B:$B,MATCH(AG83,$A:$A,0)),AG83)))))&amp;IF(ISNUMBER(FIND(",",G83))," (+ other parents)",""))</f>
        <v/>
      </c>
      <c r="Q83" s="21" t="str">
        <f aca="false">IF(A83="","",IF(AD83="",E83&amp;"",IF(AE83="",IF(IFERROR(INDEX($E:$E,MATCH(AD83,$A:$A,0)),"")="","",INDEX($E:$E,MATCH(AD83,$A:$A,0))),IF(AF83="",IF(IFERROR(INDEX($E:$E,MATCH(AE83,$A:$A,0)),"")="","",INDEX($E:$E,MATCH(AE83,$A:$A,0))),IF(AG83="",IF(IFERROR(INDEX($E:$E,MATCH(AF83,$A:$A,0)),"")="","",INDEX($E:$E,MATCH(AF83,$A:$A,0))),IF(IFERROR(INDEX($E:$E,MATCH(AG83,$A:$A,0)),"")="","",INDEX($E:$E,MATCH(AG83,$A:$A,0))))))))</f>
        <v/>
      </c>
      <c r="R83" s="21" t="str">
        <f aca="false">IF(A83="","",COUNTIF(Fields!$D:$D,A83))</f>
        <v/>
      </c>
      <c r="S83" s="21" t="str">
        <f aca="false">IF(A83="","",SUMIF(Fields!$D:$D,A83,Fields!$Q:$Q))</f>
        <v/>
      </c>
      <c r="T83" s="21" t="str">
        <f aca="false">IF(A83="","",COUNTIF('Product inputs'!$D:$D,A83))</f>
        <v/>
      </c>
      <c r="U83" s="20"/>
      <c r="V83" s="20"/>
      <c r="W83" s="20"/>
      <c r="X83" s="20"/>
      <c r="Y83" s="20"/>
      <c r="Z83" s="20"/>
      <c r="AA83" s="20"/>
      <c r="AB83" s="20"/>
      <c r="AC83" s="20"/>
      <c r="AD83" s="18" t="str">
        <f aca="false">IF(A83="","",IF(IFERROR(INDEX($G:$G,MATCH(A83,$A:$A,0)),"")="","",TRIM(IF(ISNUMBER(FIND(",",IFERROR(INDEX($G:$G,MATCH(A83,$A:$A,0)),""))),LEFT(IFERROR(INDEX($G:$G,MATCH(A83,$A:$A,0)),""),FIND(",",IFERROR(INDEX($G:$G,MATCH(A83,$A:$A,0)),""))-1),IFERROR(INDEX($G:$G,MATCH(A83,$A:$A,0)),"")))))</f>
        <v/>
      </c>
      <c r="AE83" s="18" t="str">
        <f aca="false">IF(AD83="","",IF(IFERROR(INDEX($G:$G,MATCH(AD83,$A:$A,0)),"")="","",TRIM(IF(ISNUMBER(FIND(",",IFERROR(INDEX($G:$G,MATCH(AD83,$A:$A,0)),""))),LEFT(IFERROR(INDEX($G:$G,MATCH(AD83,$A:$A,0)),""),FIND(",",IFERROR(INDEX($G:$G,MATCH(AD83,$A:$A,0)),""))-1),IFERROR(INDEX($G:$G,MATCH(AD83,$A:$A,0)),"")))))</f>
        <v/>
      </c>
      <c r="AF83" s="18" t="str">
        <f aca="false">IF(AE83="","",IF(IFERROR(INDEX($G:$G,MATCH(AE83,$A:$A,0)),"")="","",TRIM(IF(ISNUMBER(FIND(",",IFERROR(INDEX($G:$G,MATCH(AE83,$A:$A,0)),""))),LEFT(IFERROR(INDEX($G:$G,MATCH(AE83,$A:$A,0)),""),FIND(",",IFERROR(INDEX($G:$G,MATCH(AE83,$A:$A,0)),""))-1),IFERROR(INDEX($G:$G,MATCH(AE83,$A:$A,0)),"")))))</f>
        <v/>
      </c>
      <c r="AG83" s="18" t="str">
        <f aca="false">IF(AF83="","",IF(IFERROR(INDEX($G:$G,MATCH(AF83,$A:$A,0)),"")="","",TRIM(IF(ISNUMBER(FIND(",",IFERROR(INDEX($G:$G,MATCH(AF83,$A:$A,0)),""))),LEFT(IFERROR(INDEX($G:$G,MATCH(AF83,$A:$A,0)),""),FIND(",",IFERROR(INDEX($G:$G,MATCH(AF83,$A:$A,0)),""))-1),IFERROR(INDEX($G:$G,MATCH(AF83,$A:$A,0)),"")))))</f>
        <v/>
      </c>
    </row>
    <row r="84" customFormat="false" ht="15" hidden="false" customHeight="false" outlineLevel="0" collapsed="false">
      <c r="A84" s="18"/>
      <c r="B84" s="19"/>
      <c r="C84" s="20"/>
      <c r="D84" s="20"/>
      <c r="E84" s="20"/>
      <c r="F84" s="20"/>
      <c r="G84" s="18"/>
      <c r="H84" s="20"/>
      <c r="I84" s="18"/>
      <c r="J84" s="20"/>
      <c r="K84" s="20"/>
      <c r="L84" s="20"/>
      <c r="M84" s="20"/>
      <c r="N84" s="20"/>
      <c r="O84" s="21" t="str">
        <f aca="false">IF(A84="","",IF(AD84="",0,IF(AE84="",1,IF(AF84="",2,IF(AG84="",3,"4+")))))</f>
        <v/>
      </c>
      <c r="P84" s="21" t="str">
        <f aca="false">IF(A84="","",B84&amp;IF(AD84="",""," &lt;- "&amp;IFERROR(INDEX($B:$B,MATCH(AD84,$A:$A,0)),AD84)&amp;IF(AE84="",""," &lt;- "&amp;IFERROR(INDEX($B:$B,MATCH(AE84,$A:$A,0)),AE84)&amp;IF(AF84="",""," &lt;- "&amp;IFERROR(INDEX($B:$B,MATCH(AF84,$A:$A,0)),AF84)&amp;IF(AG84="",""," &lt;- "&amp;IFERROR(INDEX($B:$B,MATCH(AG84,$A:$A,0)),AG84)))))&amp;IF(ISNUMBER(FIND(",",G84))," (+ other parents)",""))</f>
        <v/>
      </c>
      <c r="Q84" s="21" t="str">
        <f aca="false">IF(A84="","",IF(AD84="",E84&amp;"",IF(AE84="",IF(IFERROR(INDEX($E:$E,MATCH(AD84,$A:$A,0)),"")="","",INDEX($E:$E,MATCH(AD84,$A:$A,0))),IF(AF84="",IF(IFERROR(INDEX($E:$E,MATCH(AE84,$A:$A,0)),"")="","",INDEX($E:$E,MATCH(AE84,$A:$A,0))),IF(AG84="",IF(IFERROR(INDEX($E:$E,MATCH(AF84,$A:$A,0)),"")="","",INDEX($E:$E,MATCH(AF84,$A:$A,0))),IF(IFERROR(INDEX($E:$E,MATCH(AG84,$A:$A,0)),"")="","",INDEX($E:$E,MATCH(AG84,$A:$A,0))))))))</f>
        <v/>
      </c>
      <c r="R84" s="21" t="str">
        <f aca="false">IF(A84="","",COUNTIF(Fields!$D:$D,A84))</f>
        <v/>
      </c>
      <c r="S84" s="21" t="str">
        <f aca="false">IF(A84="","",SUMIF(Fields!$D:$D,A84,Fields!$Q:$Q))</f>
        <v/>
      </c>
      <c r="T84" s="21" t="str">
        <f aca="false">IF(A84="","",COUNTIF('Product inputs'!$D:$D,A84))</f>
        <v/>
      </c>
      <c r="U84" s="20"/>
      <c r="V84" s="20"/>
      <c r="W84" s="20"/>
      <c r="X84" s="20"/>
      <c r="Y84" s="20"/>
      <c r="Z84" s="20"/>
      <c r="AA84" s="20"/>
      <c r="AB84" s="20"/>
      <c r="AC84" s="20"/>
      <c r="AD84" s="18" t="str">
        <f aca="false">IF(A84="","",IF(IFERROR(INDEX($G:$G,MATCH(A84,$A:$A,0)),"")="","",TRIM(IF(ISNUMBER(FIND(",",IFERROR(INDEX($G:$G,MATCH(A84,$A:$A,0)),""))),LEFT(IFERROR(INDEX($G:$G,MATCH(A84,$A:$A,0)),""),FIND(",",IFERROR(INDEX($G:$G,MATCH(A84,$A:$A,0)),""))-1),IFERROR(INDEX($G:$G,MATCH(A84,$A:$A,0)),"")))))</f>
        <v/>
      </c>
      <c r="AE84" s="18" t="str">
        <f aca="false">IF(AD84="","",IF(IFERROR(INDEX($G:$G,MATCH(AD84,$A:$A,0)),"")="","",TRIM(IF(ISNUMBER(FIND(",",IFERROR(INDEX($G:$G,MATCH(AD84,$A:$A,0)),""))),LEFT(IFERROR(INDEX($G:$G,MATCH(AD84,$A:$A,0)),""),FIND(",",IFERROR(INDEX($G:$G,MATCH(AD84,$A:$A,0)),""))-1),IFERROR(INDEX($G:$G,MATCH(AD84,$A:$A,0)),"")))))</f>
        <v/>
      </c>
      <c r="AF84" s="18" t="str">
        <f aca="false">IF(AE84="","",IF(IFERROR(INDEX($G:$G,MATCH(AE84,$A:$A,0)),"")="","",TRIM(IF(ISNUMBER(FIND(",",IFERROR(INDEX($G:$G,MATCH(AE84,$A:$A,0)),""))),LEFT(IFERROR(INDEX($G:$G,MATCH(AE84,$A:$A,0)),""),FIND(",",IFERROR(INDEX($G:$G,MATCH(AE84,$A:$A,0)),""))-1),IFERROR(INDEX($G:$G,MATCH(AE84,$A:$A,0)),"")))))</f>
        <v/>
      </c>
      <c r="AG84" s="18" t="str">
        <f aca="false">IF(AF84="","",IF(IFERROR(INDEX($G:$G,MATCH(AF84,$A:$A,0)),"")="","",TRIM(IF(ISNUMBER(FIND(",",IFERROR(INDEX($G:$G,MATCH(AF84,$A:$A,0)),""))),LEFT(IFERROR(INDEX($G:$G,MATCH(AF84,$A:$A,0)),""),FIND(",",IFERROR(INDEX($G:$G,MATCH(AF84,$A:$A,0)),""))-1),IFERROR(INDEX($G:$G,MATCH(AF84,$A:$A,0)),"")))))</f>
        <v/>
      </c>
    </row>
    <row r="85" customFormat="false" ht="15" hidden="false" customHeight="false" outlineLevel="0" collapsed="false">
      <c r="A85" s="18"/>
      <c r="B85" s="19"/>
      <c r="C85" s="20"/>
      <c r="D85" s="20"/>
      <c r="E85" s="20"/>
      <c r="F85" s="20"/>
      <c r="G85" s="18"/>
      <c r="H85" s="20"/>
      <c r="I85" s="18"/>
      <c r="J85" s="20"/>
      <c r="K85" s="20"/>
      <c r="L85" s="20"/>
      <c r="M85" s="20"/>
      <c r="N85" s="20"/>
      <c r="O85" s="21" t="str">
        <f aca="false">IF(A85="","",IF(AD85="",0,IF(AE85="",1,IF(AF85="",2,IF(AG85="",3,"4+")))))</f>
        <v/>
      </c>
      <c r="P85" s="21" t="str">
        <f aca="false">IF(A85="","",B85&amp;IF(AD85="",""," &lt;- "&amp;IFERROR(INDEX($B:$B,MATCH(AD85,$A:$A,0)),AD85)&amp;IF(AE85="",""," &lt;- "&amp;IFERROR(INDEX($B:$B,MATCH(AE85,$A:$A,0)),AE85)&amp;IF(AF85="",""," &lt;- "&amp;IFERROR(INDEX($B:$B,MATCH(AF85,$A:$A,0)),AF85)&amp;IF(AG85="",""," &lt;- "&amp;IFERROR(INDEX($B:$B,MATCH(AG85,$A:$A,0)),AG85)))))&amp;IF(ISNUMBER(FIND(",",G85))," (+ other parents)",""))</f>
        <v/>
      </c>
      <c r="Q85" s="21" t="str">
        <f aca="false">IF(A85="","",IF(AD85="",E85&amp;"",IF(AE85="",IF(IFERROR(INDEX($E:$E,MATCH(AD85,$A:$A,0)),"")="","",INDEX($E:$E,MATCH(AD85,$A:$A,0))),IF(AF85="",IF(IFERROR(INDEX($E:$E,MATCH(AE85,$A:$A,0)),"")="","",INDEX($E:$E,MATCH(AE85,$A:$A,0))),IF(AG85="",IF(IFERROR(INDEX($E:$E,MATCH(AF85,$A:$A,0)),"")="","",INDEX($E:$E,MATCH(AF85,$A:$A,0))),IF(IFERROR(INDEX($E:$E,MATCH(AG85,$A:$A,0)),"")="","",INDEX($E:$E,MATCH(AG85,$A:$A,0))))))))</f>
        <v/>
      </c>
      <c r="R85" s="21" t="str">
        <f aca="false">IF(A85="","",COUNTIF(Fields!$D:$D,A85))</f>
        <v/>
      </c>
      <c r="S85" s="21" t="str">
        <f aca="false">IF(A85="","",SUMIF(Fields!$D:$D,A85,Fields!$Q:$Q))</f>
        <v/>
      </c>
      <c r="T85" s="21" t="str">
        <f aca="false">IF(A85="","",COUNTIF('Product inputs'!$D:$D,A85))</f>
        <v/>
      </c>
      <c r="U85" s="20"/>
      <c r="V85" s="20"/>
      <c r="W85" s="20"/>
      <c r="X85" s="20"/>
      <c r="Y85" s="20"/>
      <c r="Z85" s="20"/>
      <c r="AA85" s="20"/>
      <c r="AB85" s="20"/>
      <c r="AC85" s="20"/>
      <c r="AD85" s="18" t="str">
        <f aca="false">IF(A85="","",IF(IFERROR(INDEX($G:$G,MATCH(A85,$A:$A,0)),"")="","",TRIM(IF(ISNUMBER(FIND(",",IFERROR(INDEX($G:$G,MATCH(A85,$A:$A,0)),""))),LEFT(IFERROR(INDEX($G:$G,MATCH(A85,$A:$A,0)),""),FIND(",",IFERROR(INDEX($G:$G,MATCH(A85,$A:$A,0)),""))-1),IFERROR(INDEX($G:$G,MATCH(A85,$A:$A,0)),"")))))</f>
        <v/>
      </c>
      <c r="AE85" s="18" t="str">
        <f aca="false">IF(AD85="","",IF(IFERROR(INDEX($G:$G,MATCH(AD85,$A:$A,0)),"")="","",TRIM(IF(ISNUMBER(FIND(",",IFERROR(INDEX($G:$G,MATCH(AD85,$A:$A,0)),""))),LEFT(IFERROR(INDEX($G:$G,MATCH(AD85,$A:$A,0)),""),FIND(",",IFERROR(INDEX($G:$G,MATCH(AD85,$A:$A,0)),""))-1),IFERROR(INDEX($G:$G,MATCH(AD85,$A:$A,0)),"")))))</f>
        <v/>
      </c>
      <c r="AF85" s="18" t="str">
        <f aca="false">IF(AE85="","",IF(IFERROR(INDEX($G:$G,MATCH(AE85,$A:$A,0)),"")="","",TRIM(IF(ISNUMBER(FIND(",",IFERROR(INDEX($G:$G,MATCH(AE85,$A:$A,0)),""))),LEFT(IFERROR(INDEX($G:$G,MATCH(AE85,$A:$A,0)),""),FIND(",",IFERROR(INDEX($G:$G,MATCH(AE85,$A:$A,0)),""))-1),IFERROR(INDEX($G:$G,MATCH(AE85,$A:$A,0)),"")))))</f>
        <v/>
      </c>
      <c r="AG85" s="18" t="str">
        <f aca="false">IF(AF85="","",IF(IFERROR(INDEX($G:$G,MATCH(AF85,$A:$A,0)),"")="","",TRIM(IF(ISNUMBER(FIND(",",IFERROR(INDEX($G:$G,MATCH(AF85,$A:$A,0)),""))),LEFT(IFERROR(INDEX($G:$G,MATCH(AF85,$A:$A,0)),""),FIND(",",IFERROR(INDEX($G:$G,MATCH(AF85,$A:$A,0)),""))-1),IFERROR(INDEX($G:$G,MATCH(AF85,$A:$A,0)),"")))))</f>
        <v/>
      </c>
    </row>
    <row r="86" customFormat="false" ht="15" hidden="false" customHeight="false" outlineLevel="0" collapsed="false">
      <c r="A86" s="18"/>
      <c r="B86" s="19"/>
      <c r="C86" s="20"/>
      <c r="D86" s="20"/>
      <c r="E86" s="20"/>
      <c r="F86" s="20"/>
      <c r="G86" s="18"/>
      <c r="H86" s="20"/>
      <c r="I86" s="18"/>
      <c r="J86" s="20"/>
      <c r="K86" s="20"/>
      <c r="L86" s="20"/>
      <c r="M86" s="20"/>
      <c r="N86" s="20"/>
      <c r="O86" s="21" t="str">
        <f aca="false">IF(A86="","",IF(AD86="",0,IF(AE86="",1,IF(AF86="",2,IF(AG86="",3,"4+")))))</f>
        <v/>
      </c>
      <c r="P86" s="21" t="str">
        <f aca="false">IF(A86="","",B86&amp;IF(AD86="",""," &lt;- "&amp;IFERROR(INDEX($B:$B,MATCH(AD86,$A:$A,0)),AD86)&amp;IF(AE86="",""," &lt;- "&amp;IFERROR(INDEX($B:$B,MATCH(AE86,$A:$A,0)),AE86)&amp;IF(AF86="",""," &lt;- "&amp;IFERROR(INDEX($B:$B,MATCH(AF86,$A:$A,0)),AF86)&amp;IF(AG86="",""," &lt;- "&amp;IFERROR(INDEX($B:$B,MATCH(AG86,$A:$A,0)),AG86)))))&amp;IF(ISNUMBER(FIND(",",G86))," (+ other parents)",""))</f>
        <v/>
      </c>
      <c r="Q86" s="21" t="str">
        <f aca="false">IF(A86="","",IF(AD86="",E86&amp;"",IF(AE86="",IF(IFERROR(INDEX($E:$E,MATCH(AD86,$A:$A,0)),"")="","",INDEX($E:$E,MATCH(AD86,$A:$A,0))),IF(AF86="",IF(IFERROR(INDEX($E:$E,MATCH(AE86,$A:$A,0)),"")="","",INDEX($E:$E,MATCH(AE86,$A:$A,0))),IF(AG86="",IF(IFERROR(INDEX($E:$E,MATCH(AF86,$A:$A,0)),"")="","",INDEX($E:$E,MATCH(AF86,$A:$A,0))),IF(IFERROR(INDEX($E:$E,MATCH(AG86,$A:$A,0)),"")="","",INDEX($E:$E,MATCH(AG86,$A:$A,0))))))))</f>
        <v/>
      </c>
      <c r="R86" s="21" t="str">
        <f aca="false">IF(A86="","",COUNTIF(Fields!$D:$D,A86))</f>
        <v/>
      </c>
      <c r="S86" s="21" t="str">
        <f aca="false">IF(A86="","",SUMIF(Fields!$D:$D,A86,Fields!$Q:$Q))</f>
        <v/>
      </c>
      <c r="T86" s="21" t="str">
        <f aca="false">IF(A86="","",COUNTIF('Product inputs'!$D:$D,A86))</f>
        <v/>
      </c>
      <c r="U86" s="20"/>
      <c r="V86" s="20"/>
      <c r="W86" s="20"/>
      <c r="X86" s="20"/>
      <c r="Y86" s="20"/>
      <c r="Z86" s="20"/>
      <c r="AA86" s="20"/>
      <c r="AB86" s="20"/>
      <c r="AC86" s="20"/>
      <c r="AD86" s="18" t="str">
        <f aca="false">IF(A86="","",IF(IFERROR(INDEX($G:$G,MATCH(A86,$A:$A,0)),"")="","",TRIM(IF(ISNUMBER(FIND(",",IFERROR(INDEX($G:$G,MATCH(A86,$A:$A,0)),""))),LEFT(IFERROR(INDEX($G:$G,MATCH(A86,$A:$A,0)),""),FIND(",",IFERROR(INDEX($G:$G,MATCH(A86,$A:$A,0)),""))-1),IFERROR(INDEX($G:$G,MATCH(A86,$A:$A,0)),"")))))</f>
        <v/>
      </c>
      <c r="AE86" s="18" t="str">
        <f aca="false">IF(AD86="","",IF(IFERROR(INDEX($G:$G,MATCH(AD86,$A:$A,0)),"")="","",TRIM(IF(ISNUMBER(FIND(",",IFERROR(INDEX($G:$G,MATCH(AD86,$A:$A,0)),""))),LEFT(IFERROR(INDEX($G:$G,MATCH(AD86,$A:$A,0)),""),FIND(",",IFERROR(INDEX($G:$G,MATCH(AD86,$A:$A,0)),""))-1),IFERROR(INDEX($G:$G,MATCH(AD86,$A:$A,0)),"")))))</f>
        <v/>
      </c>
      <c r="AF86" s="18" t="str">
        <f aca="false">IF(AE86="","",IF(IFERROR(INDEX($G:$G,MATCH(AE86,$A:$A,0)),"")="","",TRIM(IF(ISNUMBER(FIND(",",IFERROR(INDEX($G:$G,MATCH(AE86,$A:$A,0)),""))),LEFT(IFERROR(INDEX($G:$G,MATCH(AE86,$A:$A,0)),""),FIND(",",IFERROR(INDEX($G:$G,MATCH(AE86,$A:$A,0)),""))-1),IFERROR(INDEX($G:$G,MATCH(AE86,$A:$A,0)),"")))))</f>
        <v/>
      </c>
      <c r="AG86" s="18" t="str">
        <f aca="false">IF(AF86="","",IF(IFERROR(INDEX($G:$G,MATCH(AF86,$A:$A,0)),"")="","",TRIM(IF(ISNUMBER(FIND(",",IFERROR(INDEX($G:$G,MATCH(AF86,$A:$A,0)),""))),LEFT(IFERROR(INDEX($G:$G,MATCH(AF86,$A:$A,0)),""),FIND(",",IFERROR(INDEX($G:$G,MATCH(AF86,$A:$A,0)),""))-1),IFERROR(INDEX($G:$G,MATCH(AF86,$A:$A,0)),"")))))</f>
        <v/>
      </c>
    </row>
    <row r="87" customFormat="false" ht="15" hidden="false" customHeight="false" outlineLevel="0" collapsed="false">
      <c r="A87" s="18"/>
      <c r="B87" s="19"/>
      <c r="C87" s="20"/>
      <c r="D87" s="20"/>
      <c r="E87" s="20"/>
      <c r="F87" s="20"/>
      <c r="G87" s="18"/>
      <c r="H87" s="20"/>
      <c r="I87" s="18"/>
      <c r="J87" s="20"/>
      <c r="K87" s="20"/>
      <c r="L87" s="20"/>
      <c r="M87" s="20"/>
      <c r="N87" s="20"/>
      <c r="O87" s="21" t="str">
        <f aca="false">IF(A87="","",IF(AD87="",0,IF(AE87="",1,IF(AF87="",2,IF(AG87="",3,"4+")))))</f>
        <v/>
      </c>
      <c r="P87" s="21" t="str">
        <f aca="false">IF(A87="","",B87&amp;IF(AD87="",""," &lt;- "&amp;IFERROR(INDEX($B:$B,MATCH(AD87,$A:$A,0)),AD87)&amp;IF(AE87="",""," &lt;- "&amp;IFERROR(INDEX($B:$B,MATCH(AE87,$A:$A,0)),AE87)&amp;IF(AF87="",""," &lt;- "&amp;IFERROR(INDEX($B:$B,MATCH(AF87,$A:$A,0)),AF87)&amp;IF(AG87="",""," &lt;- "&amp;IFERROR(INDEX($B:$B,MATCH(AG87,$A:$A,0)),AG87)))))&amp;IF(ISNUMBER(FIND(",",G87))," (+ other parents)",""))</f>
        <v/>
      </c>
      <c r="Q87" s="21" t="str">
        <f aca="false">IF(A87="","",IF(AD87="",E87&amp;"",IF(AE87="",IF(IFERROR(INDEX($E:$E,MATCH(AD87,$A:$A,0)),"")="","",INDEX($E:$E,MATCH(AD87,$A:$A,0))),IF(AF87="",IF(IFERROR(INDEX($E:$E,MATCH(AE87,$A:$A,0)),"")="","",INDEX($E:$E,MATCH(AE87,$A:$A,0))),IF(AG87="",IF(IFERROR(INDEX($E:$E,MATCH(AF87,$A:$A,0)),"")="","",INDEX($E:$E,MATCH(AF87,$A:$A,0))),IF(IFERROR(INDEX($E:$E,MATCH(AG87,$A:$A,0)),"")="","",INDEX($E:$E,MATCH(AG87,$A:$A,0))))))))</f>
        <v/>
      </c>
      <c r="R87" s="21" t="str">
        <f aca="false">IF(A87="","",COUNTIF(Fields!$D:$D,A87))</f>
        <v/>
      </c>
      <c r="S87" s="21" t="str">
        <f aca="false">IF(A87="","",SUMIF(Fields!$D:$D,A87,Fields!$Q:$Q))</f>
        <v/>
      </c>
      <c r="T87" s="21" t="str">
        <f aca="false">IF(A87="","",COUNTIF('Product inputs'!$D:$D,A87))</f>
        <v/>
      </c>
      <c r="U87" s="20"/>
      <c r="V87" s="20"/>
      <c r="W87" s="20"/>
      <c r="X87" s="20"/>
      <c r="Y87" s="20"/>
      <c r="Z87" s="20"/>
      <c r="AA87" s="20"/>
      <c r="AB87" s="20"/>
      <c r="AC87" s="20"/>
      <c r="AD87" s="18" t="str">
        <f aca="false">IF(A87="","",IF(IFERROR(INDEX($G:$G,MATCH(A87,$A:$A,0)),"")="","",TRIM(IF(ISNUMBER(FIND(",",IFERROR(INDEX($G:$G,MATCH(A87,$A:$A,0)),""))),LEFT(IFERROR(INDEX($G:$G,MATCH(A87,$A:$A,0)),""),FIND(",",IFERROR(INDEX($G:$G,MATCH(A87,$A:$A,0)),""))-1),IFERROR(INDEX($G:$G,MATCH(A87,$A:$A,0)),"")))))</f>
        <v/>
      </c>
      <c r="AE87" s="18" t="str">
        <f aca="false">IF(AD87="","",IF(IFERROR(INDEX($G:$G,MATCH(AD87,$A:$A,0)),"")="","",TRIM(IF(ISNUMBER(FIND(",",IFERROR(INDEX($G:$G,MATCH(AD87,$A:$A,0)),""))),LEFT(IFERROR(INDEX($G:$G,MATCH(AD87,$A:$A,0)),""),FIND(",",IFERROR(INDEX($G:$G,MATCH(AD87,$A:$A,0)),""))-1),IFERROR(INDEX($G:$G,MATCH(AD87,$A:$A,0)),"")))))</f>
        <v/>
      </c>
      <c r="AF87" s="18" t="str">
        <f aca="false">IF(AE87="","",IF(IFERROR(INDEX($G:$G,MATCH(AE87,$A:$A,0)),"")="","",TRIM(IF(ISNUMBER(FIND(",",IFERROR(INDEX($G:$G,MATCH(AE87,$A:$A,0)),""))),LEFT(IFERROR(INDEX($G:$G,MATCH(AE87,$A:$A,0)),""),FIND(",",IFERROR(INDEX($G:$G,MATCH(AE87,$A:$A,0)),""))-1),IFERROR(INDEX($G:$G,MATCH(AE87,$A:$A,0)),"")))))</f>
        <v/>
      </c>
      <c r="AG87" s="18" t="str">
        <f aca="false">IF(AF87="","",IF(IFERROR(INDEX($G:$G,MATCH(AF87,$A:$A,0)),"")="","",TRIM(IF(ISNUMBER(FIND(",",IFERROR(INDEX($G:$G,MATCH(AF87,$A:$A,0)),""))),LEFT(IFERROR(INDEX($G:$G,MATCH(AF87,$A:$A,0)),""),FIND(",",IFERROR(INDEX($G:$G,MATCH(AF87,$A:$A,0)),""))-1),IFERROR(INDEX($G:$G,MATCH(AF87,$A:$A,0)),"")))))</f>
        <v/>
      </c>
    </row>
    <row r="88" customFormat="false" ht="15" hidden="false" customHeight="false" outlineLevel="0" collapsed="false">
      <c r="A88" s="18"/>
      <c r="B88" s="19"/>
      <c r="C88" s="20"/>
      <c r="D88" s="20"/>
      <c r="E88" s="20"/>
      <c r="F88" s="20"/>
      <c r="G88" s="18"/>
      <c r="H88" s="20"/>
      <c r="I88" s="18"/>
      <c r="J88" s="20"/>
      <c r="K88" s="20"/>
      <c r="L88" s="20"/>
      <c r="M88" s="20"/>
      <c r="N88" s="20"/>
      <c r="O88" s="21" t="str">
        <f aca="false">IF(A88="","",IF(AD88="",0,IF(AE88="",1,IF(AF88="",2,IF(AG88="",3,"4+")))))</f>
        <v/>
      </c>
      <c r="P88" s="21" t="str">
        <f aca="false">IF(A88="","",B88&amp;IF(AD88="",""," &lt;- "&amp;IFERROR(INDEX($B:$B,MATCH(AD88,$A:$A,0)),AD88)&amp;IF(AE88="",""," &lt;- "&amp;IFERROR(INDEX($B:$B,MATCH(AE88,$A:$A,0)),AE88)&amp;IF(AF88="",""," &lt;- "&amp;IFERROR(INDEX($B:$B,MATCH(AF88,$A:$A,0)),AF88)&amp;IF(AG88="",""," &lt;- "&amp;IFERROR(INDEX($B:$B,MATCH(AG88,$A:$A,0)),AG88)))))&amp;IF(ISNUMBER(FIND(",",G88))," (+ other parents)",""))</f>
        <v/>
      </c>
      <c r="Q88" s="21" t="str">
        <f aca="false">IF(A88="","",IF(AD88="",E88&amp;"",IF(AE88="",IF(IFERROR(INDEX($E:$E,MATCH(AD88,$A:$A,0)),"")="","",INDEX($E:$E,MATCH(AD88,$A:$A,0))),IF(AF88="",IF(IFERROR(INDEX($E:$E,MATCH(AE88,$A:$A,0)),"")="","",INDEX($E:$E,MATCH(AE88,$A:$A,0))),IF(AG88="",IF(IFERROR(INDEX($E:$E,MATCH(AF88,$A:$A,0)),"")="","",INDEX($E:$E,MATCH(AF88,$A:$A,0))),IF(IFERROR(INDEX($E:$E,MATCH(AG88,$A:$A,0)),"")="","",INDEX($E:$E,MATCH(AG88,$A:$A,0))))))))</f>
        <v/>
      </c>
      <c r="R88" s="21" t="str">
        <f aca="false">IF(A88="","",COUNTIF(Fields!$D:$D,A88))</f>
        <v/>
      </c>
      <c r="S88" s="21" t="str">
        <f aca="false">IF(A88="","",SUMIF(Fields!$D:$D,A88,Fields!$Q:$Q))</f>
        <v/>
      </c>
      <c r="T88" s="21" t="str">
        <f aca="false">IF(A88="","",COUNTIF('Product inputs'!$D:$D,A88))</f>
        <v/>
      </c>
      <c r="U88" s="20"/>
      <c r="V88" s="20"/>
      <c r="W88" s="20"/>
      <c r="X88" s="20"/>
      <c r="Y88" s="20"/>
      <c r="Z88" s="20"/>
      <c r="AA88" s="20"/>
      <c r="AB88" s="20"/>
      <c r="AC88" s="20"/>
      <c r="AD88" s="18" t="str">
        <f aca="false">IF(A88="","",IF(IFERROR(INDEX($G:$G,MATCH(A88,$A:$A,0)),"")="","",TRIM(IF(ISNUMBER(FIND(",",IFERROR(INDEX($G:$G,MATCH(A88,$A:$A,0)),""))),LEFT(IFERROR(INDEX($G:$G,MATCH(A88,$A:$A,0)),""),FIND(",",IFERROR(INDEX($G:$G,MATCH(A88,$A:$A,0)),""))-1),IFERROR(INDEX($G:$G,MATCH(A88,$A:$A,0)),"")))))</f>
        <v/>
      </c>
      <c r="AE88" s="18" t="str">
        <f aca="false">IF(AD88="","",IF(IFERROR(INDEX($G:$G,MATCH(AD88,$A:$A,0)),"")="","",TRIM(IF(ISNUMBER(FIND(",",IFERROR(INDEX($G:$G,MATCH(AD88,$A:$A,0)),""))),LEFT(IFERROR(INDEX($G:$G,MATCH(AD88,$A:$A,0)),""),FIND(",",IFERROR(INDEX($G:$G,MATCH(AD88,$A:$A,0)),""))-1),IFERROR(INDEX($G:$G,MATCH(AD88,$A:$A,0)),"")))))</f>
        <v/>
      </c>
      <c r="AF88" s="18" t="str">
        <f aca="false">IF(AE88="","",IF(IFERROR(INDEX($G:$G,MATCH(AE88,$A:$A,0)),"")="","",TRIM(IF(ISNUMBER(FIND(",",IFERROR(INDEX($G:$G,MATCH(AE88,$A:$A,0)),""))),LEFT(IFERROR(INDEX($G:$G,MATCH(AE88,$A:$A,0)),""),FIND(",",IFERROR(INDEX($G:$G,MATCH(AE88,$A:$A,0)),""))-1),IFERROR(INDEX($G:$G,MATCH(AE88,$A:$A,0)),"")))))</f>
        <v/>
      </c>
      <c r="AG88" s="18" t="str">
        <f aca="false">IF(AF88="","",IF(IFERROR(INDEX($G:$G,MATCH(AF88,$A:$A,0)),"")="","",TRIM(IF(ISNUMBER(FIND(",",IFERROR(INDEX($G:$G,MATCH(AF88,$A:$A,0)),""))),LEFT(IFERROR(INDEX($G:$G,MATCH(AF88,$A:$A,0)),""),FIND(",",IFERROR(INDEX($G:$G,MATCH(AF88,$A:$A,0)),""))-1),IFERROR(INDEX($G:$G,MATCH(AF88,$A:$A,0)),"")))))</f>
        <v/>
      </c>
    </row>
    <row r="89" customFormat="false" ht="15" hidden="false" customHeight="false" outlineLevel="0" collapsed="false">
      <c r="A89" s="18"/>
      <c r="B89" s="19"/>
      <c r="C89" s="20"/>
      <c r="D89" s="20"/>
      <c r="E89" s="20"/>
      <c r="F89" s="20"/>
      <c r="G89" s="18"/>
      <c r="H89" s="20"/>
      <c r="I89" s="18"/>
      <c r="J89" s="20"/>
      <c r="K89" s="20"/>
      <c r="L89" s="20"/>
      <c r="M89" s="20"/>
      <c r="N89" s="20"/>
      <c r="O89" s="21" t="str">
        <f aca="false">IF(A89="","",IF(AD89="",0,IF(AE89="",1,IF(AF89="",2,IF(AG89="",3,"4+")))))</f>
        <v/>
      </c>
      <c r="P89" s="21" t="str">
        <f aca="false">IF(A89="","",B89&amp;IF(AD89="",""," &lt;- "&amp;IFERROR(INDEX($B:$B,MATCH(AD89,$A:$A,0)),AD89)&amp;IF(AE89="",""," &lt;- "&amp;IFERROR(INDEX($B:$B,MATCH(AE89,$A:$A,0)),AE89)&amp;IF(AF89="",""," &lt;- "&amp;IFERROR(INDEX($B:$B,MATCH(AF89,$A:$A,0)),AF89)&amp;IF(AG89="",""," &lt;- "&amp;IFERROR(INDEX($B:$B,MATCH(AG89,$A:$A,0)),AG89)))))&amp;IF(ISNUMBER(FIND(",",G89))," (+ other parents)",""))</f>
        <v/>
      </c>
      <c r="Q89" s="21" t="str">
        <f aca="false">IF(A89="","",IF(AD89="",E89&amp;"",IF(AE89="",IF(IFERROR(INDEX($E:$E,MATCH(AD89,$A:$A,0)),"")="","",INDEX($E:$E,MATCH(AD89,$A:$A,0))),IF(AF89="",IF(IFERROR(INDEX($E:$E,MATCH(AE89,$A:$A,0)),"")="","",INDEX($E:$E,MATCH(AE89,$A:$A,0))),IF(AG89="",IF(IFERROR(INDEX($E:$E,MATCH(AF89,$A:$A,0)),"")="","",INDEX($E:$E,MATCH(AF89,$A:$A,0))),IF(IFERROR(INDEX($E:$E,MATCH(AG89,$A:$A,0)),"")="","",INDEX($E:$E,MATCH(AG89,$A:$A,0))))))))</f>
        <v/>
      </c>
      <c r="R89" s="21" t="str">
        <f aca="false">IF(A89="","",COUNTIF(Fields!$D:$D,A89))</f>
        <v/>
      </c>
      <c r="S89" s="21" t="str">
        <f aca="false">IF(A89="","",SUMIF(Fields!$D:$D,A89,Fields!$Q:$Q))</f>
        <v/>
      </c>
      <c r="T89" s="21" t="str">
        <f aca="false">IF(A89="","",COUNTIF('Product inputs'!$D:$D,A89))</f>
        <v/>
      </c>
      <c r="U89" s="20"/>
      <c r="V89" s="20"/>
      <c r="W89" s="20"/>
      <c r="X89" s="20"/>
      <c r="Y89" s="20"/>
      <c r="Z89" s="20"/>
      <c r="AA89" s="20"/>
      <c r="AB89" s="20"/>
      <c r="AC89" s="20"/>
      <c r="AD89" s="18" t="str">
        <f aca="false">IF(A89="","",IF(IFERROR(INDEX($G:$G,MATCH(A89,$A:$A,0)),"")="","",TRIM(IF(ISNUMBER(FIND(",",IFERROR(INDEX($G:$G,MATCH(A89,$A:$A,0)),""))),LEFT(IFERROR(INDEX($G:$G,MATCH(A89,$A:$A,0)),""),FIND(",",IFERROR(INDEX($G:$G,MATCH(A89,$A:$A,0)),""))-1),IFERROR(INDEX($G:$G,MATCH(A89,$A:$A,0)),"")))))</f>
        <v/>
      </c>
      <c r="AE89" s="18" t="str">
        <f aca="false">IF(AD89="","",IF(IFERROR(INDEX($G:$G,MATCH(AD89,$A:$A,0)),"")="","",TRIM(IF(ISNUMBER(FIND(",",IFERROR(INDEX($G:$G,MATCH(AD89,$A:$A,0)),""))),LEFT(IFERROR(INDEX($G:$G,MATCH(AD89,$A:$A,0)),""),FIND(",",IFERROR(INDEX($G:$G,MATCH(AD89,$A:$A,0)),""))-1),IFERROR(INDEX($G:$G,MATCH(AD89,$A:$A,0)),"")))))</f>
        <v/>
      </c>
      <c r="AF89" s="18" t="str">
        <f aca="false">IF(AE89="","",IF(IFERROR(INDEX($G:$G,MATCH(AE89,$A:$A,0)),"")="","",TRIM(IF(ISNUMBER(FIND(",",IFERROR(INDEX($G:$G,MATCH(AE89,$A:$A,0)),""))),LEFT(IFERROR(INDEX($G:$G,MATCH(AE89,$A:$A,0)),""),FIND(",",IFERROR(INDEX($G:$G,MATCH(AE89,$A:$A,0)),""))-1),IFERROR(INDEX($G:$G,MATCH(AE89,$A:$A,0)),"")))))</f>
        <v/>
      </c>
      <c r="AG89" s="18" t="str">
        <f aca="false">IF(AF89="","",IF(IFERROR(INDEX($G:$G,MATCH(AF89,$A:$A,0)),"")="","",TRIM(IF(ISNUMBER(FIND(",",IFERROR(INDEX($G:$G,MATCH(AF89,$A:$A,0)),""))),LEFT(IFERROR(INDEX($G:$G,MATCH(AF89,$A:$A,0)),""),FIND(",",IFERROR(INDEX($G:$G,MATCH(AF89,$A:$A,0)),""))-1),IFERROR(INDEX($G:$G,MATCH(AF89,$A:$A,0)),"")))))</f>
        <v/>
      </c>
    </row>
    <row r="90" customFormat="false" ht="15" hidden="false" customHeight="false" outlineLevel="0" collapsed="false">
      <c r="A90" s="18"/>
      <c r="B90" s="19"/>
      <c r="C90" s="20"/>
      <c r="D90" s="20"/>
      <c r="E90" s="20"/>
      <c r="F90" s="20"/>
      <c r="G90" s="18"/>
      <c r="H90" s="20"/>
      <c r="I90" s="18"/>
      <c r="J90" s="20"/>
      <c r="K90" s="20"/>
      <c r="L90" s="20"/>
      <c r="M90" s="20"/>
      <c r="N90" s="20"/>
      <c r="O90" s="21" t="str">
        <f aca="false">IF(A90="","",IF(AD90="",0,IF(AE90="",1,IF(AF90="",2,IF(AG90="",3,"4+")))))</f>
        <v/>
      </c>
      <c r="P90" s="21" t="str">
        <f aca="false">IF(A90="","",B90&amp;IF(AD90="",""," &lt;- "&amp;IFERROR(INDEX($B:$B,MATCH(AD90,$A:$A,0)),AD90)&amp;IF(AE90="",""," &lt;- "&amp;IFERROR(INDEX($B:$B,MATCH(AE90,$A:$A,0)),AE90)&amp;IF(AF90="",""," &lt;- "&amp;IFERROR(INDEX($B:$B,MATCH(AF90,$A:$A,0)),AF90)&amp;IF(AG90="",""," &lt;- "&amp;IFERROR(INDEX($B:$B,MATCH(AG90,$A:$A,0)),AG90)))))&amp;IF(ISNUMBER(FIND(",",G90))," (+ other parents)",""))</f>
        <v/>
      </c>
      <c r="Q90" s="21" t="str">
        <f aca="false">IF(A90="","",IF(AD90="",E90&amp;"",IF(AE90="",IF(IFERROR(INDEX($E:$E,MATCH(AD90,$A:$A,0)),"")="","",INDEX($E:$E,MATCH(AD90,$A:$A,0))),IF(AF90="",IF(IFERROR(INDEX($E:$E,MATCH(AE90,$A:$A,0)),"")="","",INDEX($E:$E,MATCH(AE90,$A:$A,0))),IF(AG90="",IF(IFERROR(INDEX($E:$E,MATCH(AF90,$A:$A,0)),"")="","",INDEX($E:$E,MATCH(AF90,$A:$A,0))),IF(IFERROR(INDEX($E:$E,MATCH(AG90,$A:$A,0)),"")="","",INDEX($E:$E,MATCH(AG90,$A:$A,0))))))))</f>
        <v/>
      </c>
      <c r="R90" s="21" t="str">
        <f aca="false">IF(A90="","",COUNTIF(Fields!$D:$D,A90))</f>
        <v/>
      </c>
      <c r="S90" s="21" t="str">
        <f aca="false">IF(A90="","",SUMIF(Fields!$D:$D,A90,Fields!$Q:$Q))</f>
        <v/>
      </c>
      <c r="T90" s="21" t="str">
        <f aca="false">IF(A90="","",COUNTIF('Product inputs'!$D:$D,A90))</f>
        <v/>
      </c>
      <c r="U90" s="20"/>
      <c r="V90" s="20"/>
      <c r="W90" s="20"/>
      <c r="X90" s="20"/>
      <c r="Y90" s="20"/>
      <c r="Z90" s="20"/>
      <c r="AA90" s="20"/>
      <c r="AB90" s="20"/>
      <c r="AC90" s="20"/>
      <c r="AD90" s="18" t="str">
        <f aca="false">IF(A90="","",IF(IFERROR(INDEX($G:$G,MATCH(A90,$A:$A,0)),"")="","",TRIM(IF(ISNUMBER(FIND(",",IFERROR(INDEX($G:$G,MATCH(A90,$A:$A,0)),""))),LEFT(IFERROR(INDEX($G:$G,MATCH(A90,$A:$A,0)),""),FIND(",",IFERROR(INDEX($G:$G,MATCH(A90,$A:$A,0)),""))-1),IFERROR(INDEX($G:$G,MATCH(A90,$A:$A,0)),"")))))</f>
        <v/>
      </c>
      <c r="AE90" s="18" t="str">
        <f aca="false">IF(AD90="","",IF(IFERROR(INDEX($G:$G,MATCH(AD90,$A:$A,0)),"")="","",TRIM(IF(ISNUMBER(FIND(",",IFERROR(INDEX($G:$G,MATCH(AD90,$A:$A,0)),""))),LEFT(IFERROR(INDEX($G:$G,MATCH(AD90,$A:$A,0)),""),FIND(",",IFERROR(INDEX($G:$G,MATCH(AD90,$A:$A,0)),""))-1),IFERROR(INDEX($G:$G,MATCH(AD90,$A:$A,0)),"")))))</f>
        <v/>
      </c>
      <c r="AF90" s="18" t="str">
        <f aca="false">IF(AE90="","",IF(IFERROR(INDEX($G:$G,MATCH(AE90,$A:$A,0)),"")="","",TRIM(IF(ISNUMBER(FIND(",",IFERROR(INDEX($G:$G,MATCH(AE90,$A:$A,0)),""))),LEFT(IFERROR(INDEX($G:$G,MATCH(AE90,$A:$A,0)),""),FIND(",",IFERROR(INDEX($G:$G,MATCH(AE90,$A:$A,0)),""))-1),IFERROR(INDEX($G:$G,MATCH(AE90,$A:$A,0)),"")))))</f>
        <v/>
      </c>
      <c r="AG90" s="18" t="str">
        <f aca="false">IF(AF90="","",IF(IFERROR(INDEX($G:$G,MATCH(AF90,$A:$A,0)),"")="","",TRIM(IF(ISNUMBER(FIND(",",IFERROR(INDEX($G:$G,MATCH(AF90,$A:$A,0)),""))),LEFT(IFERROR(INDEX($G:$G,MATCH(AF90,$A:$A,0)),""),FIND(",",IFERROR(INDEX($G:$G,MATCH(AF90,$A:$A,0)),""))-1),IFERROR(INDEX($G:$G,MATCH(AF90,$A:$A,0)),"")))))</f>
        <v/>
      </c>
    </row>
    <row r="91" customFormat="false" ht="15" hidden="false" customHeight="false" outlineLevel="0" collapsed="false">
      <c r="A91" s="18"/>
      <c r="B91" s="19"/>
      <c r="C91" s="20"/>
      <c r="D91" s="20"/>
      <c r="E91" s="20"/>
      <c r="F91" s="20"/>
      <c r="G91" s="18"/>
      <c r="H91" s="20"/>
      <c r="I91" s="18"/>
      <c r="J91" s="20"/>
      <c r="K91" s="20"/>
      <c r="L91" s="20"/>
      <c r="M91" s="20"/>
      <c r="N91" s="20"/>
      <c r="O91" s="21" t="str">
        <f aca="false">IF(A91="","",IF(AD91="",0,IF(AE91="",1,IF(AF91="",2,IF(AG91="",3,"4+")))))</f>
        <v/>
      </c>
      <c r="P91" s="21" t="str">
        <f aca="false">IF(A91="","",B91&amp;IF(AD91="",""," &lt;- "&amp;IFERROR(INDEX($B:$B,MATCH(AD91,$A:$A,0)),AD91)&amp;IF(AE91="",""," &lt;- "&amp;IFERROR(INDEX($B:$B,MATCH(AE91,$A:$A,0)),AE91)&amp;IF(AF91="",""," &lt;- "&amp;IFERROR(INDEX($B:$B,MATCH(AF91,$A:$A,0)),AF91)&amp;IF(AG91="",""," &lt;- "&amp;IFERROR(INDEX($B:$B,MATCH(AG91,$A:$A,0)),AG91)))))&amp;IF(ISNUMBER(FIND(",",G91))," (+ other parents)",""))</f>
        <v/>
      </c>
      <c r="Q91" s="21" t="str">
        <f aca="false">IF(A91="","",IF(AD91="",E91&amp;"",IF(AE91="",IF(IFERROR(INDEX($E:$E,MATCH(AD91,$A:$A,0)),"")="","",INDEX($E:$E,MATCH(AD91,$A:$A,0))),IF(AF91="",IF(IFERROR(INDEX($E:$E,MATCH(AE91,$A:$A,0)),"")="","",INDEX($E:$E,MATCH(AE91,$A:$A,0))),IF(AG91="",IF(IFERROR(INDEX($E:$E,MATCH(AF91,$A:$A,0)),"")="","",INDEX($E:$E,MATCH(AF91,$A:$A,0))),IF(IFERROR(INDEX($E:$E,MATCH(AG91,$A:$A,0)),"")="","",INDEX($E:$E,MATCH(AG91,$A:$A,0))))))))</f>
        <v/>
      </c>
      <c r="R91" s="21" t="str">
        <f aca="false">IF(A91="","",COUNTIF(Fields!$D:$D,A91))</f>
        <v/>
      </c>
      <c r="S91" s="21" t="str">
        <f aca="false">IF(A91="","",SUMIF(Fields!$D:$D,A91,Fields!$Q:$Q))</f>
        <v/>
      </c>
      <c r="T91" s="21" t="str">
        <f aca="false">IF(A91="","",COUNTIF('Product inputs'!$D:$D,A91))</f>
        <v/>
      </c>
      <c r="U91" s="20"/>
      <c r="V91" s="20"/>
      <c r="W91" s="20"/>
      <c r="X91" s="20"/>
      <c r="Y91" s="20"/>
      <c r="Z91" s="20"/>
      <c r="AA91" s="20"/>
      <c r="AB91" s="20"/>
      <c r="AC91" s="20"/>
      <c r="AD91" s="18" t="str">
        <f aca="false">IF(A91="","",IF(IFERROR(INDEX($G:$G,MATCH(A91,$A:$A,0)),"")="","",TRIM(IF(ISNUMBER(FIND(",",IFERROR(INDEX($G:$G,MATCH(A91,$A:$A,0)),""))),LEFT(IFERROR(INDEX($G:$G,MATCH(A91,$A:$A,0)),""),FIND(",",IFERROR(INDEX($G:$G,MATCH(A91,$A:$A,0)),""))-1),IFERROR(INDEX($G:$G,MATCH(A91,$A:$A,0)),"")))))</f>
        <v/>
      </c>
      <c r="AE91" s="18" t="str">
        <f aca="false">IF(AD91="","",IF(IFERROR(INDEX($G:$G,MATCH(AD91,$A:$A,0)),"")="","",TRIM(IF(ISNUMBER(FIND(",",IFERROR(INDEX($G:$G,MATCH(AD91,$A:$A,0)),""))),LEFT(IFERROR(INDEX($G:$G,MATCH(AD91,$A:$A,0)),""),FIND(",",IFERROR(INDEX($G:$G,MATCH(AD91,$A:$A,0)),""))-1),IFERROR(INDEX($G:$G,MATCH(AD91,$A:$A,0)),"")))))</f>
        <v/>
      </c>
      <c r="AF91" s="18" t="str">
        <f aca="false">IF(AE91="","",IF(IFERROR(INDEX($G:$G,MATCH(AE91,$A:$A,0)),"")="","",TRIM(IF(ISNUMBER(FIND(",",IFERROR(INDEX($G:$G,MATCH(AE91,$A:$A,0)),""))),LEFT(IFERROR(INDEX($G:$G,MATCH(AE91,$A:$A,0)),""),FIND(",",IFERROR(INDEX($G:$G,MATCH(AE91,$A:$A,0)),""))-1),IFERROR(INDEX($G:$G,MATCH(AE91,$A:$A,0)),"")))))</f>
        <v/>
      </c>
      <c r="AG91" s="18" t="str">
        <f aca="false">IF(AF91="","",IF(IFERROR(INDEX($G:$G,MATCH(AF91,$A:$A,0)),"")="","",TRIM(IF(ISNUMBER(FIND(",",IFERROR(INDEX($G:$G,MATCH(AF91,$A:$A,0)),""))),LEFT(IFERROR(INDEX($G:$G,MATCH(AF91,$A:$A,0)),""),FIND(",",IFERROR(INDEX($G:$G,MATCH(AF91,$A:$A,0)),""))-1),IFERROR(INDEX($G:$G,MATCH(AF91,$A:$A,0)),"")))))</f>
        <v/>
      </c>
    </row>
    <row r="92" customFormat="false" ht="15" hidden="false" customHeight="false" outlineLevel="0" collapsed="false">
      <c r="A92" s="18"/>
      <c r="B92" s="19"/>
      <c r="C92" s="20"/>
      <c r="D92" s="20"/>
      <c r="E92" s="20"/>
      <c r="F92" s="20"/>
      <c r="G92" s="18"/>
      <c r="H92" s="20"/>
      <c r="I92" s="18"/>
      <c r="J92" s="20"/>
      <c r="K92" s="20"/>
      <c r="L92" s="20"/>
      <c r="M92" s="20"/>
      <c r="N92" s="20"/>
      <c r="O92" s="21" t="str">
        <f aca="false">IF(A92="","",IF(AD92="",0,IF(AE92="",1,IF(AF92="",2,IF(AG92="",3,"4+")))))</f>
        <v/>
      </c>
      <c r="P92" s="21" t="str">
        <f aca="false">IF(A92="","",B92&amp;IF(AD92="",""," &lt;- "&amp;IFERROR(INDEX($B:$B,MATCH(AD92,$A:$A,0)),AD92)&amp;IF(AE92="",""," &lt;- "&amp;IFERROR(INDEX($B:$B,MATCH(AE92,$A:$A,0)),AE92)&amp;IF(AF92="",""," &lt;- "&amp;IFERROR(INDEX($B:$B,MATCH(AF92,$A:$A,0)),AF92)&amp;IF(AG92="",""," &lt;- "&amp;IFERROR(INDEX($B:$B,MATCH(AG92,$A:$A,0)),AG92)))))&amp;IF(ISNUMBER(FIND(",",G92))," (+ other parents)",""))</f>
        <v/>
      </c>
      <c r="Q92" s="21" t="str">
        <f aca="false">IF(A92="","",IF(AD92="",E92&amp;"",IF(AE92="",IF(IFERROR(INDEX($E:$E,MATCH(AD92,$A:$A,0)),"")="","",INDEX($E:$E,MATCH(AD92,$A:$A,0))),IF(AF92="",IF(IFERROR(INDEX($E:$E,MATCH(AE92,$A:$A,0)),"")="","",INDEX($E:$E,MATCH(AE92,$A:$A,0))),IF(AG92="",IF(IFERROR(INDEX($E:$E,MATCH(AF92,$A:$A,0)),"")="","",INDEX($E:$E,MATCH(AF92,$A:$A,0))),IF(IFERROR(INDEX($E:$E,MATCH(AG92,$A:$A,0)),"")="","",INDEX($E:$E,MATCH(AG92,$A:$A,0))))))))</f>
        <v/>
      </c>
      <c r="R92" s="21" t="str">
        <f aca="false">IF(A92="","",COUNTIF(Fields!$D:$D,A92))</f>
        <v/>
      </c>
      <c r="S92" s="21" t="str">
        <f aca="false">IF(A92="","",SUMIF(Fields!$D:$D,A92,Fields!$Q:$Q))</f>
        <v/>
      </c>
      <c r="T92" s="21" t="str">
        <f aca="false">IF(A92="","",COUNTIF('Product inputs'!$D:$D,A92))</f>
        <v/>
      </c>
      <c r="U92" s="20"/>
      <c r="V92" s="20"/>
      <c r="W92" s="20"/>
      <c r="X92" s="20"/>
      <c r="Y92" s="20"/>
      <c r="Z92" s="20"/>
      <c r="AA92" s="20"/>
      <c r="AB92" s="20"/>
      <c r="AC92" s="20"/>
      <c r="AD92" s="18" t="str">
        <f aca="false">IF(A92="","",IF(IFERROR(INDEX($G:$G,MATCH(A92,$A:$A,0)),"")="","",TRIM(IF(ISNUMBER(FIND(",",IFERROR(INDEX($G:$G,MATCH(A92,$A:$A,0)),""))),LEFT(IFERROR(INDEX($G:$G,MATCH(A92,$A:$A,0)),""),FIND(",",IFERROR(INDEX($G:$G,MATCH(A92,$A:$A,0)),""))-1),IFERROR(INDEX($G:$G,MATCH(A92,$A:$A,0)),"")))))</f>
        <v/>
      </c>
      <c r="AE92" s="18" t="str">
        <f aca="false">IF(AD92="","",IF(IFERROR(INDEX($G:$G,MATCH(AD92,$A:$A,0)),"")="","",TRIM(IF(ISNUMBER(FIND(",",IFERROR(INDEX($G:$G,MATCH(AD92,$A:$A,0)),""))),LEFT(IFERROR(INDEX($G:$G,MATCH(AD92,$A:$A,0)),""),FIND(",",IFERROR(INDEX($G:$G,MATCH(AD92,$A:$A,0)),""))-1),IFERROR(INDEX($G:$G,MATCH(AD92,$A:$A,0)),"")))))</f>
        <v/>
      </c>
      <c r="AF92" s="18" t="str">
        <f aca="false">IF(AE92="","",IF(IFERROR(INDEX($G:$G,MATCH(AE92,$A:$A,0)),"")="","",TRIM(IF(ISNUMBER(FIND(",",IFERROR(INDEX($G:$G,MATCH(AE92,$A:$A,0)),""))),LEFT(IFERROR(INDEX($G:$G,MATCH(AE92,$A:$A,0)),""),FIND(",",IFERROR(INDEX($G:$G,MATCH(AE92,$A:$A,0)),""))-1),IFERROR(INDEX($G:$G,MATCH(AE92,$A:$A,0)),"")))))</f>
        <v/>
      </c>
      <c r="AG92" s="18" t="str">
        <f aca="false">IF(AF92="","",IF(IFERROR(INDEX($G:$G,MATCH(AF92,$A:$A,0)),"")="","",TRIM(IF(ISNUMBER(FIND(",",IFERROR(INDEX($G:$G,MATCH(AF92,$A:$A,0)),""))),LEFT(IFERROR(INDEX($G:$G,MATCH(AF92,$A:$A,0)),""),FIND(",",IFERROR(INDEX($G:$G,MATCH(AF92,$A:$A,0)),""))-1),IFERROR(INDEX($G:$G,MATCH(AF92,$A:$A,0)),"")))))</f>
        <v/>
      </c>
    </row>
    <row r="93" customFormat="false" ht="15" hidden="false" customHeight="false" outlineLevel="0" collapsed="false">
      <c r="A93" s="18"/>
      <c r="B93" s="19"/>
      <c r="C93" s="20"/>
      <c r="D93" s="20"/>
      <c r="E93" s="20"/>
      <c r="F93" s="20"/>
      <c r="G93" s="18"/>
      <c r="H93" s="20"/>
      <c r="I93" s="18"/>
      <c r="J93" s="20"/>
      <c r="K93" s="20"/>
      <c r="L93" s="20"/>
      <c r="M93" s="20"/>
      <c r="N93" s="20"/>
      <c r="O93" s="21" t="str">
        <f aca="false">IF(A93="","",IF(AD93="",0,IF(AE93="",1,IF(AF93="",2,IF(AG93="",3,"4+")))))</f>
        <v/>
      </c>
      <c r="P93" s="21" t="str">
        <f aca="false">IF(A93="","",B93&amp;IF(AD93="",""," &lt;- "&amp;IFERROR(INDEX($B:$B,MATCH(AD93,$A:$A,0)),AD93)&amp;IF(AE93="",""," &lt;- "&amp;IFERROR(INDEX($B:$B,MATCH(AE93,$A:$A,0)),AE93)&amp;IF(AF93="",""," &lt;- "&amp;IFERROR(INDEX($B:$B,MATCH(AF93,$A:$A,0)),AF93)&amp;IF(AG93="",""," &lt;- "&amp;IFERROR(INDEX($B:$B,MATCH(AG93,$A:$A,0)),AG93)))))&amp;IF(ISNUMBER(FIND(",",G93))," (+ other parents)",""))</f>
        <v/>
      </c>
      <c r="Q93" s="21" t="str">
        <f aca="false">IF(A93="","",IF(AD93="",E93&amp;"",IF(AE93="",IF(IFERROR(INDEX($E:$E,MATCH(AD93,$A:$A,0)),"")="","",INDEX($E:$E,MATCH(AD93,$A:$A,0))),IF(AF93="",IF(IFERROR(INDEX($E:$E,MATCH(AE93,$A:$A,0)),"")="","",INDEX($E:$E,MATCH(AE93,$A:$A,0))),IF(AG93="",IF(IFERROR(INDEX($E:$E,MATCH(AF93,$A:$A,0)),"")="","",INDEX($E:$E,MATCH(AF93,$A:$A,0))),IF(IFERROR(INDEX($E:$E,MATCH(AG93,$A:$A,0)),"")="","",INDEX($E:$E,MATCH(AG93,$A:$A,0))))))))</f>
        <v/>
      </c>
      <c r="R93" s="21" t="str">
        <f aca="false">IF(A93="","",COUNTIF(Fields!$D:$D,A93))</f>
        <v/>
      </c>
      <c r="S93" s="21" t="str">
        <f aca="false">IF(A93="","",SUMIF(Fields!$D:$D,A93,Fields!$Q:$Q))</f>
        <v/>
      </c>
      <c r="T93" s="21" t="str">
        <f aca="false">IF(A93="","",COUNTIF('Product inputs'!$D:$D,A93))</f>
        <v/>
      </c>
      <c r="U93" s="20"/>
      <c r="V93" s="20"/>
      <c r="W93" s="20"/>
      <c r="X93" s="20"/>
      <c r="Y93" s="20"/>
      <c r="Z93" s="20"/>
      <c r="AA93" s="20"/>
      <c r="AB93" s="20"/>
      <c r="AC93" s="20"/>
      <c r="AD93" s="18" t="str">
        <f aca="false">IF(A93="","",IF(IFERROR(INDEX($G:$G,MATCH(A93,$A:$A,0)),"")="","",TRIM(IF(ISNUMBER(FIND(",",IFERROR(INDEX($G:$G,MATCH(A93,$A:$A,0)),""))),LEFT(IFERROR(INDEX($G:$G,MATCH(A93,$A:$A,0)),""),FIND(",",IFERROR(INDEX($G:$G,MATCH(A93,$A:$A,0)),""))-1),IFERROR(INDEX($G:$G,MATCH(A93,$A:$A,0)),"")))))</f>
        <v/>
      </c>
      <c r="AE93" s="18" t="str">
        <f aca="false">IF(AD93="","",IF(IFERROR(INDEX($G:$G,MATCH(AD93,$A:$A,0)),"")="","",TRIM(IF(ISNUMBER(FIND(",",IFERROR(INDEX($G:$G,MATCH(AD93,$A:$A,0)),""))),LEFT(IFERROR(INDEX($G:$G,MATCH(AD93,$A:$A,0)),""),FIND(",",IFERROR(INDEX($G:$G,MATCH(AD93,$A:$A,0)),""))-1),IFERROR(INDEX($G:$G,MATCH(AD93,$A:$A,0)),"")))))</f>
        <v/>
      </c>
      <c r="AF93" s="18" t="str">
        <f aca="false">IF(AE93="","",IF(IFERROR(INDEX($G:$G,MATCH(AE93,$A:$A,0)),"")="","",TRIM(IF(ISNUMBER(FIND(",",IFERROR(INDEX($G:$G,MATCH(AE93,$A:$A,0)),""))),LEFT(IFERROR(INDEX($G:$G,MATCH(AE93,$A:$A,0)),""),FIND(",",IFERROR(INDEX($G:$G,MATCH(AE93,$A:$A,0)),""))-1),IFERROR(INDEX($G:$G,MATCH(AE93,$A:$A,0)),"")))))</f>
        <v/>
      </c>
      <c r="AG93" s="18" t="str">
        <f aca="false">IF(AF93="","",IF(IFERROR(INDEX($G:$G,MATCH(AF93,$A:$A,0)),"")="","",TRIM(IF(ISNUMBER(FIND(",",IFERROR(INDEX($G:$G,MATCH(AF93,$A:$A,0)),""))),LEFT(IFERROR(INDEX($G:$G,MATCH(AF93,$A:$A,0)),""),FIND(",",IFERROR(INDEX($G:$G,MATCH(AF93,$A:$A,0)),""))-1),IFERROR(INDEX($G:$G,MATCH(AF93,$A:$A,0)),"")))))</f>
        <v/>
      </c>
    </row>
    <row r="94" customFormat="false" ht="15" hidden="false" customHeight="false" outlineLevel="0" collapsed="false">
      <c r="A94" s="18"/>
      <c r="B94" s="19"/>
      <c r="C94" s="20"/>
      <c r="D94" s="20"/>
      <c r="E94" s="20"/>
      <c r="F94" s="20"/>
      <c r="G94" s="18"/>
      <c r="H94" s="20"/>
      <c r="I94" s="18"/>
      <c r="J94" s="20"/>
      <c r="K94" s="20"/>
      <c r="L94" s="20"/>
      <c r="M94" s="20"/>
      <c r="N94" s="20"/>
      <c r="O94" s="21" t="str">
        <f aca="false">IF(A94="","",IF(AD94="",0,IF(AE94="",1,IF(AF94="",2,IF(AG94="",3,"4+")))))</f>
        <v/>
      </c>
      <c r="P94" s="21" t="str">
        <f aca="false">IF(A94="","",B94&amp;IF(AD94="",""," &lt;- "&amp;IFERROR(INDEX($B:$B,MATCH(AD94,$A:$A,0)),AD94)&amp;IF(AE94="",""," &lt;- "&amp;IFERROR(INDEX($B:$B,MATCH(AE94,$A:$A,0)),AE94)&amp;IF(AF94="",""," &lt;- "&amp;IFERROR(INDEX($B:$B,MATCH(AF94,$A:$A,0)),AF94)&amp;IF(AG94="",""," &lt;- "&amp;IFERROR(INDEX($B:$B,MATCH(AG94,$A:$A,0)),AG94)))))&amp;IF(ISNUMBER(FIND(",",G94))," (+ other parents)",""))</f>
        <v/>
      </c>
      <c r="Q94" s="21" t="str">
        <f aca="false">IF(A94="","",IF(AD94="",E94&amp;"",IF(AE94="",IF(IFERROR(INDEX($E:$E,MATCH(AD94,$A:$A,0)),"")="","",INDEX($E:$E,MATCH(AD94,$A:$A,0))),IF(AF94="",IF(IFERROR(INDEX($E:$E,MATCH(AE94,$A:$A,0)),"")="","",INDEX($E:$E,MATCH(AE94,$A:$A,0))),IF(AG94="",IF(IFERROR(INDEX($E:$E,MATCH(AF94,$A:$A,0)),"")="","",INDEX($E:$E,MATCH(AF94,$A:$A,0))),IF(IFERROR(INDEX($E:$E,MATCH(AG94,$A:$A,0)),"")="","",INDEX($E:$E,MATCH(AG94,$A:$A,0))))))))</f>
        <v/>
      </c>
      <c r="R94" s="21" t="str">
        <f aca="false">IF(A94="","",COUNTIF(Fields!$D:$D,A94))</f>
        <v/>
      </c>
      <c r="S94" s="21" t="str">
        <f aca="false">IF(A94="","",SUMIF(Fields!$D:$D,A94,Fields!$Q:$Q))</f>
        <v/>
      </c>
      <c r="T94" s="21" t="str">
        <f aca="false">IF(A94="","",COUNTIF('Product inputs'!$D:$D,A94))</f>
        <v/>
      </c>
      <c r="U94" s="20"/>
      <c r="V94" s="20"/>
      <c r="W94" s="20"/>
      <c r="X94" s="20"/>
      <c r="Y94" s="20"/>
      <c r="Z94" s="20"/>
      <c r="AA94" s="20"/>
      <c r="AB94" s="20"/>
      <c r="AC94" s="20"/>
      <c r="AD94" s="18" t="str">
        <f aca="false">IF(A94="","",IF(IFERROR(INDEX($G:$G,MATCH(A94,$A:$A,0)),"")="","",TRIM(IF(ISNUMBER(FIND(",",IFERROR(INDEX($G:$G,MATCH(A94,$A:$A,0)),""))),LEFT(IFERROR(INDEX($G:$G,MATCH(A94,$A:$A,0)),""),FIND(",",IFERROR(INDEX($G:$G,MATCH(A94,$A:$A,0)),""))-1),IFERROR(INDEX($G:$G,MATCH(A94,$A:$A,0)),"")))))</f>
        <v/>
      </c>
      <c r="AE94" s="18" t="str">
        <f aca="false">IF(AD94="","",IF(IFERROR(INDEX($G:$G,MATCH(AD94,$A:$A,0)),"")="","",TRIM(IF(ISNUMBER(FIND(",",IFERROR(INDEX($G:$G,MATCH(AD94,$A:$A,0)),""))),LEFT(IFERROR(INDEX($G:$G,MATCH(AD94,$A:$A,0)),""),FIND(",",IFERROR(INDEX($G:$G,MATCH(AD94,$A:$A,0)),""))-1),IFERROR(INDEX($G:$G,MATCH(AD94,$A:$A,0)),"")))))</f>
        <v/>
      </c>
      <c r="AF94" s="18" t="str">
        <f aca="false">IF(AE94="","",IF(IFERROR(INDEX($G:$G,MATCH(AE94,$A:$A,0)),"")="","",TRIM(IF(ISNUMBER(FIND(",",IFERROR(INDEX($G:$G,MATCH(AE94,$A:$A,0)),""))),LEFT(IFERROR(INDEX($G:$G,MATCH(AE94,$A:$A,0)),""),FIND(",",IFERROR(INDEX($G:$G,MATCH(AE94,$A:$A,0)),""))-1),IFERROR(INDEX($G:$G,MATCH(AE94,$A:$A,0)),"")))))</f>
        <v/>
      </c>
      <c r="AG94" s="18" t="str">
        <f aca="false">IF(AF94="","",IF(IFERROR(INDEX($G:$G,MATCH(AF94,$A:$A,0)),"")="","",TRIM(IF(ISNUMBER(FIND(",",IFERROR(INDEX($G:$G,MATCH(AF94,$A:$A,0)),""))),LEFT(IFERROR(INDEX($G:$G,MATCH(AF94,$A:$A,0)),""),FIND(",",IFERROR(INDEX($G:$G,MATCH(AF94,$A:$A,0)),""))-1),IFERROR(INDEX($G:$G,MATCH(AF94,$A:$A,0)),"")))))</f>
        <v/>
      </c>
    </row>
    <row r="95" customFormat="false" ht="15" hidden="false" customHeight="false" outlineLevel="0" collapsed="false">
      <c r="A95" s="18"/>
      <c r="B95" s="19"/>
      <c r="C95" s="20"/>
      <c r="D95" s="20"/>
      <c r="E95" s="20"/>
      <c r="F95" s="20"/>
      <c r="G95" s="18"/>
      <c r="H95" s="20"/>
      <c r="I95" s="18"/>
      <c r="J95" s="20"/>
      <c r="K95" s="20"/>
      <c r="L95" s="20"/>
      <c r="M95" s="20"/>
      <c r="N95" s="20"/>
      <c r="O95" s="21" t="str">
        <f aca="false">IF(A95="","",IF(AD95="",0,IF(AE95="",1,IF(AF95="",2,IF(AG95="",3,"4+")))))</f>
        <v/>
      </c>
      <c r="P95" s="21" t="str">
        <f aca="false">IF(A95="","",B95&amp;IF(AD95="",""," &lt;- "&amp;IFERROR(INDEX($B:$B,MATCH(AD95,$A:$A,0)),AD95)&amp;IF(AE95="",""," &lt;- "&amp;IFERROR(INDEX($B:$B,MATCH(AE95,$A:$A,0)),AE95)&amp;IF(AF95="",""," &lt;- "&amp;IFERROR(INDEX($B:$B,MATCH(AF95,$A:$A,0)),AF95)&amp;IF(AG95="",""," &lt;- "&amp;IFERROR(INDEX($B:$B,MATCH(AG95,$A:$A,0)),AG95)))))&amp;IF(ISNUMBER(FIND(",",G95))," (+ other parents)",""))</f>
        <v/>
      </c>
      <c r="Q95" s="21" t="str">
        <f aca="false">IF(A95="","",IF(AD95="",E95&amp;"",IF(AE95="",IF(IFERROR(INDEX($E:$E,MATCH(AD95,$A:$A,0)),"")="","",INDEX($E:$E,MATCH(AD95,$A:$A,0))),IF(AF95="",IF(IFERROR(INDEX($E:$E,MATCH(AE95,$A:$A,0)),"")="","",INDEX($E:$E,MATCH(AE95,$A:$A,0))),IF(AG95="",IF(IFERROR(INDEX($E:$E,MATCH(AF95,$A:$A,0)),"")="","",INDEX($E:$E,MATCH(AF95,$A:$A,0))),IF(IFERROR(INDEX($E:$E,MATCH(AG95,$A:$A,0)),"")="","",INDEX($E:$E,MATCH(AG95,$A:$A,0))))))))</f>
        <v/>
      </c>
      <c r="R95" s="21" t="str">
        <f aca="false">IF(A95="","",COUNTIF(Fields!$D:$D,A95))</f>
        <v/>
      </c>
      <c r="S95" s="21" t="str">
        <f aca="false">IF(A95="","",SUMIF(Fields!$D:$D,A95,Fields!$Q:$Q))</f>
        <v/>
      </c>
      <c r="T95" s="21" t="str">
        <f aca="false">IF(A95="","",COUNTIF('Product inputs'!$D:$D,A95))</f>
        <v/>
      </c>
      <c r="U95" s="20"/>
      <c r="V95" s="20"/>
      <c r="W95" s="20"/>
      <c r="X95" s="20"/>
      <c r="Y95" s="20"/>
      <c r="Z95" s="20"/>
      <c r="AA95" s="20"/>
      <c r="AB95" s="20"/>
      <c r="AC95" s="20"/>
      <c r="AD95" s="18" t="str">
        <f aca="false">IF(A95="","",IF(IFERROR(INDEX($G:$G,MATCH(A95,$A:$A,0)),"")="","",TRIM(IF(ISNUMBER(FIND(",",IFERROR(INDEX($G:$G,MATCH(A95,$A:$A,0)),""))),LEFT(IFERROR(INDEX($G:$G,MATCH(A95,$A:$A,0)),""),FIND(",",IFERROR(INDEX($G:$G,MATCH(A95,$A:$A,0)),""))-1),IFERROR(INDEX($G:$G,MATCH(A95,$A:$A,0)),"")))))</f>
        <v/>
      </c>
      <c r="AE95" s="18" t="str">
        <f aca="false">IF(AD95="","",IF(IFERROR(INDEX($G:$G,MATCH(AD95,$A:$A,0)),"")="","",TRIM(IF(ISNUMBER(FIND(",",IFERROR(INDEX($G:$G,MATCH(AD95,$A:$A,0)),""))),LEFT(IFERROR(INDEX($G:$G,MATCH(AD95,$A:$A,0)),""),FIND(",",IFERROR(INDEX($G:$G,MATCH(AD95,$A:$A,0)),""))-1),IFERROR(INDEX($G:$G,MATCH(AD95,$A:$A,0)),"")))))</f>
        <v/>
      </c>
      <c r="AF95" s="18" t="str">
        <f aca="false">IF(AE95="","",IF(IFERROR(INDEX($G:$G,MATCH(AE95,$A:$A,0)),"")="","",TRIM(IF(ISNUMBER(FIND(",",IFERROR(INDEX($G:$G,MATCH(AE95,$A:$A,0)),""))),LEFT(IFERROR(INDEX($G:$G,MATCH(AE95,$A:$A,0)),""),FIND(",",IFERROR(INDEX($G:$G,MATCH(AE95,$A:$A,0)),""))-1),IFERROR(INDEX($G:$G,MATCH(AE95,$A:$A,0)),"")))))</f>
        <v/>
      </c>
      <c r="AG95" s="18" t="str">
        <f aca="false">IF(AF95="","",IF(IFERROR(INDEX($G:$G,MATCH(AF95,$A:$A,0)),"")="","",TRIM(IF(ISNUMBER(FIND(",",IFERROR(INDEX($G:$G,MATCH(AF95,$A:$A,0)),""))),LEFT(IFERROR(INDEX($G:$G,MATCH(AF95,$A:$A,0)),""),FIND(",",IFERROR(INDEX($G:$G,MATCH(AF95,$A:$A,0)),""))-1),IFERROR(INDEX($G:$G,MATCH(AF95,$A:$A,0)),"")))))</f>
        <v/>
      </c>
    </row>
    <row r="96" customFormat="false" ht="15" hidden="false" customHeight="false" outlineLevel="0" collapsed="false">
      <c r="A96" s="18"/>
      <c r="B96" s="19"/>
      <c r="C96" s="20"/>
      <c r="D96" s="20"/>
      <c r="E96" s="20"/>
      <c r="F96" s="20"/>
      <c r="G96" s="18"/>
      <c r="H96" s="20"/>
      <c r="I96" s="18"/>
      <c r="J96" s="20"/>
      <c r="K96" s="20"/>
      <c r="L96" s="20"/>
      <c r="M96" s="20"/>
      <c r="N96" s="20"/>
      <c r="O96" s="21" t="str">
        <f aca="false">IF(A96="","",IF(AD96="",0,IF(AE96="",1,IF(AF96="",2,IF(AG96="",3,"4+")))))</f>
        <v/>
      </c>
      <c r="P96" s="21" t="str">
        <f aca="false">IF(A96="","",B96&amp;IF(AD96="",""," &lt;- "&amp;IFERROR(INDEX($B:$B,MATCH(AD96,$A:$A,0)),AD96)&amp;IF(AE96="",""," &lt;- "&amp;IFERROR(INDEX($B:$B,MATCH(AE96,$A:$A,0)),AE96)&amp;IF(AF96="",""," &lt;- "&amp;IFERROR(INDEX($B:$B,MATCH(AF96,$A:$A,0)),AF96)&amp;IF(AG96="",""," &lt;- "&amp;IFERROR(INDEX($B:$B,MATCH(AG96,$A:$A,0)),AG96)))))&amp;IF(ISNUMBER(FIND(",",G96))," (+ other parents)",""))</f>
        <v/>
      </c>
      <c r="Q96" s="21" t="str">
        <f aca="false">IF(A96="","",IF(AD96="",E96&amp;"",IF(AE96="",IF(IFERROR(INDEX($E:$E,MATCH(AD96,$A:$A,0)),"")="","",INDEX($E:$E,MATCH(AD96,$A:$A,0))),IF(AF96="",IF(IFERROR(INDEX($E:$E,MATCH(AE96,$A:$A,0)),"")="","",INDEX($E:$E,MATCH(AE96,$A:$A,0))),IF(AG96="",IF(IFERROR(INDEX($E:$E,MATCH(AF96,$A:$A,0)),"")="","",INDEX($E:$E,MATCH(AF96,$A:$A,0))),IF(IFERROR(INDEX($E:$E,MATCH(AG96,$A:$A,0)),"")="","",INDEX($E:$E,MATCH(AG96,$A:$A,0))))))))</f>
        <v/>
      </c>
      <c r="R96" s="21" t="str">
        <f aca="false">IF(A96="","",COUNTIF(Fields!$D:$D,A96))</f>
        <v/>
      </c>
      <c r="S96" s="21" t="str">
        <f aca="false">IF(A96="","",SUMIF(Fields!$D:$D,A96,Fields!$Q:$Q))</f>
        <v/>
      </c>
      <c r="T96" s="21" t="str">
        <f aca="false">IF(A96="","",COUNTIF('Product inputs'!$D:$D,A96))</f>
        <v/>
      </c>
      <c r="U96" s="20"/>
      <c r="V96" s="20"/>
      <c r="W96" s="20"/>
      <c r="X96" s="20"/>
      <c r="Y96" s="20"/>
      <c r="Z96" s="20"/>
      <c r="AA96" s="20"/>
      <c r="AB96" s="20"/>
      <c r="AC96" s="20"/>
      <c r="AD96" s="18" t="str">
        <f aca="false">IF(A96="","",IF(IFERROR(INDEX($G:$G,MATCH(A96,$A:$A,0)),"")="","",TRIM(IF(ISNUMBER(FIND(",",IFERROR(INDEX($G:$G,MATCH(A96,$A:$A,0)),""))),LEFT(IFERROR(INDEX($G:$G,MATCH(A96,$A:$A,0)),""),FIND(",",IFERROR(INDEX($G:$G,MATCH(A96,$A:$A,0)),""))-1),IFERROR(INDEX($G:$G,MATCH(A96,$A:$A,0)),"")))))</f>
        <v/>
      </c>
      <c r="AE96" s="18" t="str">
        <f aca="false">IF(AD96="","",IF(IFERROR(INDEX($G:$G,MATCH(AD96,$A:$A,0)),"")="","",TRIM(IF(ISNUMBER(FIND(",",IFERROR(INDEX($G:$G,MATCH(AD96,$A:$A,0)),""))),LEFT(IFERROR(INDEX($G:$G,MATCH(AD96,$A:$A,0)),""),FIND(",",IFERROR(INDEX($G:$G,MATCH(AD96,$A:$A,0)),""))-1),IFERROR(INDEX($G:$G,MATCH(AD96,$A:$A,0)),"")))))</f>
        <v/>
      </c>
      <c r="AF96" s="18" t="str">
        <f aca="false">IF(AE96="","",IF(IFERROR(INDEX($G:$G,MATCH(AE96,$A:$A,0)),"")="","",TRIM(IF(ISNUMBER(FIND(",",IFERROR(INDEX($G:$G,MATCH(AE96,$A:$A,0)),""))),LEFT(IFERROR(INDEX($G:$G,MATCH(AE96,$A:$A,0)),""),FIND(",",IFERROR(INDEX($G:$G,MATCH(AE96,$A:$A,0)),""))-1),IFERROR(INDEX($G:$G,MATCH(AE96,$A:$A,0)),"")))))</f>
        <v/>
      </c>
      <c r="AG96" s="18" t="str">
        <f aca="false">IF(AF96="","",IF(IFERROR(INDEX($G:$G,MATCH(AF96,$A:$A,0)),"")="","",TRIM(IF(ISNUMBER(FIND(",",IFERROR(INDEX($G:$G,MATCH(AF96,$A:$A,0)),""))),LEFT(IFERROR(INDEX($G:$G,MATCH(AF96,$A:$A,0)),""),FIND(",",IFERROR(INDEX($G:$G,MATCH(AF96,$A:$A,0)),""))-1),IFERROR(INDEX($G:$G,MATCH(AF96,$A:$A,0)),"")))))</f>
        <v/>
      </c>
    </row>
    <row r="97" customFormat="false" ht="15" hidden="false" customHeight="false" outlineLevel="0" collapsed="false">
      <c r="A97" s="18"/>
      <c r="B97" s="19"/>
      <c r="C97" s="20"/>
      <c r="D97" s="20"/>
      <c r="E97" s="20"/>
      <c r="F97" s="20"/>
      <c r="G97" s="18"/>
      <c r="H97" s="20"/>
      <c r="I97" s="18"/>
      <c r="J97" s="20"/>
      <c r="K97" s="20"/>
      <c r="L97" s="20"/>
      <c r="M97" s="20"/>
      <c r="N97" s="20"/>
      <c r="O97" s="21" t="str">
        <f aca="false">IF(A97="","",IF(AD97="",0,IF(AE97="",1,IF(AF97="",2,IF(AG97="",3,"4+")))))</f>
        <v/>
      </c>
      <c r="P97" s="21" t="str">
        <f aca="false">IF(A97="","",B97&amp;IF(AD97="",""," &lt;- "&amp;IFERROR(INDEX($B:$B,MATCH(AD97,$A:$A,0)),AD97)&amp;IF(AE97="",""," &lt;- "&amp;IFERROR(INDEX($B:$B,MATCH(AE97,$A:$A,0)),AE97)&amp;IF(AF97="",""," &lt;- "&amp;IFERROR(INDEX($B:$B,MATCH(AF97,$A:$A,0)),AF97)&amp;IF(AG97="",""," &lt;- "&amp;IFERROR(INDEX($B:$B,MATCH(AG97,$A:$A,0)),AG97)))))&amp;IF(ISNUMBER(FIND(",",G97))," (+ other parents)",""))</f>
        <v/>
      </c>
      <c r="Q97" s="21" t="str">
        <f aca="false">IF(A97="","",IF(AD97="",E97&amp;"",IF(AE97="",IF(IFERROR(INDEX($E:$E,MATCH(AD97,$A:$A,0)),"")="","",INDEX($E:$E,MATCH(AD97,$A:$A,0))),IF(AF97="",IF(IFERROR(INDEX($E:$E,MATCH(AE97,$A:$A,0)),"")="","",INDEX($E:$E,MATCH(AE97,$A:$A,0))),IF(AG97="",IF(IFERROR(INDEX($E:$E,MATCH(AF97,$A:$A,0)),"")="","",INDEX($E:$E,MATCH(AF97,$A:$A,0))),IF(IFERROR(INDEX($E:$E,MATCH(AG97,$A:$A,0)),"")="","",INDEX($E:$E,MATCH(AG97,$A:$A,0))))))))</f>
        <v/>
      </c>
      <c r="R97" s="21" t="str">
        <f aca="false">IF(A97="","",COUNTIF(Fields!$D:$D,A97))</f>
        <v/>
      </c>
      <c r="S97" s="21" t="str">
        <f aca="false">IF(A97="","",SUMIF(Fields!$D:$D,A97,Fields!$Q:$Q))</f>
        <v/>
      </c>
      <c r="T97" s="21" t="str">
        <f aca="false">IF(A97="","",COUNTIF('Product inputs'!$D:$D,A97))</f>
        <v/>
      </c>
      <c r="U97" s="20"/>
      <c r="V97" s="20"/>
      <c r="W97" s="20"/>
      <c r="X97" s="20"/>
      <c r="Y97" s="20"/>
      <c r="Z97" s="20"/>
      <c r="AA97" s="20"/>
      <c r="AB97" s="20"/>
      <c r="AC97" s="20"/>
      <c r="AD97" s="18" t="str">
        <f aca="false">IF(A97="","",IF(IFERROR(INDEX($G:$G,MATCH(A97,$A:$A,0)),"")="","",TRIM(IF(ISNUMBER(FIND(",",IFERROR(INDEX($G:$G,MATCH(A97,$A:$A,0)),""))),LEFT(IFERROR(INDEX($G:$G,MATCH(A97,$A:$A,0)),""),FIND(",",IFERROR(INDEX($G:$G,MATCH(A97,$A:$A,0)),""))-1),IFERROR(INDEX($G:$G,MATCH(A97,$A:$A,0)),"")))))</f>
        <v/>
      </c>
      <c r="AE97" s="18" t="str">
        <f aca="false">IF(AD97="","",IF(IFERROR(INDEX($G:$G,MATCH(AD97,$A:$A,0)),"")="","",TRIM(IF(ISNUMBER(FIND(",",IFERROR(INDEX($G:$G,MATCH(AD97,$A:$A,0)),""))),LEFT(IFERROR(INDEX($G:$G,MATCH(AD97,$A:$A,0)),""),FIND(",",IFERROR(INDEX($G:$G,MATCH(AD97,$A:$A,0)),""))-1),IFERROR(INDEX($G:$G,MATCH(AD97,$A:$A,0)),"")))))</f>
        <v/>
      </c>
      <c r="AF97" s="18" t="str">
        <f aca="false">IF(AE97="","",IF(IFERROR(INDEX($G:$G,MATCH(AE97,$A:$A,0)),"")="","",TRIM(IF(ISNUMBER(FIND(",",IFERROR(INDEX($G:$G,MATCH(AE97,$A:$A,0)),""))),LEFT(IFERROR(INDEX($G:$G,MATCH(AE97,$A:$A,0)),""),FIND(",",IFERROR(INDEX($G:$G,MATCH(AE97,$A:$A,0)),""))-1),IFERROR(INDEX($G:$G,MATCH(AE97,$A:$A,0)),"")))))</f>
        <v/>
      </c>
      <c r="AG97" s="18" t="str">
        <f aca="false">IF(AF97="","",IF(IFERROR(INDEX($G:$G,MATCH(AF97,$A:$A,0)),"")="","",TRIM(IF(ISNUMBER(FIND(",",IFERROR(INDEX($G:$G,MATCH(AF97,$A:$A,0)),""))),LEFT(IFERROR(INDEX($G:$G,MATCH(AF97,$A:$A,0)),""),FIND(",",IFERROR(INDEX($G:$G,MATCH(AF97,$A:$A,0)),""))-1),IFERROR(INDEX($G:$G,MATCH(AF97,$A:$A,0)),"")))))</f>
        <v/>
      </c>
    </row>
    <row r="98" customFormat="false" ht="15" hidden="false" customHeight="false" outlineLevel="0" collapsed="false">
      <c r="A98" s="18"/>
      <c r="B98" s="19"/>
      <c r="C98" s="20"/>
      <c r="D98" s="20"/>
      <c r="E98" s="20"/>
      <c r="F98" s="20"/>
      <c r="G98" s="18"/>
      <c r="H98" s="20"/>
      <c r="I98" s="18"/>
      <c r="J98" s="20"/>
      <c r="K98" s="20"/>
      <c r="L98" s="20"/>
      <c r="M98" s="20"/>
      <c r="N98" s="20"/>
      <c r="O98" s="21" t="str">
        <f aca="false">IF(A98="","",IF(AD98="",0,IF(AE98="",1,IF(AF98="",2,IF(AG98="",3,"4+")))))</f>
        <v/>
      </c>
      <c r="P98" s="21" t="str">
        <f aca="false">IF(A98="","",B98&amp;IF(AD98="",""," &lt;- "&amp;IFERROR(INDEX($B:$B,MATCH(AD98,$A:$A,0)),AD98)&amp;IF(AE98="",""," &lt;- "&amp;IFERROR(INDEX($B:$B,MATCH(AE98,$A:$A,0)),AE98)&amp;IF(AF98="",""," &lt;- "&amp;IFERROR(INDEX($B:$B,MATCH(AF98,$A:$A,0)),AF98)&amp;IF(AG98="",""," &lt;- "&amp;IFERROR(INDEX($B:$B,MATCH(AG98,$A:$A,0)),AG98)))))&amp;IF(ISNUMBER(FIND(",",G98))," (+ other parents)",""))</f>
        <v/>
      </c>
      <c r="Q98" s="21" t="str">
        <f aca="false">IF(A98="","",IF(AD98="",E98&amp;"",IF(AE98="",IF(IFERROR(INDEX($E:$E,MATCH(AD98,$A:$A,0)),"")="","",INDEX($E:$E,MATCH(AD98,$A:$A,0))),IF(AF98="",IF(IFERROR(INDEX($E:$E,MATCH(AE98,$A:$A,0)),"")="","",INDEX($E:$E,MATCH(AE98,$A:$A,0))),IF(AG98="",IF(IFERROR(INDEX($E:$E,MATCH(AF98,$A:$A,0)),"")="","",INDEX($E:$E,MATCH(AF98,$A:$A,0))),IF(IFERROR(INDEX($E:$E,MATCH(AG98,$A:$A,0)),"")="","",INDEX($E:$E,MATCH(AG98,$A:$A,0))))))))</f>
        <v/>
      </c>
      <c r="R98" s="21" t="str">
        <f aca="false">IF(A98="","",COUNTIF(Fields!$D:$D,A98))</f>
        <v/>
      </c>
      <c r="S98" s="21" t="str">
        <f aca="false">IF(A98="","",SUMIF(Fields!$D:$D,A98,Fields!$Q:$Q))</f>
        <v/>
      </c>
      <c r="T98" s="21" t="str">
        <f aca="false">IF(A98="","",COUNTIF('Product inputs'!$D:$D,A98))</f>
        <v/>
      </c>
      <c r="U98" s="20"/>
      <c r="V98" s="20"/>
      <c r="W98" s="20"/>
      <c r="X98" s="20"/>
      <c r="Y98" s="20"/>
      <c r="Z98" s="20"/>
      <c r="AA98" s="20"/>
      <c r="AB98" s="20"/>
      <c r="AC98" s="20"/>
      <c r="AD98" s="18" t="str">
        <f aca="false">IF(A98="","",IF(IFERROR(INDEX($G:$G,MATCH(A98,$A:$A,0)),"")="","",TRIM(IF(ISNUMBER(FIND(",",IFERROR(INDEX($G:$G,MATCH(A98,$A:$A,0)),""))),LEFT(IFERROR(INDEX($G:$G,MATCH(A98,$A:$A,0)),""),FIND(",",IFERROR(INDEX($G:$G,MATCH(A98,$A:$A,0)),""))-1),IFERROR(INDEX($G:$G,MATCH(A98,$A:$A,0)),"")))))</f>
        <v/>
      </c>
      <c r="AE98" s="18" t="str">
        <f aca="false">IF(AD98="","",IF(IFERROR(INDEX($G:$G,MATCH(AD98,$A:$A,0)),"")="","",TRIM(IF(ISNUMBER(FIND(",",IFERROR(INDEX($G:$G,MATCH(AD98,$A:$A,0)),""))),LEFT(IFERROR(INDEX($G:$G,MATCH(AD98,$A:$A,0)),""),FIND(",",IFERROR(INDEX($G:$G,MATCH(AD98,$A:$A,0)),""))-1),IFERROR(INDEX($G:$G,MATCH(AD98,$A:$A,0)),"")))))</f>
        <v/>
      </c>
      <c r="AF98" s="18" t="str">
        <f aca="false">IF(AE98="","",IF(IFERROR(INDEX($G:$G,MATCH(AE98,$A:$A,0)),"")="","",TRIM(IF(ISNUMBER(FIND(",",IFERROR(INDEX($G:$G,MATCH(AE98,$A:$A,0)),""))),LEFT(IFERROR(INDEX($G:$G,MATCH(AE98,$A:$A,0)),""),FIND(",",IFERROR(INDEX($G:$G,MATCH(AE98,$A:$A,0)),""))-1),IFERROR(INDEX($G:$G,MATCH(AE98,$A:$A,0)),"")))))</f>
        <v/>
      </c>
      <c r="AG98" s="18" t="str">
        <f aca="false">IF(AF98="","",IF(IFERROR(INDEX($G:$G,MATCH(AF98,$A:$A,0)),"")="","",TRIM(IF(ISNUMBER(FIND(",",IFERROR(INDEX($G:$G,MATCH(AF98,$A:$A,0)),""))),LEFT(IFERROR(INDEX($G:$G,MATCH(AF98,$A:$A,0)),""),FIND(",",IFERROR(INDEX($G:$G,MATCH(AF98,$A:$A,0)),""))-1),IFERROR(INDEX($G:$G,MATCH(AF98,$A:$A,0)),"")))))</f>
        <v/>
      </c>
    </row>
    <row r="99" customFormat="false" ht="15" hidden="false" customHeight="false" outlineLevel="0" collapsed="false">
      <c r="A99" s="18"/>
      <c r="B99" s="19"/>
      <c r="C99" s="20"/>
      <c r="D99" s="20"/>
      <c r="E99" s="20"/>
      <c r="F99" s="20"/>
      <c r="G99" s="18"/>
      <c r="H99" s="20"/>
      <c r="I99" s="18"/>
      <c r="J99" s="20"/>
      <c r="K99" s="20"/>
      <c r="L99" s="20"/>
      <c r="M99" s="20"/>
      <c r="N99" s="20"/>
      <c r="O99" s="21" t="str">
        <f aca="false">IF(A99="","",IF(AD99="",0,IF(AE99="",1,IF(AF99="",2,IF(AG99="",3,"4+")))))</f>
        <v/>
      </c>
      <c r="P99" s="21" t="str">
        <f aca="false">IF(A99="","",B99&amp;IF(AD99="",""," &lt;- "&amp;IFERROR(INDEX($B:$B,MATCH(AD99,$A:$A,0)),AD99)&amp;IF(AE99="",""," &lt;- "&amp;IFERROR(INDEX($B:$B,MATCH(AE99,$A:$A,0)),AE99)&amp;IF(AF99="",""," &lt;- "&amp;IFERROR(INDEX($B:$B,MATCH(AF99,$A:$A,0)),AF99)&amp;IF(AG99="",""," &lt;- "&amp;IFERROR(INDEX($B:$B,MATCH(AG99,$A:$A,0)),AG99)))))&amp;IF(ISNUMBER(FIND(",",G99))," (+ other parents)",""))</f>
        <v/>
      </c>
      <c r="Q99" s="21" t="str">
        <f aca="false">IF(A99="","",IF(AD99="",E99&amp;"",IF(AE99="",IF(IFERROR(INDEX($E:$E,MATCH(AD99,$A:$A,0)),"")="","",INDEX($E:$E,MATCH(AD99,$A:$A,0))),IF(AF99="",IF(IFERROR(INDEX($E:$E,MATCH(AE99,$A:$A,0)),"")="","",INDEX($E:$E,MATCH(AE99,$A:$A,0))),IF(AG99="",IF(IFERROR(INDEX($E:$E,MATCH(AF99,$A:$A,0)),"")="","",INDEX($E:$E,MATCH(AF99,$A:$A,0))),IF(IFERROR(INDEX($E:$E,MATCH(AG99,$A:$A,0)),"")="","",INDEX($E:$E,MATCH(AG99,$A:$A,0))))))))</f>
        <v/>
      </c>
      <c r="R99" s="21" t="str">
        <f aca="false">IF(A99="","",COUNTIF(Fields!$D:$D,A99))</f>
        <v/>
      </c>
      <c r="S99" s="21" t="str">
        <f aca="false">IF(A99="","",SUMIF(Fields!$D:$D,A99,Fields!$Q:$Q))</f>
        <v/>
      </c>
      <c r="T99" s="21" t="str">
        <f aca="false">IF(A99="","",COUNTIF('Product inputs'!$D:$D,A99))</f>
        <v/>
      </c>
      <c r="U99" s="20"/>
      <c r="V99" s="20"/>
      <c r="W99" s="20"/>
      <c r="X99" s="20"/>
      <c r="Y99" s="20"/>
      <c r="Z99" s="20"/>
      <c r="AA99" s="20"/>
      <c r="AB99" s="20"/>
      <c r="AC99" s="20"/>
      <c r="AD99" s="18" t="str">
        <f aca="false">IF(A99="","",IF(IFERROR(INDEX($G:$G,MATCH(A99,$A:$A,0)),"")="","",TRIM(IF(ISNUMBER(FIND(",",IFERROR(INDEX($G:$G,MATCH(A99,$A:$A,0)),""))),LEFT(IFERROR(INDEX($G:$G,MATCH(A99,$A:$A,0)),""),FIND(",",IFERROR(INDEX($G:$G,MATCH(A99,$A:$A,0)),""))-1),IFERROR(INDEX($G:$G,MATCH(A99,$A:$A,0)),"")))))</f>
        <v/>
      </c>
      <c r="AE99" s="18" t="str">
        <f aca="false">IF(AD99="","",IF(IFERROR(INDEX($G:$G,MATCH(AD99,$A:$A,0)),"")="","",TRIM(IF(ISNUMBER(FIND(",",IFERROR(INDEX($G:$G,MATCH(AD99,$A:$A,0)),""))),LEFT(IFERROR(INDEX($G:$G,MATCH(AD99,$A:$A,0)),""),FIND(",",IFERROR(INDEX($G:$G,MATCH(AD99,$A:$A,0)),""))-1),IFERROR(INDEX($G:$G,MATCH(AD99,$A:$A,0)),"")))))</f>
        <v/>
      </c>
      <c r="AF99" s="18" t="str">
        <f aca="false">IF(AE99="","",IF(IFERROR(INDEX($G:$G,MATCH(AE99,$A:$A,0)),"")="","",TRIM(IF(ISNUMBER(FIND(",",IFERROR(INDEX($G:$G,MATCH(AE99,$A:$A,0)),""))),LEFT(IFERROR(INDEX($G:$G,MATCH(AE99,$A:$A,0)),""),FIND(",",IFERROR(INDEX($G:$G,MATCH(AE99,$A:$A,0)),""))-1),IFERROR(INDEX($G:$G,MATCH(AE99,$A:$A,0)),"")))))</f>
        <v/>
      </c>
      <c r="AG99" s="18" t="str">
        <f aca="false">IF(AF99="","",IF(IFERROR(INDEX($G:$G,MATCH(AF99,$A:$A,0)),"")="","",TRIM(IF(ISNUMBER(FIND(",",IFERROR(INDEX($G:$G,MATCH(AF99,$A:$A,0)),""))),LEFT(IFERROR(INDEX($G:$G,MATCH(AF99,$A:$A,0)),""),FIND(",",IFERROR(INDEX($G:$G,MATCH(AF99,$A:$A,0)),""))-1),IFERROR(INDEX($G:$G,MATCH(AF99,$A:$A,0)),"")))))</f>
        <v/>
      </c>
    </row>
    <row r="100" customFormat="false" ht="15" hidden="false" customHeight="false" outlineLevel="0" collapsed="false">
      <c r="A100" s="18"/>
      <c r="B100" s="19"/>
      <c r="C100" s="20"/>
      <c r="D100" s="20"/>
      <c r="E100" s="20"/>
      <c r="F100" s="20"/>
      <c r="G100" s="18"/>
      <c r="H100" s="20"/>
      <c r="I100" s="18"/>
      <c r="J100" s="20"/>
      <c r="K100" s="20"/>
      <c r="L100" s="20"/>
      <c r="M100" s="20"/>
      <c r="N100" s="20"/>
      <c r="O100" s="21" t="str">
        <f aca="false">IF(A100="","",IF(AD100="",0,IF(AE100="",1,IF(AF100="",2,IF(AG100="",3,"4+")))))</f>
        <v/>
      </c>
      <c r="P100" s="21" t="str">
        <f aca="false">IF(A100="","",B100&amp;IF(AD100="",""," &lt;- "&amp;IFERROR(INDEX($B:$B,MATCH(AD100,$A:$A,0)),AD100)&amp;IF(AE100="",""," &lt;- "&amp;IFERROR(INDEX($B:$B,MATCH(AE100,$A:$A,0)),AE100)&amp;IF(AF100="",""," &lt;- "&amp;IFERROR(INDEX($B:$B,MATCH(AF100,$A:$A,0)),AF100)&amp;IF(AG100="",""," &lt;- "&amp;IFERROR(INDEX($B:$B,MATCH(AG100,$A:$A,0)),AG100)))))&amp;IF(ISNUMBER(FIND(",",G100))," (+ other parents)",""))</f>
        <v/>
      </c>
      <c r="Q100" s="21" t="str">
        <f aca="false">IF(A100="","",IF(AD100="",E100&amp;"",IF(AE100="",IF(IFERROR(INDEX($E:$E,MATCH(AD100,$A:$A,0)),"")="","",INDEX($E:$E,MATCH(AD100,$A:$A,0))),IF(AF100="",IF(IFERROR(INDEX($E:$E,MATCH(AE100,$A:$A,0)),"")="","",INDEX($E:$E,MATCH(AE100,$A:$A,0))),IF(AG100="",IF(IFERROR(INDEX($E:$E,MATCH(AF100,$A:$A,0)),"")="","",INDEX($E:$E,MATCH(AF100,$A:$A,0))),IF(IFERROR(INDEX($E:$E,MATCH(AG100,$A:$A,0)),"")="","",INDEX($E:$E,MATCH(AG100,$A:$A,0))))))))</f>
        <v/>
      </c>
      <c r="R100" s="21" t="str">
        <f aca="false">IF(A100="","",COUNTIF(Fields!$D:$D,A100))</f>
        <v/>
      </c>
      <c r="S100" s="21" t="str">
        <f aca="false">IF(A100="","",SUMIF(Fields!$D:$D,A100,Fields!$Q:$Q))</f>
        <v/>
      </c>
      <c r="T100" s="21" t="str">
        <f aca="false">IF(A100="","",COUNTIF('Product inputs'!$D:$D,A100))</f>
        <v/>
      </c>
      <c r="U100" s="20"/>
      <c r="V100" s="20"/>
      <c r="W100" s="20"/>
      <c r="X100" s="20"/>
      <c r="Y100" s="20"/>
      <c r="Z100" s="20"/>
      <c r="AA100" s="20"/>
      <c r="AB100" s="20"/>
      <c r="AC100" s="20"/>
      <c r="AD100" s="18" t="str">
        <f aca="false">IF(A100="","",IF(IFERROR(INDEX($G:$G,MATCH(A100,$A:$A,0)),"")="","",TRIM(IF(ISNUMBER(FIND(",",IFERROR(INDEX($G:$G,MATCH(A100,$A:$A,0)),""))),LEFT(IFERROR(INDEX($G:$G,MATCH(A100,$A:$A,0)),""),FIND(",",IFERROR(INDEX($G:$G,MATCH(A100,$A:$A,0)),""))-1),IFERROR(INDEX($G:$G,MATCH(A100,$A:$A,0)),"")))))</f>
        <v/>
      </c>
      <c r="AE100" s="18" t="str">
        <f aca="false">IF(AD100="","",IF(IFERROR(INDEX($G:$G,MATCH(AD100,$A:$A,0)),"")="","",TRIM(IF(ISNUMBER(FIND(",",IFERROR(INDEX($G:$G,MATCH(AD100,$A:$A,0)),""))),LEFT(IFERROR(INDEX($G:$G,MATCH(AD100,$A:$A,0)),""),FIND(",",IFERROR(INDEX($G:$G,MATCH(AD100,$A:$A,0)),""))-1),IFERROR(INDEX($G:$G,MATCH(AD100,$A:$A,0)),"")))))</f>
        <v/>
      </c>
      <c r="AF100" s="18" t="str">
        <f aca="false">IF(AE100="","",IF(IFERROR(INDEX($G:$G,MATCH(AE100,$A:$A,0)),"")="","",TRIM(IF(ISNUMBER(FIND(",",IFERROR(INDEX($G:$G,MATCH(AE100,$A:$A,0)),""))),LEFT(IFERROR(INDEX($G:$G,MATCH(AE100,$A:$A,0)),""),FIND(",",IFERROR(INDEX($G:$G,MATCH(AE100,$A:$A,0)),""))-1),IFERROR(INDEX($G:$G,MATCH(AE100,$A:$A,0)),"")))))</f>
        <v/>
      </c>
      <c r="AG100" s="18" t="str">
        <f aca="false">IF(AF100="","",IF(IFERROR(INDEX($G:$G,MATCH(AF100,$A:$A,0)),"")="","",TRIM(IF(ISNUMBER(FIND(",",IFERROR(INDEX($G:$G,MATCH(AF100,$A:$A,0)),""))),LEFT(IFERROR(INDEX($G:$G,MATCH(AF100,$A:$A,0)),""),FIND(",",IFERROR(INDEX($G:$G,MATCH(AF100,$A:$A,0)),""))-1),IFERROR(INDEX($G:$G,MATCH(AF100,$A:$A,0)),"")))))</f>
        <v/>
      </c>
    </row>
    <row r="101" customFormat="false" ht="15" hidden="false" customHeight="false" outlineLevel="0" collapsed="false">
      <c r="A101" s="18"/>
      <c r="B101" s="19"/>
      <c r="C101" s="20"/>
      <c r="D101" s="20"/>
      <c r="E101" s="20"/>
      <c r="F101" s="20"/>
      <c r="G101" s="18"/>
      <c r="H101" s="20"/>
      <c r="I101" s="18"/>
      <c r="J101" s="20"/>
      <c r="K101" s="20"/>
      <c r="L101" s="20"/>
      <c r="M101" s="20"/>
      <c r="N101" s="20"/>
      <c r="O101" s="21" t="str">
        <f aca="false">IF(A101="","",IF(AD101="",0,IF(AE101="",1,IF(AF101="",2,IF(AG101="",3,"4+")))))</f>
        <v/>
      </c>
      <c r="P101" s="21" t="str">
        <f aca="false">IF(A101="","",B101&amp;IF(AD101="",""," &lt;- "&amp;IFERROR(INDEX($B:$B,MATCH(AD101,$A:$A,0)),AD101)&amp;IF(AE101="",""," &lt;- "&amp;IFERROR(INDEX($B:$B,MATCH(AE101,$A:$A,0)),AE101)&amp;IF(AF101="",""," &lt;- "&amp;IFERROR(INDEX($B:$B,MATCH(AF101,$A:$A,0)),AF101)&amp;IF(AG101="",""," &lt;- "&amp;IFERROR(INDEX($B:$B,MATCH(AG101,$A:$A,0)),AG101)))))&amp;IF(ISNUMBER(FIND(",",G101))," (+ other parents)",""))</f>
        <v/>
      </c>
      <c r="Q101" s="21" t="str">
        <f aca="false">IF(A101="","",IF(AD101="",E101&amp;"",IF(AE101="",IF(IFERROR(INDEX($E:$E,MATCH(AD101,$A:$A,0)),"")="","",INDEX($E:$E,MATCH(AD101,$A:$A,0))),IF(AF101="",IF(IFERROR(INDEX($E:$E,MATCH(AE101,$A:$A,0)),"")="","",INDEX($E:$E,MATCH(AE101,$A:$A,0))),IF(AG101="",IF(IFERROR(INDEX($E:$E,MATCH(AF101,$A:$A,0)),"")="","",INDEX($E:$E,MATCH(AF101,$A:$A,0))),IF(IFERROR(INDEX($E:$E,MATCH(AG101,$A:$A,0)),"")="","",INDEX($E:$E,MATCH(AG101,$A:$A,0))))))))</f>
        <v/>
      </c>
      <c r="R101" s="21" t="str">
        <f aca="false">IF(A101="","",COUNTIF(Fields!$D:$D,A101))</f>
        <v/>
      </c>
      <c r="S101" s="21" t="str">
        <f aca="false">IF(A101="","",SUMIF(Fields!$D:$D,A101,Fields!$Q:$Q))</f>
        <v/>
      </c>
      <c r="T101" s="21" t="str">
        <f aca="false">IF(A101="","",COUNTIF('Product inputs'!$D:$D,A101))</f>
        <v/>
      </c>
      <c r="U101" s="20"/>
      <c r="V101" s="20"/>
      <c r="W101" s="20"/>
      <c r="X101" s="20"/>
      <c r="Y101" s="20"/>
      <c r="Z101" s="20"/>
      <c r="AA101" s="20"/>
      <c r="AB101" s="20"/>
      <c r="AC101" s="20"/>
      <c r="AD101" s="18" t="str">
        <f aca="false">IF(A101="","",IF(IFERROR(INDEX($G:$G,MATCH(A101,$A:$A,0)),"")="","",TRIM(IF(ISNUMBER(FIND(",",IFERROR(INDEX($G:$G,MATCH(A101,$A:$A,0)),""))),LEFT(IFERROR(INDEX($G:$G,MATCH(A101,$A:$A,0)),""),FIND(",",IFERROR(INDEX($G:$G,MATCH(A101,$A:$A,0)),""))-1),IFERROR(INDEX($G:$G,MATCH(A101,$A:$A,0)),"")))))</f>
        <v/>
      </c>
      <c r="AE101" s="18" t="str">
        <f aca="false">IF(AD101="","",IF(IFERROR(INDEX($G:$G,MATCH(AD101,$A:$A,0)),"")="","",TRIM(IF(ISNUMBER(FIND(",",IFERROR(INDEX($G:$G,MATCH(AD101,$A:$A,0)),""))),LEFT(IFERROR(INDEX($G:$G,MATCH(AD101,$A:$A,0)),""),FIND(",",IFERROR(INDEX($G:$G,MATCH(AD101,$A:$A,0)),""))-1),IFERROR(INDEX($G:$G,MATCH(AD101,$A:$A,0)),"")))))</f>
        <v/>
      </c>
      <c r="AF101" s="18" t="str">
        <f aca="false">IF(AE101="","",IF(IFERROR(INDEX($G:$G,MATCH(AE101,$A:$A,0)),"")="","",TRIM(IF(ISNUMBER(FIND(",",IFERROR(INDEX($G:$G,MATCH(AE101,$A:$A,0)),""))),LEFT(IFERROR(INDEX($G:$G,MATCH(AE101,$A:$A,0)),""),FIND(",",IFERROR(INDEX($G:$G,MATCH(AE101,$A:$A,0)),""))-1),IFERROR(INDEX($G:$G,MATCH(AE101,$A:$A,0)),"")))))</f>
        <v/>
      </c>
      <c r="AG101" s="18" t="str">
        <f aca="false">IF(AF101="","",IF(IFERROR(INDEX($G:$G,MATCH(AF101,$A:$A,0)),"")="","",TRIM(IF(ISNUMBER(FIND(",",IFERROR(INDEX($G:$G,MATCH(AF101,$A:$A,0)),""))),LEFT(IFERROR(INDEX($G:$G,MATCH(AF101,$A:$A,0)),""),FIND(",",IFERROR(INDEX($G:$G,MATCH(AF101,$A:$A,0)),""))-1),IFERROR(INDEX($G:$G,MATCH(AF101,$A:$A,0)),"")))))</f>
        <v/>
      </c>
    </row>
    <row r="102" customFormat="false" ht="15" hidden="false" customHeight="false" outlineLevel="0" collapsed="false">
      <c r="A102" s="18"/>
      <c r="B102" s="19"/>
      <c r="C102" s="20"/>
      <c r="D102" s="20"/>
      <c r="E102" s="20"/>
      <c r="F102" s="20"/>
      <c r="G102" s="18"/>
      <c r="H102" s="20"/>
      <c r="I102" s="18"/>
      <c r="J102" s="20"/>
      <c r="K102" s="20"/>
      <c r="L102" s="20"/>
      <c r="M102" s="20"/>
      <c r="N102" s="20"/>
      <c r="O102" s="21" t="str">
        <f aca="false">IF(A102="","",IF(AD102="",0,IF(AE102="",1,IF(AF102="",2,IF(AG102="",3,"4+")))))</f>
        <v/>
      </c>
      <c r="P102" s="21" t="str">
        <f aca="false">IF(A102="","",B102&amp;IF(AD102="",""," &lt;- "&amp;IFERROR(INDEX($B:$B,MATCH(AD102,$A:$A,0)),AD102)&amp;IF(AE102="",""," &lt;- "&amp;IFERROR(INDEX($B:$B,MATCH(AE102,$A:$A,0)),AE102)&amp;IF(AF102="",""," &lt;- "&amp;IFERROR(INDEX($B:$B,MATCH(AF102,$A:$A,0)),AF102)&amp;IF(AG102="",""," &lt;- "&amp;IFERROR(INDEX($B:$B,MATCH(AG102,$A:$A,0)),AG102)))))&amp;IF(ISNUMBER(FIND(",",G102))," (+ other parents)",""))</f>
        <v/>
      </c>
      <c r="Q102" s="21" t="str">
        <f aca="false">IF(A102="","",IF(AD102="",E102&amp;"",IF(AE102="",IF(IFERROR(INDEX($E:$E,MATCH(AD102,$A:$A,0)),"")="","",INDEX($E:$E,MATCH(AD102,$A:$A,0))),IF(AF102="",IF(IFERROR(INDEX($E:$E,MATCH(AE102,$A:$A,0)),"")="","",INDEX($E:$E,MATCH(AE102,$A:$A,0))),IF(AG102="",IF(IFERROR(INDEX($E:$E,MATCH(AF102,$A:$A,0)),"")="","",INDEX($E:$E,MATCH(AF102,$A:$A,0))),IF(IFERROR(INDEX($E:$E,MATCH(AG102,$A:$A,0)),"")="","",INDEX($E:$E,MATCH(AG102,$A:$A,0))))))))</f>
        <v/>
      </c>
      <c r="R102" s="21" t="str">
        <f aca="false">IF(A102="","",COUNTIF(Fields!$D:$D,A102))</f>
        <v/>
      </c>
      <c r="S102" s="21" t="str">
        <f aca="false">IF(A102="","",SUMIF(Fields!$D:$D,A102,Fields!$Q:$Q))</f>
        <v/>
      </c>
      <c r="T102" s="21" t="str">
        <f aca="false">IF(A102="","",COUNTIF('Product inputs'!$D:$D,A102))</f>
        <v/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18" t="str">
        <f aca="false">IF(A102="","",IF(IFERROR(INDEX($G:$G,MATCH(A102,$A:$A,0)),"")="","",TRIM(IF(ISNUMBER(FIND(",",IFERROR(INDEX($G:$G,MATCH(A102,$A:$A,0)),""))),LEFT(IFERROR(INDEX($G:$G,MATCH(A102,$A:$A,0)),""),FIND(",",IFERROR(INDEX($G:$G,MATCH(A102,$A:$A,0)),""))-1),IFERROR(INDEX($G:$G,MATCH(A102,$A:$A,0)),"")))))</f>
        <v/>
      </c>
      <c r="AE102" s="18" t="str">
        <f aca="false">IF(AD102="","",IF(IFERROR(INDEX($G:$G,MATCH(AD102,$A:$A,0)),"")="","",TRIM(IF(ISNUMBER(FIND(",",IFERROR(INDEX($G:$G,MATCH(AD102,$A:$A,0)),""))),LEFT(IFERROR(INDEX($G:$G,MATCH(AD102,$A:$A,0)),""),FIND(",",IFERROR(INDEX($G:$G,MATCH(AD102,$A:$A,0)),""))-1),IFERROR(INDEX($G:$G,MATCH(AD102,$A:$A,0)),"")))))</f>
        <v/>
      </c>
      <c r="AF102" s="18" t="str">
        <f aca="false">IF(AE102="","",IF(IFERROR(INDEX($G:$G,MATCH(AE102,$A:$A,0)),"")="","",TRIM(IF(ISNUMBER(FIND(",",IFERROR(INDEX($G:$G,MATCH(AE102,$A:$A,0)),""))),LEFT(IFERROR(INDEX($G:$G,MATCH(AE102,$A:$A,0)),""),FIND(",",IFERROR(INDEX($G:$G,MATCH(AE102,$A:$A,0)),""))-1),IFERROR(INDEX($G:$G,MATCH(AE102,$A:$A,0)),"")))))</f>
        <v/>
      </c>
      <c r="AG102" s="18" t="str">
        <f aca="false">IF(AF102="","",IF(IFERROR(INDEX($G:$G,MATCH(AF102,$A:$A,0)),"")="","",TRIM(IF(ISNUMBER(FIND(",",IFERROR(INDEX($G:$G,MATCH(AF102,$A:$A,0)),""))),LEFT(IFERROR(INDEX($G:$G,MATCH(AF102,$A:$A,0)),""),FIND(",",IFERROR(INDEX($G:$G,MATCH(AF102,$A:$A,0)),""))-1),IFERROR(INDEX($G:$G,MATCH(AF102,$A:$A,0)),"")))))</f>
        <v/>
      </c>
    </row>
    <row r="103" customFormat="false" ht="15" hidden="false" customHeight="false" outlineLevel="0" collapsed="false">
      <c r="A103" s="18"/>
      <c r="B103" s="19"/>
      <c r="C103" s="20"/>
      <c r="D103" s="20"/>
      <c r="E103" s="20"/>
      <c r="F103" s="20"/>
      <c r="G103" s="18"/>
      <c r="H103" s="20"/>
      <c r="I103" s="18"/>
      <c r="J103" s="20"/>
      <c r="K103" s="20"/>
      <c r="L103" s="20"/>
      <c r="M103" s="20"/>
      <c r="N103" s="20"/>
      <c r="O103" s="21" t="str">
        <f aca="false">IF(A103="","",IF(AD103="",0,IF(AE103="",1,IF(AF103="",2,IF(AG103="",3,"4+")))))</f>
        <v/>
      </c>
      <c r="P103" s="21" t="str">
        <f aca="false">IF(A103="","",B103&amp;IF(AD103="",""," &lt;- "&amp;IFERROR(INDEX($B:$B,MATCH(AD103,$A:$A,0)),AD103)&amp;IF(AE103="",""," &lt;- "&amp;IFERROR(INDEX($B:$B,MATCH(AE103,$A:$A,0)),AE103)&amp;IF(AF103="",""," &lt;- "&amp;IFERROR(INDEX($B:$B,MATCH(AF103,$A:$A,0)),AF103)&amp;IF(AG103="",""," &lt;- "&amp;IFERROR(INDEX($B:$B,MATCH(AG103,$A:$A,0)),AG103)))))&amp;IF(ISNUMBER(FIND(",",G103))," (+ other parents)",""))</f>
        <v/>
      </c>
      <c r="Q103" s="21" t="str">
        <f aca="false">IF(A103="","",IF(AD103="",E103&amp;"",IF(AE103="",IF(IFERROR(INDEX($E:$E,MATCH(AD103,$A:$A,0)),"")="","",INDEX($E:$E,MATCH(AD103,$A:$A,0))),IF(AF103="",IF(IFERROR(INDEX($E:$E,MATCH(AE103,$A:$A,0)),"")="","",INDEX($E:$E,MATCH(AE103,$A:$A,0))),IF(AG103="",IF(IFERROR(INDEX($E:$E,MATCH(AF103,$A:$A,0)),"")="","",INDEX($E:$E,MATCH(AF103,$A:$A,0))),IF(IFERROR(INDEX($E:$E,MATCH(AG103,$A:$A,0)),"")="","",INDEX($E:$E,MATCH(AG103,$A:$A,0))))))))</f>
        <v/>
      </c>
      <c r="R103" s="21" t="str">
        <f aca="false">IF(A103="","",COUNTIF(Fields!$D:$D,A103))</f>
        <v/>
      </c>
      <c r="S103" s="21" t="str">
        <f aca="false">IF(A103="","",SUMIF(Fields!$D:$D,A103,Fields!$Q:$Q))</f>
        <v/>
      </c>
      <c r="T103" s="21" t="str">
        <f aca="false">IF(A103="","",COUNTIF('Product inputs'!$D:$D,A103))</f>
        <v/>
      </c>
      <c r="U103" s="20"/>
      <c r="V103" s="20"/>
      <c r="W103" s="20"/>
      <c r="X103" s="20"/>
      <c r="Y103" s="20"/>
      <c r="Z103" s="20"/>
      <c r="AA103" s="20"/>
      <c r="AB103" s="20"/>
      <c r="AC103" s="20"/>
      <c r="AD103" s="18" t="str">
        <f aca="false">IF(A103="","",IF(IFERROR(INDEX($G:$G,MATCH(A103,$A:$A,0)),"")="","",TRIM(IF(ISNUMBER(FIND(",",IFERROR(INDEX($G:$G,MATCH(A103,$A:$A,0)),""))),LEFT(IFERROR(INDEX($G:$G,MATCH(A103,$A:$A,0)),""),FIND(",",IFERROR(INDEX($G:$G,MATCH(A103,$A:$A,0)),""))-1),IFERROR(INDEX($G:$G,MATCH(A103,$A:$A,0)),"")))))</f>
        <v/>
      </c>
      <c r="AE103" s="18" t="str">
        <f aca="false">IF(AD103="","",IF(IFERROR(INDEX($G:$G,MATCH(AD103,$A:$A,0)),"")="","",TRIM(IF(ISNUMBER(FIND(",",IFERROR(INDEX($G:$G,MATCH(AD103,$A:$A,0)),""))),LEFT(IFERROR(INDEX($G:$G,MATCH(AD103,$A:$A,0)),""),FIND(",",IFERROR(INDEX($G:$G,MATCH(AD103,$A:$A,0)),""))-1),IFERROR(INDEX($G:$G,MATCH(AD103,$A:$A,0)),"")))))</f>
        <v/>
      </c>
      <c r="AF103" s="18" t="str">
        <f aca="false">IF(AE103="","",IF(IFERROR(INDEX($G:$G,MATCH(AE103,$A:$A,0)),"")="","",TRIM(IF(ISNUMBER(FIND(",",IFERROR(INDEX($G:$G,MATCH(AE103,$A:$A,0)),""))),LEFT(IFERROR(INDEX($G:$G,MATCH(AE103,$A:$A,0)),""),FIND(",",IFERROR(INDEX($G:$G,MATCH(AE103,$A:$A,0)),""))-1),IFERROR(INDEX($G:$G,MATCH(AE103,$A:$A,0)),"")))))</f>
        <v/>
      </c>
      <c r="AG103" s="18" t="str">
        <f aca="false">IF(AF103="","",IF(IFERROR(INDEX($G:$G,MATCH(AF103,$A:$A,0)),"")="","",TRIM(IF(ISNUMBER(FIND(",",IFERROR(INDEX($G:$G,MATCH(AF103,$A:$A,0)),""))),LEFT(IFERROR(INDEX($G:$G,MATCH(AF103,$A:$A,0)),""),FIND(",",IFERROR(INDEX($G:$G,MATCH(AF103,$A:$A,0)),""))-1),IFERROR(INDEX($G:$G,MATCH(AF103,$A:$A,0)),"")))))</f>
        <v/>
      </c>
    </row>
    <row r="104" customFormat="false" ht="15" hidden="false" customHeight="false" outlineLevel="0" collapsed="false">
      <c r="A104" s="18"/>
      <c r="B104" s="19"/>
      <c r="C104" s="20"/>
      <c r="D104" s="20"/>
      <c r="E104" s="20"/>
      <c r="F104" s="20"/>
      <c r="G104" s="18"/>
      <c r="H104" s="20"/>
      <c r="I104" s="18"/>
      <c r="J104" s="20"/>
      <c r="K104" s="20"/>
      <c r="L104" s="20"/>
      <c r="M104" s="20"/>
      <c r="N104" s="20"/>
      <c r="O104" s="21" t="str">
        <f aca="false">IF(A104="","",IF(AD104="",0,IF(AE104="",1,IF(AF104="",2,IF(AG104="",3,"4+")))))</f>
        <v/>
      </c>
      <c r="P104" s="21" t="str">
        <f aca="false">IF(A104="","",B104&amp;IF(AD104="",""," &lt;- "&amp;IFERROR(INDEX($B:$B,MATCH(AD104,$A:$A,0)),AD104)&amp;IF(AE104="",""," &lt;- "&amp;IFERROR(INDEX($B:$B,MATCH(AE104,$A:$A,0)),AE104)&amp;IF(AF104="",""," &lt;- "&amp;IFERROR(INDEX($B:$B,MATCH(AF104,$A:$A,0)),AF104)&amp;IF(AG104="",""," &lt;- "&amp;IFERROR(INDEX($B:$B,MATCH(AG104,$A:$A,0)),AG104)))))&amp;IF(ISNUMBER(FIND(",",G104))," (+ other parents)",""))</f>
        <v/>
      </c>
      <c r="Q104" s="21" t="str">
        <f aca="false">IF(A104="","",IF(AD104="",E104&amp;"",IF(AE104="",IF(IFERROR(INDEX($E:$E,MATCH(AD104,$A:$A,0)),"")="","",INDEX($E:$E,MATCH(AD104,$A:$A,0))),IF(AF104="",IF(IFERROR(INDEX($E:$E,MATCH(AE104,$A:$A,0)),"")="","",INDEX($E:$E,MATCH(AE104,$A:$A,0))),IF(AG104="",IF(IFERROR(INDEX($E:$E,MATCH(AF104,$A:$A,0)),"")="","",INDEX($E:$E,MATCH(AF104,$A:$A,0))),IF(IFERROR(INDEX($E:$E,MATCH(AG104,$A:$A,0)),"")="","",INDEX($E:$E,MATCH(AG104,$A:$A,0))))))))</f>
        <v/>
      </c>
      <c r="R104" s="21" t="str">
        <f aca="false">IF(A104="","",COUNTIF(Fields!$D:$D,A104))</f>
        <v/>
      </c>
      <c r="S104" s="21" t="str">
        <f aca="false">IF(A104="","",SUMIF(Fields!$D:$D,A104,Fields!$Q:$Q))</f>
        <v/>
      </c>
      <c r="T104" s="21" t="str">
        <f aca="false">IF(A104="","",COUNTIF('Product inputs'!$D:$D,A104))</f>
        <v/>
      </c>
      <c r="U104" s="20"/>
      <c r="V104" s="20"/>
      <c r="W104" s="20"/>
      <c r="X104" s="20"/>
      <c r="Y104" s="20"/>
      <c r="Z104" s="20"/>
      <c r="AA104" s="20"/>
      <c r="AB104" s="20"/>
      <c r="AC104" s="20"/>
      <c r="AD104" s="18" t="str">
        <f aca="false">IF(A104="","",IF(IFERROR(INDEX($G:$G,MATCH(A104,$A:$A,0)),"")="","",TRIM(IF(ISNUMBER(FIND(",",IFERROR(INDEX($G:$G,MATCH(A104,$A:$A,0)),""))),LEFT(IFERROR(INDEX($G:$G,MATCH(A104,$A:$A,0)),""),FIND(",",IFERROR(INDEX($G:$G,MATCH(A104,$A:$A,0)),""))-1),IFERROR(INDEX($G:$G,MATCH(A104,$A:$A,0)),"")))))</f>
        <v/>
      </c>
      <c r="AE104" s="18" t="str">
        <f aca="false">IF(AD104="","",IF(IFERROR(INDEX($G:$G,MATCH(AD104,$A:$A,0)),"")="","",TRIM(IF(ISNUMBER(FIND(",",IFERROR(INDEX($G:$G,MATCH(AD104,$A:$A,0)),""))),LEFT(IFERROR(INDEX($G:$G,MATCH(AD104,$A:$A,0)),""),FIND(",",IFERROR(INDEX($G:$G,MATCH(AD104,$A:$A,0)),""))-1),IFERROR(INDEX($G:$G,MATCH(AD104,$A:$A,0)),"")))))</f>
        <v/>
      </c>
      <c r="AF104" s="18" t="str">
        <f aca="false">IF(AE104="","",IF(IFERROR(INDEX($G:$G,MATCH(AE104,$A:$A,0)),"")="","",TRIM(IF(ISNUMBER(FIND(",",IFERROR(INDEX($G:$G,MATCH(AE104,$A:$A,0)),""))),LEFT(IFERROR(INDEX($G:$G,MATCH(AE104,$A:$A,0)),""),FIND(",",IFERROR(INDEX($G:$G,MATCH(AE104,$A:$A,0)),""))-1),IFERROR(INDEX($G:$G,MATCH(AE104,$A:$A,0)),"")))))</f>
        <v/>
      </c>
      <c r="AG104" s="18" t="str">
        <f aca="false">IF(AF104="","",IF(IFERROR(INDEX($G:$G,MATCH(AF104,$A:$A,0)),"")="","",TRIM(IF(ISNUMBER(FIND(",",IFERROR(INDEX($G:$G,MATCH(AF104,$A:$A,0)),""))),LEFT(IFERROR(INDEX($G:$G,MATCH(AF104,$A:$A,0)),""),FIND(",",IFERROR(INDEX($G:$G,MATCH(AF104,$A:$A,0)),""))-1),IFERROR(INDEX($G:$G,MATCH(AF104,$A:$A,0)),"")))))</f>
        <v/>
      </c>
    </row>
    <row r="105" customFormat="false" ht="15" hidden="false" customHeight="false" outlineLevel="0" collapsed="false">
      <c r="A105" s="18"/>
      <c r="B105" s="19"/>
      <c r="C105" s="20"/>
      <c r="D105" s="20"/>
      <c r="E105" s="20"/>
      <c r="F105" s="20"/>
      <c r="G105" s="18"/>
      <c r="H105" s="20"/>
      <c r="I105" s="18"/>
      <c r="J105" s="20"/>
      <c r="K105" s="20"/>
      <c r="L105" s="20"/>
      <c r="M105" s="20"/>
      <c r="N105" s="20"/>
      <c r="O105" s="21" t="str">
        <f aca="false">IF(A105="","",IF(AD105="",0,IF(AE105="",1,IF(AF105="",2,IF(AG105="",3,"4+")))))</f>
        <v/>
      </c>
      <c r="P105" s="21" t="str">
        <f aca="false">IF(A105="","",B105&amp;IF(AD105="",""," &lt;- "&amp;IFERROR(INDEX($B:$B,MATCH(AD105,$A:$A,0)),AD105)&amp;IF(AE105="",""," &lt;- "&amp;IFERROR(INDEX($B:$B,MATCH(AE105,$A:$A,0)),AE105)&amp;IF(AF105="",""," &lt;- "&amp;IFERROR(INDEX($B:$B,MATCH(AF105,$A:$A,0)),AF105)&amp;IF(AG105="",""," &lt;- "&amp;IFERROR(INDEX($B:$B,MATCH(AG105,$A:$A,0)),AG105)))))&amp;IF(ISNUMBER(FIND(",",G105))," (+ other parents)",""))</f>
        <v/>
      </c>
      <c r="Q105" s="21" t="str">
        <f aca="false">IF(A105="","",IF(AD105="",E105&amp;"",IF(AE105="",IF(IFERROR(INDEX($E:$E,MATCH(AD105,$A:$A,0)),"")="","",INDEX($E:$E,MATCH(AD105,$A:$A,0))),IF(AF105="",IF(IFERROR(INDEX($E:$E,MATCH(AE105,$A:$A,0)),"")="","",INDEX($E:$E,MATCH(AE105,$A:$A,0))),IF(AG105="",IF(IFERROR(INDEX($E:$E,MATCH(AF105,$A:$A,0)),"")="","",INDEX($E:$E,MATCH(AF105,$A:$A,0))),IF(IFERROR(INDEX($E:$E,MATCH(AG105,$A:$A,0)),"")="","",INDEX($E:$E,MATCH(AG105,$A:$A,0))))))))</f>
        <v/>
      </c>
      <c r="R105" s="21" t="str">
        <f aca="false">IF(A105="","",COUNTIF(Fields!$D:$D,A105))</f>
        <v/>
      </c>
      <c r="S105" s="21" t="str">
        <f aca="false">IF(A105="","",SUMIF(Fields!$D:$D,A105,Fields!$Q:$Q))</f>
        <v/>
      </c>
      <c r="T105" s="21" t="str">
        <f aca="false">IF(A105="","",COUNTIF('Product inputs'!$D:$D,A105))</f>
        <v/>
      </c>
      <c r="U105" s="20"/>
      <c r="V105" s="20"/>
      <c r="W105" s="20"/>
      <c r="X105" s="20"/>
      <c r="Y105" s="20"/>
      <c r="Z105" s="20"/>
      <c r="AA105" s="20"/>
      <c r="AB105" s="20"/>
      <c r="AC105" s="20"/>
      <c r="AD105" s="18" t="str">
        <f aca="false">IF(A105="","",IF(IFERROR(INDEX($G:$G,MATCH(A105,$A:$A,0)),"")="","",TRIM(IF(ISNUMBER(FIND(",",IFERROR(INDEX($G:$G,MATCH(A105,$A:$A,0)),""))),LEFT(IFERROR(INDEX($G:$G,MATCH(A105,$A:$A,0)),""),FIND(",",IFERROR(INDEX($G:$G,MATCH(A105,$A:$A,0)),""))-1),IFERROR(INDEX($G:$G,MATCH(A105,$A:$A,0)),"")))))</f>
        <v/>
      </c>
      <c r="AE105" s="18" t="str">
        <f aca="false">IF(AD105="","",IF(IFERROR(INDEX($G:$G,MATCH(AD105,$A:$A,0)),"")="","",TRIM(IF(ISNUMBER(FIND(",",IFERROR(INDEX($G:$G,MATCH(AD105,$A:$A,0)),""))),LEFT(IFERROR(INDEX($G:$G,MATCH(AD105,$A:$A,0)),""),FIND(",",IFERROR(INDEX($G:$G,MATCH(AD105,$A:$A,0)),""))-1),IFERROR(INDEX($G:$G,MATCH(AD105,$A:$A,0)),"")))))</f>
        <v/>
      </c>
      <c r="AF105" s="18" t="str">
        <f aca="false">IF(AE105="","",IF(IFERROR(INDEX($G:$G,MATCH(AE105,$A:$A,0)),"")="","",TRIM(IF(ISNUMBER(FIND(",",IFERROR(INDEX($G:$G,MATCH(AE105,$A:$A,0)),""))),LEFT(IFERROR(INDEX($G:$G,MATCH(AE105,$A:$A,0)),""),FIND(",",IFERROR(INDEX($G:$G,MATCH(AE105,$A:$A,0)),""))-1),IFERROR(INDEX($G:$G,MATCH(AE105,$A:$A,0)),"")))))</f>
        <v/>
      </c>
      <c r="AG105" s="18" t="str">
        <f aca="false">IF(AF105="","",IF(IFERROR(INDEX($G:$G,MATCH(AF105,$A:$A,0)),"")="","",TRIM(IF(ISNUMBER(FIND(",",IFERROR(INDEX($G:$G,MATCH(AF105,$A:$A,0)),""))),LEFT(IFERROR(INDEX($G:$G,MATCH(AF105,$A:$A,0)),""),FIND(",",IFERROR(INDEX($G:$G,MATCH(AF105,$A:$A,0)),""))-1),IFERROR(INDEX($G:$G,MATCH(AF105,$A:$A,0)),"")))))</f>
        <v/>
      </c>
    </row>
    <row r="106" customFormat="false" ht="15" hidden="false" customHeight="false" outlineLevel="0" collapsed="false">
      <c r="A106" s="18"/>
      <c r="B106" s="19"/>
      <c r="C106" s="20"/>
      <c r="D106" s="20"/>
      <c r="E106" s="20"/>
      <c r="F106" s="20"/>
      <c r="G106" s="18"/>
      <c r="H106" s="20"/>
      <c r="I106" s="18"/>
      <c r="J106" s="20"/>
      <c r="K106" s="20"/>
      <c r="L106" s="20"/>
      <c r="M106" s="20"/>
      <c r="N106" s="20"/>
      <c r="O106" s="21" t="str">
        <f aca="false">IF(A106="","",IF(AD106="",0,IF(AE106="",1,IF(AF106="",2,IF(AG106="",3,"4+")))))</f>
        <v/>
      </c>
      <c r="P106" s="21" t="str">
        <f aca="false">IF(A106="","",B106&amp;IF(AD106="",""," &lt;- "&amp;IFERROR(INDEX($B:$B,MATCH(AD106,$A:$A,0)),AD106)&amp;IF(AE106="",""," &lt;- "&amp;IFERROR(INDEX($B:$B,MATCH(AE106,$A:$A,0)),AE106)&amp;IF(AF106="",""," &lt;- "&amp;IFERROR(INDEX($B:$B,MATCH(AF106,$A:$A,0)),AF106)&amp;IF(AG106="",""," &lt;- "&amp;IFERROR(INDEX($B:$B,MATCH(AG106,$A:$A,0)),AG106)))))&amp;IF(ISNUMBER(FIND(",",G106))," (+ other parents)",""))</f>
        <v/>
      </c>
      <c r="Q106" s="21" t="str">
        <f aca="false">IF(A106="","",IF(AD106="",E106&amp;"",IF(AE106="",IF(IFERROR(INDEX($E:$E,MATCH(AD106,$A:$A,0)),"")="","",INDEX($E:$E,MATCH(AD106,$A:$A,0))),IF(AF106="",IF(IFERROR(INDEX($E:$E,MATCH(AE106,$A:$A,0)),"")="","",INDEX($E:$E,MATCH(AE106,$A:$A,0))),IF(AG106="",IF(IFERROR(INDEX($E:$E,MATCH(AF106,$A:$A,0)),"")="","",INDEX($E:$E,MATCH(AF106,$A:$A,0))),IF(IFERROR(INDEX($E:$E,MATCH(AG106,$A:$A,0)),"")="","",INDEX($E:$E,MATCH(AG106,$A:$A,0))))))))</f>
        <v/>
      </c>
      <c r="R106" s="21" t="str">
        <f aca="false">IF(A106="","",COUNTIF(Fields!$D:$D,A106))</f>
        <v/>
      </c>
      <c r="S106" s="21" t="str">
        <f aca="false">IF(A106="","",SUMIF(Fields!$D:$D,A106,Fields!$Q:$Q))</f>
        <v/>
      </c>
      <c r="T106" s="21" t="str">
        <f aca="false">IF(A106="","",COUNTIF('Product inputs'!$D:$D,A106))</f>
        <v/>
      </c>
      <c r="U106" s="20"/>
      <c r="V106" s="20"/>
      <c r="W106" s="20"/>
      <c r="X106" s="20"/>
      <c r="Y106" s="20"/>
      <c r="Z106" s="20"/>
      <c r="AA106" s="20"/>
      <c r="AB106" s="20"/>
      <c r="AC106" s="20"/>
      <c r="AD106" s="18" t="str">
        <f aca="false">IF(A106="","",IF(IFERROR(INDEX($G:$G,MATCH(A106,$A:$A,0)),"")="","",TRIM(IF(ISNUMBER(FIND(",",IFERROR(INDEX($G:$G,MATCH(A106,$A:$A,0)),""))),LEFT(IFERROR(INDEX($G:$G,MATCH(A106,$A:$A,0)),""),FIND(",",IFERROR(INDEX($G:$G,MATCH(A106,$A:$A,0)),""))-1),IFERROR(INDEX($G:$G,MATCH(A106,$A:$A,0)),"")))))</f>
        <v/>
      </c>
      <c r="AE106" s="18" t="str">
        <f aca="false">IF(AD106="","",IF(IFERROR(INDEX($G:$G,MATCH(AD106,$A:$A,0)),"")="","",TRIM(IF(ISNUMBER(FIND(",",IFERROR(INDEX($G:$G,MATCH(AD106,$A:$A,0)),""))),LEFT(IFERROR(INDEX($G:$G,MATCH(AD106,$A:$A,0)),""),FIND(",",IFERROR(INDEX($G:$G,MATCH(AD106,$A:$A,0)),""))-1),IFERROR(INDEX($G:$G,MATCH(AD106,$A:$A,0)),"")))))</f>
        <v/>
      </c>
      <c r="AF106" s="18" t="str">
        <f aca="false">IF(AE106="","",IF(IFERROR(INDEX($G:$G,MATCH(AE106,$A:$A,0)),"")="","",TRIM(IF(ISNUMBER(FIND(",",IFERROR(INDEX($G:$G,MATCH(AE106,$A:$A,0)),""))),LEFT(IFERROR(INDEX($G:$G,MATCH(AE106,$A:$A,0)),""),FIND(",",IFERROR(INDEX($G:$G,MATCH(AE106,$A:$A,0)),""))-1),IFERROR(INDEX($G:$G,MATCH(AE106,$A:$A,0)),"")))))</f>
        <v/>
      </c>
      <c r="AG106" s="18" t="str">
        <f aca="false">IF(AF106="","",IF(IFERROR(INDEX($G:$G,MATCH(AF106,$A:$A,0)),"")="","",TRIM(IF(ISNUMBER(FIND(",",IFERROR(INDEX($G:$G,MATCH(AF106,$A:$A,0)),""))),LEFT(IFERROR(INDEX($G:$G,MATCH(AF106,$A:$A,0)),""),FIND(",",IFERROR(INDEX($G:$G,MATCH(AF106,$A:$A,0)),""))-1),IFERROR(INDEX($G:$G,MATCH(AF106,$A:$A,0)),"")))))</f>
        <v/>
      </c>
    </row>
    <row r="107" customFormat="false" ht="15" hidden="false" customHeight="false" outlineLevel="0" collapsed="false">
      <c r="A107" s="18"/>
      <c r="B107" s="19"/>
      <c r="C107" s="20"/>
      <c r="D107" s="20"/>
      <c r="E107" s="20"/>
      <c r="F107" s="20"/>
      <c r="G107" s="18"/>
      <c r="H107" s="20"/>
      <c r="I107" s="18"/>
      <c r="J107" s="20"/>
      <c r="K107" s="20"/>
      <c r="L107" s="20"/>
      <c r="M107" s="20"/>
      <c r="N107" s="20"/>
      <c r="O107" s="21" t="str">
        <f aca="false">IF(A107="","",IF(AD107="",0,IF(AE107="",1,IF(AF107="",2,IF(AG107="",3,"4+")))))</f>
        <v/>
      </c>
      <c r="P107" s="21" t="str">
        <f aca="false">IF(A107="","",B107&amp;IF(AD107="",""," &lt;- "&amp;IFERROR(INDEX($B:$B,MATCH(AD107,$A:$A,0)),AD107)&amp;IF(AE107="",""," &lt;- "&amp;IFERROR(INDEX($B:$B,MATCH(AE107,$A:$A,0)),AE107)&amp;IF(AF107="",""," &lt;- "&amp;IFERROR(INDEX($B:$B,MATCH(AF107,$A:$A,0)),AF107)&amp;IF(AG107="",""," &lt;- "&amp;IFERROR(INDEX($B:$B,MATCH(AG107,$A:$A,0)),AG107)))))&amp;IF(ISNUMBER(FIND(",",G107))," (+ other parents)",""))</f>
        <v/>
      </c>
      <c r="Q107" s="21" t="str">
        <f aca="false">IF(A107="","",IF(AD107="",E107&amp;"",IF(AE107="",IF(IFERROR(INDEX($E:$E,MATCH(AD107,$A:$A,0)),"")="","",INDEX($E:$E,MATCH(AD107,$A:$A,0))),IF(AF107="",IF(IFERROR(INDEX($E:$E,MATCH(AE107,$A:$A,0)),"")="","",INDEX($E:$E,MATCH(AE107,$A:$A,0))),IF(AG107="",IF(IFERROR(INDEX($E:$E,MATCH(AF107,$A:$A,0)),"")="","",INDEX($E:$E,MATCH(AF107,$A:$A,0))),IF(IFERROR(INDEX($E:$E,MATCH(AG107,$A:$A,0)),"")="","",INDEX($E:$E,MATCH(AG107,$A:$A,0))))))))</f>
        <v/>
      </c>
      <c r="R107" s="21" t="str">
        <f aca="false">IF(A107="","",COUNTIF(Fields!$D:$D,A107))</f>
        <v/>
      </c>
      <c r="S107" s="21" t="str">
        <f aca="false">IF(A107="","",SUMIF(Fields!$D:$D,A107,Fields!$Q:$Q))</f>
        <v/>
      </c>
      <c r="T107" s="21" t="str">
        <f aca="false">IF(A107="","",COUNTIF('Product inputs'!$D:$D,A107))</f>
        <v/>
      </c>
      <c r="U107" s="20"/>
      <c r="V107" s="20"/>
      <c r="W107" s="20"/>
      <c r="X107" s="20"/>
      <c r="Y107" s="20"/>
      <c r="Z107" s="20"/>
      <c r="AA107" s="20"/>
      <c r="AB107" s="20"/>
      <c r="AC107" s="20"/>
      <c r="AD107" s="18" t="str">
        <f aca="false">IF(A107="","",IF(IFERROR(INDEX($G:$G,MATCH(A107,$A:$A,0)),"")="","",TRIM(IF(ISNUMBER(FIND(",",IFERROR(INDEX($G:$G,MATCH(A107,$A:$A,0)),""))),LEFT(IFERROR(INDEX($G:$G,MATCH(A107,$A:$A,0)),""),FIND(",",IFERROR(INDEX($G:$G,MATCH(A107,$A:$A,0)),""))-1),IFERROR(INDEX($G:$G,MATCH(A107,$A:$A,0)),"")))))</f>
        <v/>
      </c>
      <c r="AE107" s="18" t="str">
        <f aca="false">IF(AD107="","",IF(IFERROR(INDEX($G:$G,MATCH(AD107,$A:$A,0)),"")="","",TRIM(IF(ISNUMBER(FIND(",",IFERROR(INDEX($G:$G,MATCH(AD107,$A:$A,0)),""))),LEFT(IFERROR(INDEX($G:$G,MATCH(AD107,$A:$A,0)),""),FIND(",",IFERROR(INDEX($G:$G,MATCH(AD107,$A:$A,0)),""))-1),IFERROR(INDEX($G:$G,MATCH(AD107,$A:$A,0)),"")))))</f>
        <v/>
      </c>
      <c r="AF107" s="18" t="str">
        <f aca="false">IF(AE107="","",IF(IFERROR(INDEX($G:$G,MATCH(AE107,$A:$A,0)),"")="","",TRIM(IF(ISNUMBER(FIND(",",IFERROR(INDEX($G:$G,MATCH(AE107,$A:$A,0)),""))),LEFT(IFERROR(INDEX($G:$G,MATCH(AE107,$A:$A,0)),""),FIND(",",IFERROR(INDEX($G:$G,MATCH(AE107,$A:$A,0)),""))-1),IFERROR(INDEX($G:$G,MATCH(AE107,$A:$A,0)),"")))))</f>
        <v/>
      </c>
      <c r="AG107" s="18" t="str">
        <f aca="false">IF(AF107="","",IF(IFERROR(INDEX($G:$G,MATCH(AF107,$A:$A,0)),"")="","",TRIM(IF(ISNUMBER(FIND(",",IFERROR(INDEX($G:$G,MATCH(AF107,$A:$A,0)),""))),LEFT(IFERROR(INDEX($G:$G,MATCH(AF107,$A:$A,0)),""),FIND(",",IFERROR(INDEX($G:$G,MATCH(AF107,$A:$A,0)),""))-1),IFERROR(INDEX($G:$G,MATCH(AF107,$A:$A,0)),"")))))</f>
        <v/>
      </c>
    </row>
    <row r="108" customFormat="false" ht="15" hidden="false" customHeight="false" outlineLevel="0" collapsed="false">
      <c r="A108" s="18"/>
      <c r="B108" s="19"/>
      <c r="C108" s="20"/>
      <c r="D108" s="20"/>
      <c r="E108" s="20"/>
      <c r="F108" s="20"/>
      <c r="G108" s="18"/>
      <c r="H108" s="20"/>
      <c r="I108" s="18"/>
      <c r="J108" s="20"/>
      <c r="K108" s="20"/>
      <c r="L108" s="20"/>
      <c r="M108" s="20"/>
      <c r="N108" s="20"/>
      <c r="O108" s="21" t="str">
        <f aca="false">IF(A108="","",IF(AD108="",0,IF(AE108="",1,IF(AF108="",2,IF(AG108="",3,"4+")))))</f>
        <v/>
      </c>
      <c r="P108" s="21" t="str">
        <f aca="false">IF(A108="","",B108&amp;IF(AD108="",""," &lt;- "&amp;IFERROR(INDEX($B:$B,MATCH(AD108,$A:$A,0)),AD108)&amp;IF(AE108="",""," &lt;- "&amp;IFERROR(INDEX($B:$B,MATCH(AE108,$A:$A,0)),AE108)&amp;IF(AF108="",""," &lt;- "&amp;IFERROR(INDEX($B:$B,MATCH(AF108,$A:$A,0)),AF108)&amp;IF(AG108="",""," &lt;- "&amp;IFERROR(INDEX($B:$B,MATCH(AG108,$A:$A,0)),AG108)))))&amp;IF(ISNUMBER(FIND(",",G108))," (+ other parents)",""))</f>
        <v/>
      </c>
      <c r="Q108" s="21" t="str">
        <f aca="false">IF(A108="","",IF(AD108="",E108&amp;"",IF(AE108="",IF(IFERROR(INDEX($E:$E,MATCH(AD108,$A:$A,0)),"")="","",INDEX($E:$E,MATCH(AD108,$A:$A,0))),IF(AF108="",IF(IFERROR(INDEX($E:$E,MATCH(AE108,$A:$A,0)),"")="","",INDEX($E:$E,MATCH(AE108,$A:$A,0))),IF(AG108="",IF(IFERROR(INDEX($E:$E,MATCH(AF108,$A:$A,0)),"")="","",INDEX($E:$E,MATCH(AF108,$A:$A,0))),IF(IFERROR(INDEX($E:$E,MATCH(AG108,$A:$A,0)),"")="","",INDEX($E:$E,MATCH(AG108,$A:$A,0))))))))</f>
        <v/>
      </c>
      <c r="R108" s="21" t="str">
        <f aca="false">IF(A108="","",COUNTIF(Fields!$D:$D,A108))</f>
        <v/>
      </c>
      <c r="S108" s="21" t="str">
        <f aca="false">IF(A108="","",SUMIF(Fields!$D:$D,A108,Fields!$Q:$Q))</f>
        <v/>
      </c>
      <c r="T108" s="21" t="str">
        <f aca="false">IF(A108="","",COUNTIF('Product inputs'!$D:$D,A108))</f>
        <v/>
      </c>
      <c r="U108" s="20"/>
      <c r="V108" s="20"/>
      <c r="W108" s="20"/>
      <c r="X108" s="20"/>
      <c r="Y108" s="20"/>
      <c r="Z108" s="20"/>
      <c r="AA108" s="20"/>
      <c r="AB108" s="20"/>
      <c r="AC108" s="20"/>
      <c r="AD108" s="18" t="str">
        <f aca="false">IF(A108="","",IF(IFERROR(INDEX($G:$G,MATCH(A108,$A:$A,0)),"")="","",TRIM(IF(ISNUMBER(FIND(",",IFERROR(INDEX($G:$G,MATCH(A108,$A:$A,0)),""))),LEFT(IFERROR(INDEX($G:$G,MATCH(A108,$A:$A,0)),""),FIND(",",IFERROR(INDEX($G:$G,MATCH(A108,$A:$A,0)),""))-1),IFERROR(INDEX($G:$G,MATCH(A108,$A:$A,0)),"")))))</f>
        <v/>
      </c>
      <c r="AE108" s="18" t="str">
        <f aca="false">IF(AD108="","",IF(IFERROR(INDEX($G:$G,MATCH(AD108,$A:$A,0)),"")="","",TRIM(IF(ISNUMBER(FIND(",",IFERROR(INDEX($G:$G,MATCH(AD108,$A:$A,0)),""))),LEFT(IFERROR(INDEX($G:$G,MATCH(AD108,$A:$A,0)),""),FIND(",",IFERROR(INDEX($G:$G,MATCH(AD108,$A:$A,0)),""))-1),IFERROR(INDEX($G:$G,MATCH(AD108,$A:$A,0)),"")))))</f>
        <v/>
      </c>
      <c r="AF108" s="18" t="str">
        <f aca="false">IF(AE108="","",IF(IFERROR(INDEX($G:$G,MATCH(AE108,$A:$A,0)),"")="","",TRIM(IF(ISNUMBER(FIND(",",IFERROR(INDEX($G:$G,MATCH(AE108,$A:$A,0)),""))),LEFT(IFERROR(INDEX($G:$G,MATCH(AE108,$A:$A,0)),""),FIND(",",IFERROR(INDEX($G:$G,MATCH(AE108,$A:$A,0)),""))-1),IFERROR(INDEX($G:$G,MATCH(AE108,$A:$A,0)),"")))))</f>
        <v/>
      </c>
      <c r="AG108" s="18" t="str">
        <f aca="false">IF(AF108="","",IF(IFERROR(INDEX($G:$G,MATCH(AF108,$A:$A,0)),"")="","",TRIM(IF(ISNUMBER(FIND(",",IFERROR(INDEX($G:$G,MATCH(AF108,$A:$A,0)),""))),LEFT(IFERROR(INDEX($G:$G,MATCH(AF108,$A:$A,0)),""),FIND(",",IFERROR(INDEX($G:$G,MATCH(AF108,$A:$A,0)),""))-1),IFERROR(INDEX($G:$G,MATCH(AF108,$A:$A,0)),"")))))</f>
        <v/>
      </c>
    </row>
    <row r="109" customFormat="false" ht="15" hidden="false" customHeight="false" outlineLevel="0" collapsed="false">
      <c r="A109" s="18"/>
      <c r="B109" s="19"/>
      <c r="C109" s="20"/>
      <c r="D109" s="20"/>
      <c r="E109" s="20"/>
      <c r="F109" s="20"/>
      <c r="G109" s="18"/>
      <c r="H109" s="20"/>
      <c r="I109" s="18"/>
      <c r="J109" s="20"/>
      <c r="K109" s="20"/>
      <c r="L109" s="20"/>
      <c r="M109" s="20"/>
      <c r="N109" s="20"/>
      <c r="O109" s="21" t="str">
        <f aca="false">IF(A109="","",IF(AD109="",0,IF(AE109="",1,IF(AF109="",2,IF(AG109="",3,"4+")))))</f>
        <v/>
      </c>
      <c r="P109" s="21" t="str">
        <f aca="false">IF(A109="","",B109&amp;IF(AD109="",""," &lt;- "&amp;IFERROR(INDEX($B:$B,MATCH(AD109,$A:$A,0)),AD109)&amp;IF(AE109="",""," &lt;- "&amp;IFERROR(INDEX($B:$B,MATCH(AE109,$A:$A,0)),AE109)&amp;IF(AF109="",""," &lt;- "&amp;IFERROR(INDEX($B:$B,MATCH(AF109,$A:$A,0)),AF109)&amp;IF(AG109="",""," &lt;- "&amp;IFERROR(INDEX($B:$B,MATCH(AG109,$A:$A,0)),AG109)))))&amp;IF(ISNUMBER(FIND(",",G109))," (+ other parents)",""))</f>
        <v/>
      </c>
      <c r="Q109" s="21" t="str">
        <f aca="false">IF(A109="","",IF(AD109="",E109&amp;"",IF(AE109="",IF(IFERROR(INDEX($E:$E,MATCH(AD109,$A:$A,0)),"")="","",INDEX($E:$E,MATCH(AD109,$A:$A,0))),IF(AF109="",IF(IFERROR(INDEX($E:$E,MATCH(AE109,$A:$A,0)),"")="","",INDEX($E:$E,MATCH(AE109,$A:$A,0))),IF(AG109="",IF(IFERROR(INDEX($E:$E,MATCH(AF109,$A:$A,0)),"")="","",INDEX($E:$E,MATCH(AF109,$A:$A,0))),IF(IFERROR(INDEX($E:$E,MATCH(AG109,$A:$A,0)),"")="","",INDEX($E:$E,MATCH(AG109,$A:$A,0))))))))</f>
        <v/>
      </c>
      <c r="R109" s="21" t="str">
        <f aca="false">IF(A109="","",COUNTIF(Fields!$D:$D,A109))</f>
        <v/>
      </c>
      <c r="S109" s="21" t="str">
        <f aca="false">IF(A109="","",SUMIF(Fields!$D:$D,A109,Fields!$Q:$Q))</f>
        <v/>
      </c>
      <c r="T109" s="21" t="str">
        <f aca="false">IF(A109="","",COUNTIF('Product inputs'!$D:$D,A109))</f>
        <v/>
      </c>
      <c r="U109" s="20"/>
      <c r="V109" s="20"/>
      <c r="W109" s="20"/>
      <c r="X109" s="20"/>
      <c r="Y109" s="20"/>
      <c r="Z109" s="20"/>
      <c r="AA109" s="20"/>
      <c r="AB109" s="20"/>
      <c r="AC109" s="20"/>
      <c r="AD109" s="18" t="str">
        <f aca="false">IF(A109="","",IF(IFERROR(INDEX($G:$G,MATCH(A109,$A:$A,0)),"")="","",TRIM(IF(ISNUMBER(FIND(",",IFERROR(INDEX($G:$G,MATCH(A109,$A:$A,0)),""))),LEFT(IFERROR(INDEX($G:$G,MATCH(A109,$A:$A,0)),""),FIND(",",IFERROR(INDEX($G:$G,MATCH(A109,$A:$A,0)),""))-1),IFERROR(INDEX($G:$G,MATCH(A109,$A:$A,0)),"")))))</f>
        <v/>
      </c>
      <c r="AE109" s="18" t="str">
        <f aca="false">IF(AD109="","",IF(IFERROR(INDEX($G:$G,MATCH(AD109,$A:$A,0)),"")="","",TRIM(IF(ISNUMBER(FIND(",",IFERROR(INDEX($G:$G,MATCH(AD109,$A:$A,0)),""))),LEFT(IFERROR(INDEX($G:$G,MATCH(AD109,$A:$A,0)),""),FIND(",",IFERROR(INDEX($G:$G,MATCH(AD109,$A:$A,0)),""))-1),IFERROR(INDEX($G:$G,MATCH(AD109,$A:$A,0)),"")))))</f>
        <v/>
      </c>
      <c r="AF109" s="18" t="str">
        <f aca="false">IF(AE109="","",IF(IFERROR(INDEX($G:$G,MATCH(AE109,$A:$A,0)),"")="","",TRIM(IF(ISNUMBER(FIND(",",IFERROR(INDEX($G:$G,MATCH(AE109,$A:$A,0)),""))),LEFT(IFERROR(INDEX($G:$G,MATCH(AE109,$A:$A,0)),""),FIND(",",IFERROR(INDEX($G:$G,MATCH(AE109,$A:$A,0)),""))-1),IFERROR(INDEX($G:$G,MATCH(AE109,$A:$A,0)),"")))))</f>
        <v/>
      </c>
      <c r="AG109" s="18" t="str">
        <f aca="false">IF(AF109="","",IF(IFERROR(INDEX($G:$G,MATCH(AF109,$A:$A,0)),"")="","",TRIM(IF(ISNUMBER(FIND(",",IFERROR(INDEX($G:$G,MATCH(AF109,$A:$A,0)),""))),LEFT(IFERROR(INDEX($G:$G,MATCH(AF109,$A:$A,0)),""),FIND(",",IFERROR(INDEX($G:$G,MATCH(AF109,$A:$A,0)),""))-1),IFERROR(INDEX($G:$G,MATCH(AF109,$A:$A,0)),"")))))</f>
        <v/>
      </c>
    </row>
    <row r="110" customFormat="false" ht="15" hidden="false" customHeight="false" outlineLevel="0" collapsed="false">
      <c r="A110" s="18"/>
      <c r="B110" s="19"/>
      <c r="C110" s="20"/>
      <c r="D110" s="20"/>
      <c r="E110" s="20"/>
      <c r="F110" s="20"/>
      <c r="G110" s="18"/>
      <c r="H110" s="20"/>
      <c r="I110" s="18"/>
      <c r="J110" s="20"/>
      <c r="K110" s="20"/>
      <c r="L110" s="20"/>
      <c r="M110" s="20"/>
      <c r="N110" s="20"/>
      <c r="O110" s="21" t="str">
        <f aca="false">IF(A110="","",IF(AD110="",0,IF(AE110="",1,IF(AF110="",2,IF(AG110="",3,"4+")))))</f>
        <v/>
      </c>
      <c r="P110" s="21" t="str">
        <f aca="false">IF(A110="","",B110&amp;IF(AD110="",""," &lt;- "&amp;IFERROR(INDEX($B:$B,MATCH(AD110,$A:$A,0)),AD110)&amp;IF(AE110="",""," &lt;- "&amp;IFERROR(INDEX($B:$B,MATCH(AE110,$A:$A,0)),AE110)&amp;IF(AF110="",""," &lt;- "&amp;IFERROR(INDEX($B:$B,MATCH(AF110,$A:$A,0)),AF110)&amp;IF(AG110="",""," &lt;- "&amp;IFERROR(INDEX($B:$B,MATCH(AG110,$A:$A,0)),AG110)))))&amp;IF(ISNUMBER(FIND(",",G110))," (+ other parents)",""))</f>
        <v/>
      </c>
      <c r="Q110" s="21" t="str">
        <f aca="false">IF(A110="","",IF(AD110="",E110&amp;"",IF(AE110="",IF(IFERROR(INDEX($E:$E,MATCH(AD110,$A:$A,0)),"")="","",INDEX($E:$E,MATCH(AD110,$A:$A,0))),IF(AF110="",IF(IFERROR(INDEX($E:$E,MATCH(AE110,$A:$A,0)),"")="","",INDEX($E:$E,MATCH(AE110,$A:$A,0))),IF(AG110="",IF(IFERROR(INDEX($E:$E,MATCH(AF110,$A:$A,0)),"")="","",INDEX($E:$E,MATCH(AF110,$A:$A,0))),IF(IFERROR(INDEX($E:$E,MATCH(AG110,$A:$A,0)),"")="","",INDEX($E:$E,MATCH(AG110,$A:$A,0))))))))</f>
        <v/>
      </c>
      <c r="R110" s="21" t="str">
        <f aca="false">IF(A110="","",COUNTIF(Fields!$D:$D,A110))</f>
        <v/>
      </c>
      <c r="S110" s="21" t="str">
        <f aca="false">IF(A110="","",SUMIF(Fields!$D:$D,A110,Fields!$Q:$Q))</f>
        <v/>
      </c>
      <c r="T110" s="21" t="str">
        <f aca="false">IF(A110="","",COUNTIF('Product inputs'!$D:$D,A110))</f>
        <v/>
      </c>
      <c r="U110" s="20"/>
      <c r="V110" s="20"/>
      <c r="W110" s="20"/>
      <c r="X110" s="20"/>
      <c r="Y110" s="20"/>
      <c r="Z110" s="20"/>
      <c r="AA110" s="20"/>
      <c r="AB110" s="20"/>
      <c r="AC110" s="20"/>
      <c r="AD110" s="18" t="str">
        <f aca="false">IF(A110="","",IF(IFERROR(INDEX($G:$G,MATCH(A110,$A:$A,0)),"")="","",TRIM(IF(ISNUMBER(FIND(",",IFERROR(INDEX($G:$G,MATCH(A110,$A:$A,0)),""))),LEFT(IFERROR(INDEX($G:$G,MATCH(A110,$A:$A,0)),""),FIND(",",IFERROR(INDEX($G:$G,MATCH(A110,$A:$A,0)),""))-1),IFERROR(INDEX($G:$G,MATCH(A110,$A:$A,0)),"")))))</f>
        <v/>
      </c>
      <c r="AE110" s="18" t="str">
        <f aca="false">IF(AD110="","",IF(IFERROR(INDEX($G:$G,MATCH(AD110,$A:$A,0)),"")="","",TRIM(IF(ISNUMBER(FIND(",",IFERROR(INDEX($G:$G,MATCH(AD110,$A:$A,0)),""))),LEFT(IFERROR(INDEX($G:$G,MATCH(AD110,$A:$A,0)),""),FIND(",",IFERROR(INDEX($G:$G,MATCH(AD110,$A:$A,0)),""))-1),IFERROR(INDEX($G:$G,MATCH(AD110,$A:$A,0)),"")))))</f>
        <v/>
      </c>
      <c r="AF110" s="18" t="str">
        <f aca="false">IF(AE110="","",IF(IFERROR(INDEX($G:$G,MATCH(AE110,$A:$A,0)),"")="","",TRIM(IF(ISNUMBER(FIND(",",IFERROR(INDEX($G:$G,MATCH(AE110,$A:$A,0)),""))),LEFT(IFERROR(INDEX($G:$G,MATCH(AE110,$A:$A,0)),""),FIND(",",IFERROR(INDEX($G:$G,MATCH(AE110,$A:$A,0)),""))-1),IFERROR(INDEX($G:$G,MATCH(AE110,$A:$A,0)),"")))))</f>
        <v/>
      </c>
      <c r="AG110" s="18" t="str">
        <f aca="false">IF(AF110="","",IF(IFERROR(INDEX($G:$G,MATCH(AF110,$A:$A,0)),"")="","",TRIM(IF(ISNUMBER(FIND(",",IFERROR(INDEX($G:$G,MATCH(AF110,$A:$A,0)),""))),LEFT(IFERROR(INDEX($G:$G,MATCH(AF110,$A:$A,0)),""),FIND(",",IFERROR(INDEX($G:$G,MATCH(AF110,$A:$A,0)),""))-1),IFERROR(INDEX($G:$G,MATCH(AF110,$A:$A,0)),"")))))</f>
        <v/>
      </c>
    </row>
    <row r="111" customFormat="false" ht="15" hidden="false" customHeight="false" outlineLevel="0" collapsed="false">
      <c r="A111" s="18"/>
      <c r="B111" s="19"/>
      <c r="C111" s="20"/>
      <c r="D111" s="20"/>
      <c r="E111" s="20"/>
      <c r="F111" s="20"/>
      <c r="G111" s="18"/>
      <c r="H111" s="20"/>
      <c r="I111" s="18"/>
      <c r="J111" s="20"/>
      <c r="K111" s="20"/>
      <c r="L111" s="20"/>
      <c r="M111" s="20"/>
      <c r="N111" s="20"/>
      <c r="O111" s="21" t="str">
        <f aca="false">IF(A111="","",IF(AD111="",0,IF(AE111="",1,IF(AF111="",2,IF(AG111="",3,"4+")))))</f>
        <v/>
      </c>
      <c r="P111" s="21" t="str">
        <f aca="false">IF(A111="","",B111&amp;IF(AD111="",""," &lt;- "&amp;IFERROR(INDEX($B:$B,MATCH(AD111,$A:$A,0)),AD111)&amp;IF(AE111="",""," &lt;- "&amp;IFERROR(INDEX($B:$B,MATCH(AE111,$A:$A,0)),AE111)&amp;IF(AF111="",""," &lt;- "&amp;IFERROR(INDEX($B:$B,MATCH(AF111,$A:$A,0)),AF111)&amp;IF(AG111="",""," &lt;- "&amp;IFERROR(INDEX($B:$B,MATCH(AG111,$A:$A,0)),AG111)))))&amp;IF(ISNUMBER(FIND(",",G111))," (+ other parents)",""))</f>
        <v/>
      </c>
      <c r="Q111" s="21" t="str">
        <f aca="false">IF(A111="","",IF(AD111="",E111&amp;"",IF(AE111="",IF(IFERROR(INDEX($E:$E,MATCH(AD111,$A:$A,0)),"")="","",INDEX($E:$E,MATCH(AD111,$A:$A,0))),IF(AF111="",IF(IFERROR(INDEX($E:$E,MATCH(AE111,$A:$A,0)),"")="","",INDEX($E:$E,MATCH(AE111,$A:$A,0))),IF(AG111="",IF(IFERROR(INDEX($E:$E,MATCH(AF111,$A:$A,0)),"")="","",INDEX($E:$E,MATCH(AF111,$A:$A,0))),IF(IFERROR(INDEX($E:$E,MATCH(AG111,$A:$A,0)),"")="","",INDEX($E:$E,MATCH(AG111,$A:$A,0))))))))</f>
        <v/>
      </c>
      <c r="R111" s="21" t="str">
        <f aca="false">IF(A111="","",COUNTIF(Fields!$D:$D,A111))</f>
        <v/>
      </c>
      <c r="S111" s="21" t="str">
        <f aca="false">IF(A111="","",SUMIF(Fields!$D:$D,A111,Fields!$Q:$Q))</f>
        <v/>
      </c>
      <c r="T111" s="21" t="str">
        <f aca="false">IF(A111="","",COUNTIF('Product inputs'!$D:$D,A111))</f>
        <v/>
      </c>
      <c r="U111" s="20"/>
      <c r="V111" s="20"/>
      <c r="W111" s="20"/>
      <c r="X111" s="20"/>
      <c r="Y111" s="20"/>
      <c r="Z111" s="20"/>
      <c r="AA111" s="20"/>
      <c r="AB111" s="20"/>
      <c r="AC111" s="20"/>
      <c r="AD111" s="18" t="str">
        <f aca="false">IF(A111="","",IF(IFERROR(INDEX($G:$G,MATCH(A111,$A:$A,0)),"")="","",TRIM(IF(ISNUMBER(FIND(",",IFERROR(INDEX($G:$G,MATCH(A111,$A:$A,0)),""))),LEFT(IFERROR(INDEX($G:$G,MATCH(A111,$A:$A,0)),""),FIND(",",IFERROR(INDEX($G:$G,MATCH(A111,$A:$A,0)),""))-1),IFERROR(INDEX($G:$G,MATCH(A111,$A:$A,0)),"")))))</f>
        <v/>
      </c>
      <c r="AE111" s="18" t="str">
        <f aca="false">IF(AD111="","",IF(IFERROR(INDEX($G:$G,MATCH(AD111,$A:$A,0)),"")="","",TRIM(IF(ISNUMBER(FIND(",",IFERROR(INDEX($G:$G,MATCH(AD111,$A:$A,0)),""))),LEFT(IFERROR(INDEX($G:$G,MATCH(AD111,$A:$A,0)),""),FIND(",",IFERROR(INDEX($G:$G,MATCH(AD111,$A:$A,0)),""))-1),IFERROR(INDEX($G:$G,MATCH(AD111,$A:$A,0)),"")))))</f>
        <v/>
      </c>
      <c r="AF111" s="18" t="str">
        <f aca="false">IF(AE111="","",IF(IFERROR(INDEX($G:$G,MATCH(AE111,$A:$A,0)),"")="","",TRIM(IF(ISNUMBER(FIND(",",IFERROR(INDEX($G:$G,MATCH(AE111,$A:$A,0)),""))),LEFT(IFERROR(INDEX($G:$G,MATCH(AE111,$A:$A,0)),""),FIND(",",IFERROR(INDEX($G:$G,MATCH(AE111,$A:$A,0)),""))-1),IFERROR(INDEX($G:$G,MATCH(AE111,$A:$A,0)),"")))))</f>
        <v/>
      </c>
      <c r="AG111" s="18" t="str">
        <f aca="false">IF(AF111="","",IF(IFERROR(INDEX($G:$G,MATCH(AF111,$A:$A,0)),"")="","",TRIM(IF(ISNUMBER(FIND(",",IFERROR(INDEX($G:$G,MATCH(AF111,$A:$A,0)),""))),LEFT(IFERROR(INDEX($G:$G,MATCH(AF111,$A:$A,0)),""),FIND(",",IFERROR(INDEX($G:$G,MATCH(AF111,$A:$A,0)),""))-1),IFERROR(INDEX($G:$G,MATCH(AF111,$A:$A,0)),"")))))</f>
        <v/>
      </c>
    </row>
    <row r="112" customFormat="false" ht="15" hidden="false" customHeight="false" outlineLevel="0" collapsed="false">
      <c r="A112" s="18"/>
      <c r="B112" s="19"/>
      <c r="C112" s="20"/>
      <c r="D112" s="20"/>
      <c r="E112" s="20"/>
      <c r="F112" s="20"/>
      <c r="G112" s="18"/>
      <c r="H112" s="20"/>
      <c r="I112" s="18"/>
      <c r="J112" s="20"/>
      <c r="K112" s="20"/>
      <c r="L112" s="20"/>
      <c r="M112" s="20"/>
      <c r="N112" s="20"/>
      <c r="O112" s="21" t="str">
        <f aca="false">IF(A112="","",IF(AD112="",0,IF(AE112="",1,IF(AF112="",2,IF(AG112="",3,"4+")))))</f>
        <v/>
      </c>
      <c r="P112" s="21" t="str">
        <f aca="false">IF(A112="","",B112&amp;IF(AD112="",""," &lt;- "&amp;IFERROR(INDEX($B:$B,MATCH(AD112,$A:$A,0)),AD112)&amp;IF(AE112="",""," &lt;- "&amp;IFERROR(INDEX($B:$B,MATCH(AE112,$A:$A,0)),AE112)&amp;IF(AF112="",""," &lt;- "&amp;IFERROR(INDEX($B:$B,MATCH(AF112,$A:$A,0)),AF112)&amp;IF(AG112="",""," &lt;- "&amp;IFERROR(INDEX($B:$B,MATCH(AG112,$A:$A,0)),AG112)))))&amp;IF(ISNUMBER(FIND(",",G112))," (+ other parents)",""))</f>
        <v/>
      </c>
      <c r="Q112" s="21" t="str">
        <f aca="false">IF(A112="","",IF(AD112="",E112&amp;"",IF(AE112="",IF(IFERROR(INDEX($E:$E,MATCH(AD112,$A:$A,0)),"")="","",INDEX($E:$E,MATCH(AD112,$A:$A,0))),IF(AF112="",IF(IFERROR(INDEX($E:$E,MATCH(AE112,$A:$A,0)),"")="","",INDEX($E:$E,MATCH(AE112,$A:$A,0))),IF(AG112="",IF(IFERROR(INDEX($E:$E,MATCH(AF112,$A:$A,0)),"")="","",INDEX($E:$E,MATCH(AF112,$A:$A,0))),IF(IFERROR(INDEX($E:$E,MATCH(AG112,$A:$A,0)),"")="","",INDEX($E:$E,MATCH(AG112,$A:$A,0))))))))</f>
        <v/>
      </c>
      <c r="R112" s="21" t="str">
        <f aca="false">IF(A112="","",COUNTIF(Fields!$D:$D,A112))</f>
        <v/>
      </c>
      <c r="S112" s="21" t="str">
        <f aca="false">IF(A112="","",SUMIF(Fields!$D:$D,A112,Fields!$Q:$Q))</f>
        <v/>
      </c>
      <c r="T112" s="21" t="str">
        <f aca="false">IF(A112="","",COUNTIF('Product inputs'!$D:$D,A112))</f>
        <v/>
      </c>
      <c r="U112" s="20"/>
      <c r="V112" s="20"/>
      <c r="W112" s="20"/>
      <c r="X112" s="20"/>
      <c r="Y112" s="20"/>
      <c r="Z112" s="20"/>
      <c r="AA112" s="20"/>
      <c r="AB112" s="20"/>
      <c r="AC112" s="20"/>
      <c r="AD112" s="18" t="str">
        <f aca="false">IF(A112="","",IF(IFERROR(INDEX($G:$G,MATCH(A112,$A:$A,0)),"")="","",TRIM(IF(ISNUMBER(FIND(",",IFERROR(INDEX($G:$G,MATCH(A112,$A:$A,0)),""))),LEFT(IFERROR(INDEX($G:$G,MATCH(A112,$A:$A,0)),""),FIND(",",IFERROR(INDEX($G:$G,MATCH(A112,$A:$A,0)),""))-1),IFERROR(INDEX($G:$G,MATCH(A112,$A:$A,0)),"")))))</f>
        <v/>
      </c>
      <c r="AE112" s="18" t="str">
        <f aca="false">IF(AD112="","",IF(IFERROR(INDEX($G:$G,MATCH(AD112,$A:$A,0)),"")="","",TRIM(IF(ISNUMBER(FIND(",",IFERROR(INDEX($G:$G,MATCH(AD112,$A:$A,0)),""))),LEFT(IFERROR(INDEX($G:$G,MATCH(AD112,$A:$A,0)),""),FIND(",",IFERROR(INDEX($G:$G,MATCH(AD112,$A:$A,0)),""))-1),IFERROR(INDEX($G:$G,MATCH(AD112,$A:$A,0)),"")))))</f>
        <v/>
      </c>
      <c r="AF112" s="18" t="str">
        <f aca="false">IF(AE112="","",IF(IFERROR(INDEX($G:$G,MATCH(AE112,$A:$A,0)),"")="","",TRIM(IF(ISNUMBER(FIND(",",IFERROR(INDEX($G:$G,MATCH(AE112,$A:$A,0)),""))),LEFT(IFERROR(INDEX($G:$G,MATCH(AE112,$A:$A,0)),""),FIND(",",IFERROR(INDEX($G:$G,MATCH(AE112,$A:$A,0)),""))-1),IFERROR(INDEX($G:$G,MATCH(AE112,$A:$A,0)),"")))))</f>
        <v/>
      </c>
      <c r="AG112" s="18" t="str">
        <f aca="false">IF(AF112="","",IF(IFERROR(INDEX($G:$G,MATCH(AF112,$A:$A,0)),"")="","",TRIM(IF(ISNUMBER(FIND(",",IFERROR(INDEX($G:$G,MATCH(AF112,$A:$A,0)),""))),LEFT(IFERROR(INDEX($G:$G,MATCH(AF112,$A:$A,0)),""),FIND(",",IFERROR(INDEX($G:$G,MATCH(AF112,$A:$A,0)),""))-1),IFERROR(INDEX($G:$G,MATCH(AF112,$A:$A,0)),"")))))</f>
        <v/>
      </c>
    </row>
    <row r="113" customFormat="false" ht="15" hidden="false" customHeight="false" outlineLevel="0" collapsed="false">
      <c r="A113" s="18"/>
      <c r="B113" s="19"/>
      <c r="C113" s="20"/>
      <c r="D113" s="20"/>
      <c r="E113" s="20"/>
      <c r="F113" s="20"/>
      <c r="G113" s="18"/>
      <c r="H113" s="20"/>
      <c r="I113" s="18"/>
      <c r="J113" s="20"/>
      <c r="K113" s="20"/>
      <c r="L113" s="20"/>
      <c r="M113" s="20"/>
      <c r="N113" s="20"/>
      <c r="O113" s="21" t="str">
        <f aca="false">IF(A113="","",IF(AD113="",0,IF(AE113="",1,IF(AF113="",2,IF(AG113="",3,"4+")))))</f>
        <v/>
      </c>
      <c r="P113" s="21" t="str">
        <f aca="false">IF(A113="","",B113&amp;IF(AD113="",""," &lt;- "&amp;IFERROR(INDEX($B:$B,MATCH(AD113,$A:$A,0)),AD113)&amp;IF(AE113="",""," &lt;- "&amp;IFERROR(INDEX($B:$B,MATCH(AE113,$A:$A,0)),AE113)&amp;IF(AF113="",""," &lt;- "&amp;IFERROR(INDEX($B:$B,MATCH(AF113,$A:$A,0)),AF113)&amp;IF(AG113="",""," &lt;- "&amp;IFERROR(INDEX($B:$B,MATCH(AG113,$A:$A,0)),AG113)))))&amp;IF(ISNUMBER(FIND(",",G113))," (+ other parents)",""))</f>
        <v/>
      </c>
      <c r="Q113" s="21" t="str">
        <f aca="false">IF(A113="","",IF(AD113="",E113&amp;"",IF(AE113="",IF(IFERROR(INDEX($E:$E,MATCH(AD113,$A:$A,0)),"")="","",INDEX($E:$E,MATCH(AD113,$A:$A,0))),IF(AF113="",IF(IFERROR(INDEX($E:$E,MATCH(AE113,$A:$A,0)),"")="","",INDEX($E:$E,MATCH(AE113,$A:$A,0))),IF(AG113="",IF(IFERROR(INDEX($E:$E,MATCH(AF113,$A:$A,0)),"")="","",INDEX($E:$E,MATCH(AF113,$A:$A,0))),IF(IFERROR(INDEX($E:$E,MATCH(AG113,$A:$A,0)),"")="","",INDEX($E:$E,MATCH(AG113,$A:$A,0))))))))</f>
        <v/>
      </c>
      <c r="R113" s="21" t="str">
        <f aca="false">IF(A113="","",COUNTIF(Fields!$D:$D,A113))</f>
        <v/>
      </c>
      <c r="S113" s="21" t="str">
        <f aca="false">IF(A113="","",SUMIF(Fields!$D:$D,A113,Fields!$Q:$Q))</f>
        <v/>
      </c>
      <c r="T113" s="21" t="str">
        <f aca="false">IF(A113="","",COUNTIF('Product inputs'!$D:$D,A113))</f>
        <v/>
      </c>
      <c r="U113" s="20"/>
      <c r="V113" s="20"/>
      <c r="W113" s="20"/>
      <c r="X113" s="20"/>
      <c r="Y113" s="20"/>
      <c r="Z113" s="20"/>
      <c r="AA113" s="20"/>
      <c r="AB113" s="20"/>
      <c r="AC113" s="20"/>
      <c r="AD113" s="18" t="str">
        <f aca="false">IF(A113="","",IF(IFERROR(INDEX($G:$G,MATCH(A113,$A:$A,0)),"")="","",TRIM(IF(ISNUMBER(FIND(",",IFERROR(INDEX($G:$G,MATCH(A113,$A:$A,0)),""))),LEFT(IFERROR(INDEX($G:$G,MATCH(A113,$A:$A,0)),""),FIND(",",IFERROR(INDEX($G:$G,MATCH(A113,$A:$A,0)),""))-1),IFERROR(INDEX($G:$G,MATCH(A113,$A:$A,0)),"")))))</f>
        <v/>
      </c>
      <c r="AE113" s="18" t="str">
        <f aca="false">IF(AD113="","",IF(IFERROR(INDEX($G:$G,MATCH(AD113,$A:$A,0)),"")="","",TRIM(IF(ISNUMBER(FIND(",",IFERROR(INDEX($G:$G,MATCH(AD113,$A:$A,0)),""))),LEFT(IFERROR(INDEX($G:$G,MATCH(AD113,$A:$A,0)),""),FIND(",",IFERROR(INDEX($G:$G,MATCH(AD113,$A:$A,0)),""))-1),IFERROR(INDEX($G:$G,MATCH(AD113,$A:$A,0)),"")))))</f>
        <v/>
      </c>
      <c r="AF113" s="18" t="str">
        <f aca="false">IF(AE113="","",IF(IFERROR(INDEX($G:$G,MATCH(AE113,$A:$A,0)),"")="","",TRIM(IF(ISNUMBER(FIND(",",IFERROR(INDEX($G:$G,MATCH(AE113,$A:$A,0)),""))),LEFT(IFERROR(INDEX($G:$G,MATCH(AE113,$A:$A,0)),""),FIND(",",IFERROR(INDEX($G:$G,MATCH(AE113,$A:$A,0)),""))-1),IFERROR(INDEX($G:$G,MATCH(AE113,$A:$A,0)),"")))))</f>
        <v/>
      </c>
      <c r="AG113" s="18" t="str">
        <f aca="false">IF(AF113="","",IF(IFERROR(INDEX($G:$G,MATCH(AF113,$A:$A,0)),"")="","",TRIM(IF(ISNUMBER(FIND(",",IFERROR(INDEX($G:$G,MATCH(AF113,$A:$A,0)),""))),LEFT(IFERROR(INDEX($G:$G,MATCH(AF113,$A:$A,0)),""),FIND(",",IFERROR(INDEX($G:$G,MATCH(AF113,$A:$A,0)),""))-1),IFERROR(INDEX($G:$G,MATCH(AF113,$A:$A,0)),"")))))</f>
        <v/>
      </c>
    </row>
    <row r="114" customFormat="false" ht="15" hidden="false" customHeight="false" outlineLevel="0" collapsed="false">
      <c r="A114" s="18"/>
      <c r="B114" s="19"/>
      <c r="C114" s="20"/>
      <c r="D114" s="20"/>
      <c r="E114" s="20"/>
      <c r="F114" s="20"/>
      <c r="G114" s="18"/>
      <c r="H114" s="20"/>
      <c r="I114" s="18"/>
      <c r="J114" s="20"/>
      <c r="K114" s="20"/>
      <c r="L114" s="20"/>
      <c r="M114" s="20"/>
      <c r="N114" s="20"/>
      <c r="O114" s="21" t="str">
        <f aca="false">IF(A114="","",IF(AD114="",0,IF(AE114="",1,IF(AF114="",2,IF(AG114="",3,"4+")))))</f>
        <v/>
      </c>
      <c r="P114" s="21" t="str">
        <f aca="false">IF(A114="","",B114&amp;IF(AD114="",""," &lt;- "&amp;IFERROR(INDEX($B:$B,MATCH(AD114,$A:$A,0)),AD114)&amp;IF(AE114="",""," &lt;- "&amp;IFERROR(INDEX($B:$B,MATCH(AE114,$A:$A,0)),AE114)&amp;IF(AF114="",""," &lt;- "&amp;IFERROR(INDEX($B:$B,MATCH(AF114,$A:$A,0)),AF114)&amp;IF(AG114="",""," &lt;- "&amp;IFERROR(INDEX($B:$B,MATCH(AG114,$A:$A,0)),AG114)))))&amp;IF(ISNUMBER(FIND(",",G114))," (+ other parents)",""))</f>
        <v/>
      </c>
      <c r="Q114" s="21" t="str">
        <f aca="false">IF(A114="","",IF(AD114="",E114&amp;"",IF(AE114="",IF(IFERROR(INDEX($E:$E,MATCH(AD114,$A:$A,0)),"")="","",INDEX($E:$E,MATCH(AD114,$A:$A,0))),IF(AF114="",IF(IFERROR(INDEX($E:$E,MATCH(AE114,$A:$A,0)),"")="","",INDEX($E:$E,MATCH(AE114,$A:$A,0))),IF(AG114="",IF(IFERROR(INDEX($E:$E,MATCH(AF114,$A:$A,0)),"")="","",INDEX($E:$E,MATCH(AF114,$A:$A,0))),IF(IFERROR(INDEX($E:$E,MATCH(AG114,$A:$A,0)),"")="","",INDEX($E:$E,MATCH(AG114,$A:$A,0))))))))</f>
        <v/>
      </c>
      <c r="R114" s="21" t="str">
        <f aca="false">IF(A114="","",COUNTIF(Fields!$D:$D,A114))</f>
        <v/>
      </c>
      <c r="S114" s="21" t="str">
        <f aca="false">IF(A114="","",SUMIF(Fields!$D:$D,A114,Fields!$Q:$Q))</f>
        <v/>
      </c>
      <c r="T114" s="21" t="str">
        <f aca="false">IF(A114="","",COUNTIF('Product inputs'!$D:$D,A114))</f>
        <v/>
      </c>
      <c r="U114" s="20"/>
      <c r="V114" s="20"/>
      <c r="W114" s="20"/>
      <c r="X114" s="20"/>
      <c r="Y114" s="20"/>
      <c r="Z114" s="20"/>
      <c r="AA114" s="20"/>
      <c r="AB114" s="20"/>
      <c r="AC114" s="20"/>
      <c r="AD114" s="18" t="str">
        <f aca="false">IF(A114="","",IF(IFERROR(INDEX($G:$G,MATCH(A114,$A:$A,0)),"")="","",TRIM(IF(ISNUMBER(FIND(",",IFERROR(INDEX($G:$G,MATCH(A114,$A:$A,0)),""))),LEFT(IFERROR(INDEX($G:$G,MATCH(A114,$A:$A,0)),""),FIND(",",IFERROR(INDEX($G:$G,MATCH(A114,$A:$A,0)),""))-1),IFERROR(INDEX($G:$G,MATCH(A114,$A:$A,0)),"")))))</f>
        <v/>
      </c>
      <c r="AE114" s="18" t="str">
        <f aca="false">IF(AD114="","",IF(IFERROR(INDEX($G:$G,MATCH(AD114,$A:$A,0)),"")="","",TRIM(IF(ISNUMBER(FIND(",",IFERROR(INDEX($G:$G,MATCH(AD114,$A:$A,0)),""))),LEFT(IFERROR(INDEX($G:$G,MATCH(AD114,$A:$A,0)),""),FIND(",",IFERROR(INDEX($G:$G,MATCH(AD114,$A:$A,0)),""))-1),IFERROR(INDEX($G:$G,MATCH(AD114,$A:$A,0)),"")))))</f>
        <v/>
      </c>
      <c r="AF114" s="18" t="str">
        <f aca="false">IF(AE114="","",IF(IFERROR(INDEX($G:$G,MATCH(AE114,$A:$A,0)),"")="","",TRIM(IF(ISNUMBER(FIND(",",IFERROR(INDEX($G:$G,MATCH(AE114,$A:$A,0)),""))),LEFT(IFERROR(INDEX($G:$G,MATCH(AE114,$A:$A,0)),""),FIND(",",IFERROR(INDEX($G:$G,MATCH(AE114,$A:$A,0)),""))-1),IFERROR(INDEX($G:$G,MATCH(AE114,$A:$A,0)),"")))))</f>
        <v/>
      </c>
      <c r="AG114" s="18" t="str">
        <f aca="false">IF(AF114="","",IF(IFERROR(INDEX($G:$G,MATCH(AF114,$A:$A,0)),"")="","",TRIM(IF(ISNUMBER(FIND(",",IFERROR(INDEX($G:$G,MATCH(AF114,$A:$A,0)),""))),LEFT(IFERROR(INDEX($G:$G,MATCH(AF114,$A:$A,0)),""),FIND(",",IFERROR(INDEX($G:$G,MATCH(AF114,$A:$A,0)),""))-1),IFERROR(INDEX($G:$G,MATCH(AF114,$A:$A,0)),"")))))</f>
        <v/>
      </c>
    </row>
    <row r="115" customFormat="false" ht="15" hidden="false" customHeight="false" outlineLevel="0" collapsed="false">
      <c r="A115" s="18"/>
      <c r="B115" s="19"/>
      <c r="C115" s="20"/>
      <c r="D115" s="20"/>
      <c r="E115" s="20"/>
      <c r="F115" s="20"/>
      <c r="G115" s="18"/>
      <c r="H115" s="20"/>
      <c r="I115" s="18"/>
      <c r="J115" s="20"/>
      <c r="K115" s="20"/>
      <c r="L115" s="20"/>
      <c r="M115" s="20"/>
      <c r="N115" s="20"/>
      <c r="O115" s="21" t="str">
        <f aca="false">IF(A115="","",IF(AD115="",0,IF(AE115="",1,IF(AF115="",2,IF(AG115="",3,"4+")))))</f>
        <v/>
      </c>
      <c r="P115" s="21" t="str">
        <f aca="false">IF(A115="","",B115&amp;IF(AD115="",""," &lt;- "&amp;IFERROR(INDEX($B:$B,MATCH(AD115,$A:$A,0)),AD115)&amp;IF(AE115="",""," &lt;- "&amp;IFERROR(INDEX($B:$B,MATCH(AE115,$A:$A,0)),AE115)&amp;IF(AF115="",""," &lt;- "&amp;IFERROR(INDEX($B:$B,MATCH(AF115,$A:$A,0)),AF115)&amp;IF(AG115="",""," &lt;- "&amp;IFERROR(INDEX($B:$B,MATCH(AG115,$A:$A,0)),AG115)))))&amp;IF(ISNUMBER(FIND(",",G115))," (+ other parents)",""))</f>
        <v/>
      </c>
      <c r="Q115" s="21" t="str">
        <f aca="false">IF(A115="","",IF(AD115="",E115&amp;"",IF(AE115="",IF(IFERROR(INDEX($E:$E,MATCH(AD115,$A:$A,0)),"")="","",INDEX($E:$E,MATCH(AD115,$A:$A,0))),IF(AF115="",IF(IFERROR(INDEX($E:$E,MATCH(AE115,$A:$A,0)),"")="","",INDEX($E:$E,MATCH(AE115,$A:$A,0))),IF(AG115="",IF(IFERROR(INDEX($E:$E,MATCH(AF115,$A:$A,0)),"")="","",INDEX($E:$E,MATCH(AF115,$A:$A,0))),IF(IFERROR(INDEX($E:$E,MATCH(AG115,$A:$A,0)),"")="","",INDEX($E:$E,MATCH(AG115,$A:$A,0))))))))</f>
        <v/>
      </c>
      <c r="R115" s="21" t="str">
        <f aca="false">IF(A115="","",COUNTIF(Fields!$D:$D,A115))</f>
        <v/>
      </c>
      <c r="S115" s="21" t="str">
        <f aca="false">IF(A115="","",SUMIF(Fields!$D:$D,A115,Fields!$Q:$Q))</f>
        <v/>
      </c>
      <c r="T115" s="21" t="str">
        <f aca="false">IF(A115="","",COUNTIF('Product inputs'!$D:$D,A115))</f>
        <v/>
      </c>
      <c r="U115" s="20"/>
      <c r="V115" s="20"/>
      <c r="W115" s="20"/>
      <c r="X115" s="20"/>
      <c r="Y115" s="20"/>
      <c r="Z115" s="20"/>
      <c r="AA115" s="20"/>
      <c r="AB115" s="20"/>
      <c r="AC115" s="20"/>
      <c r="AD115" s="18" t="str">
        <f aca="false">IF(A115="","",IF(IFERROR(INDEX($G:$G,MATCH(A115,$A:$A,0)),"")="","",TRIM(IF(ISNUMBER(FIND(",",IFERROR(INDEX($G:$G,MATCH(A115,$A:$A,0)),""))),LEFT(IFERROR(INDEX($G:$G,MATCH(A115,$A:$A,0)),""),FIND(",",IFERROR(INDEX($G:$G,MATCH(A115,$A:$A,0)),""))-1),IFERROR(INDEX($G:$G,MATCH(A115,$A:$A,0)),"")))))</f>
        <v/>
      </c>
      <c r="AE115" s="18" t="str">
        <f aca="false">IF(AD115="","",IF(IFERROR(INDEX($G:$G,MATCH(AD115,$A:$A,0)),"")="","",TRIM(IF(ISNUMBER(FIND(",",IFERROR(INDEX($G:$G,MATCH(AD115,$A:$A,0)),""))),LEFT(IFERROR(INDEX($G:$G,MATCH(AD115,$A:$A,0)),""),FIND(",",IFERROR(INDEX($G:$G,MATCH(AD115,$A:$A,0)),""))-1),IFERROR(INDEX($G:$G,MATCH(AD115,$A:$A,0)),"")))))</f>
        <v/>
      </c>
      <c r="AF115" s="18" t="str">
        <f aca="false">IF(AE115="","",IF(IFERROR(INDEX($G:$G,MATCH(AE115,$A:$A,0)),"")="","",TRIM(IF(ISNUMBER(FIND(",",IFERROR(INDEX($G:$G,MATCH(AE115,$A:$A,0)),""))),LEFT(IFERROR(INDEX($G:$G,MATCH(AE115,$A:$A,0)),""),FIND(",",IFERROR(INDEX($G:$G,MATCH(AE115,$A:$A,0)),""))-1),IFERROR(INDEX($G:$G,MATCH(AE115,$A:$A,0)),"")))))</f>
        <v/>
      </c>
      <c r="AG115" s="18" t="str">
        <f aca="false">IF(AF115="","",IF(IFERROR(INDEX($G:$G,MATCH(AF115,$A:$A,0)),"")="","",TRIM(IF(ISNUMBER(FIND(",",IFERROR(INDEX($G:$G,MATCH(AF115,$A:$A,0)),""))),LEFT(IFERROR(INDEX($G:$G,MATCH(AF115,$A:$A,0)),""),FIND(",",IFERROR(INDEX($G:$G,MATCH(AF115,$A:$A,0)),""))-1),IFERROR(INDEX($G:$G,MATCH(AF115,$A:$A,0)),"")))))</f>
        <v/>
      </c>
    </row>
    <row r="116" customFormat="false" ht="15" hidden="false" customHeight="false" outlineLevel="0" collapsed="false">
      <c r="A116" s="18"/>
      <c r="B116" s="19"/>
      <c r="C116" s="20"/>
      <c r="D116" s="20"/>
      <c r="E116" s="20"/>
      <c r="F116" s="20"/>
      <c r="G116" s="18"/>
      <c r="H116" s="20"/>
      <c r="I116" s="18"/>
      <c r="J116" s="20"/>
      <c r="K116" s="20"/>
      <c r="L116" s="20"/>
      <c r="M116" s="20"/>
      <c r="N116" s="20"/>
      <c r="O116" s="21" t="str">
        <f aca="false">IF(A116="","",IF(AD116="",0,IF(AE116="",1,IF(AF116="",2,IF(AG116="",3,"4+")))))</f>
        <v/>
      </c>
      <c r="P116" s="21" t="str">
        <f aca="false">IF(A116="","",B116&amp;IF(AD116="",""," &lt;- "&amp;IFERROR(INDEX($B:$B,MATCH(AD116,$A:$A,0)),AD116)&amp;IF(AE116="",""," &lt;- "&amp;IFERROR(INDEX($B:$B,MATCH(AE116,$A:$A,0)),AE116)&amp;IF(AF116="",""," &lt;- "&amp;IFERROR(INDEX($B:$B,MATCH(AF116,$A:$A,0)),AF116)&amp;IF(AG116="",""," &lt;- "&amp;IFERROR(INDEX($B:$B,MATCH(AG116,$A:$A,0)),AG116)))))&amp;IF(ISNUMBER(FIND(",",G116))," (+ other parents)",""))</f>
        <v/>
      </c>
      <c r="Q116" s="21" t="str">
        <f aca="false">IF(A116="","",IF(AD116="",E116&amp;"",IF(AE116="",IF(IFERROR(INDEX($E:$E,MATCH(AD116,$A:$A,0)),"")="","",INDEX($E:$E,MATCH(AD116,$A:$A,0))),IF(AF116="",IF(IFERROR(INDEX($E:$E,MATCH(AE116,$A:$A,0)),"")="","",INDEX($E:$E,MATCH(AE116,$A:$A,0))),IF(AG116="",IF(IFERROR(INDEX($E:$E,MATCH(AF116,$A:$A,0)),"")="","",INDEX($E:$E,MATCH(AF116,$A:$A,0))),IF(IFERROR(INDEX($E:$E,MATCH(AG116,$A:$A,0)),"")="","",INDEX($E:$E,MATCH(AG116,$A:$A,0))))))))</f>
        <v/>
      </c>
      <c r="R116" s="21" t="str">
        <f aca="false">IF(A116="","",COUNTIF(Fields!$D:$D,A116))</f>
        <v/>
      </c>
      <c r="S116" s="21" t="str">
        <f aca="false">IF(A116="","",SUMIF(Fields!$D:$D,A116,Fields!$Q:$Q))</f>
        <v/>
      </c>
      <c r="T116" s="21" t="str">
        <f aca="false">IF(A116="","",COUNTIF('Product inputs'!$D:$D,A116))</f>
        <v/>
      </c>
      <c r="U116" s="20"/>
      <c r="V116" s="20"/>
      <c r="W116" s="20"/>
      <c r="X116" s="20"/>
      <c r="Y116" s="20"/>
      <c r="Z116" s="20"/>
      <c r="AA116" s="20"/>
      <c r="AB116" s="20"/>
      <c r="AC116" s="20"/>
      <c r="AD116" s="18" t="str">
        <f aca="false">IF(A116="","",IF(IFERROR(INDEX($G:$G,MATCH(A116,$A:$A,0)),"")="","",TRIM(IF(ISNUMBER(FIND(",",IFERROR(INDEX($G:$G,MATCH(A116,$A:$A,0)),""))),LEFT(IFERROR(INDEX($G:$G,MATCH(A116,$A:$A,0)),""),FIND(",",IFERROR(INDEX($G:$G,MATCH(A116,$A:$A,0)),""))-1),IFERROR(INDEX($G:$G,MATCH(A116,$A:$A,0)),"")))))</f>
        <v/>
      </c>
      <c r="AE116" s="18" t="str">
        <f aca="false">IF(AD116="","",IF(IFERROR(INDEX($G:$G,MATCH(AD116,$A:$A,0)),"")="","",TRIM(IF(ISNUMBER(FIND(",",IFERROR(INDEX($G:$G,MATCH(AD116,$A:$A,0)),""))),LEFT(IFERROR(INDEX($G:$G,MATCH(AD116,$A:$A,0)),""),FIND(",",IFERROR(INDEX($G:$G,MATCH(AD116,$A:$A,0)),""))-1),IFERROR(INDEX($G:$G,MATCH(AD116,$A:$A,0)),"")))))</f>
        <v/>
      </c>
      <c r="AF116" s="18" t="str">
        <f aca="false">IF(AE116="","",IF(IFERROR(INDEX($G:$G,MATCH(AE116,$A:$A,0)),"")="","",TRIM(IF(ISNUMBER(FIND(",",IFERROR(INDEX($G:$G,MATCH(AE116,$A:$A,0)),""))),LEFT(IFERROR(INDEX($G:$G,MATCH(AE116,$A:$A,0)),""),FIND(",",IFERROR(INDEX($G:$G,MATCH(AE116,$A:$A,0)),""))-1),IFERROR(INDEX($G:$G,MATCH(AE116,$A:$A,0)),"")))))</f>
        <v/>
      </c>
      <c r="AG116" s="18" t="str">
        <f aca="false">IF(AF116="","",IF(IFERROR(INDEX($G:$G,MATCH(AF116,$A:$A,0)),"")="","",TRIM(IF(ISNUMBER(FIND(",",IFERROR(INDEX($G:$G,MATCH(AF116,$A:$A,0)),""))),LEFT(IFERROR(INDEX($G:$G,MATCH(AF116,$A:$A,0)),""),FIND(",",IFERROR(INDEX($G:$G,MATCH(AF116,$A:$A,0)),""))-1),IFERROR(INDEX($G:$G,MATCH(AF116,$A:$A,0)),"")))))</f>
        <v/>
      </c>
    </row>
    <row r="117" customFormat="false" ht="15" hidden="false" customHeight="false" outlineLevel="0" collapsed="false">
      <c r="A117" s="18"/>
      <c r="B117" s="19"/>
      <c r="C117" s="20"/>
      <c r="D117" s="20"/>
      <c r="E117" s="20"/>
      <c r="F117" s="20"/>
      <c r="G117" s="18"/>
      <c r="H117" s="20"/>
      <c r="I117" s="18"/>
      <c r="J117" s="20"/>
      <c r="K117" s="20"/>
      <c r="L117" s="20"/>
      <c r="M117" s="20"/>
      <c r="N117" s="20"/>
      <c r="O117" s="21" t="str">
        <f aca="false">IF(A117="","",IF(AD117="",0,IF(AE117="",1,IF(AF117="",2,IF(AG117="",3,"4+")))))</f>
        <v/>
      </c>
      <c r="P117" s="21" t="str">
        <f aca="false">IF(A117="","",B117&amp;IF(AD117="",""," &lt;- "&amp;IFERROR(INDEX($B:$B,MATCH(AD117,$A:$A,0)),AD117)&amp;IF(AE117="",""," &lt;- "&amp;IFERROR(INDEX($B:$B,MATCH(AE117,$A:$A,0)),AE117)&amp;IF(AF117="",""," &lt;- "&amp;IFERROR(INDEX($B:$B,MATCH(AF117,$A:$A,0)),AF117)&amp;IF(AG117="",""," &lt;- "&amp;IFERROR(INDEX($B:$B,MATCH(AG117,$A:$A,0)),AG117)))))&amp;IF(ISNUMBER(FIND(",",G117))," (+ other parents)",""))</f>
        <v/>
      </c>
      <c r="Q117" s="21" t="str">
        <f aca="false">IF(A117="","",IF(AD117="",E117&amp;"",IF(AE117="",IF(IFERROR(INDEX($E:$E,MATCH(AD117,$A:$A,0)),"")="","",INDEX($E:$E,MATCH(AD117,$A:$A,0))),IF(AF117="",IF(IFERROR(INDEX($E:$E,MATCH(AE117,$A:$A,0)),"")="","",INDEX($E:$E,MATCH(AE117,$A:$A,0))),IF(AG117="",IF(IFERROR(INDEX($E:$E,MATCH(AF117,$A:$A,0)),"")="","",INDEX($E:$E,MATCH(AF117,$A:$A,0))),IF(IFERROR(INDEX($E:$E,MATCH(AG117,$A:$A,0)),"")="","",INDEX($E:$E,MATCH(AG117,$A:$A,0))))))))</f>
        <v/>
      </c>
      <c r="R117" s="21" t="str">
        <f aca="false">IF(A117="","",COUNTIF(Fields!$D:$D,A117))</f>
        <v/>
      </c>
      <c r="S117" s="21" t="str">
        <f aca="false">IF(A117="","",SUMIF(Fields!$D:$D,A117,Fields!$Q:$Q))</f>
        <v/>
      </c>
      <c r="T117" s="21" t="str">
        <f aca="false">IF(A117="","",COUNTIF('Product inputs'!$D:$D,A117))</f>
        <v/>
      </c>
      <c r="U117" s="20"/>
      <c r="V117" s="20"/>
      <c r="W117" s="20"/>
      <c r="X117" s="20"/>
      <c r="Y117" s="20"/>
      <c r="Z117" s="20"/>
      <c r="AA117" s="20"/>
      <c r="AB117" s="20"/>
      <c r="AC117" s="20"/>
      <c r="AD117" s="18" t="str">
        <f aca="false">IF(A117="","",IF(IFERROR(INDEX($G:$G,MATCH(A117,$A:$A,0)),"")="","",TRIM(IF(ISNUMBER(FIND(",",IFERROR(INDEX($G:$G,MATCH(A117,$A:$A,0)),""))),LEFT(IFERROR(INDEX($G:$G,MATCH(A117,$A:$A,0)),""),FIND(",",IFERROR(INDEX($G:$G,MATCH(A117,$A:$A,0)),""))-1),IFERROR(INDEX($G:$G,MATCH(A117,$A:$A,0)),"")))))</f>
        <v/>
      </c>
      <c r="AE117" s="18" t="str">
        <f aca="false">IF(AD117="","",IF(IFERROR(INDEX($G:$G,MATCH(AD117,$A:$A,0)),"")="","",TRIM(IF(ISNUMBER(FIND(",",IFERROR(INDEX($G:$G,MATCH(AD117,$A:$A,0)),""))),LEFT(IFERROR(INDEX($G:$G,MATCH(AD117,$A:$A,0)),""),FIND(",",IFERROR(INDEX($G:$G,MATCH(AD117,$A:$A,0)),""))-1),IFERROR(INDEX($G:$G,MATCH(AD117,$A:$A,0)),"")))))</f>
        <v/>
      </c>
      <c r="AF117" s="18" t="str">
        <f aca="false">IF(AE117="","",IF(IFERROR(INDEX($G:$G,MATCH(AE117,$A:$A,0)),"")="","",TRIM(IF(ISNUMBER(FIND(",",IFERROR(INDEX($G:$G,MATCH(AE117,$A:$A,0)),""))),LEFT(IFERROR(INDEX($G:$G,MATCH(AE117,$A:$A,0)),""),FIND(",",IFERROR(INDEX($G:$G,MATCH(AE117,$A:$A,0)),""))-1),IFERROR(INDEX($G:$G,MATCH(AE117,$A:$A,0)),"")))))</f>
        <v/>
      </c>
      <c r="AG117" s="18" t="str">
        <f aca="false">IF(AF117="","",IF(IFERROR(INDEX($G:$G,MATCH(AF117,$A:$A,0)),"")="","",TRIM(IF(ISNUMBER(FIND(",",IFERROR(INDEX($G:$G,MATCH(AF117,$A:$A,0)),""))),LEFT(IFERROR(INDEX($G:$G,MATCH(AF117,$A:$A,0)),""),FIND(",",IFERROR(INDEX($G:$G,MATCH(AF117,$A:$A,0)),""))-1),IFERROR(INDEX($G:$G,MATCH(AF117,$A:$A,0)),"")))))</f>
        <v/>
      </c>
    </row>
    <row r="118" customFormat="false" ht="15" hidden="false" customHeight="false" outlineLevel="0" collapsed="false">
      <c r="A118" s="18"/>
      <c r="B118" s="19"/>
      <c r="C118" s="20"/>
      <c r="D118" s="20"/>
      <c r="E118" s="20"/>
      <c r="F118" s="20"/>
      <c r="G118" s="18"/>
      <c r="H118" s="20"/>
      <c r="I118" s="18"/>
      <c r="J118" s="20"/>
      <c r="K118" s="20"/>
      <c r="L118" s="20"/>
      <c r="M118" s="20"/>
      <c r="N118" s="20"/>
      <c r="O118" s="21" t="str">
        <f aca="false">IF(A118="","",IF(AD118="",0,IF(AE118="",1,IF(AF118="",2,IF(AG118="",3,"4+")))))</f>
        <v/>
      </c>
      <c r="P118" s="21" t="str">
        <f aca="false">IF(A118="","",B118&amp;IF(AD118="",""," &lt;- "&amp;IFERROR(INDEX($B:$B,MATCH(AD118,$A:$A,0)),AD118)&amp;IF(AE118="",""," &lt;- "&amp;IFERROR(INDEX($B:$B,MATCH(AE118,$A:$A,0)),AE118)&amp;IF(AF118="",""," &lt;- "&amp;IFERROR(INDEX($B:$B,MATCH(AF118,$A:$A,0)),AF118)&amp;IF(AG118="",""," &lt;- "&amp;IFERROR(INDEX($B:$B,MATCH(AG118,$A:$A,0)),AG118)))))&amp;IF(ISNUMBER(FIND(",",G118))," (+ other parents)",""))</f>
        <v/>
      </c>
      <c r="Q118" s="21" t="str">
        <f aca="false">IF(A118="","",IF(AD118="",E118&amp;"",IF(AE118="",IF(IFERROR(INDEX($E:$E,MATCH(AD118,$A:$A,0)),"")="","",INDEX($E:$E,MATCH(AD118,$A:$A,0))),IF(AF118="",IF(IFERROR(INDEX($E:$E,MATCH(AE118,$A:$A,0)),"")="","",INDEX($E:$E,MATCH(AE118,$A:$A,0))),IF(AG118="",IF(IFERROR(INDEX($E:$E,MATCH(AF118,$A:$A,0)),"")="","",INDEX($E:$E,MATCH(AF118,$A:$A,0))),IF(IFERROR(INDEX($E:$E,MATCH(AG118,$A:$A,0)),"")="","",INDEX($E:$E,MATCH(AG118,$A:$A,0))))))))</f>
        <v/>
      </c>
      <c r="R118" s="21" t="str">
        <f aca="false">IF(A118="","",COUNTIF(Fields!$D:$D,A118))</f>
        <v/>
      </c>
      <c r="S118" s="21" t="str">
        <f aca="false">IF(A118="","",SUMIF(Fields!$D:$D,A118,Fields!$Q:$Q))</f>
        <v/>
      </c>
      <c r="T118" s="21" t="str">
        <f aca="false">IF(A118="","",COUNTIF('Product inputs'!$D:$D,A118))</f>
        <v/>
      </c>
      <c r="U118" s="20"/>
      <c r="V118" s="20"/>
      <c r="W118" s="20"/>
      <c r="X118" s="20"/>
      <c r="Y118" s="20"/>
      <c r="Z118" s="20"/>
      <c r="AA118" s="20"/>
      <c r="AB118" s="20"/>
      <c r="AC118" s="20"/>
      <c r="AD118" s="18" t="str">
        <f aca="false">IF(A118="","",IF(IFERROR(INDEX($G:$G,MATCH(A118,$A:$A,0)),"")="","",TRIM(IF(ISNUMBER(FIND(",",IFERROR(INDEX($G:$G,MATCH(A118,$A:$A,0)),""))),LEFT(IFERROR(INDEX($G:$G,MATCH(A118,$A:$A,0)),""),FIND(",",IFERROR(INDEX($G:$G,MATCH(A118,$A:$A,0)),""))-1),IFERROR(INDEX($G:$G,MATCH(A118,$A:$A,0)),"")))))</f>
        <v/>
      </c>
      <c r="AE118" s="18" t="str">
        <f aca="false">IF(AD118="","",IF(IFERROR(INDEX($G:$G,MATCH(AD118,$A:$A,0)),"")="","",TRIM(IF(ISNUMBER(FIND(",",IFERROR(INDEX($G:$G,MATCH(AD118,$A:$A,0)),""))),LEFT(IFERROR(INDEX($G:$G,MATCH(AD118,$A:$A,0)),""),FIND(",",IFERROR(INDEX($G:$G,MATCH(AD118,$A:$A,0)),""))-1),IFERROR(INDEX($G:$G,MATCH(AD118,$A:$A,0)),"")))))</f>
        <v/>
      </c>
      <c r="AF118" s="18" t="str">
        <f aca="false">IF(AE118="","",IF(IFERROR(INDEX($G:$G,MATCH(AE118,$A:$A,0)),"")="","",TRIM(IF(ISNUMBER(FIND(",",IFERROR(INDEX($G:$G,MATCH(AE118,$A:$A,0)),""))),LEFT(IFERROR(INDEX($G:$G,MATCH(AE118,$A:$A,0)),""),FIND(",",IFERROR(INDEX($G:$G,MATCH(AE118,$A:$A,0)),""))-1),IFERROR(INDEX($G:$G,MATCH(AE118,$A:$A,0)),"")))))</f>
        <v/>
      </c>
      <c r="AG118" s="18" t="str">
        <f aca="false">IF(AF118="","",IF(IFERROR(INDEX($G:$G,MATCH(AF118,$A:$A,0)),"")="","",TRIM(IF(ISNUMBER(FIND(",",IFERROR(INDEX($G:$G,MATCH(AF118,$A:$A,0)),""))),LEFT(IFERROR(INDEX($G:$G,MATCH(AF118,$A:$A,0)),""),FIND(",",IFERROR(INDEX($G:$G,MATCH(AF118,$A:$A,0)),""))-1),IFERROR(INDEX($G:$G,MATCH(AF118,$A:$A,0)),"")))))</f>
        <v/>
      </c>
    </row>
    <row r="119" customFormat="false" ht="15" hidden="false" customHeight="false" outlineLevel="0" collapsed="false">
      <c r="A119" s="18"/>
      <c r="B119" s="19"/>
      <c r="C119" s="20"/>
      <c r="D119" s="20"/>
      <c r="E119" s="20"/>
      <c r="F119" s="20"/>
      <c r="G119" s="18"/>
      <c r="H119" s="20"/>
      <c r="I119" s="18"/>
      <c r="J119" s="20"/>
      <c r="K119" s="20"/>
      <c r="L119" s="20"/>
      <c r="M119" s="20"/>
      <c r="N119" s="20"/>
      <c r="O119" s="21" t="str">
        <f aca="false">IF(A119="","",IF(AD119="",0,IF(AE119="",1,IF(AF119="",2,IF(AG119="",3,"4+")))))</f>
        <v/>
      </c>
      <c r="P119" s="21" t="str">
        <f aca="false">IF(A119="","",B119&amp;IF(AD119="",""," &lt;- "&amp;IFERROR(INDEX($B:$B,MATCH(AD119,$A:$A,0)),AD119)&amp;IF(AE119="",""," &lt;- "&amp;IFERROR(INDEX($B:$B,MATCH(AE119,$A:$A,0)),AE119)&amp;IF(AF119="",""," &lt;- "&amp;IFERROR(INDEX($B:$B,MATCH(AF119,$A:$A,0)),AF119)&amp;IF(AG119="",""," &lt;- "&amp;IFERROR(INDEX($B:$B,MATCH(AG119,$A:$A,0)),AG119)))))&amp;IF(ISNUMBER(FIND(",",G119))," (+ other parents)",""))</f>
        <v/>
      </c>
      <c r="Q119" s="21" t="str">
        <f aca="false">IF(A119="","",IF(AD119="",E119&amp;"",IF(AE119="",IF(IFERROR(INDEX($E:$E,MATCH(AD119,$A:$A,0)),"")="","",INDEX($E:$E,MATCH(AD119,$A:$A,0))),IF(AF119="",IF(IFERROR(INDEX($E:$E,MATCH(AE119,$A:$A,0)),"")="","",INDEX($E:$E,MATCH(AE119,$A:$A,0))),IF(AG119="",IF(IFERROR(INDEX($E:$E,MATCH(AF119,$A:$A,0)),"")="","",INDEX($E:$E,MATCH(AF119,$A:$A,0))),IF(IFERROR(INDEX($E:$E,MATCH(AG119,$A:$A,0)),"")="","",INDEX($E:$E,MATCH(AG119,$A:$A,0))))))))</f>
        <v/>
      </c>
      <c r="R119" s="21" t="str">
        <f aca="false">IF(A119="","",COUNTIF(Fields!$D:$D,A119))</f>
        <v/>
      </c>
      <c r="S119" s="21" t="str">
        <f aca="false">IF(A119="","",SUMIF(Fields!$D:$D,A119,Fields!$Q:$Q))</f>
        <v/>
      </c>
      <c r="T119" s="21" t="str">
        <f aca="false">IF(A119="","",COUNTIF('Product inputs'!$D:$D,A119))</f>
        <v/>
      </c>
      <c r="U119" s="20"/>
      <c r="V119" s="20"/>
      <c r="W119" s="20"/>
      <c r="X119" s="20"/>
      <c r="Y119" s="20"/>
      <c r="Z119" s="20"/>
      <c r="AA119" s="20"/>
      <c r="AB119" s="20"/>
      <c r="AC119" s="20"/>
      <c r="AD119" s="18" t="str">
        <f aca="false">IF(A119="","",IF(IFERROR(INDEX($G:$G,MATCH(A119,$A:$A,0)),"")="","",TRIM(IF(ISNUMBER(FIND(",",IFERROR(INDEX($G:$G,MATCH(A119,$A:$A,0)),""))),LEFT(IFERROR(INDEX($G:$G,MATCH(A119,$A:$A,0)),""),FIND(",",IFERROR(INDEX($G:$G,MATCH(A119,$A:$A,0)),""))-1),IFERROR(INDEX($G:$G,MATCH(A119,$A:$A,0)),"")))))</f>
        <v/>
      </c>
      <c r="AE119" s="18" t="str">
        <f aca="false">IF(AD119="","",IF(IFERROR(INDEX($G:$G,MATCH(AD119,$A:$A,0)),"")="","",TRIM(IF(ISNUMBER(FIND(",",IFERROR(INDEX($G:$G,MATCH(AD119,$A:$A,0)),""))),LEFT(IFERROR(INDEX($G:$G,MATCH(AD119,$A:$A,0)),""),FIND(",",IFERROR(INDEX($G:$G,MATCH(AD119,$A:$A,0)),""))-1),IFERROR(INDEX($G:$G,MATCH(AD119,$A:$A,0)),"")))))</f>
        <v/>
      </c>
      <c r="AF119" s="18" t="str">
        <f aca="false">IF(AE119="","",IF(IFERROR(INDEX($G:$G,MATCH(AE119,$A:$A,0)),"")="","",TRIM(IF(ISNUMBER(FIND(",",IFERROR(INDEX($G:$G,MATCH(AE119,$A:$A,0)),""))),LEFT(IFERROR(INDEX($G:$G,MATCH(AE119,$A:$A,0)),""),FIND(",",IFERROR(INDEX($G:$G,MATCH(AE119,$A:$A,0)),""))-1),IFERROR(INDEX($G:$G,MATCH(AE119,$A:$A,0)),"")))))</f>
        <v/>
      </c>
      <c r="AG119" s="18" t="str">
        <f aca="false">IF(AF119="","",IF(IFERROR(INDEX($G:$G,MATCH(AF119,$A:$A,0)),"")="","",TRIM(IF(ISNUMBER(FIND(",",IFERROR(INDEX($G:$G,MATCH(AF119,$A:$A,0)),""))),LEFT(IFERROR(INDEX($G:$G,MATCH(AF119,$A:$A,0)),""),FIND(",",IFERROR(INDEX($G:$G,MATCH(AF119,$A:$A,0)),""))-1),IFERROR(INDEX($G:$G,MATCH(AF119,$A:$A,0)),"")))))</f>
        <v/>
      </c>
    </row>
    <row r="120" customFormat="false" ht="15" hidden="false" customHeight="false" outlineLevel="0" collapsed="false">
      <c r="A120" s="18"/>
      <c r="B120" s="19"/>
      <c r="C120" s="20"/>
      <c r="D120" s="20"/>
      <c r="E120" s="20"/>
      <c r="F120" s="20"/>
      <c r="G120" s="18"/>
      <c r="H120" s="20"/>
      <c r="I120" s="18"/>
      <c r="J120" s="20"/>
      <c r="K120" s="20"/>
      <c r="L120" s="20"/>
      <c r="M120" s="20"/>
      <c r="N120" s="20"/>
      <c r="O120" s="21" t="str">
        <f aca="false">IF(A120="","",IF(AD120="",0,IF(AE120="",1,IF(AF120="",2,IF(AG120="",3,"4+")))))</f>
        <v/>
      </c>
      <c r="P120" s="21" t="str">
        <f aca="false">IF(A120="","",B120&amp;IF(AD120="",""," &lt;- "&amp;IFERROR(INDEX($B:$B,MATCH(AD120,$A:$A,0)),AD120)&amp;IF(AE120="",""," &lt;- "&amp;IFERROR(INDEX($B:$B,MATCH(AE120,$A:$A,0)),AE120)&amp;IF(AF120="",""," &lt;- "&amp;IFERROR(INDEX($B:$B,MATCH(AF120,$A:$A,0)),AF120)&amp;IF(AG120="",""," &lt;- "&amp;IFERROR(INDEX($B:$B,MATCH(AG120,$A:$A,0)),AG120)))))&amp;IF(ISNUMBER(FIND(",",G120))," (+ other parents)",""))</f>
        <v/>
      </c>
      <c r="Q120" s="21" t="str">
        <f aca="false">IF(A120="","",IF(AD120="",E120&amp;"",IF(AE120="",IF(IFERROR(INDEX($E:$E,MATCH(AD120,$A:$A,0)),"")="","",INDEX($E:$E,MATCH(AD120,$A:$A,0))),IF(AF120="",IF(IFERROR(INDEX($E:$E,MATCH(AE120,$A:$A,0)),"")="","",INDEX($E:$E,MATCH(AE120,$A:$A,0))),IF(AG120="",IF(IFERROR(INDEX($E:$E,MATCH(AF120,$A:$A,0)),"")="","",INDEX($E:$E,MATCH(AF120,$A:$A,0))),IF(IFERROR(INDEX($E:$E,MATCH(AG120,$A:$A,0)),"")="","",INDEX($E:$E,MATCH(AG120,$A:$A,0))))))))</f>
        <v/>
      </c>
      <c r="R120" s="21" t="str">
        <f aca="false">IF(A120="","",COUNTIF(Fields!$D:$D,A120))</f>
        <v/>
      </c>
      <c r="S120" s="21" t="str">
        <f aca="false">IF(A120="","",SUMIF(Fields!$D:$D,A120,Fields!$Q:$Q))</f>
        <v/>
      </c>
      <c r="T120" s="21" t="str">
        <f aca="false">IF(A120="","",COUNTIF('Product inputs'!$D:$D,A120))</f>
        <v/>
      </c>
      <c r="U120" s="20"/>
      <c r="V120" s="20"/>
      <c r="W120" s="20"/>
      <c r="X120" s="20"/>
      <c r="Y120" s="20"/>
      <c r="Z120" s="20"/>
      <c r="AA120" s="20"/>
      <c r="AB120" s="20"/>
      <c r="AC120" s="20"/>
      <c r="AD120" s="18" t="str">
        <f aca="false">IF(A120="","",IF(IFERROR(INDEX($G:$G,MATCH(A120,$A:$A,0)),"")="","",TRIM(IF(ISNUMBER(FIND(",",IFERROR(INDEX($G:$G,MATCH(A120,$A:$A,0)),""))),LEFT(IFERROR(INDEX($G:$G,MATCH(A120,$A:$A,0)),""),FIND(",",IFERROR(INDEX($G:$G,MATCH(A120,$A:$A,0)),""))-1),IFERROR(INDEX($G:$G,MATCH(A120,$A:$A,0)),"")))))</f>
        <v/>
      </c>
      <c r="AE120" s="18" t="str">
        <f aca="false">IF(AD120="","",IF(IFERROR(INDEX($G:$G,MATCH(AD120,$A:$A,0)),"")="","",TRIM(IF(ISNUMBER(FIND(",",IFERROR(INDEX($G:$G,MATCH(AD120,$A:$A,0)),""))),LEFT(IFERROR(INDEX($G:$G,MATCH(AD120,$A:$A,0)),""),FIND(",",IFERROR(INDEX($G:$G,MATCH(AD120,$A:$A,0)),""))-1),IFERROR(INDEX($G:$G,MATCH(AD120,$A:$A,0)),"")))))</f>
        <v/>
      </c>
      <c r="AF120" s="18" t="str">
        <f aca="false">IF(AE120="","",IF(IFERROR(INDEX($G:$G,MATCH(AE120,$A:$A,0)),"")="","",TRIM(IF(ISNUMBER(FIND(",",IFERROR(INDEX($G:$G,MATCH(AE120,$A:$A,0)),""))),LEFT(IFERROR(INDEX($G:$G,MATCH(AE120,$A:$A,0)),""),FIND(",",IFERROR(INDEX($G:$G,MATCH(AE120,$A:$A,0)),""))-1),IFERROR(INDEX($G:$G,MATCH(AE120,$A:$A,0)),"")))))</f>
        <v/>
      </c>
      <c r="AG120" s="18" t="str">
        <f aca="false">IF(AF120="","",IF(IFERROR(INDEX($G:$G,MATCH(AF120,$A:$A,0)),"")="","",TRIM(IF(ISNUMBER(FIND(",",IFERROR(INDEX($G:$G,MATCH(AF120,$A:$A,0)),""))),LEFT(IFERROR(INDEX($G:$G,MATCH(AF120,$A:$A,0)),""),FIND(",",IFERROR(INDEX($G:$G,MATCH(AF120,$A:$A,0)),""))-1),IFERROR(INDEX($G:$G,MATCH(AF120,$A:$A,0)),"")))))</f>
        <v/>
      </c>
    </row>
    <row r="121" customFormat="false" ht="15" hidden="false" customHeight="false" outlineLevel="0" collapsed="false">
      <c r="A121" s="18"/>
      <c r="B121" s="19"/>
      <c r="C121" s="20"/>
      <c r="D121" s="20"/>
      <c r="E121" s="20"/>
      <c r="F121" s="20"/>
      <c r="G121" s="18"/>
      <c r="H121" s="20"/>
      <c r="I121" s="18"/>
      <c r="J121" s="20"/>
      <c r="K121" s="20"/>
      <c r="L121" s="20"/>
      <c r="M121" s="20"/>
      <c r="N121" s="20"/>
      <c r="O121" s="21" t="str">
        <f aca="false">IF(A121="","",IF(AD121="",0,IF(AE121="",1,IF(AF121="",2,IF(AG121="",3,"4+")))))</f>
        <v/>
      </c>
      <c r="P121" s="21" t="str">
        <f aca="false">IF(A121="","",B121&amp;IF(AD121="",""," &lt;- "&amp;IFERROR(INDEX($B:$B,MATCH(AD121,$A:$A,0)),AD121)&amp;IF(AE121="",""," &lt;- "&amp;IFERROR(INDEX($B:$B,MATCH(AE121,$A:$A,0)),AE121)&amp;IF(AF121="",""," &lt;- "&amp;IFERROR(INDEX($B:$B,MATCH(AF121,$A:$A,0)),AF121)&amp;IF(AG121="",""," &lt;- "&amp;IFERROR(INDEX($B:$B,MATCH(AG121,$A:$A,0)),AG121)))))&amp;IF(ISNUMBER(FIND(",",G121))," (+ other parents)",""))</f>
        <v/>
      </c>
      <c r="Q121" s="21" t="str">
        <f aca="false">IF(A121="","",IF(AD121="",E121&amp;"",IF(AE121="",IF(IFERROR(INDEX($E:$E,MATCH(AD121,$A:$A,0)),"")="","",INDEX($E:$E,MATCH(AD121,$A:$A,0))),IF(AF121="",IF(IFERROR(INDEX($E:$E,MATCH(AE121,$A:$A,0)),"")="","",INDEX($E:$E,MATCH(AE121,$A:$A,0))),IF(AG121="",IF(IFERROR(INDEX($E:$E,MATCH(AF121,$A:$A,0)),"")="","",INDEX($E:$E,MATCH(AF121,$A:$A,0))),IF(IFERROR(INDEX($E:$E,MATCH(AG121,$A:$A,0)),"")="","",INDEX($E:$E,MATCH(AG121,$A:$A,0))))))))</f>
        <v/>
      </c>
      <c r="R121" s="21" t="str">
        <f aca="false">IF(A121="","",COUNTIF(Fields!$D:$D,A121))</f>
        <v/>
      </c>
      <c r="S121" s="21" t="str">
        <f aca="false">IF(A121="","",SUMIF(Fields!$D:$D,A121,Fields!$Q:$Q))</f>
        <v/>
      </c>
      <c r="T121" s="21" t="str">
        <f aca="false">IF(A121="","",COUNTIF('Product inputs'!$D:$D,A121))</f>
        <v/>
      </c>
      <c r="U121" s="20"/>
      <c r="V121" s="20"/>
      <c r="W121" s="20"/>
      <c r="X121" s="20"/>
      <c r="Y121" s="20"/>
      <c r="Z121" s="20"/>
      <c r="AA121" s="20"/>
      <c r="AB121" s="20"/>
      <c r="AC121" s="20"/>
      <c r="AD121" s="18" t="str">
        <f aca="false">IF(A121="","",IF(IFERROR(INDEX($G:$G,MATCH(A121,$A:$A,0)),"")="","",TRIM(IF(ISNUMBER(FIND(",",IFERROR(INDEX($G:$G,MATCH(A121,$A:$A,0)),""))),LEFT(IFERROR(INDEX($G:$G,MATCH(A121,$A:$A,0)),""),FIND(",",IFERROR(INDEX($G:$G,MATCH(A121,$A:$A,0)),""))-1),IFERROR(INDEX($G:$G,MATCH(A121,$A:$A,0)),"")))))</f>
        <v/>
      </c>
      <c r="AE121" s="18" t="str">
        <f aca="false">IF(AD121="","",IF(IFERROR(INDEX($G:$G,MATCH(AD121,$A:$A,0)),"")="","",TRIM(IF(ISNUMBER(FIND(",",IFERROR(INDEX($G:$G,MATCH(AD121,$A:$A,0)),""))),LEFT(IFERROR(INDEX($G:$G,MATCH(AD121,$A:$A,0)),""),FIND(",",IFERROR(INDEX($G:$G,MATCH(AD121,$A:$A,0)),""))-1),IFERROR(INDEX($G:$G,MATCH(AD121,$A:$A,0)),"")))))</f>
        <v/>
      </c>
      <c r="AF121" s="18" t="str">
        <f aca="false">IF(AE121="","",IF(IFERROR(INDEX($G:$G,MATCH(AE121,$A:$A,0)),"")="","",TRIM(IF(ISNUMBER(FIND(",",IFERROR(INDEX($G:$G,MATCH(AE121,$A:$A,0)),""))),LEFT(IFERROR(INDEX($G:$G,MATCH(AE121,$A:$A,0)),""),FIND(",",IFERROR(INDEX($G:$G,MATCH(AE121,$A:$A,0)),""))-1),IFERROR(INDEX($G:$G,MATCH(AE121,$A:$A,0)),"")))))</f>
        <v/>
      </c>
      <c r="AG121" s="18" t="str">
        <f aca="false">IF(AF121="","",IF(IFERROR(INDEX($G:$G,MATCH(AF121,$A:$A,0)),"")="","",TRIM(IF(ISNUMBER(FIND(",",IFERROR(INDEX($G:$G,MATCH(AF121,$A:$A,0)),""))),LEFT(IFERROR(INDEX($G:$G,MATCH(AF121,$A:$A,0)),""),FIND(",",IFERROR(INDEX($G:$G,MATCH(AF121,$A:$A,0)),""))-1),IFERROR(INDEX($G:$G,MATCH(AF121,$A:$A,0)),"")))))</f>
        <v/>
      </c>
    </row>
    <row r="122" customFormat="false" ht="15" hidden="false" customHeight="false" outlineLevel="0" collapsed="false">
      <c r="A122" s="18"/>
      <c r="B122" s="19"/>
      <c r="C122" s="20"/>
      <c r="D122" s="20"/>
      <c r="E122" s="20"/>
      <c r="F122" s="20"/>
      <c r="G122" s="18"/>
      <c r="H122" s="20"/>
      <c r="I122" s="18"/>
      <c r="J122" s="20"/>
      <c r="K122" s="20"/>
      <c r="L122" s="20"/>
      <c r="M122" s="20"/>
      <c r="N122" s="20"/>
      <c r="O122" s="21" t="str">
        <f aca="false">IF(A122="","",IF(AD122="",0,IF(AE122="",1,IF(AF122="",2,IF(AG122="",3,"4+")))))</f>
        <v/>
      </c>
      <c r="P122" s="21" t="str">
        <f aca="false">IF(A122="","",B122&amp;IF(AD122="",""," &lt;- "&amp;IFERROR(INDEX($B:$B,MATCH(AD122,$A:$A,0)),AD122)&amp;IF(AE122="",""," &lt;- "&amp;IFERROR(INDEX($B:$B,MATCH(AE122,$A:$A,0)),AE122)&amp;IF(AF122="",""," &lt;- "&amp;IFERROR(INDEX($B:$B,MATCH(AF122,$A:$A,0)),AF122)&amp;IF(AG122="",""," &lt;- "&amp;IFERROR(INDEX($B:$B,MATCH(AG122,$A:$A,0)),AG122)))))&amp;IF(ISNUMBER(FIND(",",G122))," (+ other parents)",""))</f>
        <v/>
      </c>
      <c r="Q122" s="21" t="str">
        <f aca="false">IF(A122="","",IF(AD122="",E122&amp;"",IF(AE122="",IF(IFERROR(INDEX($E:$E,MATCH(AD122,$A:$A,0)),"")="","",INDEX($E:$E,MATCH(AD122,$A:$A,0))),IF(AF122="",IF(IFERROR(INDEX($E:$E,MATCH(AE122,$A:$A,0)),"")="","",INDEX($E:$E,MATCH(AE122,$A:$A,0))),IF(AG122="",IF(IFERROR(INDEX($E:$E,MATCH(AF122,$A:$A,0)),"")="","",INDEX($E:$E,MATCH(AF122,$A:$A,0))),IF(IFERROR(INDEX($E:$E,MATCH(AG122,$A:$A,0)),"")="","",INDEX($E:$E,MATCH(AG122,$A:$A,0))))))))</f>
        <v/>
      </c>
      <c r="R122" s="21" t="str">
        <f aca="false">IF(A122="","",COUNTIF(Fields!$D:$D,A122))</f>
        <v/>
      </c>
      <c r="S122" s="21" t="str">
        <f aca="false">IF(A122="","",SUMIF(Fields!$D:$D,A122,Fields!$Q:$Q))</f>
        <v/>
      </c>
      <c r="T122" s="21" t="str">
        <f aca="false">IF(A122="","",COUNTIF('Product inputs'!$D:$D,A122))</f>
        <v/>
      </c>
      <c r="U122" s="20"/>
      <c r="V122" s="20"/>
      <c r="W122" s="20"/>
      <c r="X122" s="20"/>
      <c r="Y122" s="20"/>
      <c r="Z122" s="20"/>
      <c r="AA122" s="20"/>
      <c r="AB122" s="20"/>
      <c r="AC122" s="20"/>
      <c r="AD122" s="18" t="str">
        <f aca="false">IF(A122="","",IF(IFERROR(INDEX($G:$G,MATCH(A122,$A:$A,0)),"")="","",TRIM(IF(ISNUMBER(FIND(",",IFERROR(INDEX($G:$G,MATCH(A122,$A:$A,0)),""))),LEFT(IFERROR(INDEX($G:$G,MATCH(A122,$A:$A,0)),""),FIND(",",IFERROR(INDEX($G:$G,MATCH(A122,$A:$A,0)),""))-1),IFERROR(INDEX($G:$G,MATCH(A122,$A:$A,0)),"")))))</f>
        <v/>
      </c>
      <c r="AE122" s="18" t="str">
        <f aca="false">IF(AD122="","",IF(IFERROR(INDEX($G:$G,MATCH(AD122,$A:$A,0)),"")="","",TRIM(IF(ISNUMBER(FIND(",",IFERROR(INDEX($G:$G,MATCH(AD122,$A:$A,0)),""))),LEFT(IFERROR(INDEX($G:$G,MATCH(AD122,$A:$A,0)),""),FIND(",",IFERROR(INDEX($G:$G,MATCH(AD122,$A:$A,0)),""))-1),IFERROR(INDEX($G:$G,MATCH(AD122,$A:$A,0)),"")))))</f>
        <v/>
      </c>
      <c r="AF122" s="18" t="str">
        <f aca="false">IF(AE122="","",IF(IFERROR(INDEX($G:$G,MATCH(AE122,$A:$A,0)),"")="","",TRIM(IF(ISNUMBER(FIND(",",IFERROR(INDEX($G:$G,MATCH(AE122,$A:$A,0)),""))),LEFT(IFERROR(INDEX($G:$G,MATCH(AE122,$A:$A,0)),""),FIND(",",IFERROR(INDEX($G:$G,MATCH(AE122,$A:$A,0)),""))-1),IFERROR(INDEX($G:$G,MATCH(AE122,$A:$A,0)),"")))))</f>
        <v/>
      </c>
      <c r="AG122" s="18" t="str">
        <f aca="false">IF(AF122="","",IF(IFERROR(INDEX($G:$G,MATCH(AF122,$A:$A,0)),"")="","",TRIM(IF(ISNUMBER(FIND(",",IFERROR(INDEX($G:$G,MATCH(AF122,$A:$A,0)),""))),LEFT(IFERROR(INDEX($G:$G,MATCH(AF122,$A:$A,0)),""),FIND(",",IFERROR(INDEX($G:$G,MATCH(AF122,$A:$A,0)),""))-1),IFERROR(INDEX($G:$G,MATCH(AF122,$A:$A,0)),"")))))</f>
        <v/>
      </c>
    </row>
    <row r="123" customFormat="false" ht="15" hidden="false" customHeight="false" outlineLevel="0" collapsed="false">
      <c r="A123" s="18"/>
      <c r="B123" s="19"/>
      <c r="C123" s="20"/>
      <c r="D123" s="20"/>
      <c r="E123" s="20"/>
      <c r="F123" s="20"/>
      <c r="G123" s="18"/>
      <c r="H123" s="20"/>
      <c r="I123" s="18"/>
      <c r="J123" s="20"/>
      <c r="K123" s="20"/>
      <c r="L123" s="20"/>
      <c r="M123" s="20"/>
      <c r="N123" s="20"/>
      <c r="O123" s="21" t="str">
        <f aca="false">IF(A123="","",IF(AD123="",0,IF(AE123="",1,IF(AF123="",2,IF(AG123="",3,"4+")))))</f>
        <v/>
      </c>
      <c r="P123" s="21" t="str">
        <f aca="false">IF(A123="","",B123&amp;IF(AD123="",""," &lt;- "&amp;IFERROR(INDEX($B:$B,MATCH(AD123,$A:$A,0)),AD123)&amp;IF(AE123="",""," &lt;- "&amp;IFERROR(INDEX($B:$B,MATCH(AE123,$A:$A,0)),AE123)&amp;IF(AF123="",""," &lt;- "&amp;IFERROR(INDEX($B:$B,MATCH(AF123,$A:$A,0)),AF123)&amp;IF(AG123="",""," &lt;- "&amp;IFERROR(INDEX($B:$B,MATCH(AG123,$A:$A,0)),AG123)))))&amp;IF(ISNUMBER(FIND(",",G123))," (+ other parents)",""))</f>
        <v/>
      </c>
      <c r="Q123" s="21" t="str">
        <f aca="false">IF(A123="","",IF(AD123="",E123&amp;"",IF(AE123="",IF(IFERROR(INDEX($E:$E,MATCH(AD123,$A:$A,0)),"")="","",INDEX($E:$E,MATCH(AD123,$A:$A,0))),IF(AF123="",IF(IFERROR(INDEX($E:$E,MATCH(AE123,$A:$A,0)),"")="","",INDEX($E:$E,MATCH(AE123,$A:$A,0))),IF(AG123="",IF(IFERROR(INDEX($E:$E,MATCH(AF123,$A:$A,0)),"")="","",INDEX($E:$E,MATCH(AF123,$A:$A,0))),IF(IFERROR(INDEX($E:$E,MATCH(AG123,$A:$A,0)),"")="","",INDEX($E:$E,MATCH(AG123,$A:$A,0))))))))</f>
        <v/>
      </c>
      <c r="R123" s="21" t="str">
        <f aca="false">IF(A123="","",COUNTIF(Fields!$D:$D,A123))</f>
        <v/>
      </c>
      <c r="S123" s="21" t="str">
        <f aca="false">IF(A123="","",SUMIF(Fields!$D:$D,A123,Fields!$Q:$Q))</f>
        <v/>
      </c>
      <c r="T123" s="21" t="str">
        <f aca="false">IF(A123="","",COUNTIF('Product inputs'!$D:$D,A123))</f>
        <v/>
      </c>
      <c r="U123" s="20"/>
      <c r="V123" s="20"/>
      <c r="W123" s="20"/>
      <c r="X123" s="20"/>
      <c r="Y123" s="20"/>
      <c r="Z123" s="20"/>
      <c r="AA123" s="20"/>
      <c r="AB123" s="20"/>
      <c r="AC123" s="20"/>
      <c r="AD123" s="18" t="str">
        <f aca="false">IF(A123="","",IF(IFERROR(INDEX($G:$G,MATCH(A123,$A:$A,0)),"")="","",TRIM(IF(ISNUMBER(FIND(",",IFERROR(INDEX($G:$G,MATCH(A123,$A:$A,0)),""))),LEFT(IFERROR(INDEX($G:$G,MATCH(A123,$A:$A,0)),""),FIND(",",IFERROR(INDEX($G:$G,MATCH(A123,$A:$A,0)),""))-1),IFERROR(INDEX($G:$G,MATCH(A123,$A:$A,0)),"")))))</f>
        <v/>
      </c>
      <c r="AE123" s="18" t="str">
        <f aca="false">IF(AD123="","",IF(IFERROR(INDEX($G:$G,MATCH(AD123,$A:$A,0)),"")="","",TRIM(IF(ISNUMBER(FIND(",",IFERROR(INDEX($G:$G,MATCH(AD123,$A:$A,0)),""))),LEFT(IFERROR(INDEX($G:$G,MATCH(AD123,$A:$A,0)),""),FIND(",",IFERROR(INDEX($G:$G,MATCH(AD123,$A:$A,0)),""))-1),IFERROR(INDEX($G:$G,MATCH(AD123,$A:$A,0)),"")))))</f>
        <v/>
      </c>
      <c r="AF123" s="18" t="str">
        <f aca="false">IF(AE123="","",IF(IFERROR(INDEX($G:$G,MATCH(AE123,$A:$A,0)),"")="","",TRIM(IF(ISNUMBER(FIND(",",IFERROR(INDEX($G:$G,MATCH(AE123,$A:$A,0)),""))),LEFT(IFERROR(INDEX($G:$G,MATCH(AE123,$A:$A,0)),""),FIND(",",IFERROR(INDEX($G:$G,MATCH(AE123,$A:$A,0)),""))-1),IFERROR(INDEX($G:$G,MATCH(AE123,$A:$A,0)),"")))))</f>
        <v/>
      </c>
      <c r="AG123" s="18" t="str">
        <f aca="false">IF(AF123="","",IF(IFERROR(INDEX($G:$G,MATCH(AF123,$A:$A,0)),"")="","",TRIM(IF(ISNUMBER(FIND(",",IFERROR(INDEX($G:$G,MATCH(AF123,$A:$A,0)),""))),LEFT(IFERROR(INDEX($G:$G,MATCH(AF123,$A:$A,0)),""),FIND(",",IFERROR(INDEX($G:$G,MATCH(AF123,$A:$A,0)),""))-1),IFERROR(INDEX($G:$G,MATCH(AF123,$A:$A,0)),"")))))</f>
        <v/>
      </c>
    </row>
    <row r="124" customFormat="false" ht="15" hidden="false" customHeight="false" outlineLevel="0" collapsed="false">
      <c r="A124" s="18"/>
      <c r="B124" s="19"/>
      <c r="C124" s="20"/>
      <c r="D124" s="20"/>
      <c r="E124" s="20"/>
      <c r="F124" s="20"/>
      <c r="G124" s="18"/>
      <c r="H124" s="20"/>
      <c r="I124" s="18"/>
      <c r="J124" s="20"/>
      <c r="K124" s="20"/>
      <c r="L124" s="20"/>
      <c r="M124" s="20"/>
      <c r="N124" s="20"/>
      <c r="O124" s="21" t="str">
        <f aca="false">IF(A124="","",IF(AD124="",0,IF(AE124="",1,IF(AF124="",2,IF(AG124="",3,"4+")))))</f>
        <v/>
      </c>
      <c r="P124" s="21" t="str">
        <f aca="false">IF(A124="","",B124&amp;IF(AD124="",""," &lt;- "&amp;IFERROR(INDEX($B:$B,MATCH(AD124,$A:$A,0)),AD124)&amp;IF(AE124="",""," &lt;- "&amp;IFERROR(INDEX($B:$B,MATCH(AE124,$A:$A,0)),AE124)&amp;IF(AF124="",""," &lt;- "&amp;IFERROR(INDEX($B:$B,MATCH(AF124,$A:$A,0)),AF124)&amp;IF(AG124="",""," &lt;- "&amp;IFERROR(INDEX($B:$B,MATCH(AG124,$A:$A,0)),AG124)))))&amp;IF(ISNUMBER(FIND(",",G124))," (+ other parents)",""))</f>
        <v/>
      </c>
      <c r="Q124" s="21" t="str">
        <f aca="false">IF(A124="","",IF(AD124="",E124&amp;"",IF(AE124="",IF(IFERROR(INDEX($E:$E,MATCH(AD124,$A:$A,0)),"")="","",INDEX($E:$E,MATCH(AD124,$A:$A,0))),IF(AF124="",IF(IFERROR(INDEX($E:$E,MATCH(AE124,$A:$A,0)),"")="","",INDEX($E:$E,MATCH(AE124,$A:$A,0))),IF(AG124="",IF(IFERROR(INDEX($E:$E,MATCH(AF124,$A:$A,0)),"")="","",INDEX($E:$E,MATCH(AF124,$A:$A,0))),IF(IFERROR(INDEX($E:$E,MATCH(AG124,$A:$A,0)),"")="","",INDEX($E:$E,MATCH(AG124,$A:$A,0))))))))</f>
        <v/>
      </c>
      <c r="R124" s="21" t="str">
        <f aca="false">IF(A124="","",COUNTIF(Fields!$D:$D,A124))</f>
        <v/>
      </c>
      <c r="S124" s="21" t="str">
        <f aca="false">IF(A124="","",SUMIF(Fields!$D:$D,A124,Fields!$Q:$Q))</f>
        <v/>
      </c>
      <c r="T124" s="21" t="str">
        <f aca="false">IF(A124="","",COUNTIF('Product inputs'!$D:$D,A124))</f>
        <v/>
      </c>
      <c r="U124" s="20"/>
      <c r="V124" s="20"/>
      <c r="W124" s="20"/>
      <c r="X124" s="20"/>
      <c r="Y124" s="20"/>
      <c r="Z124" s="20"/>
      <c r="AA124" s="20"/>
      <c r="AB124" s="20"/>
      <c r="AC124" s="20"/>
      <c r="AD124" s="18" t="str">
        <f aca="false">IF(A124="","",IF(IFERROR(INDEX($G:$G,MATCH(A124,$A:$A,0)),"")="","",TRIM(IF(ISNUMBER(FIND(",",IFERROR(INDEX($G:$G,MATCH(A124,$A:$A,0)),""))),LEFT(IFERROR(INDEX($G:$G,MATCH(A124,$A:$A,0)),""),FIND(",",IFERROR(INDEX($G:$G,MATCH(A124,$A:$A,0)),""))-1),IFERROR(INDEX($G:$G,MATCH(A124,$A:$A,0)),"")))))</f>
        <v/>
      </c>
      <c r="AE124" s="18" t="str">
        <f aca="false">IF(AD124="","",IF(IFERROR(INDEX($G:$G,MATCH(AD124,$A:$A,0)),"")="","",TRIM(IF(ISNUMBER(FIND(",",IFERROR(INDEX($G:$G,MATCH(AD124,$A:$A,0)),""))),LEFT(IFERROR(INDEX($G:$G,MATCH(AD124,$A:$A,0)),""),FIND(",",IFERROR(INDEX($G:$G,MATCH(AD124,$A:$A,0)),""))-1),IFERROR(INDEX($G:$G,MATCH(AD124,$A:$A,0)),"")))))</f>
        <v/>
      </c>
      <c r="AF124" s="18" t="str">
        <f aca="false">IF(AE124="","",IF(IFERROR(INDEX($G:$G,MATCH(AE124,$A:$A,0)),"")="","",TRIM(IF(ISNUMBER(FIND(",",IFERROR(INDEX($G:$G,MATCH(AE124,$A:$A,0)),""))),LEFT(IFERROR(INDEX($G:$G,MATCH(AE124,$A:$A,0)),""),FIND(",",IFERROR(INDEX($G:$G,MATCH(AE124,$A:$A,0)),""))-1),IFERROR(INDEX($G:$G,MATCH(AE124,$A:$A,0)),"")))))</f>
        <v/>
      </c>
      <c r="AG124" s="18" t="str">
        <f aca="false">IF(AF124="","",IF(IFERROR(INDEX($G:$G,MATCH(AF124,$A:$A,0)),"")="","",TRIM(IF(ISNUMBER(FIND(",",IFERROR(INDEX($G:$G,MATCH(AF124,$A:$A,0)),""))),LEFT(IFERROR(INDEX($G:$G,MATCH(AF124,$A:$A,0)),""),FIND(",",IFERROR(INDEX($G:$G,MATCH(AF124,$A:$A,0)),""))-1),IFERROR(INDEX($G:$G,MATCH(AF124,$A:$A,0)),"")))))</f>
        <v/>
      </c>
    </row>
    <row r="125" customFormat="false" ht="15" hidden="false" customHeight="false" outlineLevel="0" collapsed="false">
      <c r="A125" s="18"/>
      <c r="B125" s="19"/>
      <c r="C125" s="20"/>
      <c r="D125" s="20"/>
      <c r="E125" s="20"/>
      <c r="F125" s="20"/>
      <c r="G125" s="18"/>
      <c r="H125" s="20"/>
      <c r="I125" s="18"/>
      <c r="J125" s="20"/>
      <c r="K125" s="20"/>
      <c r="L125" s="20"/>
      <c r="M125" s="20"/>
      <c r="N125" s="20"/>
      <c r="O125" s="21" t="str">
        <f aca="false">IF(A125="","",IF(AD125="",0,IF(AE125="",1,IF(AF125="",2,IF(AG125="",3,"4+")))))</f>
        <v/>
      </c>
      <c r="P125" s="21" t="str">
        <f aca="false">IF(A125="","",B125&amp;IF(AD125="",""," &lt;- "&amp;IFERROR(INDEX($B:$B,MATCH(AD125,$A:$A,0)),AD125)&amp;IF(AE125="",""," &lt;- "&amp;IFERROR(INDEX($B:$B,MATCH(AE125,$A:$A,0)),AE125)&amp;IF(AF125="",""," &lt;- "&amp;IFERROR(INDEX($B:$B,MATCH(AF125,$A:$A,0)),AF125)&amp;IF(AG125="",""," &lt;- "&amp;IFERROR(INDEX($B:$B,MATCH(AG125,$A:$A,0)),AG125)))))&amp;IF(ISNUMBER(FIND(",",G125))," (+ other parents)",""))</f>
        <v/>
      </c>
      <c r="Q125" s="21" t="str">
        <f aca="false">IF(A125="","",IF(AD125="",E125&amp;"",IF(AE125="",IF(IFERROR(INDEX($E:$E,MATCH(AD125,$A:$A,0)),"")="","",INDEX($E:$E,MATCH(AD125,$A:$A,0))),IF(AF125="",IF(IFERROR(INDEX($E:$E,MATCH(AE125,$A:$A,0)),"")="","",INDEX($E:$E,MATCH(AE125,$A:$A,0))),IF(AG125="",IF(IFERROR(INDEX($E:$E,MATCH(AF125,$A:$A,0)),"")="","",INDEX($E:$E,MATCH(AF125,$A:$A,0))),IF(IFERROR(INDEX($E:$E,MATCH(AG125,$A:$A,0)),"")="","",INDEX($E:$E,MATCH(AG125,$A:$A,0))))))))</f>
        <v/>
      </c>
      <c r="R125" s="21" t="str">
        <f aca="false">IF(A125="","",COUNTIF(Fields!$D:$D,A125))</f>
        <v/>
      </c>
      <c r="S125" s="21" t="str">
        <f aca="false">IF(A125="","",SUMIF(Fields!$D:$D,A125,Fields!$Q:$Q))</f>
        <v/>
      </c>
      <c r="T125" s="21" t="str">
        <f aca="false">IF(A125="","",COUNTIF('Product inputs'!$D:$D,A125))</f>
        <v/>
      </c>
      <c r="U125" s="20"/>
      <c r="V125" s="20"/>
      <c r="W125" s="20"/>
      <c r="X125" s="20"/>
      <c r="Y125" s="20"/>
      <c r="Z125" s="20"/>
      <c r="AA125" s="20"/>
      <c r="AB125" s="20"/>
      <c r="AC125" s="20"/>
      <c r="AD125" s="18" t="str">
        <f aca="false">IF(A125="","",IF(IFERROR(INDEX($G:$G,MATCH(A125,$A:$A,0)),"")="","",TRIM(IF(ISNUMBER(FIND(",",IFERROR(INDEX($G:$G,MATCH(A125,$A:$A,0)),""))),LEFT(IFERROR(INDEX($G:$G,MATCH(A125,$A:$A,0)),""),FIND(",",IFERROR(INDEX($G:$G,MATCH(A125,$A:$A,0)),""))-1),IFERROR(INDEX($G:$G,MATCH(A125,$A:$A,0)),"")))))</f>
        <v/>
      </c>
      <c r="AE125" s="18" t="str">
        <f aca="false">IF(AD125="","",IF(IFERROR(INDEX($G:$G,MATCH(AD125,$A:$A,0)),"")="","",TRIM(IF(ISNUMBER(FIND(",",IFERROR(INDEX($G:$G,MATCH(AD125,$A:$A,0)),""))),LEFT(IFERROR(INDEX($G:$G,MATCH(AD125,$A:$A,0)),""),FIND(",",IFERROR(INDEX($G:$G,MATCH(AD125,$A:$A,0)),""))-1),IFERROR(INDEX($G:$G,MATCH(AD125,$A:$A,0)),"")))))</f>
        <v/>
      </c>
      <c r="AF125" s="18" t="str">
        <f aca="false">IF(AE125="","",IF(IFERROR(INDEX($G:$G,MATCH(AE125,$A:$A,0)),"")="","",TRIM(IF(ISNUMBER(FIND(",",IFERROR(INDEX($G:$G,MATCH(AE125,$A:$A,0)),""))),LEFT(IFERROR(INDEX($G:$G,MATCH(AE125,$A:$A,0)),""),FIND(",",IFERROR(INDEX($G:$G,MATCH(AE125,$A:$A,0)),""))-1),IFERROR(INDEX($G:$G,MATCH(AE125,$A:$A,0)),"")))))</f>
        <v/>
      </c>
      <c r="AG125" s="18" t="str">
        <f aca="false">IF(AF125="","",IF(IFERROR(INDEX($G:$G,MATCH(AF125,$A:$A,0)),"")="","",TRIM(IF(ISNUMBER(FIND(",",IFERROR(INDEX($G:$G,MATCH(AF125,$A:$A,0)),""))),LEFT(IFERROR(INDEX($G:$G,MATCH(AF125,$A:$A,0)),""),FIND(",",IFERROR(INDEX($G:$G,MATCH(AF125,$A:$A,0)),""))-1),IFERROR(INDEX($G:$G,MATCH(AF125,$A:$A,0)),"")))))</f>
        <v/>
      </c>
    </row>
    <row r="126" customFormat="false" ht="15" hidden="false" customHeight="false" outlineLevel="0" collapsed="false">
      <c r="A126" s="18"/>
      <c r="B126" s="19"/>
      <c r="C126" s="20"/>
      <c r="D126" s="20"/>
      <c r="E126" s="20"/>
      <c r="F126" s="20"/>
      <c r="G126" s="18"/>
      <c r="H126" s="20"/>
      <c r="I126" s="18"/>
      <c r="J126" s="20"/>
      <c r="K126" s="20"/>
      <c r="L126" s="20"/>
      <c r="M126" s="20"/>
      <c r="N126" s="20"/>
      <c r="O126" s="21" t="str">
        <f aca="false">IF(A126="","",IF(AD126="",0,IF(AE126="",1,IF(AF126="",2,IF(AG126="",3,"4+")))))</f>
        <v/>
      </c>
      <c r="P126" s="21" t="str">
        <f aca="false">IF(A126="","",B126&amp;IF(AD126="",""," &lt;- "&amp;IFERROR(INDEX($B:$B,MATCH(AD126,$A:$A,0)),AD126)&amp;IF(AE126="",""," &lt;- "&amp;IFERROR(INDEX($B:$B,MATCH(AE126,$A:$A,0)),AE126)&amp;IF(AF126="",""," &lt;- "&amp;IFERROR(INDEX($B:$B,MATCH(AF126,$A:$A,0)),AF126)&amp;IF(AG126="",""," &lt;- "&amp;IFERROR(INDEX($B:$B,MATCH(AG126,$A:$A,0)),AG126)))))&amp;IF(ISNUMBER(FIND(",",G126))," (+ other parents)",""))</f>
        <v/>
      </c>
      <c r="Q126" s="21" t="str">
        <f aca="false">IF(A126="","",IF(AD126="",E126&amp;"",IF(AE126="",IF(IFERROR(INDEX($E:$E,MATCH(AD126,$A:$A,0)),"")="","",INDEX($E:$E,MATCH(AD126,$A:$A,0))),IF(AF126="",IF(IFERROR(INDEX($E:$E,MATCH(AE126,$A:$A,0)),"")="","",INDEX($E:$E,MATCH(AE126,$A:$A,0))),IF(AG126="",IF(IFERROR(INDEX($E:$E,MATCH(AF126,$A:$A,0)),"")="","",INDEX($E:$E,MATCH(AF126,$A:$A,0))),IF(IFERROR(INDEX($E:$E,MATCH(AG126,$A:$A,0)),"")="","",INDEX($E:$E,MATCH(AG126,$A:$A,0))))))))</f>
        <v/>
      </c>
      <c r="R126" s="21" t="str">
        <f aca="false">IF(A126="","",COUNTIF(Fields!$D:$D,A126))</f>
        <v/>
      </c>
      <c r="S126" s="21" t="str">
        <f aca="false">IF(A126="","",SUMIF(Fields!$D:$D,A126,Fields!$Q:$Q))</f>
        <v/>
      </c>
      <c r="T126" s="21" t="str">
        <f aca="false">IF(A126="","",COUNTIF('Product inputs'!$D:$D,A126))</f>
        <v/>
      </c>
      <c r="U126" s="20"/>
      <c r="V126" s="20"/>
      <c r="W126" s="20"/>
      <c r="X126" s="20"/>
      <c r="Y126" s="20"/>
      <c r="Z126" s="20"/>
      <c r="AA126" s="20"/>
      <c r="AB126" s="20"/>
      <c r="AC126" s="20"/>
      <c r="AD126" s="18" t="str">
        <f aca="false">IF(A126="","",IF(IFERROR(INDEX($G:$G,MATCH(A126,$A:$A,0)),"")="","",TRIM(IF(ISNUMBER(FIND(",",IFERROR(INDEX($G:$G,MATCH(A126,$A:$A,0)),""))),LEFT(IFERROR(INDEX($G:$G,MATCH(A126,$A:$A,0)),""),FIND(",",IFERROR(INDEX($G:$G,MATCH(A126,$A:$A,0)),""))-1),IFERROR(INDEX($G:$G,MATCH(A126,$A:$A,0)),"")))))</f>
        <v/>
      </c>
      <c r="AE126" s="18" t="str">
        <f aca="false">IF(AD126="","",IF(IFERROR(INDEX($G:$G,MATCH(AD126,$A:$A,0)),"")="","",TRIM(IF(ISNUMBER(FIND(",",IFERROR(INDEX($G:$G,MATCH(AD126,$A:$A,0)),""))),LEFT(IFERROR(INDEX($G:$G,MATCH(AD126,$A:$A,0)),""),FIND(",",IFERROR(INDEX($G:$G,MATCH(AD126,$A:$A,0)),""))-1),IFERROR(INDEX($G:$G,MATCH(AD126,$A:$A,0)),"")))))</f>
        <v/>
      </c>
      <c r="AF126" s="18" t="str">
        <f aca="false">IF(AE126="","",IF(IFERROR(INDEX($G:$G,MATCH(AE126,$A:$A,0)),"")="","",TRIM(IF(ISNUMBER(FIND(",",IFERROR(INDEX($G:$G,MATCH(AE126,$A:$A,0)),""))),LEFT(IFERROR(INDEX($G:$G,MATCH(AE126,$A:$A,0)),""),FIND(",",IFERROR(INDEX($G:$G,MATCH(AE126,$A:$A,0)),""))-1),IFERROR(INDEX($G:$G,MATCH(AE126,$A:$A,0)),"")))))</f>
        <v/>
      </c>
      <c r="AG126" s="18" t="str">
        <f aca="false">IF(AF126="","",IF(IFERROR(INDEX($G:$G,MATCH(AF126,$A:$A,0)),"")="","",TRIM(IF(ISNUMBER(FIND(",",IFERROR(INDEX($G:$G,MATCH(AF126,$A:$A,0)),""))),LEFT(IFERROR(INDEX($G:$G,MATCH(AF126,$A:$A,0)),""),FIND(",",IFERROR(INDEX($G:$G,MATCH(AF126,$A:$A,0)),""))-1),IFERROR(INDEX($G:$G,MATCH(AF126,$A:$A,0)),"")))))</f>
        <v/>
      </c>
    </row>
    <row r="127" customFormat="false" ht="15" hidden="false" customHeight="false" outlineLevel="0" collapsed="false">
      <c r="A127" s="18"/>
      <c r="B127" s="19"/>
      <c r="C127" s="20"/>
      <c r="D127" s="20"/>
      <c r="E127" s="20"/>
      <c r="F127" s="20"/>
      <c r="G127" s="18"/>
      <c r="H127" s="20"/>
      <c r="I127" s="18"/>
      <c r="J127" s="20"/>
      <c r="K127" s="20"/>
      <c r="L127" s="20"/>
      <c r="M127" s="20"/>
      <c r="N127" s="20"/>
      <c r="O127" s="21" t="str">
        <f aca="false">IF(A127="","",IF(AD127="",0,IF(AE127="",1,IF(AF127="",2,IF(AG127="",3,"4+")))))</f>
        <v/>
      </c>
      <c r="P127" s="21" t="str">
        <f aca="false">IF(A127="","",B127&amp;IF(AD127="",""," &lt;- "&amp;IFERROR(INDEX($B:$B,MATCH(AD127,$A:$A,0)),AD127)&amp;IF(AE127="",""," &lt;- "&amp;IFERROR(INDEX($B:$B,MATCH(AE127,$A:$A,0)),AE127)&amp;IF(AF127="",""," &lt;- "&amp;IFERROR(INDEX($B:$B,MATCH(AF127,$A:$A,0)),AF127)&amp;IF(AG127="",""," &lt;- "&amp;IFERROR(INDEX($B:$B,MATCH(AG127,$A:$A,0)),AG127)))))&amp;IF(ISNUMBER(FIND(",",G127))," (+ other parents)",""))</f>
        <v/>
      </c>
      <c r="Q127" s="21" t="str">
        <f aca="false">IF(A127="","",IF(AD127="",E127&amp;"",IF(AE127="",IF(IFERROR(INDEX($E:$E,MATCH(AD127,$A:$A,0)),"")="","",INDEX($E:$E,MATCH(AD127,$A:$A,0))),IF(AF127="",IF(IFERROR(INDEX($E:$E,MATCH(AE127,$A:$A,0)),"")="","",INDEX($E:$E,MATCH(AE127,$A:$A,0))),IF(AG127="",IF(IFERROR(INDEX($E:$E,MATCH(AF127,$A:$A,0)),"")="","",INDEX($E:$E,MATCH(AF127,$A:$A,0))),IF(IFERROR(INDEX($E:$E,MATCH(AG127,$A:$A,0)),"")="","",INDEX($E:$E,MATCH(AG127,$A:$A,0))))))))</f>
        <v/>
      </c>
      <c r="R127" s="21" t="str">
        <f aca="false">IF(A127="","",COUNTIF(Fields!$D:$D,A127))</f>
        <v/>
      </c>
      <c r="S127" s="21" t="str">
        <f aca="false">IF(A127="","",SUMIF(Fields!$D:$D,A127,Fields!$Q:$Q))</f>
        <v/>
      </c>
      <c r="T127" s="21" t="str">
        <f aca="false">IF(A127="","",COUNTIF('Product inputs'!$D:$D,A127))</f>
        <v/>
      </c>
      <c r="U127" s="20"/>
      <c r="V127" s="20"/>
      <c r="W127" s="20"/>
      <c r="X127" s="20"/>
      <c r="Y127" s="20"/>
      <c r="Z127" s="20"/>
      <c r="AA127" s="20"/>
      <c r="AB127" s="20"/>
      <c r="AC127" s="20"/>
      <c r="AD127" s="18" t="str">
        <f aca="false">IF(A127="","",IF(IFERROR(INDEX($G:$G,MATCH(A127,$A:$A,0)),"")="","",TRIM(IF(ISNUMBER(FIND(",",IFERROR(INDEX($G:$G,MATCH(A127,$A:$A,0)),""))),LEFT(IFERROR(INDEX($G:$G,MATCH(A127,$A:$A,0)),""),FIND(",",IFERROR(INDEX($G:$G,MATCH(A127,$A:$A,0)),""))-1),IFERROR(INDEX($G:$G,MATCH(A127,$A:$A,0)),"")))))</f>
        <v/>
      </c>
      <c r="AE127" s="18" t="str">
        <f aca="false">IF(AD127="","",IF(IFERROR(INDEX($G:$G,MATCH(AD127,$A:$A,0)),"")="","",TRIM(IF(ISNUMBER(FIND(",",IFERROR(INDEX($G:$G,MATCH(AD127,$A:$A,0)),""))),LEFT(IFERROR(INDEX($G:$G,MATCH(AD127,$A:$A,0)),""),FIND(",",IFERROR(INDEX($G:$G,MATCH(AD127,$A:$A,0)),""))-1),IFERROR(INDEX($G:$G,MATCH(AD127,$A:$A,0)),"")))))</f>
        <v/>
      </c>
      <c r="AF127" s="18" t="str">
        <f aca="false">IF(AE127="","",IF(IFERROR(INDEX($G:$G,MATCH(AE127,$A:$A,0)),"")="","",TRIM(IF(ISNUMBER(FIND(",",IFERROR(INDEX($G:$G,MATCH(AE127,$A:$A,0)),""))),LEFT(IFERROR(INDEX($G:$G,MATCH(AE127,$A:$A,0)),""),FIND(",",IFERROR(INDEX($G:$G,MATCH(AE127,$A:$A,0)),""))-1),IFERROR(INDEX($G:$G,MATCH(AE127,$A:$A,0)),"")))))</f>
        <v/>
      </c>
      <c r="AG127" s="18" t="str">
        <f aca="false">IF(AF127="","",IF(IFERROR(INDEX($G:$G,MATCH(AF127,$A:$A,0)),"")="","",TRIM(IF(ISNUMBER(FIND(",",IFERROR(INDEX($G:$G,MATCH(AF127,$A:$A,0)),""))),LEFT(IFERROR(INDEX($G:$G,MATCH(AF127,$A:$A,0)),""),FIND(",",IFERROR(INDEX($G:$G,MATCH(AF127,$A:$A,0)),""))-1),IFERROR(INDEX($G:$G,MATCH(AF127,$A:$A,0)),"")))))</f>
        <v/>
      </c>
    </row>
    <row r="128" customFormat="false" ht="15" hidden="false" customHeight="false" outlineLevel="0" collapsed="false">
      <c r="A128" s="18"/>
      <c r="B128" s="19"/>
      <c r="C128" s="20"/>
      <c r="D128" s="20"/>
      <c r="E128" s="20"/>
      <c r="F128" s="20"/>
      <c r="G128" s="18"/>
      <c r="H128" s="20"/>
      <c r="I128" s="18"/>
      <c r="J128" s="20"/>
      <c r="K128" s="20"/>
      <c r="L128" s="20"/>
      <c r="M128" s="20"/>
      <c r="N128" s="20"/>
      <c r="O128" s="21" t="str">
        <f aca="false">IF(A128="","",IF(AD128="",0,IF(AE128="",1,IF(AF128="",2,IF(AG128="",3,"4+")))))</f>
        <v/>
      </c>
      <c r="P128" s="21" t="str">
        <f aca="false">IF(A128="","",B128&amp;IF(AD128="",""," &lt;- "&amp;IFERROR(INDEX($B:$B,MATCH(AD128,$A:$A,0)),AD128)&amp;IF(AE128="",""," &lt;- "&amp;IFERROR(INDEX($B:$B,MATCH(AE128,$A:$A,0)),AE128)&amp;IF(AF128="",""," &lt;- "&amp;IFERROR(INDEX($B:$B,MATCH(AF128,$A:$A,0)),AF128)&amp;IF(AG128="",""," &lt;- "&amp;IFERROR(INDEX($B:$B,MATCH(AG128,$A:$A,0)),AG128)))))&amp;IF(ISNUMBER(FIND(",",G128))," (+ other parents)",""))</f>
        <v/>
      </c>
      <c r="Q128" s="21" t="str">
        <f aca="false">IF(A128="","",IF(AD128="",E128&amp;"",IF(AE128="",IF(IFERROR(INDEX($E:$E,MATCH(AD128,$A:$A,0)),"")="","",INDEX($E:$E,MATCH(AD128,$A:$A,0))),IF(AF128="",IF(IFERROR(INDEX($E:$E,MATCH(AE128,$A:$A,0)),"")="","",INDEX($E:$E,MATCH(AE128,$A:$A,0))),IF(AG128="",IF(IFERROR(INDEX($E:$E,MATCH(AF128,$A:$A,0)),"")="","",INDEX($E:$E,MATCH(AF128,$A:$A,0))),IF(IFERROR(INDEX($E:$E,MATCH(AG128,$A:$A,0)),"")="","",INDEX($E:$E,MATCH(AG128,$A:$A,0))))))))</f>
        <v/>
      </c>
      <c r="R128" s="21" t="str">
        <f aca="false">IF(A128="","",COUNTIF(Fields!$D:$D,A128))</f>
        <v/>
      </c>
      <c r="S128" s="21" t="str">
        <f aca="false">IF(A128="","",SUMIF(Fields!$D:$D,A128,Fields!$Q:$Q))</f>
        <v/>
      </c>
      <c r="T128" s="21" t="str">
        <f aca="false">IF(A128="","",COUNTIF('Product inputs'!$D:$D,A128))</f>
        <v/>
      </c>
      <c r="U128" s="20"/>
      <c r="V128" s="20"/>
      <c r="W128" s="20"/>
      <c r="X128" s="20"/>
      <c r="Y128" s="20"/>
      <c r="Z128" s="20"/>
      <c r="AA128" s="20"/>
      <c r="AB128" s="20"/>
      <c r="AC128" s="20"/>
      <c r="AD128" s="18" t="str">
        <f aca="false">IF(A128="","",IF(IFERROR(INDEX($G:$G,MATCH(A128,$A:$A,0)),"")="","",TRIM(IF(ISNUMBER(FIND(",",IFERROR(INDEX($G:$G,MATCH(A128,$A:$A,0)),""))),LEFT(IFERROR(INDEX($G:$G,MATCH(A128,$A:$A,0)),""),FIND(",",IFERROR(INDEX($G:$G,MATCH(A128,$A:$A,0)),""))-1),IFERROR(INDEX($G:$G,MATCH(A128,$A:$A,0)),"")))))</f>
        <v/>
      </c>
      <c r="AE128" s="18" t="str">
        <f aca="false">IF(AD128="","",IF(IFERROR(INDEX($G:$G,MATCH(AD128,$A:$A,0)),"")="","",TRIM(IF(ISNUMBER(FIND(",",IFERROR(INDEX($G:$G,MATCH(AD128,$A:$A,0)),""))),LEFT(IFERROR(INDEX($G:$G,MATCH(AD128,$A:$A,0)),""),FIND(",",IFERROR(INDEX($G:$G,MATCH(AD128,$A:$A,0)),""))-1),IFERROR(INDEX($G:$G,MATCH(AD128,$A:$A,0)),"")))))</f>
        <v/>
      </c>
      <c r="AF128" s="18" t="str">
        <f aca="false">IF(AE128="","",IF(IFERROR(INDEX($G:$G,MATCH(AE128,$A:$A,0)),"")="","",TRIM(IF(ISNUMBER(FIND(",",IFERROR(INDEX($G:$G,MATCH(AE128,$A:$A,0)),""))),LEFT(IFERROR(INDEX($G:$G,MATCH(AE128,$A:$A,0)),""),FIND(",",IFERROR(INDEX($G:$G,MATCH(AE128,$A:$A,0)),""))-1),IFERROR(INDEX($G:$G,MATCH(AE128,$A:$A,0)),"")))))</f>
        <v/>
      </c>
      <c r="AG128" s="18" t="str">
        <f aca="false">IF(AF128="","",IF(IFERROR(INDEX($G:$G,MATCH(AF128,$A:$A,0)),"")="","",TRIM(IF(ISNUMBER(FIND(",",IFERROR(INDEX($G:$G,MATCH(AF128,$A:$A,0)),""))),LEFT(IFERROR(INDEX($G:$G,MATCH(AF128,$A:$A,0)),""),FIND(",",IFERROR(INDEX($G:$G,MATCH(AF128,$A:$A,0)),""))-1),IFERROR(INDEX($G:$G,MATCH(AF128,$A:$A,0)),"")))))</f>
        <v/>
      </c>
    </row>
    <row r="129" customFormat="false" ht="15" hidden="false" customHeight="false" outlineLevel="0" collapsed="false">
      <c r="A129" s="18"/>
      <c r="B129" s="19"/>
      <c r="C129" s="20"/>
      <c r="D129" s="20"/>
      <c r="E129" s="20"/>
      <c r="F129" s="20"/>
      <c r="G129" s="18"/>
      <c r="H129" s="20"/>
      <c r="I129" s="18"/>
      <c r="J129" s="20"/>
      <c r="K129" s="20"/>
      <c r="L129" s="20"/>
      <c r="M129" s="20"/>
      <c r="N129" s="20"/>
      <c r="O129" s="21" t="str">
        <f aca="false">IF(A129="","",IF(AD129="",0,IF(AE129="",1,IF(AF129="",2,IF(AG129="",3,"4+")))))</f>
        <v/>
      </c>
      <c r="P129" s="21" t="str">
        <f aca="false">IF(A129="","",B129&amp;IF(AD129="",""," &lt;- "&amp;IFERROR(INDEX($B:$B,MATCH(AD129,$A:$A,0)),AD129)&amp;IF(AE129="",""," &lt;- "&amp;IFERROR(INDEX($B:$B,MATCH(AE129,$A:$A,0)),AE129)&amp;IF(AF129="",""," &lt;- "&amp;IFERROR(INDEX($B:$B,MATCH(AF129,$A:$A,0)),AF129)&amp;IF(AG129="",""," &lt;- "&amp;IFERROR(INDEX($B:$B,MATCH(AG129,$A:$A,0)),AG129)))))&amp;IF(ISNUMBER(FIND(",",G129))," (+ other parents)",""))</f>
        <v/>
      </c>
      <c r="Q129" s="21" t="str">
        <f aca="false">IF(A129="","",IF(AD129="",E129&amp;"",IF(AE129="",IF(IFERROR(INDEX($E:$E,MATCH(AD129,$A:$A,0)),"")="","",INDEX($E:$E,MATCH(AD129,$A:$A,0))),IF(AF129="",IF(IFERROR(INDEX($E:$E,MATCH(AE129,$A:$A,0)),"")="","",INDEX($E:$E,MATCH(AE129,$A:$A,0))),IF(AG129="",IF(IFERROR(INDEX($E:$E,MATCH(AF129,$A:$A,0)),"")="","",INDEX($E:$E,MATCH(AF129,$A:$A,0))),IF(IFERROR(INDEX($E:$E,MATCH(AG129,$A:$A,0)),"")="","",INDEX($E:$E,MATCH(AG129,$A:$A,0))))))))</f>
        <v/>
      </c>
      <c r="R129" s="21" t="str">
        <f aca="false">IF(A129="","",COUNTIF(Fields!$D:$D,A129))</f>
        <v/>
      </c>
      <c r="S129" s="21" t="str">
        <f aca="false">IF(A129="","",SUMIF(Fields!$D:$D,A129,Fields!$Q:$Q))</f>
        <v/>
      </c>
      <c r="T129" s="21" t="str">
        <f aca="false">IF(A129="","",COUNTIF('Product inputs'!$D:$D,A129))</f>
        <v/>
      </c>
      <c r="U129" s="20"/>
      <c r="V129" s="20"/>
      <c r="W129" s="20"/>
      <c r="X129" s="20"/>
      <c r="Y129" s="20"/>
      <c r="Z129" s="20"/>
      <c r="AA129" s="20"/>
      <c r="AB129" s="20"/>
      <c r="AC129" s="20"/>
      <c r="AD129" s="18" t="str">
        <f aca="false">IF(A129="","",IF(IFERROR(INDEX($G:$G,MATCH(A129,$A:$A,0)),"")="","",TRIM(IF(ISNUMBER(FIND(",",IFERROR(INDEX($G:$G,MATCH(A129,$A:$A,0)),""))),LEFT(IFERROR(INDEX($G:$G,MATCH(A129,$A:$A,0)),""),FIND(",",IFERROR(INDEX($G:$G,MATCH(A129,$A:$A,0)),""))-1),IFERROR(INDEX($G:$G,MATCH(A129,$A:$A,0)),"")))))</f>
        <v/>
      </c>
      <c r="AE129" s="18" t="str">
        <f aca="false">IF(AD129="","",IF(IFERROR(INDEX($G:$G,MATCH(AD129,$A:$A,0)),"")="","",TRIM(IF(ISNUMBER(FIND(",",IFERROR(INDEX($G:$G,MATCH(AD129,$A:$A,0)),""))),LEFT(IFERROR(INDEX($G:$G,MATCH(AD129,$A:$A,0)),""),FIND(",",IFERROR(INDEX($G:$G,MATCH(AD129,$A:$A,0)),""))-1),IFERROR(INDEX($G:$G,MATCH(AD129,$A:$A,0)),"")))))</f>
        <v/>
      </c>
      <c r="AF129" s="18" t="str">
        <f aca="false">IF(AE129="","",IF(IFERROR(INDEX($G:$G,MATCH(AE129,$A:$A,0)),"")="","",TRIM(IF(ISNUMBER(FIND(",",IFERROR(INDEX($G:$G,MATCH(AE129,$A:$A,0)),""))),LEFT(IFERROR(INDEX($G:$G,MATCH(AE129,$A:$A,0)),""),FIND(",",IFERROR(INDEX($G:$G,MATCH(AE129,$A:$A,0)),""))-1),IFERROR(INDEX($G:$G,MATCH(AE129,$A:$A,0)),"")))))</f>
        <v/>
      </c>
      <c r="AG129" s="18" t="str">
        <f aca="false">IF(AF129="","",IF(IFERROR(INDEX($G:$G,MATCH(AF129,$A:$A,0)),"")="","",TRIM(IF(ISNUMBER(FIND(",",IFERROR(INDEX($G:$G,MATCH(AF129,$A:$A,0)),""))),LEFT(IFERROR(INDEX($G:$G,MATCH(AF129,$A:$A,0)),""),FIND(",",IFERROR(INDEX($G:$G,MATCH(AF129,$A:$A,0)),""))-1),IFERROR(INDEX($G:$G,MATCH(AF129,$A:$A,0)),"")))))</f>
        <v/>
      </c>
    </row>
    <row r="130" customFormat="false" ht="15" hidden="false" customHeight="false" outlineLevel="0" collapsed="false">
      <c r="A130" s="18"/>
      <c r="B130" s="19"/>
      <c r="C130" s="20"/>
      <c r="D130" s="20"/>
      <c r="E130" s="20"/>
      <c r="F130" s="20"/>
      <c r="G130" s="18"/>
      <c r="H130" s="20"/>
      <c r="I130" s="18"/>
      <c r="J130" s="20"/>
      <c r="K130" s="20"/>
      <c r="L130" s="20"/>
      <c r="M130" s="20"/>
      <c r="N130" s="20"/>
      <c r="O130" s="21" t="str">
        <f aca="false">IF(A130="","",IF(AD130="",0,IF(AE130="",1,IF(AF130="",2,IF(AG130="",3,"4+")))))</f>
        <v/>
      </c>
      <c r="P130" s="21" t="str">
        <f aca="false">IF(A130="","",B130&amp;IF(AD130="",""," &lt;- "&amp;IFERROR(INDEX($B:$B,MATCH(AD130,$A:$A,0)),AD130)&amp;IF(AE130="",""," &lt;- "&amp;IFERROR(INDEX($B:$B,MATCH(AE130,$A:$A,0)),AE130)&amp;IF(AF130="",""," &lt;- "&amp;IFERROR(INDEX($B:$B,MATCH(AF130,$A:$A,0)),AF130)&amp;IF(AG130="",""," &lt;- "&amp;IFERROR(INDEX($B:$B,MATCH(AG130,$A:$A,0)),AG130)))))&amp;IF(ISNUMBER(FIND(",",G130))," (+ other parents)",""))</f>
        <v/>
      </c>
      <c r="Q130" s="21" t="str">
        <f aca="false">IF(A130="","",IF(AD130="",E130&amp;"",IF(AE130="",IF(IFERROR(INDEX($E:$E,MATCH(AD130,$A:$A,0)),"")="","",INDEX($E:$E,MATCH(AD130,$A:$A,0))),IF(AF130="",IF(IFERROR(INDEX($E:$E,MATCH(AE130,$A:$A,0)),"")="","",INDEX($E:$E,MATCH(AE130,$A:$A,0))),IF(AG130="",IF(IFERROR(INDEX($E:$E,MATCH(AF130,$A:$A,0)),"")="","",INDEX($E:$E,MATCH(AF130,$A:$A,0))),IF(IFERROR(INDEX($E:$E,MATCH(AG130,$A:$A,0)),"")="","",INDEX($E:$E,MATCH(AG130,$A:$A,0))))))))</f>
        <v/>
      </c>
      <c r="R130" s="21" t="str">
        <f aca="false">IF(A130="","",COUNTIF(Fields!$D:$D,A130))</f>
        <v/>
      </c>
      <c r="S130" s="21" t="str">
        <f aca="false">IF(A130="","",SUMIF(Fields!$D:$D,A130,Fields!$Q:$Q))</f>
        <v/>
      </c>
      <c r="T130" s="21" t="str">
        <f aca="false">IF(A130="","",COUNTIF('Product inputs'!$D:$D,A130))</f>
        <v/>
      </c>
      <c r="U130" s="20"/>
      <c r="V130" s="20"/>
      <c r="W130" s="20"/>
      <c r="X130" s="20"/>
      <c r="Y130" s="20"/>
      <c r="Z130" s="20"/>
      <c r="AA130" s="20"/>
      <c r="AB130" s="20"/>
      <c r="AC130" s="20"/>
      <c r="AD130" s="18" t="str">
        <f aca="false">IF(A130="","",IF(IFERROR(INDEX($G:$G,MATCH(A130,$A:$A,0)),"")="","",TRIM(IF(ISNUMBER(FIND(",",IFERROR(INDEX($G:$G,MATCH(A130,$A:$A,0)),""))),LEFT(IFERROR(INDEX($G:$G,MATCH(A130,$A:$A,0)),""),FIND(",",IFERROR(INDEX($G:$G,MATCH(A130,$A:$A,0)),""))-1),IFERROR(INDEX($G:$G,MATCH(A130,$A:$A,0)),"")))))</f>
        <v/>
      </c>
      <c r="AE130" s="18" t="str">
        <f aca="false">IF(AD130="","",IF(IFERROR(INDEX($G:$G,MATCH(AD130,$A:$A,0)),"")="","",TRIM(IF(ISNUMBER(FIND(",",IFERROR(INDEX($G:$G,MATCH(AD130,$A:$A,0)),""))),LEFT(IFERROR(INDEX($G:$G,MATCH(AD130,$A:$A,0)),""),FIND(",",IFERROR(INDEX($G:$G,MATCH(AD130,$A:$A,0)),""))-1),IFERROR(INDEX($G:$G,MATCH(AD130,$A:$A,0)),"")))))</f>
        <v/>
      </c>
      <c r="AF130" s="18" t="str">
        <f aca="false">IF(AE130="","",IF(IFERROR(INDEX($G:$G,MATCH(AE130,$A:$A,0)),"")="","",TRIM(IF(ISNUMBER(FIND(",",IFERROR(INDEX($G:$G,MATCH(AE130,$A:$A,0)),""))),LEFT(IFERROR(INDEX($G:$G,MATCH(AE130,$A:$A,0)),""),FIND(",",IFERROR(INDEX($G:$G,MATCH(AE130,$A:$A,0)),""))-1),IFERROR(INDEX($G:$G,MATCH(AE130,$A:$A,0)),"")))))</f>
        <v/>
      </c>
      <c r="AG130" s="18" t="str">
        <f aca="false">IF(AF130="","",IF(IFERROR(INDEX($G:$G,MATCH(AF130,$A:$A,0)),"")="","",TRIM(IF(ISNUMBER(FIND(",",IFERROR(INDEX($G:$G,MATCH(AF130,$A:$A,0)),""))),LEFT(IFERROR(INDEX($G:$G,MATCH(AF130,$A:$A,0)),""),FIND(",",IFERROR(INDEX($G:$G,MATCH(AF130,$A:$A,0)),""))-1),IFERROR(INDEX($G:$G,MATCH(AF130,$A:$A,0)),"")))))</f>
        <v/>
      </c>
    </row>
    <row r="131" customFormat="false" ht="15" hidden="false" customHeight="false" outlineLevel="0" collapsed="false">
      <c r="A131" s="18"/>
      <c r="B131" s="19"/>
      <c r="C131" s="20"/>
      <c r="D131" s="20"/>
      <c r="E131" s="20"/>
      <c r="F131" s="20"/>
      <c r="G131" s="18"/>
      <c r="H131" s="20"/>
      <c r="I131" s="18"/>
      <c r="J131" s="20"/>
      <c r="K131" s="20"/>
      <c r="L131" s="20"/>
      <c r="M131" s="20"/>
      <c r="N131" s="20"/>
      <c r="O131" s="21" t="str">
        <f aca="false">IF(A131="","",IF(AD131="",0,IF(AE131="",1,IF(AF131="",2,IF(AG131="",3,"4+")))))</f>
        <v/>
      </c>
      <c r="P131" s="21" t="str">
        <f aca="false">IF(A131="","",B131&amp;IF(AD131="",""," &lt;- "&amp;IFERROR(INDEX($B:$B,MATCH(AD131,$A:$A,0)),AD131)&amp;IF(AE131="",""," &lt;- "&amp;IFERROR(INDEX($B:$B,MATCH(AE131,$A:$A,0)),AE131)&amp;IF(AF131="",""," &lt;- "&amp;IFERROR(INDEX($B:$B,MATCH(AF131,$A:$A,0)),AF131)&amp;IF(AG131="",""," &lt;- "&amp;IFERROR(INDEX($B:$B,MATCH(AG131,$A:$A,0)),AG131)))))&amp;IF(ISNUMBER(FIND(",",G131))," (+ other parents)",""))</f>
        <v/>
      </c>
      <c r="Q131" s="21" t="str">
        <f aca="false">IF(A131="","",IF(AD131="",E131&amp;"",IF(AE131="",IF(IFERROR(INDEX($E:$E,MATCH(AD131,$A:$A,0)),"")="","",INDEX($E:$E,MATCH(AD131,$A:$A,0))),IF(AF131="",IF(IFERROR(INDEX($E:$E,MATCH(AE131,$A:$A,0)),"")="","",INDEX($E:$E,MATCH(AE131,$A:$A,0))),IF(AG131="",IF(IFERROR(INDEX($E:$E,MATCH(AF131,$A:$A,0)),"")="","",INDEX($E:$E,MATCH(AF131,$A:$A,0))),IF(IFERROR(INDEX($E:$E,MATCH(AG131,$A:$A,0)),"")="","",INDEX($E:$E,MATCH(AG131,$A:$A,0))))))))</f>
        <v/>
      </c>
      <c r="R131" s="21" t="str">
        <f aca="false">IF(A131="","",COUNTIF(Fields!$D:$D,A131))</f>
        <v/>
      </c>
      <c r="S131" s="21" t="str">
        <f aca="false">IF(A131="","",SUMIF(Fields!$D:$D,A131,Fields!$Q:$Q))</f>
        <v/>
      </c>
      <c r="T131" s="21" t="str">
        <f aca="false">IF(A131="","",COUNTIF('Product inputs'!$D:$D,A131))</f>
        <v/>
      </c>
      <c r="U131" s="20"/>
      <c r="V131" s="20"/>
      <c r="W131" s="20"/>
      <c r="X131" s="20"/>
      <c r="Y131" s="20"/>
      <c r="Z131" s="20"/>
      <c r="AA131" s="20"/>
      <c r="AB131" s="20"/>
      <c r="AC131" s="20"/>
      <c r="AD131" s="18" t="str">
        <f aca="false">IF(A131="","",IF(IFERROR(INDEX($G:$G,MATCH(A131,$A:$A,0)),"")="","",TRIM(IF(ISNUMBER(FIND(",",IFERROR(INDEX($G:$G,MATCH(A131,$A:$A,0)),""))),LEFT(IFERROR(INDEX($G:$G,MATCH(A131,$A:$A,0)),""),FIND(",",IFERROR(INDEX($G:$G,MATCH(A131,$A:$A,0)),""))-1),IFERROR(INDEX($G:$G,MATCH(A131,$A:$A,0)),"")))))</f>
        <v/>
      </c>
      <c r="AE131" s="18" t="str">
        <f aca="false">IF(AD131="","",IF(IFERROR(INDEX($G:$G,MATCH(AD131,$A:$A,0)),"")="","",TRIM(IF(ISNUMBER(FIND(",",IFERROR(INDEX($G:$G,MATCH(AD131,$A:$A,0)),""))),LEFT(IFERROR(INDEX($G:$G,MATCH(AD131,$A:$A,0)),""),FIND(",",IFERROR(INDEX($G:$G,MATCH(AD131,$A:$A,0)),""))-1),IFERROR(INDEX($G:$G,MATCH(AD131,$A:$A,0)),"")))))</f>
        <v/>
      </c>
      <c r="AF131" s="18" t="str">
        <f aca="false">IF(AE131="","",IF(IFERROR(INDEX($G:$G,MATCH(AE131,$A:$A,0)),"")="","",TRIM(IF(ISNUMBER(FIND(",",IFERROR(INDEX($G:$G,MATCH(AE131,$A:$A,0)),""))),LEFT(IFERROR(INDEX($G:$G,MATCH(AE131,$A:$A,0)),""),FIND(",",IFERROR(INDEX($G:$G,MATCH(AE131,$A:$A,0)),""))-1),IFERROR(INDEX($G:$G,MATCH(AE131,$A:$A,0)),"")))))</f>
        <v/>
      </c>
      <c r="AG131" s="18" t="str">
        <f aca="false">IF(AF131="","",IF(IFERROR(INDEX($G:$G,MATCH(AF131,$A:$A,0)),"")="","",TRIM(IF(ISNUMBER(FIND(",",IFERROR(INDEX($G:$G,MATCH(AF131,$A:$A,0)),""))),LEFT(IFERROR(INDEX($G:$G,MATCH(AF131,$A:$A,0)),""),FIND(",",IFERROR(INDEX($G:$G,MATCH(AF131,$A:$A,0)),""))-1),IFERROR(INDEX($G:$G,MATCH(AF131,$A:$A,0)),"")))))</f>
        <v/>
      </c>
    </row>
    <row r="132" customFormat="false" ht="15" hidden="false" customHeight="false" outlineLevel="0" collapsed="false">
      <c r="A132" s="18"/>
      <c r="B132" s="19"/>
      <c r="C132" s="20"/>
      <c r="D132" s="20"/>
      <c r="E132" s="20"/>
      <c r="F132" s="20"/>
      <c r="G132" s="18"/>
      <c r="H132" s="20"/>
      <c r="I132" s="18"/>
      <c r="J132" s="20"/>
      <c r="K132" s="20"/>
      <c r="L132" s="20"/>
      <c r="M132" s="20"/>
      <c r="N132" s="20"/>
      <c r="O132" s="21" t="str">
        <f aca="false">IF(A132="","",IF(AD132="",0,IF(AE132="",1,IF(AF132="",2,IF(AG132="",3,"4+")))))</f>
        <v/>
      </c>
      <c r="P132" s="21" t="str">
        <f aca="false">IF(A132="","",B132&amp;IF(AD132="",""," &lt;- "&amp;IFERROR(INDEX($B:$B,MATCH(AD132,$A:$A,0)),AD132)&amp;IF(AE132="",""," &lt;- "&amp;IFERROR(INDEX($B:$B,MATCH(AE132,$A:$A,0)),AE132)&amp;IF(AF132="",""," &lt;- "&amp;IFERROR(INDEX($B:$B,MATCH(AF132,$A:$A,0)),AF132)&amp;IF(AG132="",""," &lt;- "&amp;IFERROR(INDEX($B:$B,MATCH(AG132,$A:$A,0)),AG132)))))&amp;IF(ISNUMBER(FIND(",",G132))," (+ other parents)",""))</f>
        <v/>
      </c>
      <c r="Q132" s="21" t="str">
        <f aca="false">IF(A132="","",IF(AD132="",E132&amp;"",IF(AE132="",IF(IFERROR(INDEX($E:$E,MATCH(AD132,$A:$A,0)),"")="","",INDEX($E:$E,MATCH(AD132,$A:$A,0))),IF(AF132="",IF(IFERROR(INDEX($E:$E,MATCH(AE132,$A:$A,0)),"")="","",INDEX($E:$E,MATCH(AE132,$A:$A,0))),IF(AG132="",IF(IFERROR(INDEX($E:$E,MATCH(AF132,$A:$A,0)),"")="","",INDEX($E:$E,MATCH(AF132,$A:$A,0))),IF(IFERROR(INDEX($E:$E,MATCH(AG132,$A:$A,0)),"")="","",INDEX($E:$E,MATCH(AG132,$A:$A,0))))))))</f>
        <v/>
      </c>
      <c r="R132" s="21" t="str">
        <f aca="false">IF(A132="","",COUNTIF(Fields!$D:$D,A132))</f>
        <v/>
      </c>
      <c r="S132" s="21" t="str">
        <f aca="false">IF(A132="","",SUMIF(Fields!$D:$D,A132,Fields!$Q:$Q))</f>
        <v/>
      </c>
      <c r="T132" s="21" t="str">
        <f aca="false">IF(A132="","",COUNTIF('Product inputs'!$D:$D,A132))</f>
        <v/>
      </c>
      <c r="U132" s="20"/>
      <c r="V132" s="20"/>
      <c r="W132" s="20"/>
      <c r="X132" s="20"/>
      <c r="Y132" s="20"/>
      <c r="Z132" s="20"/>
      <c r="AA132" s="20"/>
      <c r="AB132" s="20"/>
      <c r="AC132" s="20"/>
      <c r="AD132" s="18" t="str">
        <f aca="false">IF(A132="","",IF(IFERROR(INDEX($G:$G,MATCH(A132,$A:$A,0)),"")="","",TRIM(IF(ISNUMBER(FIND(",",IFERROR(INDEX($G:$G,MATCH(A132,$A:$A,0)),""))),LEFT(IFERROR(INDEX($G:$G,MATCH(A132,$A:$A,0)),""),FIND(",",IFERROR(INDEX($G:$G,MATCH(A132,$A:$A,0)),""))-1),IFERROR(INDEX($G:$G,MATCH(A132,$A:$A,0)),"")))))</f>
        <v/>
      </c>
      <c r="AE132" s="18" t="str">
        <f aca="false">IF(AD132="","",IF(IFERROR(INDEX($G:$G,MATCH(AD132,$A:$A,0)),"")="","",TRIM(IF(ISNUMBER(FIND(",",IFERROR(INDEX($G:$G,MATCH(AD132,$A:$A,0)),""))),LEFT(IFERROR(INDEX($G:$G,MATCH(AD132,$A:$A,0)),""),FIND(",",IFERROR(INDEX($G:$G,MATCH(AD132,$A:$A,0)),""))-1),IFERROR(INDEX($G:$G,MATCH(AD132,$A:$A,0)),"")))))</f>
        <v/>
      </c>
      <c r="AF132" s="18" t="str">
        <f aca="false">IF(AE132="","",IF(IFERROR(INDEX($G:$G,MATCH(AE132,$A:$A,0)),"")="","",TRIM(IF(ISNUMBER(FIND(",",IFERROR(INDEX($G:$G,MATCH(AE132,$A:$A,0)),""))),LEFT(IFERROR(INDEX($G:$G,MATCH(AE132,$A:$A,0)),""),FIND(",",IFERROR(INDEX($G:$G,MATCH(AE132,$A:$A,0)),""))-1),IFERROR(INDEX($G:$G,MATCH(AE132,$A:$A,0)),"")))))</f>
        <v/>
      </c>
      <c r="AG132" s="18" t="str">
        <f aca="false">IF(AF132="","",IF(IFERROR(INDEX($G:$G,MATCH(AF132,$A:$A,0)),"")="","",TRIM(IF(ISNUMBER(FIND(",",IFERROR(INDEX($G:$G,MATCH(AF132,$A:$A,0)),""))),LEFT(IFERROR(INDEX($G:$G,MATCH(AF132,$A:$A,0)),""),FIND(",",IFERROR(INDEX($G:$G,MATCH(AF132,$A:$A,0)),""))-1),IFERROR(INDEX($G:$G,MATCH(AF132,$A:$A,0)),"")))))</f>
        <v/>
      </c>
    </row>
    <row r="133" customFormat="false" ht="15" hidden="false" customHeight="false" outlineLevel="0" collapsed="false">
      <c r="A133" s="18"/>
      <c r="B133" s="19"/>
      <c r="C133" s="20"/>
      <c r="D133" s="20"/>
      <c r="E133" s="20"/>
      <c r="F133" s="20"/>
      <c r="G133" s="18"/>
      <c r="H133" s="20"/>
      <c r="I133" s="18"/>
      <c r="J133" s="20"/>
      <c r="K133" s="20"/>
      <c r="L133" s="20"/>
      <c r="M133" s="20"/>
      <c r="N133" s="20"/>
      <c r="O133" s="21" t="str">
        <f aca="false">IF(A133="","",IF(AD133="",0,IF(AE133="",1,IF(AF133="",2,IF(AG133="",3,"4+")))))</f>
        <v/>
      </c>
      <c r="P133" s="21" t="str">
        <f aca="false">IF(A133="","",B133&amp;IF(AD133="",""," &lt;- "&amp;IFERROR(INDEX($B:$B,MATCH(AD133,$A:$A,0)),AD133)&amp;IF(AE133="",""," &lt;- "&amp;IFERROR(INDEX($B:$B,MATCH(AE133,$A:$A,0)),AE133)&amp;IF(AF133="",""," &lt;- "&amp;IFERROR(INDEX($B:$B,MATCH(AF133,$A:$A,0)),AF133)&amp;IF(AG133="",""," &lt;- "&amp;IFERROR(INDEX($B:$B,MATCH(AG133,$A:$A,0)),AG133)))))&amp;IF(ISNUMBER(FIND(",",G133))," (+ other parents)",""))</f>
        <v/>
      </c>
      <c r="Q133" s="21" t="str">
        <f aca="false">IF(A133="","",IF(AD133="",E133&amp;"",IF(AE133="",IF(IFERROR(INDEX($E:$E,MATCH(AD133,$A:$A,0)),"")="","",INDEX($E:$E,MATCH(AD133,$A:$A,0))),IF(AF133="",IF(IFERROR(INDEX($E:$E,MATCH(AE133,$A:$A,0)),"")="","",INDEX($E:$E,MATCH(AE133,$A:$A,0))),IF(AG133="",IF(IFERROR(INDEX($E:$E,MATCH(AF133,$A:$A,0)),"")="","",INDEX($E:$E,MATCH(AF133,$A:$A,0))),IF(IFERROR(INDEX($E:$E,MATCH(AG133,$A:$A,0)),"")="","",INDEX($E:$E,MATCH(AG133,$A:$A,0))))))))</f>
        <v/>
      </c>
      <c r="R133" s="21" t="str">
        <f aca="false">IF(A133="","",COUNTIF(Fields!$D:$D,A133))</f>
        <v/>
      </c>
      <c r="S133" s="21" t="str">
        <f aca="false">IF(A133="","",SUMIF(Fields!$D:$D,A133,Fields!$Q:$Q))</f>
        <v/>
      </c>
      <c r="T133" s="21" t="str">
        <f aca="false">IF(A133="","",COUNTIF('Product inputs'!$D:$D,A133))</f>
        <v/>
      </c>
      <c r="U133" s="20"/>
      <c r="V133" s="20"/>
      <c r="W133" s="20"/>
      <c r="X133" s="20"/>
      <c r="Y133" s="20"/>
      <c r="Z133" s="20"/>
      <c r="AA133" s="20"/>
      <c r="AB133" s="20"/>
      <c r="AC133" s="20"/>
      <c r="AD133" s="18" t="str">
        <f aca="false">IF(A133="","",IF(IFERROR(INDEX($G:$G,MATCH(A133,$A:$A,0)),"")="","",TRIM(IF(ISNUMBER(FIND(",",IFERROR(INDEX($G:$G,MATCH(A133,$A:$A,0)),""))),LEFT(IFERROR(INDEX($G:$G,MATCH(A133,$A:$A,0)),""),FIND(",",IFERROR(INDEX($G:$G,MATCH(A133,$A:$A,0)),""))-1),IFERROR(INDEX($G:$G,MATCH(A133,$A:$A,0)),"")))))</f>
        <v/>
      </c>
      <c r="AE133" s="18" t="str">
        <f aca="false">IF(AD133="","",IF(IFERROR(INDEX($G:$G,MATCH(AD133,$A:$A,0)),"")="","",TRIM(IF(ISNUMBER(FIND(",",IFERROR(INDEX($G:$G,MATCH(AD133,$A:$A,0)),""))),LEFT(IFERROR(INDEX($G:$G,MATCH(AD133,$A:$A,0)),""),FIND(",",IFERROR(INDEX($G:$G,MATCH(AD133,$A:$A,0)),""))-1),IFERROR(INDEX($G:$G,MATCH(AD133,$A:$A,0)),"")))))</f>
        <v/>
      </c>
      <c r="AF133" s="18" t="str">
        <f aca="false">IF(AE133="","",IF(IFERROR(INDEX($G:$G,MATCH(AE133,$A:$A,0)),"")="","",TRIM(IF(ISNUMBER(FIND(",",IFERROR(INDEX($G:$G,MATCH(AE133,$A:$A,0)),""))),LEFT(IFERROR(INDEX($G:$G,MATCH(AE133,$A:$A,0)),""),FIND(",",IFERROR(INDEX($G:$G,MATCH(AE133,$A:$A,0)),""))-1),IFERROR(INDEX($G:$G,MATCH(AE133,$A:$A,0)),"")))))</f>
        <v/>
      </c>
      <c r="AG133" s="18" t="str">
        <f aca="false">IF(AF133="","",IF(IFERROR(INDEX($G:$G,MATCH(AF133,$A:$A,0)),"")="","",TRIM(IF(ISNUMBER(FIND(",",IFERROR(INDEX($G:$G,MATCH(AF133,$A:$A,0)),""))),LEFT(IFERROR(INDEX($G:$G,MATCH(AF133,$A:$A,0)),""),FIND(",",IFERROR(INDEX($G:$G,MATCH(AF133,$A:$A,0)),""))-1),IFERROR(INDEX($G:$G,MATCH(AF133,$A:$A,0)),"")))))</f>
        <v/>
      </c>
    </row>
    <row r="134" customFormat="false" ht="15" hidden="false" customHeight="false" outlineLevel="0" collapsed="false">
      <c r="A134" s="18"/>
      <c r="B134" s="19"/>
      <c r="C134" s="20"/>
      <c r="D134" s="20"/>
      <c r="E134" s="20"/>
      <c r="F134" s="20"/>
      <c r="G134" s="18"/>
      <c r="H134" s="20"/>
      <c r="I134" s="18"/>
      <c r="J134" s="20"/>
      <c r="K134" s="20"/>
      <c r="L134" s="20"/>
      <c r="M134" s="20"/>
      <c r="N134" s="20"/>
      <c r="O134" s="21" t="str">
        <f aca="false">IF(A134="","",IF(AD134="",0,IF(AE134="",1,IF(AF134="",2,IF(AG134="",3,"4+")))))</f>
        <v/>
      </c>
      <c r="P134" s="21" t="str">
        <f aca="false">IF(A134="","",B134&amp;IF(AD134="",""," &lt;- "&amp;IFERROR(INDEX($B:$B,MATCH(AD134,$A:$A,0)),AD134)&amp;IF(AE134="",""," &lt;- "&amp;IFERROR(INDEX($B:$B,MATCH(AE134,$A:$A,0)),AE134)&amp;IF(AF134="",""," &lt;- "&amp;IFERROR(INDEX($B:$B,MATCH(AF134,$A:$A,0)),AF134)&amp;IF(AG134="",""," &lt;- "&amp;IFERROR(INDEX($B:$B,MATCH(AG134,$A:$A,0)),AG134)))))&amp;IF(ISNUMBER(FIND(",",G134))," (+ other parents)",""))</f>
        <v/>
      </c>
      <c r="Q134" s="21" t="str">
        <f aca="false">IF(A134="","",IF(AD134="",E134&amp;"",IF(AE134="",IF(IFERROR(INDEX($E:$E,MATCH(AD134,$A:$A,0)),"")="","",INDEX($E:$E,MATCH(AD134,$A:$A,0))),IF(AF134="",IF(IFERROR(INDEX($E:$E,MATCH(AE134,$A:$A,0)),"")="","",INDEX($E:$E,MATCH(AE134,$A:$A,0))),IF(AG134="",IF(IFERROR(INDEX($E:$E,MATCH(AF134,$A:$A,0)),"")="","",INDEX($E:$E,MATCH(AF134,$A:$A,0))),IF(IFERROR(INDEX($E:$E,MATCH(AG134,$A:$A,0)),"")="","",INDEX($E:$E,MATCH(AG134,$A:$A,0))))))))</f>
        <v/>
      </c>
      <c r="R134" s="21" t="str">
        <f aca="false">IF(A134="","",COUNTIF(Fields!$D:$D,A134))</f>
        <v/>
      </c>
      <c r="S134" s="21" t="str">
        <f aca="false">IF(A134="","",SUMIF(Fields!$D:$D,A134,Fields!$Q:$Q))</f>
        <v/>
      </c>
      <c r="T134" s="21" t="str">
        <f aca="false">IF(A134="","",COUNTIF('Product inputs'!$D:$D,A134))</f>
        <v/>
      </c>
      <c r="U134" s="20"/>
      <c r="V134" s="20"/>
      <c r="W134" s="20"/>
      <c r="X134" s="20"/>
      <c r="Y134" s="20"/>
      <c r="Z134" s="20"/>
      <c r="AA134" s="20"/>
      <c r="AB134" s="20"/>
      <c r="AC134" s="20"/>
      <c r="AD134" s="18" t="str">
        <f aca="false">IF(A134="","",IF(IFERROR(INDEX($G:$G,MATCH(A134,$A:$A,0)),"")="","",TRIM(IF(ISNUMBER(FIND(",",IFERROR(INDEX($G:$G,MATCH(A134,$A:$A,0)),""))),LEFT(IFERROR(INDEX($G:$G,MATCH(A134,$A:$A,0)),""),FIND(",",IFERROR(INDEX($G:$G,MATCH(A134,$A:$A,0)),""))-1),IFERROR(INDEX($G:$G,MATCH(A134,$A:$A,0)),"")))))</f>
        <v/>
      </c>
      <c r="AE134" s="18" t="str">
        <f aca="false">IF(AD134="","",IF(IFERROR(INDEX($G:$G,MATCH(AD134,$A:$A,0)),"")="","",TRIM(IF(ISNUMBER(FIND(",",IFERROR(INDEX($G:$G,MATCH(AD134,$A:$A,0)),""))),LEFT(IFERROR(INDEX($G:$G,MATCH(AD134,$A:$A,0)),""),FIND(",",IFERROR(INDEX($G:$G,MATCH(AD134,$A:$A,0)),""))-1),IFERROR(INDEX($G:$G,MATCH(AD134,$A:$A,0)),"")))))</f>
        <v/>
      </c>
      <c r="AF134" s="18" t="str">
        <f aca="false">IF(AE134="","",IF(IFERROR(INDEX($G:$G,MATCH(AE134,$A:$A,0)),"")="","",TRIM(IF(ISNUMBER(FIND(",",IFERROR(INDEX($G:$G,MATCH(AE134,$A:$A,0)),""))),LEFT(IFERROR(INDEX($G:$G,MATCH(AE134,$A:$A,0)),""),FIND(",",IFERROR(INDEX($G:$G,MATCH(AE134,$A:$A,0)),""))-1),IFERROR(INDEX($G:$G,MATCH(AE134,$A:$A,0)),"")))))</f>
        <v/>
      </c>
      <c r="AG134" s="18" t="str">
        <f aca="false">IF(AF134="","",IF(IFERROR(INDEX($G:$G,MATCH(AF134,$A:$A,0)),"")="","",TRIM(IF(ISNUMBER(FIND(",",IFERROR(INDEX($G:$G,MATCH(AF134,$A:$A,0)),""))),LEFT(IFERROR(INDEX($G:$G,MATCH(AF134,$A:$A,0)),""),FIND(",",IFERROR(INDEX($G:$G,MATCH(AF134,$A:$A,0)),""))-1),IFERROR(INDEX($G:$G,MATCH(AF134,$A:$A,0)),"")))))</f>
        <v/>
      </c>
    </row>
    <row r="135" customFormat="false" ht="15" hidden="false" customHeight="false" outlineLevel="0" collapsed="false">
      <c r="A135" s="18"/>
      <c r="B135" s="19"/>
      <c r="C135" s="20"/>
      <c r="D135" s="20"/>
      <c r="E135" s="20"/>
      <c r="F135" s="20"/>
      <c r="G135" s="18"/>
      <c r="H135" s="20"/>
      <c r="I135" s="18"/>
      <c r="J135" s="20"/>
      <c r="K135" s="20"/>
      <c r="L135" s="20"/>
      <c r="M135" s="20"/>
      <c r="N135" s="20"/>
      <c r="O135" s="21" t="str">
        <f aca="false">IF(A135="","",IF(AD135="",0,IF(AE135="",1,IF(AF135="",2,IF(AG135="",3,"4+")))))</f>
        <v/>
      </c>
      <c r="P135" s="21" t="str">
        <f aca="false">IF(A135="","",B135&amp;IF(AD135="",""," &lt;- "&amp;IFERROR(INDEX($B:$B,MATCH(AD135,$A:$A,0)),AD135)&amp;IF(AE135="",""," &lt;- "&amp;IFERROR(INDEX($B:$B,MATCH(AE135,$A:$A,0)),AE135)&amp;IF(AF135="",""," &lt;- "&amp;IFERROR(INDEX($B:$B,MATCH(AF135,$A:$A,0)),AF135)&amp;IF(AG135="",""," &lt;- "&amp;IFERROR(INDEX($B:$B,MATCH(AG135,$A:$A,0)),AG135)))))&amp;IF(ISNUMBER(FIND(",",G135))," (+ other parents)",""))</f>
        <v/>
      </c>
      <c r="Q135" s="21" t="str">
        <f aca="false">IF(A135="","",IF(AD135="",E135&amp;"",IF(AE135="",IF(IFERROR(INDEX($E:$E,MATCH(AD135,$A:$A,0)),"")="","",INDEX($E:$E,MATCH(AD135,$A:$A,0))),IF(AF135="",IF(IFERROR(INDEX($E:$E,MATCH(AE135,$A:$A,0)),"")="","",INDEX($E:$E,MATCH(AE135,$A:$A,0))),IF(AG135="",IF(IFERROR(INDEX($E:$E,MATCH(AF135,$A:$A,0)),"")="","",INDEX($E:$E,MATCH(AF135,$A:$A,0))),IF(IFERROR(INDEX($E:$E,MATCH(AG135,$A:$A,0)),"")="","",INDEX($E:$E,MATCH(AG135,$A:$A,0))))))))</f>
        <v/>
      </c>
      <c r="R135" s="21" t="str">
        <f aca="false">IF(A135="","",COUNTIF(Fields!$D:$D,A135))</f>
        <v/>
      </c>
      <c r="S135" s="21" t="str">
        <f aca="false">IF(A135="","",SUMIF(Fields!$D:$D,A135,Fields!$Q:$Q))</f>
        <v/>
      </c>
      <c r="T135" s="21" t="str">
        <f aca="false">IF(A135="","",COUNTIF('Product inputs'!$D:$D,A135))</f>
        <v/>
      </c>
      <c r="U135" s="20"/>
      <c r="V135" s="20"/>
      <c r="W135" s="20"/>
      <c r="X135" s="20"/>
      <c r="Y135" s="20"/>
      <c r="Z135" s="20"/>
      <c r="AA135" s="20"/>
      <c r="AB135" s="20"/>
      <c r="AC135" s="20"/>
      <c r="AD135" s="18" t="str">
        <f aca="false">IF(A135="","",IF(IFERROR(INDEX($G:$G,MATCH(A135,$A:$A,0)),"")="","",TRIM(IF(ISNUMBER(FIND(",",IFERROR(INDEX($G:$G,MATCH(A135,$A:$A,0)),""))),LEFT(IFERROR(INDEX($G:$G,MATCH(A135,$A:$A,0)),""),FIND(",",IFERROR(INDEX($G:$G,MATCH(A135,$A:$A,0)),""))-1),IFERROR(INDEX($G:$G,MATCH(A135,$A:$A,0)),"")))))</f>
        <v/>
      </c>
      <c r="AE135" s="18" t="str">
        <f aca="false">IF(AD135="","",IF(IFERROR(INDEX($G:$G,MATCH(AD135,$A:$A,0)),"")="","",TRIM(IF(ISNUMBER(FIND(",",IFERROR(INDEX($G:$G,MATCH(AD135,$A:$A,0)),""))),LEFT(IFERROR(INDEX($G:$G,MATCH(AD135,$A:$A,0)),""),FIND(",",IFERROR(INDEX($G:$G,MATCH(AD135,$A:$A,0)),""))-1),IFERROR(INDEX($G:$G,MATCH(AD135,$A:$A,0)),"")))))</f>
        <v/>
      </c>
      <c r="AF135" s="18" t="str">
        <f aca="false">IF(AE135="","",IF(IFERROR(INDEX($G:$G,MATCH(AE135,$A:$A,0)),"")="","",TRIM(IF(ISNUMBER(FIND(",",IFERROR(INDEX($G:$G,MATCH(AE135,$A:$A,0)),""))),LEFT(IFERROR(INDEX($G:$G,MATCH(AE135,$A:$A,0)),""),FIND(",",IFERROR(INDEX($G:$G,MATCH(AE135,$A:$A,0)),""))-1),IFERROR(INDEX($G:$G,MATCH(AE135,$A:$A,0)),"")))))</f>
        <v/>
      </c>
      <c r="AG135" s="18" t="str">
        <f aca="false">IF(AF135="","",IF(IFERROR(INDEX($G:$G,MATCH(AF135,$A:$A,0)),"")="","",TRIM(IF(ISNUMBER(FIND(",",IFERROR(INDEX($G:$G,MATCH(AF135,$A:$A,0)),""))),LEFT(IFERROR(INDEX($G:$G,MATCH(AF135,$A:$A,0)),""),FIND(",",IFERROR(INDEX($G:$G,MATCH(AF135,$A:$A,0)),""))-1),IFERROR(INDEX($G:$G,MATCH(AF135,$A:$A,0)),"")))))</f>
        <v/>
      </c>
    </row>
    <row r="136" customFormat="false" ht="15" hidden="false" customHeight="false" outlineLevel="0" collapsed="false">
      <c r="A136" s="18"/>
      <c r="B136" s="19"/>
      <c r="C136" s="20"/>
      <c r="D136" s="20"/>
      <c r="E136" s="20"/>
      <c r="F136" s="20"/>
      <c r="G136" s="18"/>
      <c r="H136" s="20"/>
      <c r="I136" s="18"/>
      <c r="J136" s="20"/>
      <c r="K136" s="20"/>
      <c r="L136" s="20"/>
      <c r="M136" s="20"/>
      <c r="N136" s="20"/>
      <c r="O136" s="21" t="str">
        <f aca="false">IF(A136="","",IF(AD136="",0,IF(AE136="",1,IF(AF136="",2,IF(AG136="",3,"4+")))))</f>
        <v/>
      </c>
      <c r="P136" s="21" t="str">
        <f aca="false">IF(A136="","",B136&amp;IF(AD136="",""," &lt;- "&amp;IFERROR(INDEX($B:$B,MATCH(AD136,$A:$A,0)),AD136)&amp;IF(AE136="",""," &lt;- "&amp;IFERROR(INDEX($B:$B,MATCH(AE136,$A:$A,0)),AE136)&amp;IF(AF136="",""," &lt;- "&amp;IFERROR(INDEX($B:$B,MATCH(AF136,$A:$A,0)),AF136)&amp;IF(AG136="",""," &lt;- "&amp;IFERROR(INDEX($B:$B,MATCH(AG136,$A:$A,0)),AG136)))))&amp;IF(ISNUMBER(FIND(",",G136))," (+ other parents)",""))</f>
        <v/>
      </c>
      <c r="Q136" s="21" t="str">
        <f aca="false">IF(A136="","",IF(AD136="",E136&amp;"",IF(AE136="",IF(IFERROR(INDEX($E:$E,MATCH(AD136,$A:$A,0)),"")="","",INDEX($E:$E,MATCH(AD136,$A:$A,0))),IF(AF136="",IF(IFERROR(INDEX($E:$E,MATCH(AE136,$A:$A,0)),"")="","",INDEX($E:$E,MATCH(AE136,$A:$A,0))),IF(AG136="",IF(IFERROR(INDEX($E:$E,MATCH(AF136,$A:$A,0)),"")="","",INDEX($E:$E,MATCH(AF136,$A:$A,0))),IF(IFERROR(INDEX($E:$E,MATCH(AG136,$A:$A,0)),"")="","",INDEX($E:$E,MATCH(AG136,$A:$A,0))))))))</f>
        <v/>
      </c>
      <c r="R136" s="21" t="str">
        <f aca="false">IF(A136="","",COUNTIF(Fields!$D:$D,A136))</f>
        <v/>
      </c>
      <c r="S136" s="21" t="str">
        <f aca="false">IF(A136="","",SUMIF(Fields!$D:$D,A136,Fields!$Q:$Q))</f>
        <v/>
      </c>
      <c r="T136" s="21" t="str">
        <f aca="false">IF(A136="","",COUNTIF('Product inputs'!$D:$D,A136))</f>
        <v/>
      </c>
      <c r="U136" s="20"/>
      <c r="V136" s="20"/>
      <c r="W136" s="20"/>
      <c r="X136" s="20"/>
      <c r="Y136" s="20"/>
      <c r="Z136" s="20"/>
      <c r="AA136" s="20"/>
      <c r="AB136" s="20"/>
      <c r="AC136" s="20"/>
      <c r="AD136" s="18" t="str">
        <f aca="false">IF(A136="","",IF(IFERROR(INDEX($G:$G,MATCH(A136,$A:$A,0)),"")="","",TRIM(IF(ISNUMBER(FIND(",",IFERROR(INDEX($G:$G,MATCH(A136,$A:$A,0)),""))),LEFT(IFERROR(INDEX($G:$G,MATCH(A136,$A:$A,0)),""),FIND(",",IFERROR(INDEX($G:$G,MATCH(A136,$A:$A,0)),""))-1),IFERROR(INDEX($G:$G,MATCH(A136,$A:$A,0)),"")))))</f>
        <v/>
      </c>
      <c r="AE136" s="18" t="str">
        <f aca="false">IF(AD136="","",IF(IFERROR(INDEX($G:$G,MATCH(AD136,$A:$A,0)),"")="","",TRIM(IF(ISNUMBER(FIND(",",IFERROR(INDEX($G:$G,MATCH(AD136,$A:$A,0)),""))),LEFT(IFERROR(INDEX($G:$G,MATCH(AD136,$A:$A,0)),""),FIND(",",IFERROR(INDEX($G:$G,MATCH(AD136,$A:$A,0)),""))-1),IFERROR(INDEX($G:$G,MATCH(AD136,$A:$A,0)),"")))))</f>
        <v/>
      </c>
      <c r="AF136" s="18" t="str">
        <f aca="false">IF(AE136="","",IF(IFERROR(INDEX($G:$G,MATCH(AE136,$A:$A,0)),"")="","",TRIM(IF(ISNUMBER(FIND(",",IFERROR(INDEX($G:$G,MATCH(AE136,$A:$A,0)),""))),LEFT(IFERROR(INDEX($G:$G,MATCH(AE136,$A:$A,0)),""),FIND(",",IFERROR(INDEX($G:$G,MATCH(AE136,$A:$A,0)),""))-1),IFERROR(INDEX($G:$G,MATCH(AE136,$A:$A,0)),"")))))</f>
        <v/>
      </c>
      <c r="AG136" s="18" t="str">
        <f aca="false">IF(AF136="","",IF(IFERROR(INDEX($G:$G,MATCH(AF136,$A:$A,0)),"")="","",TRIM(IF(ISNUMBER(FIND(",",IFERROR(INDEX($G:$G,MATCH(AF136,$A:$A,0)),""))),LEFT(IFERROR(INDEX($G:$G,MATCH(AF136,$A:$A,0)),""),FIND(",",IFERROR(INDEX($G:$G,MATCH(AF136,$A:$A,0)),""))-1),IFERROR(INDEX($G:$G,MATCH(AF136,$A:$A,0)),"")))))</f>
        <v/>
      </c>
    </row>
    <row r="137" customFormat="false" ht="15" hidden="false" customHeight="false" outlineLevel="0" collapsed="false">
      <c r="A137" s="18"/>
      <c r="B137" s="19"/>
      <c r="C137" s="20"/>
      <c r="D137" s="20"/>
      <c r="E137" s="20"/>
      <c r="F137" s="20"/>
      <c r="G137" s="18"/>
      <c r="H137" s="20"/>
      <c r="I137" s="18"/>
      <c r="J137" s="20"/>
      <c r="K137" s="20"/>
      <c r="L137" s="20"/>
      <c r="M137" s="20"/>
      <c r="N137" s="20"/>
      <c r="O137" s="21" t="str">
        <f aca="false">IF(A137="","",IF(AD137="",0,IF(AE137="",1,IF(AF137="",2,IF(AG137="",3,"4+")))))</f>
        <v/>
      </c>
      <c r="P137" s="21" t="str">
        <f aca="false">IF(A137="","",B137&amp;IF(AD137="",""," &lt;- "&amp;IFERROR(INDEX($B:$B,MATCH(AD137,$A:$A,0)),AD137)&amp;IF(AE137="",""," &lt;- "&amp;IFERROR(INDEX($B:$B,MATCH(AE137,$A:$A,0)),AE137)&amp;IF(AF137="",""," &lt;- "&amp;IFERROR(INDEX($B:$B,MATCH(AF137,$A:$A,0)),AF137)&amp;IF(AG137="",""," &lt;- "&amp;IFERROR(INDEX($B:$B,MATCH(AG137,$A:$A,0)),AG137)))))&amp;IF(ISNUMBER(FIND(",",G137))," (+ other parents)",""))</f>
        <v/>
      </c>
      <c r="Q137" s="21" t="str">
        <f aca="false">IF(A137="","",IF(AD137="",E137&amp;"",IF(AE137="",IF(IFERROR(INDEX($E:$E,MATCH(AD137,$A:$A,0)),"")="","",INDEX($E:$E,MATCH(AD137,$A:$A,0))),IF(AF137="",IF(IFERROR(INDEX($E:$E,MATCH(AE137,$A:$A,0)),"")="","",INDEX($E:$E,MATCH(AE137,$A:$A,0))),IF(AG137="",IF(IFERROR(INDEX($E:$E,MATCH(AF137,$A:$A,0)),"")="","",INDEX($E:$E,MATCH(AF137,$A:$A,0))),IF(IFERROR(INDEX($E:$E,MATCH(AG137,$A:$A,0)),"")="","",INDEX($E:$E,MATCH(AG137,$A:$A,0))))))))</f>
        <v/>
      </c>
      <c r="R137" s="21" t="str">
        <f aca="false">IF(A137="","",COUNTIF(Fields!$D:$D,A137))</f>
        <v/>
      </c>
      <c r="S137" s="21" t="str">
        <f aca="false">IF(A137="","",SUMIF(Fields!$D:$D,A137,Fields!$Q:$Q))</f>
        <v/>
      </c>
      <c r="T137" s="21" t="str">
        <f aca="false">IF(A137="","",COUNTIF('Product inputs'!$D:$D,A137))</f>
        <v/>
      </c>
      <c r="U137" s="20"/>
      <c r="V137" s="20"/>
      <c r="W137" s="20"/>
      <c r="X137" s="20"/>
      <c r="Y137" s="20"/>
      <c r="Z137" s="20"/>
      <c r="AA137" s="20"/>
      <c r="AB137" s="20"/>
      <c r="AC137" s="20"/>
      <c r="AD137" s="18" t="str">
        <f aca="false">IF(A137="","",IF(IFERROR(INDEX($G:$G,MATCH(A137,$A:$A,0)),"")="","",TRIM(IF(ISNUMBER(FIND(",",IFERROR(INDEX($G:$G,MATCH(A137,$A:$A,0)),""))),LEFT(IFERROR(INDEX($G:$G,MATCH(A137,$A:$A,0)),""),FIND(",",IFERROR(INDEX($G:$G,MATCH(A137,$A:$A,0)),""))-1),IFERROR(INDEX($G:$G,MATCH(A137,$A:$A,0)),"")))))</f>
        <v/>
      </c>
      <c r="AE137" s="18" t="str">
        <f aca="false">IF(AD137="","",IF(IFERROR(INDEX($G:$G,MATCH(AD137,$A:$A,0)),"")="","",TRIM(IF(ISNUMBER(FIND(",",IFERROR(INDEX($G:$G,MATCH(AD137,$A:$A,0)),""))),LEFT(IFERROR(INDEX($G:$G,MATCH(AD137,$A:$A,0)),""),FIND(",",IFERROR(INDEX($G:$G,MATCH(AD137,$A:$A,0)),""))-1),IFERROR(INDEX($G:$G,MATCH(AD137,$A:$A,0)),"")))))</f>
        <v/>
      </c>
      <c r="AF137" s="18" t="str">
        <f aca="false">IF(AE137="","",IF(IFERROR(INDEX($G:$G,MATCH(AE137,$A:$A,0)),"")="","",TRIM(IF(ISNUMBER(FIND(",",IFERROR(INDEX($G:$G,MATCH(AE137,$A:$A,0)),""))),LEFT(IFERROR(INDEX($G:$G,MATCH(AE137,$A:$A,0)),""),FIND(",",IFERROR(INDEX($G:$G,MATCH(AE137,$A:$A,0)),""))-1),IFERROR(INDEX($G:$G,MATCH(AE137,$A:$A,0)),"")))))</f>
        <v/>
      </c>
      <c r="AG137" s="18" t="str">
        <f aca="false">IF(AF137="","",IF(IFERROR(INDEX($G:$G,MATCH(AF137,$A:$A,0)),"")="","",TRIM(IF(ISNUMBER(FIND(",",IFERROR(INDEX($G:$G,MATCH(AF137,$A:$A,0)),""))),LEFT(IFERROR(INDEX($G:$G,MATCH(AF137,$A:$A,0)),""),FIND(",",IFERROR(INDEX($G:$G,MATCH(AF137,$A:$A,0)),""))-1),IFERROR(INDEX($G:$G,MATCH(AF137,$A:$A,0)),"")))))</f>
        <v/>
      </c>
    </row>
    <row r="138" customFormat="false" ht="15" hidden="false" customHeight="false" outlineLevel="0" collapsed="false">
      <c r="A138" s="18"/>
      <c r="B138" s="19"/>
      <c r="C138" s="20"/>
      <c r="D138" s="20"/>
      <c r="E138" s="20"/>
      <c r="F138" s="20"/>
      <c r="G138" s="18"/>
      <c r="H138" s="20"/>
      <c r="I138" s="18"/>
      <c r="J138" s="20"/>
      <c r="K138" s="20"/>
      <c r="L138" s="20"/>
      <c r="M138" s="20"/>
      <c r="N138" s="20"/>
      <c r="O138" s="21" t="str">
        <f aca="false">IF(A138="","",IF(AD138="",0,IF(AE138="",1,IF(AF138="",2,IF(AG138="",3,"4+")))))</f>
        <v/>
      </c>
      <c r="P138" s="21" t="str">
        <f aca="false">IF(A138="","",B138&amp;IF(AD138="",""," &lt;- "&amp;IFERROR(INDEX($B:$B,MATCH(AD138,$A:$A,0)),AD138)&amp;IF(AE138="",""," &lt;- "&amp;IFERROR(INDEX($B:$B,MATCH(AE138,$A:$A,0)),AE138)&amp;IF(AF138="",""," &lt;- "&amp;IFERROR(INDEX($B:$B,MATCH(AF138,$A:$A,0)),AF138)&amp;IF(AG138="",""," &lt;- "&amp;IFERROR(INDEX($B:$B,MATCH(AG138,$A:$A,0)),AG138)))))&amp;IF(ISNUMBER(FIND(",",G138))," (+ other parents)",""))</f>
        <v/>
      </c>
      <c r="Q138" s="21" t="str">
        <f aca="false">IF(A138="","",IF(AD138="",E138&amp;"",IF(AE138="",IF(IFERROR(INDEX($E:$E,MATCH(AD138,$A:$A,0)),"")="","",INDEX($E:$E,MATCH(AD138,$A:$A,0))),IF(AF138="",IF(IFERROR(INDEX($E:$E,MATCH(AE138,$A:$A,0)),"")="","",INDEX($E:$E,MATCH(AE138,$A:$A,0))),IF(AG138="",IF(IFERROR(INDEX($E:$E,MATCH(AF138,$A:$A,0)),"")="","",INDEX($E:$E,MATCH(AF138,$A:$A,0))),IF(IFERROR(INDEX($E:$E,MATCH(AG138,$A:$A,0)),"")="","",INDEX($E:$E,MATCH(AG138,$A:$A,0))))))))</f>
        <v/>
      </c>
      <c r="R138" s="21" t="str">
        <f aca="false">IF(A138="","",COUNTIF(Fields!$D:$D,A138))</f>
        <v/>
      </c>
      <c r="S138" s="21" t="str">
        <f aca="false">IF(A138="","",SUMIF(Fields!$D:$D,A138,Fields!$Q:$Q))</f>
        <v/>
      </c>
      <c r="T138" s="21" t="str">
        <f aca="false">IF(A138="","",COUNTIF('Product inputs'!$D:$D,A138))</f>
        <v/>
      </c>
      <c r="U138" s="20"/>
      <c r="V138" s="20"/>
      <c r="W138" s="20"/>
      <c r="X138" s="20"/>
      <c r="Y138" s="20"/>
      <c r="Z138" s="20"/>
      <c r="AA138" s="20"/>
      <c r="AB138" s="20"/>
      <c r="AC138" s="20"/>
      <c r="AD138" s="18" t="str">
        <f aca="false">IF(A138="","",IF(IFERROR(INDEX($G:$G,MATCH(A138,$A:$A,0)),"")="","",TRIM(IF(ISNUMBER(FIND(",",IFERROR(INDEX($G:$G,MATCH(A138,$A:$A,0)),""))),LEFT(IFERROR(INDEX($G:$G,MATCH(A138,$A:$A,0)),""),FIND(",",IFERROR(INDEX($G:$G,MATCH(A138,$A:$A,0)),""))-1),IFERROR(INDEX($G:$G,MATCH(A138,$A:$A,0)),"")))))</f>
        <v/>
      </c>
      <c r="AE138" s="18" t="str">
        <f aca="false">IF(AD138="","",IF(IFERROR(INDEX($G:$G,MATCH(AD138,$A:$A,0)),"")="","",TRIM(IF(ISNUMBER(FIND(",",IFERROR(INDEX($G:$G,MATCH(AD138,$A:$A,0)),""))),LEFT(IFERROR(INDEX($G:$G,MATCH(AD138,$A:$A,0)),""),FIND(",",IFERROR(INDEX($G:$G,MATCH(AD138,$A:$A,0)),""))-1),IFERROR(INDEX($G:$G,MATCH(AD138,$A:$A,0)),"")))))</f>
        <v/>
      </c>
      <c r="AF138" s="18" t="str">
        <f aca="false">IF(AE138="","",IF(IFERROR(INDEX($G:$G,MATCH(AE138,$A:$A,0)),"")="","",TRIM(IF(ISNUMBER(FIND(",",IFERROR(INDEX($G:$G,MATCH(AE138,$A:$A,0)),""))),LEFT(IFERROR(INDEX($G:$G,MATCH(AE138,$A:$A,0)),""),FIND(",",IFERROR(INDEX($G:$G,MATCH(AE138,$A:$A,0)),""))-1),IFERROR(INDEX($G:$G,MATCH(AE138,$A:$A,0)),"")))))</f>
        <v/>
      </c>
      <c r="AG138" s="18" t="str">
        <f aca="false">IF(AF138="","",IF(IFERROR(INDEX($G:$G,MATCH(AF138,$A:$A,0)),"")="","",TRIM(IF(ISNUMBER(FIND(",",IFERROR(INDEX($G:$G,MATCH(AF138,$A:$A,0)),""))),LEFT(IFERROR(INDEX($G:$G,MATCH(AF138,$A:$A,0)),""),FIND(",",IFERROR(INDEX($G:$G,MATCH(AF138,$A:$A,0)),""))-1),IFERROR(INDEX($G:$G,MATCH(AF138,$A:$A,0)),"")))))</f>
        <v/>
      </c>
    </row>
    <row r="139" customFormat="false" ht="15" hidden="false" customHeight="false" outlineLevel="0" collapsed="false">
      <c r="A139" s="18"/>
      <c r="B139" s="19"/>
      <c r="C139" s="20"/>
      <c r="D139" s="20"/>
      <c r="E139" s="20"/>
      <c r="F139" s="20"/>
      <c r="G139" s="18"/>
      <c r="H139" s="20"/>
      <c r="I139" s="18"/>
      <c r="J139" s="20"/>
      <c r="K139" s="20"/>
      <c r="L139" s="20"/>
      <c r="M139" s="20"/>
      <c r="N139" s="20"/>
      <c r="O139" s="21" t="str">
        <f aca="false">IF(A139="","",IF(AD139="",0,IF(AE139="",1,IF(AF139="",2,IF(AG139="",3,"4+")))))</f>
        <v/>
      </c>
      <c r="P139" s="21" t="str">
        <f aca="false">IF(A139="","",B139&amp;IF(AD139="",""," &lt;- "&amp;IFERROR(INDEX($B:$B,MATCH(AD139,$A:$A,0)),AD139)&amp;IF(AE139="",""," &lt;- "&amp;IFERROR(INDEX($B:$B,MATCH(AE139,$A:$A,0)),AE139)&amp;IF(AF139="",""," &lt;- "&amp;IFERROR(INDEX($B:$B,MATCH(AF139,$A:$A,0)),AF139)&amp;IF(AG139="",""," &lt;- "&amp;IFERROR(INDEX($B:$B,MATCH(AG139,$A:$A,0)),AG139)))))&amp;IF(ISNUMBER(FIND(",",G139))," (+ other parents)",""))</f>
        <v/>
      </c>
      <c r="Q139" s="21" t="str">
        <f aca="false">IF(A139="","",IF(AD139="",E139&amp;"",IF(AE139="",IF(IFERROR(INDEX($E:$E,MATCH(AD139,$A:$A,0)),"")="","",INDEX($E:$E,MATCH(AD139,$A:$A,0))),IF(AF139="",IF(IFERROR(INDEX($E:$E,MATCH(AE139,$A:$A,0)),"")="","",INDEX($E:$E,MATCH(AE139,$A:$A,0))),IF(AG139="",IF(IFERROR(INDEX($E:$E,MATCH(AF139,$A:$A,0)),"")="","",INDEX($E:$E,MATCH(AF139,$A:$A,0))),IF(IFERROR(INDEX($E:$E,MATCH(AG139,$A:$A,0)),"")="","",INDEX($E:$E,MATCH(AG139,$A:$A,0))))))))</f>
        <v/>
      </c>
      <c r="R139" s="21" t="str">
        <f aca="false">IF(A139="","",COUNTIF(Fields!$D:$D,A139))</f>
        <v/>
      </c>
      <c r="S139" s="21" t="str">
        <f aca="false">IF(A139="","",SUMIF(Fields!$D:$D,A139,Fields!$Q:$Q))</f>
        <v/>
      </c>
      <c r="T139" s="21" t="str">
        <f aca="false">IF(A139="","",COUNTIF('Product inputs'!$D:$D,A139))</f>
        <v/>
      </c>
      <c r="U139" s="20"/>
      <c r="V139" s="20"/>
      <c r="W139" s="20"/>
      <c r="X139" s="20"/>
      <c r="Y139" s="20"/>
      <c r="Z139" s="20"/>
      <c r="AA139" s="20"/>
      <c r="AB139" s="20"/>
      <c r="AC139" s="20"/>
      <c r="AD139" s="18" t="str">
        <f aca="false">IF(A139="","",IF(IFERROR(INDEX($G:$G,MATCH(A139,$A:$A,0)),"")="","",TRIM(IF(ISNUMBER(FIND(",",IFERROR(INDEX($G:$G,MATCH(A139,$A:$A,0)),""))),LEFT(IFERROR(INDEX($G:$G,MATCH(A139,$A:$A,0)),""),FIND(",",IFERROR(INDEX($G:$G,MATCH(A139,$A:$A,0)),""))-1),IFERROR(INDEX($G:$G,MATCH(A139,$A:$A,0)),"")))))</f>
        <v/>
      </c>
      <c r="AE139" s="18" t="str">
        <f aca="false">IF(AD139="","",IF(IFERROR(INDEX($G:$G,MATCH(AD139,$A:$A,0)),"")="","",TRIM(IF(ISNUMBER(FIND(",",IFERROR(INDEX($G:$G,MATCH(AD139,$A:$A,0)),""))),LEFT(IFERROR(INDEX($G:$G,MATCH(AD139,$A:$A,0)),""),FIND(",",IFERROR(INDEX($G:$G,MATCH(AD139,$A:$A,0)),""))-1),IFERROR(INDEX($G:$G,MATCH(AD139,$A:$A,0)),"")))))</f>
        <v/>
      </c>
      <c r="AF139" s="18" t="str">
        <f aca="false">IF(AE139="","",IF(IFERROR(INDEX($G:$G,MATCH(AE139,$A:$A,0)),"")="","",TRIM(IF(ISNUMBER(FIND(",",IFERROR(INDEX($G:$G,MATCH(AE139,$A:$A,0)),""))),LEFT(IFERROR(INDEX($G:$G,MATCH(AE139,$A:$A,0)),""),FIND(",",IFERROR(INDEX($G:$G,MATCH(AE139,$A:$A,0)),""))-1),IFERROR(INDEX($G:$G,MATCH(AE139,$A:$A,0)),"")))))</f>
        <v/>
      </c>
      <c r="AG139" s="18" t="str">
        <f aca="false">IF(AF139="","",IF(IFERROR(INDEX($G:$G,MATCH(AF139,$A:$A,0)),"")="","",TRIM(IF(ISNUMBER(FIND(",",IFERROR(INDEX($G:$G,MATCH(AF139,$A:$A,0)),""))),LEFT(IFERROR(INDEX($G:$G,MATCH(AF139,$A:$A,0)),""),FIND(",",IFERROR(INDEX($G:$G,MATCH(AF139,$A:$A,0)),""))-1),IFERROR(INDEX($G:$G,MATCH(AF139,$A:$A,0)),"")))))</f>
        <v/>
      </c>
    </row>
    <row r="140" customFormat="false" ht="15" hidden="false" customHeight="false" outlineLevel="0" collapsed="false">
      <c r="A140" s="18"/>
      <c r="B140" s="19"/>
      <c r="C140" s="20"/>
      <c r="D140" s="20"/>
      <c r="E140" s="20"/>
      <c r="F140" s="20"/>
      <c r="G140" s="18"/>
      <c r="H140" s="20"/>
      <c r="I140" s="18"/>
      <c r="J140" s="20"/>
      <c r="K140" s="20"/>
      <c r="L140" s="20"/>
      <c r="M140" s="20"/>
      <c r="N140" s="20"/>
      <c r="O140" s="21" t="str">
        <f aca="false">IF(A140="","",IF(AD140="",0,IF(AE140="",1,IF(AF140="",2,IF(AG140="",3,"4+")))))</f>
        <v/>
      </c>
      <c r="P140" s="21" t="str">
        <f aca="false">IF(A140="","",B140&amp;IF(AD140="",""," &lt;- "&amp;IFERROR(INDEX($B:$B,MATCH(AD140,$A:$A,0)),AD140)&amp;IF(AE140="",""," &lt;- "&amp;IFERROR(INDEX($B:$B,MATCH(AE140,$A:$A,0)),AE140)&amp;IF(AF140="",""," &lt;- "&amp;IFERROR(INDEX($B:$B,MATCH(AF140,$A:$A,0)),AF140)&amp;IF(AG140="",""," &lt;- "&amp;IFERROR(INDEX($B:$B,MATCH(AG140,$A:$A,0)),AG140)))))&amp;IF(ISNUMBER(FIND(",",G140))," (+ other parents)",""))</f>
        <v/>
      </c>
      <c r="Q140" s="21" t="str">
        <f aca="false">IF(A140="","",IF(AD140="",E140&amp;"",IF(AE140="",IF(IFERROR(INDEX($E:$E,MATCH(AD140,$A:$A,0)),"")="","",INDEX($E:$E,MATCH(AD140,$A:$A,0))),IF(AF140="",IF(IFERROR(INDEX($E:$E,MATCH(AE140,$A:$A,0)),"")="","",INDEX($E:$E,MATCH(AE140,$A:$A,0))),IF(AG140="",IF(IFERROR(INDEX($E:$E,MATCH(AF140,$A:$A,0)),"")="","",INDEX($E:$E,MATCH(AF140,$A:$A,0))),IF(IFERROR(INDEX($E:$E,MATCH(AG140,$A:$A,0)),"")="","",INDEX($E:$E,MATCH(AG140,$A:$A,0))))))))</f>
        <v/>
      </c>
      <c r="R140" s="21" t="str">
        <f aca="false">IF(A140="","",COUNTIF(Fields!$D:$D,A140))</f>
        <v/>
      </c>
      <c r="S140" s="21" t="str">
        <f aca="false">IF(A140="","",SUMIF(Fields!$D:$D,A140,Fields!$Q:$Q))</f>
        <v/>
      </c>
      <c r="T140" s="21" t="str">
        <f aca="false">IF(A140="","",COUNTIF('Product inputs'!$D:$D,A140))</f>
        <v/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8" t="str">
        <f aca="false">IF(A140="","",IF(IFERROR(INDEX($G:$G,MATCH(A140,$A:$A,0)),"")="","",TRIM(IF(ISNUMBER(FIND(",",IFERROR(INDEX($G:$G,MATCH(A140,$A:$A,0)),""))),LEFT(IFERROR(INDEX($G:$G,MATCH(A140,$A:$A,0)),""),FIND(",",IFERROR(INDEX($G:$G,MATCH(A140,$A:$A,0)),""))-1),IFERROR(INDEX($G:$G,MATCH(A140,$A:$A,0)),"")))))</f>
        <v/>
      </c>
      <c r="AE140" s="18" t="str">
        <f aca="false">IF(AD140="","",IF(IFERROR(INDEX($G:$G,MATCH(AD140,$A:$A,0)),"")="","",TRIM(IF(ISNUMBER(FIND(",",IFERROR(INDEX($G:$G,MATCH(AD140,$A:$A,0)),""))),LEFT(IFERROR(INDEX($G:$G,MATCH(AD140,$A:$A,0)),""),FIND(",",IFERROR(INDEX($G:$G,MATCH(AD140,$A:$A,0)),""))-1),IFERROR(INDEX($G:$G,MATCH(AD140,$A:$A,0)),"")))))</f>
        <v/>
      </c>
      <c r="AF140" s="18" t="str">
        <f aca="false">IF(AE140="","",IF(IFERROR(INDEX($G:$G,MATCH(AE140,$A:$A,0)),"")="","",TRIM(IF(ISNUMBER(FIND(",",IFERROR(INDEX($G:$G,MATCH(AE140,$A:$A,0)),""))),LEFT(IFERROR(INDEX($G:$G,MATCH(AE140,$A:$A,0)),""),FIND(",",IFERROR(INDEX($G:$G,MATCH(AE140,$A:$A,0)),""))-1),IFERROR(INDEX($G:$G,MATCH(AE140,$A:$A,0)),"")))))</f>
        <v/>
      </c>
      <c r="AG140" s="18" t="str">
        <f aca="false">IF(AF140="","",IF(IFERROR(INDEX($G:$G,MATCH(AF140,$A:$A,0)),"")="","",TRIM(IF(ISNUMBER(FIND(",",IFERROR(INDEX($G:$G,MATCH(AF140,$A:$A,0)),""))),LEFT(IFERROR(INDEX($G:$G,MATCH(AF140,$A:$A,0)),""),FIND(",",IFERROR(INDEX($G:$G,MATCH(AF140,$A:$A,0)),""))-1),IFERROR(INDEX($G:$G,MATCH(AF140,$A:$A,0)),"")))))</f>
        <v/>
      </c>
    </row>
    <row r="141" customFormat="false" ht="15" hidden="false" customHeight="false" outlineLevel="0" collapsed="false">
      <c r="A141" s="18"/>
      <c r="B141" s="19"/>
      <c r="C141" s="20"/>
      <c r="D141" s="20"/>
      <c r="E141" s="20"/>
      <c r="F141" s="20"/>
      <c r="G141" s="18"/>
      <c r="H141" s="20"/>
      <c r="I141" s="18"/>
      <c r="J141" s="20"/>
      <c r="K141" s="20"/>
      <c r="L141" s="20"/>
      <c r="M141" s="20"/>
      <c r="N141" s="20"/>
      <c r="O141" s="21" t="str">
        <f aca="false">IF(A141="","",IF(AD141="",0,IF(AE141="",1,IF(AF141="",2,IF(AG141="",3,"4+")))))</f>
        <v/>
      </c>
      <c r="P141" s="21" t="str">
        <f aca="false">IF(A141="","",B141&amp;IF(AD141="",""," &lt;- "&amp;IFERROR(INDEX($B:$B,MATCH(AD141,$A:$A,0)),AD141)&amp;IF(AE141="",""," &lt;- "&amp;IFERROR(INDEX($B:$B,MATCH(AE141,$A:$A,0)),AE141)&amp;IF(AF141="",""," &lt;- "&amp;IFERROR(INDEX($B:$B,MATCH(AF141,$A:$A,0)),AF141)&amp;IF(AG141="",""," &lt;- "&amp;IFERROR(INDEX($B:$B,MATCH(AG141,$A:$A,0)),AG141)))))&amp;IF(ISNUMBER(FIND(",",G141))," (+ other parents)",""))</f>
        <v/>
      </c>
      <c r="Q141" s="21" t="str">
        <f aca="false">IF(A141="","",IF(AD141="",E141&amp;"",IF(AE141="",IF(IFERROR(INDEX($E:$E,MATCH(AD141,$A:$A,0)),"")="","",INDEX($E:$E,MATCH(AD141,$A:$A,0))),IF(AF141="",IF(IFERROR(INDEX($E:$E,MATCH(AE141,$A:$A,0)),"")="","",INDEX($E:$E,MATCH(AE141,$A:$A,0))),IF(AG141="",IF(IFERROR(INDEX($E:$E,MATCH(AF141,$A:$A,0)),"")="","",INDEX($E:$E,MATCH(AF141,$A:$A,0))),IF(IFERROR(INDEX($E:$E,MATCH(AG141,$A:$A,0)),"")="","",INDEX($E:$E,MATCH(AG141,$A:$A,0))))))))</f>
        <v/>
      </c>
      <c r="R141" s="21" t="str">
        <f aca="false">IF(A141="","",COUNTIF(Fields!$D:$D,A141))</f>
        <v/>
      </c>
      <c r="S141" s="21" t="str">
        <f aca="false">IF(A141="","",SUMIF(Fields!$D:$D,A141,Fields!$Q:$Q))</f>
        <v/>
      </c>
      <c r="T141" s="21" t="str">
        <f aca="false">IF(A141="","",COUNTIF('Product inputs'!$D:$D,A141))</f>
        <v/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18" t="str">
        <f aca="false">IF(A141="","",IF(IFERROR(INDEX($G:$G,MATCH(A141,$A:$A,0)),"")="","",TRIM(IF(ISNUMBER(FIND(",",IFERROR(INDEX($G:$G,MATCH(A141,$A:$A,0)),""))),LEFT(IFERROR(INDEX($G:$G,MATCH(A141,$A:$A,0)),""),FIND(",",IFERROR(INDEX($G:$G,MATCH(A141,$A:$A,0)),""))-1),IFERROR(INDEX($G:$G,MATCH(A141,$A:$A,0)),"")))))</f>
        <v/>
      </c>
      <c r="AE141" s="18" t="str">
        <f aca="false">IF(AD141="","",IF(IFERROR(INDEX($G:$G,MATCH(AD141,$A:$A,0)),"")="","",TRIM(IF(ISNUMBER(FIND(",",IFERROR(INDEX($G:$G,MATCH(AD141,$A:$A,0)),""))),LEFT(IFERROR(INDEX($G:$G,MATCH(AD141,$A:$A,0)),""),FIND(",",IFERROR(INDEX($G:$G,MATCH(AD141,$A:$A,0)),""))-1),IFERROR(INDEX($G:$G,MATCH(AD141,$A:$A,0)),"")))))</f>
        <v/>
      </c>
      <c r="AF141" s="18" t="str">
        <f aca="false">IF(AE141="","",IF(IFERROR(INDEX($G:$G,MATCH(AE141,$A:$A,0)),"")="","",TRIM(IF(ISNUMBER(FIND(",",IFERROR(INDEX($G:$G,MATCH(AE141,$A:$A,0)),""))),LEFT(IFERROR(INDEX($G:$G,MATCH(AE141,$A:$A,0)),""),FIND(",",IFERROR(INDEX($G:$G,MATCH(AE141,$A:$A,0)),""))-1),IFERROR(INDEX($G:$G,MATCH(AE141,$A:$A,0)),"")))))</f>
        <v/>
      </c>
      <c r="AG141" s="18" t="str">
        <f aca="false">IF(AF141="","",IF(IFERROR(INDEX($G:$G,MATCH(AF141,$A:$A,0)),"")="","",TRIM(IF(ISNUMBER(FIND(",",IFERROR(INDEX($G:$G,MATCH(AF141,$A:$A,0)),""))),LEFT(IFERROR(INDEX($G:$G,MATCH(AF141,$A:$A,0)),""),FIND(",",IFERROR(INDEX($G:$G,MATCH(AF141,$A:$A,0)),""))-1),IFERROR(INDEX($G:$G,MATCH(AF141,$A:$A,0)),"")))))</f>
        <v/>
      </c>
    </row>
    <row r="142" customFormat="false" ht="15" hidden="false" customHeight="false" outlineLevel="0" collapsed="false">
      <c r="A142" s="18"/>
      <c r="B142" s="19"/>
      <c r="C142" s="20"/>
      <c r="D142" s="20"/>
      <c r="E142" s="20"/>
      <c r="F142" s="20"/>
      <c r="G142" s="18"/>
      <c r="H142" s="20"/>
      <c r="I142" s="18"/>
      <c r="J142" s="20"/>
      <c r="K142" s="20"/>
      <c r="L142" s="20"/>
      <c r="M142" s="20"/>
      <c r="N142" s="20"/>
      <c r="O142" s="21" t="str">
        <f aca="false">IF(A142="","",IF(AD142="",0,IF(AE142="",1,IF(AF142="",2,IF(AG142="",3,"4+")))))</f>
        <v/>
      </c>
      <c r="P142" s="21" t="str">
        <f aca="false">IF(A142="","",B142&amp;IF(AD142="",""," &lt;- "&amp;IFERROR(INDEX($B:$B,MATCH(AD142,$A:$A,0)),AD142)&amp;IF(AE142="",""," &lt;- "&amp;IFERROR(INDEX($B:$B,MATCH(AE142,$A:$A,0)),AE142)&amp;IF(AF142="",""," &lt;- "&amp;IFERROR(INDEX($B:$B,MATCH(AF142,$A:$A,0)),AF142)&amp;IF(AG142="",""," &lt;- "&amp;IFERROR(INDEX($B:$B,MATCH(AG142,$A:$A,0)),AG142)))))&amp;IF(ISNUMBER(FIND(",",G142))," (+ other parents)",""))</f>
        <v/>
      </c>
      <c r="Q142" s="21" t="str">
        <f aca="false">IF(A142="","",IF(AD142="",E142&amp;"",IF(AE142="",IF(IFERROR(INDEX($E:$E,MATCH(AD142,$A:$A,0)),"")="","",INDEX($E:$E,MATCH(AD142,$A:$A,0))),IF(AF142="",IF(IFERROR(INDEX($E:$E,MATCH(AE142,$A:$A,0)),"")="","",INDEX($E:$E,MATCH(AE142,$A:$A,0))),IF(AG142="",IF(IFERROR(INDEX($E:$E,MATCH(AF142,$A:$A,0)),"")="","",INDEX($E:$E,MATCH(AF142,$A:$A,0))),IF(IFERROR(INDEX($E:$E,MATCH(AG142,$A:$A,0)),"")="","",INDEX($E:$E,MATCH(AG142,$A:$A,0))))))))</f>
        <v/>
      </c>
      <c r="R142" s="21" t="str">
        <f aca="false">IF(A142="","",COUNTIF(Fields!$D:$D,A142))</f>
        <v/>
      </c>
      <c r="S142" s="21" t="str">
        <f aca="false">IF(A142="","",SUMIF(Fields!$D:$D,A142,Fields!$Q:$Q))</f>
        <v/>
      </c>
      <c r="T142" s="21" t="str">
        <f aca="false">IF(A142="","",COUNTIF('Product inputs'!$D:$D,A142))</f>
        <v/>
      </c>
      <c r="U142" s="20"/>
      <c r="V142" s="20"/>
      <c r="W142" s="20"/>
      <c r="X142" s="20"/>
      <c r="Y142" s="20"/>
      <c r="Z142" s="20"/>
      <c r="AA142" s="20"/>
      <c r="AB142" s="20"/>
      <c r="AC142" s="20"/>
      <c r="AD142" s="18" t="str">
        <f aca="false">IF(A142="","",IF(IFERROR(INDEX($G:$G,MATCH(A142,$A:$A,0)),"")="","",TRIM(IF(ISNUMBER(FIND(",",IFERROR(INDEX($G:$G,MATCH(A142,$A:$A,0)),""))),LEFT(IFERROR(INDEX($G:$G,MATCH(A142,$A:$A,0)),""),FIND(",",IFERROR(INDEX($G:$G,MATCH(A142,$A:$A,0)),""))-1),IFERROR(INDEX($G:$G,MATCH(A142,$A:$A,0)),"")))))</f>
        <v/>
      </c>
      <c r="AE142" s="18" t="str">
        <f aca="false">IF(AD142="","",IF(IFERROR(INDEX($G:$G,MATCH(AD142,$A:$A,0)),"")="","",TRIM(IF(ISNUMBER(FIND(",",IFERROR(INDEX($G:$G,MATCH(AD142,$A:$A,0)),""))),LEFT(IFERROR(INDEX($G:$G,MATCH(AD142,$A:$A,0)),""),FIND(",",IFERROR(INDEX($G:$G,MATCH(AD142,$A:$A,0)),""))-1),IFERROR(INDEX($G:$G,MATCH(AD142,$A:$A,0)),"")))))</f>
        <v/>
      </c>
      <c r="AF142" s="18" t="str">
        <f aca="false">IF(AE142="","",IF(IFERROR(INDEX($G:$G,MATCH(AE142,$A:$A,0)),"")="","",TRIM(IF(ISNUMBER(FIND(",",IFERROR(INDEX($G:$G,MATCH(AE142,$A:$A,0)),""))),LEFT(IFERROR(INDEX($G:$G,MATCH(AE142,$A:$A,0)),""),FIND(",",IFERROR(INDEX($G:$G,MATCH(AE142,$A:$A,0)),""))-1),IFERROR(INDEX($G:$G,MATCH(AE142,$A:$A,0)),"")))))</f>
        <v/>
      </c>
      <c r="AG142" s="18" t="str">
        <f aca="false">IF(AF142="","",IF(IFERROR(INDEX($G:$G,MATCH(AF142,$A:$A,0)),"")="","",TRIM(IF(ISNUMBER(FIND(",",IFERROR(INDEX($G:$G,MATCH(AF142,$A:$A,0)),""))),LEFT(IFERROR(INDEX($G:$G,MATCH(AF142,$A:$A,0)),""),FIND(",",IFERROR(INDEX($G:$G,MATCH(AF142,$A:$A,0)),""))-1),IFERROR(INDEX($G:$G,MATCH(AF142,$A:$A,0)),"")))))</f>
        <v/>
      </c>
    </row>
    <row r="143" customFormat="false" ht="15" hidden="false" customHeight="false" outlineLevel="0" collapsed="false">
      <c r="A143" s="18"/>
      <c r="B143" s="19"/>
      <c r="C143" s="20"/>
      <c r="D143" s="20"/>
      <c r="E143" s="20"/>
      <c r="F143" s="20"/>
      <c r="G143" s="18"/>
      <c r="H143" s="20"/>
      <c r="I143" s="18"/>
      <c r="J143" s="20"/>
      <c r="K143" s="20"/>
      <c r="L143" s="20"/>
      <c r="M143" s="20"/>
      <c r="N143" s="20"/>
      <c r="O143" s="21" t="str">
        <f aca="false">IF(A143="","",IF(AD143="",0,IF(AE143="",1,IF(AF143="",2,IF(AG143="",3,"4+")))))</f>
        <v/>
      </c>
      <c r="P143" s="21" t="str">
        <f aca="false">IF(A143="","",B143&amp;IF(AD143="",""," &lt;- "&amp;IFERROR(INDEX($B:$B,MATCH(AD143,$A:$A,0)),AD143)&amp;IF(AE143="",""," &lt;- "&amp;IFERROR(INDEX($B:$B,MATCH(AE143,$A:$A,0)),AE143)&amp;IF(AF143="",""," &lt;- "&amp;IFERROR(INDEX($B:$B,MATCH(AF143,$A:$A,0)),AF143)&amp;IF(AG143="",""," &lt;- "&amp;IFERROR(INDEX($B:$B,MATCH(AG143,$A:$A,0)),AG143)))))&amp;IF(ISNUMBER(FIND(",",G143))," (+ other parents)",""))</f>
        <v/>
      </c>
      <c r="Q143" s="21" t="str">
        <f aca="false">IF(A143="","",IF(AD143="",E143&amp;"",IF(AE143="",IF(IFERROR(INDEX($E:$E,MATCH(AD143,$A:$A,0)),"")="","",INDEX($E:$E,MATCH(AD143,$A:$A,0))),IF(AF143="",IF(IFERROR(INDEX($E:$E,MATCH(AE143,$A:$A,0)),"")="","",INDEX($E:$E,MATCH(AE143,$A:$A,0))),IF(AG143="",IF(IFERROR(INDEX($E:$E,MATCH(AF143,$A:$A,0)),"")="","",INDEX($E:$E,MATCH(AF143,$A:$A,0))),IF(IFERROR(INDEX($E:$E,MATCH(AG143,$A:$A,0)),"")="","",INDEX($E:$E,MATCH(AG143,$A:$A,0))))))))</f>
        <v/>
      </c>
      <c r="R143" s="21" t="str">
        <f aca="false">IF(A143="","",COUNTIF(Fields!$D:$D,A143))</f>
        <v/>
      </c>
      <c r="S143" s="21" t="str">
        <f aca="false">IF(A143="","",SUMIF(Fields!$D:$D,A143,Fields!$Q:$Q))</f>
        <v/>
      </c>
      <c r="T143" s="21" t="str">
        <f aca="false">IF(A143="","",COUNTIF('Product inputs'!$D:$D,A143))</f>
        <v/>
      </c>
      <c r="U143" s="20"/>
      <c r="V143" s="20"/>
      <c r="W143" s="20"/>
      <c r="X143" s="20"/>
      <c r="Y143" s="20"/>
      <c r="Z143" s="20"/>
      <c r="AA143" s="20"/>
      <c r="AB143" s="20"/>
      <c r="AC143" s="20"/>
      <c r="AD143" s="18" t="str">
        <f aca="false">IF(A143="","",IF(IFERROR(INDEX($G:$G,MATCH(A143,$A:$A,0)),"")="","",TRIM(IF(ISNUMBER(FIND(",",IFERROR(INDEX($G:$G,MATCH(A143,$A:$A,0)),""))),LEFT(IFERROR(INDEX($G:$G,MATCH(A143,$A:$A,0)),""),FIND(",",IFERROR(INDEX($G:$G,MATCH(A143,$A:$A,0)),""))-1),IFERROR(INDEX($G:$G,MATCH(A143,$A:$A,0)),"")))))</f>
        <v/>
      </c>
      <c r="AE143" s="18" t="str">
        <f aca="false">IF(AD143="","",IF(IFERROR(INDEX($G:$G,MATCH(AD143,$A:$A,0)),"")="","",TRIM(IF(ISNUMBER(FIND(",",IFERROR(INDEX($G:$G,MATCH(AD143,$A:$A,0)),""))),LEFT(IFERROR(INDEX($G:$G,MATCH(AD143,$A:$A,0)),""),FIND(",",IFERROR(INDEX($G:$G,MATCH(AD143,$A:$A,0)),""))-1),IFERROR(INDEX($G:$G,MATCH(AD143,$A:$A,0)),"")))))</f>
        <v/>
      </c>
      <c r="AF143" s="18" t="str">
        <f aca="false">IF(AE143="","",IF(IFERROR(INDEX($G:$G,MATCH(AE143,$A:$A,0)),"")="","",TRIM(IF(ISNUMBER(FIND(",",IFERROR(INDEX($G:$G,MATCH(AE143,$A:$A,0)),""))),LEFT(IFERROR(INDEX($G:$G,MATCH(AE143,$A:$A,0)),""),FIND(",",IFERROR(INDEX($G:$G,MATCH(AE143,$A:$A,0)),""))-1),IFERROR(INDEX($G:$G,MATCH(AE143,$A:$A,0)),"")))))</f>
        <v/>
      </c>
      <c r="AG143" s="18" t="str">
        <f aca="false">IF(AF143="","",IF(IFERROR(INDEX($G:$G,MATCH(AF143,$A:$A,0)),"")="","",TRIM(IF(ISNUMBER(FIND(",",IFERROR(INDEX($G:$G,MATCH(AF143,$A:$A,0)),""))),LEFT(IFERROR(INDEX($G:$G,MATCH(AF143,$A:$A,0)),""),FIND(",",IFERROR(INDEX($G:$G,MATCH(AF143,$A:$A,0)),""))-1),IFERROR(INDEX($G:$G,MATCH(AF143,$A:$A,0)),"")))))</f>
        <v/>
      </c>
    </row>
    <row r="144" customFormat="false" ht="15" hidden="false" customHeight="false" outlineLevel="0" collapsed="false">
      <c r="A144" s="18"/>
      <c r="B144" s="19"/>
      <c r="C144" s="20"/>
      <c r="D144" s="20"/>
      <c r="E144" s="20"/>
      <c r="F144" s="20"/>
      <c r="G144" s="18"/>
      <c r="H144" s="20"/>
      <c r="I144" s="18"/>
      <c r="J144" s="20"/>
      <c r="K144" s="20"/>
      <c r="L144" s="20"/>
      <c r="M144" s="20"/>
      <c r="N144" s="20"/>
      <c r="O144" s="21" t="str">
        <f aca="false">IF(A144="","",IF(AD144="",0,IF(AE144="",1,IF(AF144="",2,IF(AG144="",3,"4+")))))</f>
        <v/>
      </c>
      <c r="P144" s="21" t="str">
        <f aca="false">IF(A144="","",B144&amp;IF(AD144="",""," &lt;- "&amp;IFERROR(INDEX($B:$B,MATCH(AD144,$A:$A,0)),AD144)&amp;IF(AE144="",""," &lt;- "&amp;IFERROR(INDEX($B:$B,MATCH(AE144,$A:$A,0)),AE144)&amp;IF(AF144="",""," &lt;- "&amp;IFERROR(INDEX($B:$B,MATCH(AF144,$A:$A,0)),AF144)&amp;IF(AG144="",""," &lt;- "&amp;IFERROR(INDEX($B:$B,MATCH(AG144,$A:$A,0)),AG144)))))&amp;IF(ISNUMBER(FIND(",",G144))," (+ other parents)",""))</f>
        <v/>
      </c>
      <c r="Q144" s="21" t="str">
        <f aca="false">IF(A144="","",IF(AD144="",E144&amp;"",IF(AE144="",IF(IFERROR(INDEX($E:$E,MATCH(AD144,$A:$A,0)),"")="","",INDEX($E:$E,MATCH(AD144,$A:$A,0))),IF(AF144="",IF(IFERROR(INDEX($E:$E,MATCH(AE144,$A:$A,0)),"")="","",INDEX($E:$E,MATCH(AE144,$A:$A,0))),IF(AG144="",IF(IFERROR(INDEX($E:$E,MATCH(AF144,$A:$A,0)),"")="","",INDEX($E:$E,MATCH(AF144,$A:$A,0))),IF(IFERROR(INDEX($E:$E,MATCH(AG144,$A:$A,0)),"")="","",INDEX($E:$E,MATCH(AG144,$A:$A,0))))))))</f>
        <v/>
      </c>
      <c r="R144" s="21" t="str">
        <f aca="false">IF(A144="","",COUNTIF(Fields!$D:$D,A144))</f>
        <v/>
      </c>
      <c r="S144" s="21" t="str">
        <f aca="false">IF(A144="","",SUMIF(Fields!$D:$D,A144,Fields!$Q:$Q))</f>
        <v/>
      </c>
      <c r="T144" s="21" t="str">
        <f aca="false">IF(A144="","",COUNTIF('Product inputs'!$D:$D,A144))</f>
        <v/>
      </c>
      <c r="U144" s="20"/>
      <c r="V144" s="20"/>
      <c r="W144" s="20"/>
      <c r="X144" s="20"/>
      <c r="Y144" s="20"/>
      <c r="Z144" s="20"/>
      <c r="AA144" s="20"/>
      <c r="AB144" s="20"/>
      <c r="AC144" s="20"/>
      <c r="AD144" s="18" t="str">
        <f aca="false">IF(A144="","",IF(IFERROR(INDEX($G:$G,MATCH(A144,$A:$A,0)),"")="","",TRIM(IF(ISNUMBER(FIND(",",IFERROR(INDEX($G:$G,MATCH(A144,$A:$A,0)),""))),LEFT(IFERROR(INDEX($G:$G,MATCH(A144,$A:$A,0)),""),FIND(",",IFERROR(INDEX($G:$G,MATCH(A144,$A:$A,0)),""))-1),IFERROR(INDEX($G:$G,MATCH(A144,$A:$A,0)),"")))))</f>
        <v/>
      </c>
      <c r="AE144" s="18" t="str">
        <f aca="false">IF(AD144="","",IF(IFERROR(INDEX($G:$G,MATCH(AD144,$A:$A,0)),"")="","",TRIM(IF(ISNUMBER(FIND(",",IFERROR(INDEX($G:$G,MATCH(AD144,$A:$A,0)),""))),LEFT(IFERROR(INDEX($G:$G,MATCH(AD144,$A:$A,0)),""),FIND(",",IFERROR(INDEX($G:$G,MATCH(AD144,$A:$A,0)),""))-1),IFERROR(INDEX($G:$G,MATCH(AD144,$A:$A,0)),"")))))</f>
        <v/>
      </c>
      <c r="AF144" s="18" t="str">
        <f aca="false">IF(AE144="","",IF(IFERROR(INDEX($G:$G,MATCH(AE144,$A:$A,0)),"")="","",TRIM(IF(ISNUMBER(FIND(",",IFERROR(INDEX($G:$G,MATCH(AE144,$A:$A,0)),""))),LEFT(IFERROR(INDEX($G:$G,MATCH(AE144,$A:$A,0)),""),FIND(",",IFERROR(INDEX($G:$G,MATCH(AE144,$A:$A,0)),""))-1),IFERROR(INDEX($G:$G,MATCH(AE144,$A:$A,0)),"")))))</f>
        <v/>
      </c>
      <c r="AG144" s="18" t="str">
        <f aca="false">IF(AF144="","",IF(IFERROR(INDEX($G:$G,MATCH(AF144,$A:$A,0)),"")="","",TRIM(IF(ISNUMBER(FIND(",",IFERROR(INDEX($G:$G,MATCH(AF144,$A:$A,0)),""))),LEFT(IFERROR(INDEX($G:$G,MATCH(AF144,$A:$A,0)),""),FIND(",",IFERROR(INDEX($G:$G,MATCH(AF144,$A:$A,0)),""))-1),IFERROR(INDEX($G:$G,MATCH(AF144,$A:$A,0)),"")))))</f>
        <v/>
      </c>
    </row>
    <row r="145" customFormat="false" ht="15" hidden="false" customHeight="false" outlineLevel="0" collapsed="false">
      <c r="A145" s="18"/>
      <c r="B145" s="19"/>
      <c r="C145" s="20"/>
      <c r="D145" s="20"/>
      <c r="E145" s="20"/>
      <c r="F145" s="20"/>
      <c r="G145" s="18"/>
      <c r="H145" s="20"/>
      <c r="I145" s="18"/>
      <c r="J145" s="20"/>
      <c r="K145" s="20"/>
      <c r="L145" s="20"/>
      <c r="M145" s="20"/>
      <c r="N145" s="20"/>
      <c r="O145" s="21" t="str">
        <f aca="false">IF(A145="","",IF(AD145="",0,IF(AE145="",1,IF(AF145="",2,IF(AG145="",3,"4+")))))</f>
        <v/>
      </c>
      <c r="P145" s="21" t="str">
        <f aca="false">IF(A145="","",B145&amp;IF(AD145="",""," &lt;- "&amp;IFERROR(INDEX($B:$B,MATCH(AD145,$A:$A,0)),AD145)&amp;IF(AE145="",""," &lt;- "&amp;IFERROR(INDEX($B:$B,MATCH(AE145,$A:$A,0)),AE145)&amp;IF(AF145="",""," &lt;- "&amp;IFERROR(INDEX($B:$B,MATCH(AF145,$A:$A,0)),AF145)&amp;IF(AG145="",""," &lt;- "&amp;IFERROR(INDEX($B:$B,MATCH(AG145,$A:$A,0)),AG145)))))&amp;IF(ISNUMBER(FIND(",",G145))," (+ other parents)",""))</f>
        <v/>
      </c>
      <c r="Q145" s="21" t="str">
        <f aca="false">IF(A145="","",IF(AD145="",E145&amp;"",IF(AE145="",IF(IFERROR(INDEX($E:$E,MATCH(AD145,$A:$A,0)),"")="","",INDEX($E:$E,MATCH(AD145,$A:$A,0))),IF(AF145="",IF(IFERROR(INDEX($E:$E,MATCH(AE145,$A:$A,0)),"")="","",INDEX($E:$E,MATCH(AE145,$A:$A,0))),IF(AG145="",IF(IFERROR(INDEX($E:$E,MATCH(AF145,$A:$A,0)),"")="","",INDEX($E:$E,MATCH(AF145,$A:$A,0))),IF(IFERROR(INDEX($E:$E,MATCH(AG145,$A:$A,0)),"")="","",INDEX($E:$E,MATCH(AG145,$A:$A,0))))))))</f>
        <v/>
      </c>
      <c r="R145" s="21" t="str">
        <f aca="false">IF(A145="","",COUNTIF(Fields!$D:$D,A145))</f>
        <v/>
      </c>
      <c r="S145" s="21" t="str">
        <f aca="false">IF(A145="","",SUMIF(Fields!$D:$D,A145,Fields!$Q:$Q))</f>
        <v/>
      </c>
      <c r="T145" s="21" t="str">
        <f aca="false">IF(A145="","",COUNTIF('Product inputs'!$D:$D,A145))</f>
        <v/>
      </c>
      <c r="U145" s="20"/>
      <c r="V145" s="20"/>
      <c r="W145" s="20"/>
      <c r="X145" s="20"/>
      <c r="Y145" s="20"/>
      <c r="Z145" s="20"/>
      <c r="AA145" s="20"/>
      <c r="AB145" s="20"/>
      <c r="AC145" s="20"/>
      <c r="AD145" s="18" t="str">
        <f aca="false">IF(A145="","",IF(IFERROR(INDEX($G:$G,MATCH(A145,$A:$A,0)),"")="","",TRIM(IF(ISNUMBER(FIND(",",IFERROR(INDEX($G:$G,MATCH(A145,$A:$A,0)),""))),LEFT(IFERROR(INDEX($G:$G,MATCH(A145,$A:$A,0)),""),FIND(",",IFERROR(INDEX($G:$G,MATCH(A145,$A:$A,0)),""))-1),IFERROR(INDEX($G:$G,MATCH(A145,$A:$A,0)),"")))))</f>
        <v/>
      </c>
      <c r="AE145" s="18" t="str">
        <f aca="false">IF(AD145="","",IF(IFERROR(INDEX($G:$G,MATCH(AD145,$A:$A,0)),"")="","",TRIM(IF(ISNUMBER(FIND(",",IFERROR(INDEX($G:$G,MATCH(AD145,$A:$A,0)),""))),LEFT(IFERROR(INDEX($G:$G,MATCH(AD145,$A:$A,0)),""),FIND(",",IFERROR(INDEX($G:$G,MATCH(AD145,$A:$A,0)),""))-1),IFERROR(INDEX($G:$G,MATCH(AD145,$A:$A,0)),"")))))</f>
        <v/>
      </c>
      <c r="AF145" s="18" t="str">
        <f aca="false">IF(AE145="","",IF(IFERROR(INDEX($G:$G,MATCH(AE145,$A:$A,0)),"")="","",TRIM(IF(ISNUMBER(FIND(",",IFERROR(INDEX($G:$G,MATCH(AE145,$A:$A,0)),""))),LEFT(IFERROR(INDEX($G:$G,MATCH(AE145,$A:$A,0)),""),FIND(",",IFERROR(INDEX($G:$G,MATCH(AE145,$A:$A,0)),""))-1),IFERROR(INDEX($G:$G,MATCH(AE145,$A:$A,0)),"")))))</f>
        <v/>
      </c>
      <c r="AG145" s="18" t="str">
        <f aca="false">IF(AF145="","",IF(IFERROR(INDEX($G:$G,MATCH(AF145,$A:$A,0)),"")="","",TRIM(IF(ISNUMBER(FIND(",",IFERROR(INDEX($G:$G,MATCH(AF145,$A:$A,0)),""))),LEFT(IFERROR(INDEX($G:$G,MATCH(AF145,$A:$A,0)),""),FIND(",",IFERROR(INDEX($G:$G,MATCH(AF145,$A:$A,0)),""))-1),IFERROR(INDEX($G:$G,MATCH(AF145,$A:$A,0)),"")))))</f>
        <v/>
      </c>
    </row>
    <row r="146" customFormat="false" ht="15" hidden="false" customHeight="false" outlineLevel="0" collapsed="false">
      <c r="A146" s="18"/>
      <c r="B146" s="19"/>
      <c r="C146" s="20"/>
      <c r="D146" s="20"/>
      <c r="E146" s="20"/>
      <c r="F146" s="20"/>
      <c r="G146" s="18"/>
      <c r="H146" s="20"/>
      <c r="I146" s="18"/>
      <c r="J146" s="20"/>
      <c r="K146" s="20"/>
      <c r="L146" s="20"/>
      <c r="M146" s="20"/>
      <c r="N146" s="20"/>
      <c r="O146" s="21" t="str">
        <f aca="false">IF(A146="","",IF(AD146="",0,IF(AE146="",1,IF(AF146="",2,IF(AG146="",3,"4+")))))</f>
        <v/>
      </c>
      <c r="P146" s="21" t="str">
        <f aca="false">IF(A146="","",B146&amp;IF(AD146="",""," &lt;- "&amp;IFERROR(INDEX($B:$B,MATCH(AD146,$A:$A,0)),AD146)&amp;IF(AE146="",""," &lt;- "&amp;IFERROR(INDEX($B:$B,MATCH(AE146,$A:$A,0)),AE146)&amp;IF(AF146="",""," &lt;- "&amp;IFERROR(INDEX($B:$B,MATCH(AF146,$A:$A,0)),AF146)&amp;IF(AG146="",""," &lt;- "&amp;IFERROR(INDEX($B:$B,MATCH(AG146,$A:$A,0)),AG146)))))&amp;IF(ISNUMBER(FIND(",",G146))," (+ other parents)",""))</f>
        <v/>
      </c>
      <c r="Q146" s="21" t="str">
        <f aca="false">IF(A146="","",IF(AD146="",E146&amp;"",IF(AE146="",IF(IFERROR(INDEX($E:$E,MATCH(AD146,$A:$A,0)),"")="","",INDEX($E:$E,MATCH(AD146,$A:$A,0))),IF(AF146="",IF(IFERROR(INDEX($E:$E,MATCH(AE146,$A:$A,0)),"")="","",INDEX($E:$E,MATCH(AE146,$A:$A,0))),IF(AG146="",IF(IFERROR(INDEX($E:$E,MATCH(AF146,$A:$A,0)),"")="","",INDEX($E:$E,MATCH(AF146,$A:$A,0))),IF(IFERROR(INDEX($E:$E,MATCH(AG146,$A:$A,0)),"")="","",INDEX($E:$E,MATCH(AG146,$A:$A,0))))))))</f>
        <v/>
      </c>
      <c r="R146" s="21" t="str">
        <f aca="false">IF(A146="","",COUNTIF(Fields!$D:$D,A146))</f>
        <v/>
      </c>
      <c r="S146" s="21" t="str">
        <f aca="false">IF(A146="","",SUMIF(Fields!$D:$D,A146,Fields!$Q:$Q))</f>
        <v/>
      </c>
      <c r="T146" s="21" t="str">
        <f aca="false">IF(A146="","",COUNTIF('Product inputs'!$D:$D,A146))</f>
        <v/>
      </c>
      <c r="U146" s="20"/>
      <c r="V146" s="20"/>
      <c r="W146" s="20"/>
      <c r="X146" s="20"/>
      <c r="Y146" s="20"/>
      <c r="Z146" s="20"/>
      <c r="AA146" s="20"/>
      <c r="AB146" s="20"/>
      <c r="AC146" s="20"/>
      <c r="AD146" s="18" t="str">
        <f aca="false">IF(A146="","",IF(IFERROR(INDEX($G:$G,MATCH(A146,$A:$A,0)),"")="","",TRIM(IF(ISNUMBER(FIND(",",IFERROR(INDEX($G:$G,MATCH(A146,$A:$A,0)),""))),LEFT(IFERROR(INDEX($G:$G,MATCH(A146,$A:$A,0)),""),FIND(",",IFERROR(INDEX($G:$G,MATCH(A146,$A:$A,0)),""))-1),IFERROR(INDEX($G:$G,MATCH(A146,$A:$A,0)),"")))))</f>
        <v/>
      </c>
      <c r="AE146" s="18" t="str">
        <f aca="false">IF(AD146="","",IF(IFERROR(INDEX($G:$G,MATCH(AD146,$A:$A,0)),"")="","",TRIM(IF(ISNUMBER(FIND(",",IFERROR(INDEX($G:$G,MATCH(AD146,$A:$A,0)),""))),LEFT(IFERROR(INDEX($G:$G,MATCH(AD146,$A:$A,0)),""),FIND(",",IFERROR(INDEX($G:$G,MATCH(AD146,$A:$A,0)),""))-1),IFERROR(INDEX($G:$G,MATCH(AD146,$A:$A,0)),"")))))</f>
        <v/>
      </c>
      <c r="AF146" s="18" t="str">
        <f aca="false">IF(AE146="","",IF(IFERROR(INDEX($G:$G,MATCH(AE146,$A:$A,0)),"")="","",TRIM(IF(ISNUMBER(FIND(",",IFERROR(INDEX($G:$G,MATCH(AE146,$A:$A,0)),""))),LEFT(IFERROR(INDEX($G:$G,MATCH(AE146,$A:$A,0)),""),FIND(",",IFERROR(INDEX($G:$G,MATCH(AE146,$A:$A,0)),""))-1),IFERROR(INDEX($G:$G,MATCH(AE146,$A:$A,0)),"")))))</f>
        <v/>
      </c>
      <c r="AG146" s="18" t="str">
        <f aca="false">IF(AF146="","",IF(IFERROR(INDEX($G:$G,MATCH(AF146,$A:$A,0)),"")="","",TRIM(IF(ISNUMBER(FIND(",",IFERROR(INDEX($G:$G,MATCH(AF146,$A:$A,0)),""))),LEFT(IFERROR(INDEX($G:$G,MATCH(AF146,$A:$A,0)),""),FIND(",",IFERROR(INDEX($G:$G,MATCH(AF146,$A:$A,0)),""))-1),IFERROR(INDEX($G:$G,MATCH(AF146,$A:$A,0)),"")))))</f>
        <v/>
      </c>
    </row>
    <row r="147" customFormat="false" ht="15" hidden="false" customHeight="false" outlineLevel="0" collapsed="false">
      <c r="A147" s="18"/>
      <c r="B147" s="19"/>
      <c r="C147" s="20"/>
      <c r="D147" s="20"/>
      <c r="E147" s="20"/>
      <c r="F147" s="20"/>
      <c r="G147" s="18"/>
      <c r="H147" s="20"/>
      <c r="I147" s="18"/>
      <c r="J147" s="20"/>
      <c r="K147" s="20"/>
      <c r="L147" s="20"/>
      <c r="M147" s="20"/>
      <c r="N147" s="20"/>
      <c r="O147" s="21" t="str">
        <f aca="false">IF(A147="","",IF(AD147="",0,IF(AE147="",1,IF(AF147="",2,IF(AG147="",3,"4+")))))</f>
        <v/>
      </c>
      <c r="P147" s="21" t="str">
        <f aca="false">IF(A147="","",B147&amp;IF(AD147="",""," &lt;- "&amp;IFERROR(INDEX($B:$B,MATCH(AD147,$A:$A,0)),AD147)&amp;IF(AE147="",""," &lt;- "&amp;IFERROR(INDEX($B:$B,MATCH(AE147,$A:$A,0)),AE147)&amp;IF(AF147="",""," &lt;- "&amp;IFERROR(INDEX($B:$B,MATCH(AF147,$A:$A,0)),AF147)&amp;IF(AG147="",""," &lt;- "&amp;IFERROR(INDEX($B:$B,MATCH(AG147,$A:$A,0)),AG147)))))&amp;IF(ISNUMBER(FIND(",",G147))," (+ other parents)",""))</f>
        <v/>
      </c>
      <c r="Q147" s="21" t="str">
        <f aca="false">IF(A147="","",IF(AD147="",E147&amp;"",IF(AE147="",IF(IFERROR(INDEX($E:$E,MATCH(AD147,$A:$A,0)),"")="","",INDEX($E:$E,MATCH(AD147,$A:$A,0))),IF(AF147="",IF(IFERROR(INDEX($E:$E,MATCH(AE147,$A:$A,0)),"")="","",INDEX($E:$E,MATCH(AE147,$A:$A,0))),IF(AG147="",IF(IFERROR(INDEX($E:$E,MATCH(AF147,$A:$A,0)),"")="","",INDEX($E:$E,MATCH(AF147,$A:$A,0))),IF(IFERROR(INDEX($E:$E,MATCH(AG147,$A:$A,0)),"")="","",INDEX($E:$E,MATCH(AG147,$A:$A,0))))))))</f>
        <v/>
      </c>
      <c r="R147" s="21" t="str">
        <f aca="false">IF(A147="","",COUNTIF(Fields!$D:$D,A147))</f>
        <v/>
      </c>
      <c r="S147" s="21" t="str">
        <f aca="false">IF(A147="","",SUMIF(Fields!$D:$D,A147,Fields!$Q:$Q))</f>
        <v/>
      </c>
      <c r="T147" s="21" t="str">
        <f aca="false">IF(A147="","",COUNTIF('Product inputs'!$D:$D,A147))</f>
        <v/>
      </c>
      <c r="U147" s="20"/>
      <c r="V147" s="20"/>
      <c r="W147" s="20"/>
      <c r="X147" s="20"/>
      <c r="Y147" s="20"/>
      <c r="Z147" s="20"/>
      <c r="AA147" s="20"/>
      <c r="AB147" s="20"/>
      <c r="AC147" s="20"/>
      <c r="AD147" s="18" t="str">
        <f aca="false">IF(A147="","",IF(IFERROR(INDEX($G:$G,MATCH(A147,$A:$A,0)),"")="","",TRIM(IF(ISNUMBER(FIND(",",IFERROR(INDEX($G:$G,MATCH(A147,$A:$A,0)),""))),LEFT(IFERROR(INDEX($G:$G,MATCH(A147,$A:$A,0)),""),FIND(",",IFERROR(INDEX($G:$G,MATCH(A147,$A:$A,0)),""))-1),IFERROR(INDEX($G:$G,MATCH(A147,$A:$A,0)),"")))))</f>
        <v/>
      </c>
      <c r="AE147" s="18" t="str">
        <f aca="false">IF(AD147="","",IF(IFERROR(INDEX($G:$G,MATCH(AD147,$A:$A,0)),"")="","",TRIM(IF(ISNUMBER(FIND(",",IFERROR(INDEX($G:$G,MATCH(AD147,$A:$A,0)),""))),LEFT(IFERROR(INDEX($G:$G,MATCH(AD147,$A:$A,0)),""),FIND(",",IFERROR(INDEX($G:$G,MATCH(AD147,$A:$A,0)),""))-1),IFERROR(INDEX($G:$G,MATCH(AD147,$A:$A,0)),"")))))</f>
        <v/>
      </c>
      <c r="AF147" s="18" t="str">
        <f aca="false">IF(AE147="","",IF(IFERROR(INDEX($G:$G,MATCH(AE147,$A:$A,0)),"")="","",TRIM(IF(ISNUMBER(FIND(",",IFERROR(INDEX($G:$G,MATCH(AE147,$A:$A,0)),""))),LEFT(IFERROR(INDEX($G:$G,MATCH(AE147,$A:$A,0)),""),FIND(",",IFERROR(INDEX($G:$G,MATCH(AE147,$A:$A,0)),""))-1),IFERROR(INDEX($G:$G,MATCH(AE147,$A:$A,0)),"")))))</f>
        <v/>
      </c>
      <c r="AG147" s="18" t="str">
        <f aca="false">IF(AF147="","",IF(IFERROR(INDEX($G:$G,MATCH(AF147,$A:$A,0)),"")="","",TRIM(IF(ISNUMBER(FIND(",",IFERROR(INDEX($G:$G,MATCH(AF147,$A:$A,0)),""))),LEFT(IFERROR(INDEX($G:$G,MATCH(AF147,$A:$A,0)),""),FIND(",",IFERROR(INDEX($G:$G,MATCH(AF147,$A:$A,0)),""))-1),IFERROR(INDEX($G:$G,MATCH(AF147,$A:$A,0)),"")))))</f>
        <v/>
      </c>
    </row>
    <row r="148" customFormat="false" ht="15" hidden="false" customHeight="false" outlineLevel="0" collapsed="false">
      <c r="A148" s="18"/>
      <c r="B148" s="19"/>
      <c r="C148" s="20"/>
      <c r="D148" s="20"/>
      <c r="E148" s="20"/>
      <c r="F148" s="20"/>
      <c r="G148" s="18"/>
      <c r="H148" s="20"/>
      <c r="I148" s="18"/>
      <c r="J148" s="20"/>
      <c r="K148" s="20"/>
      <c r="L148" s="20"/>
      <c r="M148" s="20"/>
      <c r="N148" s="20"/>
      <c r="O148" s="21" t="str">
        <f aca="false">IF(A148="","",IF(AD148="",0,IF(AE148="",1,IF(AF148="",2,IF(AG148="",3,"4+")))))</f>
        <v/>
      </c>
      <c r="P148" s="21" t="str">
        <f aca="false">IF(A148="","",B148&amp;IF(AD148="",""," &lt;- "&amp;IFERROR(INDEX($B:$B,MATCH(AD148,$A:$A,0)),AD148)&amp;IF(AE148="",""," &lt;- "&amp;IFERROR(INDEX($B:$B,MATCH(AE148,$A:$A,0)),AE148)&amp;IF(AF148="",""," &lt;- "&amp;IFERROR(INDEX($B:$B,MATCH(AF148,$A:$A,0)),AF148)&amp;IF(AG148="",""," &lt;- "&amp;IFERROR(INDEX($B:$B,MATCH(AG148,$A:$A,0)),AG148)))))&amp;IF(ISNUMBER(FIND(",",G148))," (+ other parents)",""))</f>
        <v/>
      </c>
      <c r="Q148" s="21" t="str">
        <f aca="false">IF(A148="","",IF(AD148="",E148&amp;"",IF(AE148="",IF(IFERROR(INDEX($E:$E,MATCH(AD148,$A:$A,0)),"")="","",INDEX($E:$E,MATCH(AD148,$A:$A,0))),IF(AF148="",IF(IFERROR(INDEX($E:$E,MATCH(AE148,$A:$A,0)),"")="","",INDEX($E:$E,MATCH(AE148,$A:$A,0))),IF(AG148="",IF(IFERROR(INDEX($E:$E,MATCH(AF148,$A:$A,0)),"")="","",INDEX($E:$E,MATCH(AF148,$A:$A,0))),IF(IFERROR(INDEX($E:$E,MATCH(AG148,$A:$A,0)),"")="","",INDEX($E:$E,MATCH(AG148,$A:$A,0))))))))</f>
        <v/>
      </c>
      <c r="R148" s="21" t="str">
        <f aca="false">IF(A148="","",COUNTIF(Fields!$D:$D,A148))</f>
        <v/>
      </c>
      <c r="S148" s="21" t="str">
        <f aca="false">IF(A148="","",SUMIF(Fields!$D:$D,A148,Fields!$Q:$Q))</f>
        <v/>
      </c>
      <c r="T148" s="21" t="str">
        <f aca="false">IF(A148="","",COUNTIF('Product inputs'!$D:$D,A148))</f>
        <v/>
      </c>
      <c r="U148" s="20"/>
      <c r="V148" s="20"/>
      <c r="W148" s="20"/>
      <c r="X148" s="20"/>
      <c r="Y148" s="20"/>
      <c r="Z148" s="20"/>
      <c r="AA148" s="20"/>
      <c r="AB148" s="20"/>
      <c r="AC148" s="20"/>
      <c r="AD148" s="18" t="str">
        <f aca="false">IF(A148="","",IF(IFERROR(INDEX($G:$G,MATCH(A148,$A:$A,0)),"")="","",TRIM(IF(ISNUMBER(FIND(",",IFERROR(INDEX($G:$G,MATCH(A148,$A:$A,0)),""))),LEFT(IFERROR(INDEX($G:$G,MATCH(A148,$A:$A,0)),""),FIND(",",IFERROR(INDEX($G:$G,MATCH(A148,$A:$A,0)),""))-1),IFERROR(INDEX($G:$G,MATCH(A148,$A:$A,0)),"")))))</f>
        <v/>
      </c>
      <c r="AE148" s="18" t="str">
        <f aca="false">IF(AD148="","",IF(IFERROR(INDEX($G:$G,MATCH(AD148,$A:$A,0)),"")="","",TRIM(IF(ISNUMBER(FIND(",",IFERROR(INDEX($G:$G,MATCH(AD148,$A:$A,0)),""))),LEFT(IFERROR(INDEX($G:$G,MATCH(AD148,$A:$A,0)),""),FIND(",",IFERROR(INDEX($G:$G,MATCH(AD148,$A:$A,0)),""))-1),IFERROR(INDEX($G:$G,MATCH(AD148,$A:$A,0)),"")))))</f>
        <v/>
      </c>
      <c r="AF148" s="18" t="str">
        <f aca="false">IF(AE148="","",IF(IFERROR(INDEX($G:$G,MATCH(AE148,$A:$A,0)),"")="","",TRIM(IF(ISNUMBER(FIND(",",IFERROR(INDEX($G:$G,MATCH(AE148,$A:$A,0)),""))),LEFT(IFERROR(INDEX($G:$G,MATCH(AE148,$A:$A,0)),""),FIND(",",IFERROR(INDEX($G:$G,MATCH(AE148,$A:$A,0)),""))-1),IFERROR(INDEX($G:$G,MATCH(AE148,$A:$A,0)),"")))))</f>
        <v/>
      </c>
      <c r="AG148" s="18" t="str">
        <f aca="false">IF(AF148="","",IF(IFERROR(INDEX($G:$G,MATCH(AF148,$A:$A,0)),"")="","",TRIM(IF(ISNUMBER(FIND(",",IFERROR(INDEX($G:$G,MATCH(AF148,$A:$A,0)),""))),LEFT(IFERROR(INDEX($G:$G,MATCH(AF148,$A:$A,0)),""),FIND(",",IFERROR(INDEX($G:$G,MATCH(AF148,$A:$A,0)),""))-1),IFERROR(INDEX($G:$G,MATCH(AF148,$A:$A,0)),"")))))</f>
        <v/>
      </c>
    </row>
    <row r="149" customFormat="false" ht="15" hidden="false" customHeight="false" outlineLevel="0" collapsed="false">
      <c r="A149" s="18"/>
      <c r="B149" s="19"/>
      <c r="C149" s="20"/>
      <c r="D149" s="20"/>
      <c r="E149" s="20"/>
      <c r="F149" s="20"/>
      <c r="G149" s="18"/>
      <c r="H149" s="20"/>
      <c r="I149" s="18"/>
      <c r="J149" s="20"/>
      <c r="K149" s="20"/>
      <c r="L149" s="20"/>
      <c r="M149" s="20"/>
      <c r="N149" s="20"/>
      <c r="O149" s="21" t="str">
        <f aca="false">IF(A149="","",IF(AD149="",0,IF(AE149="",1,IF(AF149="",2,IF(AG149="",3,"4+")))))</f>
        <v/>
      </c>
      <c r="P149" s="21" t="str">
        <f aca="false">IF(A149="","",B149&amp;IF(AD149="",""," &lt;- "&amp;IFERROR(INDEX($B:$B,MATCH(AD149,$A:$A,0)),AD149)&amp;IF(AE149="",""," &lt;- "&amp;IFERROR(INDEX($B:$B,MATCH(AE149,$A:$A,0)),AE149)&amp;IF(AF149="",""," &lt;- "&amp;IFERROR(INDEX($B:$B,MATCH(AF149,$A:$A,0)),AF149)&amp;IF(AG149="",""," &lt;- "&amp;IFERROR(INDEX($B:$B,MATCH(AG149,$A:$A,0)),AG149)))))&amp;IF(ISNUMBER(FIND(",",G149))," (+ other parents)",""))</f>
        <v/>
      </c>
      <c r="Q149" s="21" t="str">
        <f aca="false">IF(A149="","",IF(AD149="",E149&amp;"",IF(AE149="",IF(IFERROR(INDEX($E:$E,MATCH(AD149,$A:$A,0)),"")="","",INDEX($E:$E,MATCH(AD149,$A:$A,0))),IF(AF149="",IF(IFERROR(INDEX($E:$E,MATCH(AE149,$A:$A,0)),"")="","",INDEX($E:$E,MATCH(AE149,$A:$A,0))),IF(AG149="",IF(IFERROR(INDEX($E:$E,MATCH(AF149,$A:$A,0)),"")="","",INDEX($E:$E,MATCH(AF149,$A:$A,0))),IF(IFERROR(INDEX($E:$E,MATCH(AG149,$A:$A,0)),"")="","",INDEX($E:$E,MATCH(AG149,$A:$A,0))))))))</f>
        <v/>
      </c>
      <c r="R149" s="21" t="str">
        <f aca="false">IF(A149="","",COUNTIF(Fields!$D:$D,A149))</f>
        <v/>
      </c>
      <c r="S149" s="21" t="str">
        <f aca="false">IF(A149="","",SUMIF(Fields!$D:$D,A149,Fields!$Q:$Q))</f>
        <v/>
      </c>
      <c r="T149" s="21" t="str">
        <f aca="false">IF(A149="","",COUNTIF('Product inputs'!$D:$D,A149))</f>
        <v/>
      </c>
      <c r="U149" s="20"/>
      <c r="V149" s="20"/>
      <c r="W149" s="20"/>
      <c r="X149" s="20"/>
      <c r="Y149" s="20"/>
      <c r="Z149" s="20"/>
      <c r="AA149" s="20"/>
      <c r="AB149" s="20"/>
      <c r="AC149" s="20"/>
      <c r="AD149" s="18" t="str">
        <f aca="false">IF(A149="","",IF(IFERROR(INDEX($G:$G,MATCH(A149,$A:$A,0)),"")="","",TRIM(IF(ISNUMBER(FIND(",",IFERROR(INDEX($G:$G,MATCH(A149,$A:$A,0)),""))),LEFT(IFERROR(INDEX($G:$G,MATCH(A149,$A:$A,0)),""),FIND(",",IFERROR(INDEX($G:$G,MATCH(A149,$A:$A,0)),""))-1),IFERROR(INDEX($G:$G,MATCH(A149,$A:$A,0)),"")))))</f>
        <v/>
      </c>
      <c r="AE149" s="18" t="str">
        <f aca="false">IF(AD149="","",IF(IFERROR(INDEX($G:$G,MATCH(AD149,$A:$A,0)),"")="","",TRIM(IF(ISNUMBER(FIND(",",IFERROR(INDEX($G:$G,MATCH(AD149,$A:$A,0)),""))),LEFT(IFERROR(INDEX($G:$G,MATCH(AD149,$A:$A,0)),""),FIND(",",IFERROR(INDEX($G:$G,MATCH(AD149,$A:$A,0)),""))-1),IFERROR(INDEX($G:$G,MATCH(AD149,$A:$A,0)),"")))))</f>
        <v/>
      </c>
      <c r="AF149" s="18" t="str">
        <f aca="false">IF(AE149="","",IF(IFERROR(INDEX($G:$G,MATCH(AE149,$A:$A,0)),"")="","",TRIM(IF(ISNUMBER(FIND(",",IFERROR(INDEX($G:$G,MATCH(AE149,$A:$A,0)),""))),LEFT(IFERROR(INDEX($G:$G,MATCH(AE149,$A:$A,0)),""),FIND(",",IFERROR(INDEX($G:$G,MATCH(AE149,$A:$A,0)),""))-1),IFERROR(INDEX($G:$G,MATCH(AE149,$A:$A,0)),"")))))</f>
        <v/>
      </c>
      <c r="AG149" s="18" t="str">
        <f aca="false">IF(AF149="","",IF(IFERROR(INDEX($G:$G,MATCH(AF149,$A:$A,0)),"")="","",TRIM(IF(ISNUMBER(FIND(",",IFERROR(INDEX($G:$G,MATCH(AF149,$A:$A,0)),""))),LEFT(IFERROR(INDEX($G:$G,MATCH(AF149,$A:$A,0)),""),FIND(",",IFERROR(INDEX($G:$G,MATCH(AF149,$A:$A,0)),""))-1),IFERROR(INDEX($G:$G,MATCH(AF149,$A:$A,0)),"")))))</f>
        <v/>
      </c>
    </row>
    <row r="150" customFormat="false" ht="15" hidden="false" customHeight="false" outlineLevel="0" collapsed="false">
      <c r="A150" s="18"/>
      <c r="B150" s="19"/>
      <c r="C150" s="20"/>
      <c r="D150" s="20"/>
      <c r="E150" s="20"/>
      <c r="F150" s="20"/>
      <c r="G150" s="18"/>
      <c r="H150" s="20"/>
      <c r="I150" s="18"/>
      <c r="J150" s="20"/>
      <c r="K150" s="20"/>
      <c r="L150" s="20"/>
      <c r="M150" s="20"/>
      <c r="N150" s="20"/>
      <c r="O150" s="21" t="str">
        <f aca="false">IF(A150="","",IF(AD150="",0,IF(AE150="",1,IF(AF150="",2,IF(AG150="",3,"4+")))))</f>
        <v/>
      </c>
      <c r="P150" s="21" t="str">
        <f aca="false">IF(A150="","",B150&amp;IF(AD150="",""," &lt;- "&amp;IFERROR(INDEX($B:$B,MATCH(AD150,$A:$A,0)),AD150)&amp;IF(AE150="",""," &lt;- "&amp;IFERROR(INDEX($B:$B,MATCH(AE150,$A:$A,0)),AE150)&amp;IF(AF150="",""," &lt;- "&amp;IFERROR(INDEX($B:$B,MATCH(AF150,$A:$A,0)),AF150)&amp;IF(AG150="",""," &lt;- "&amp;IFERROR(INDEX($B:$B,MATCH(AG150,$A:$A,0)),AG150)))))&amp;IF(ISNUMBER(FIND(",",G150))," (+ other parents)",""))</f>
        <v/>
      </c>
      <c r="Q150" s="21" t="str">
        <f aca="false">IF(A150="","",IF(AD150="",E150&amp;"",IF(AE150="",IF(IFERROR(INDEX($E:$E,MATCH(AD150,$A:$A,0)),"")="","",INDEX($E:$E,MATCH(AD150,$A:$A,0))),IF(AF150="",IF(IFERROR(INDEX($E:$E,MATCH(AE150,$A:$A,0)),"")="","",INDEX($E:$E,MATCH(AE150,$A:$A,0))),IF(AG150="",IF(IFERROR(INDEX($E:$E,MATCH(AF150,$A:$A,0)),"")="","",INDEX($E:$E,MATCH(AF150,$A:$A,0))),IF(IFERROR(INDEX($E:$E,MATCH(AG150,$A:$A,0)),"")="","",INDEX($E:$E,MATCH(AG150,$A:$A,0))))))))</f>
        <v/>
      </c>
      <c r="R150" s="21" t="str">
        <f aca="false">IF(A150="","",COUNTIF(Fields!$D:$D,A150))</f>
        <v/>
      </c>
      <c r="S150" s="21" t="str">
        <f aca="false">IF(A150="","",SUMIF(Fields!$D:$D,A150,Fields!$Q:$Q))</f>
        <v/>
      </c>
      <c r="T150" s="21" t="str">
        <f aca="false">IF(A150="","",COUNTIF('Product inputs'!$D:$D,A150))</f>
        <v/>
      </c>
      <c r="U150" s="20"/>
      <c r="V150" s="20"/>
      <c r="W150" s="20"/>
      <c r="X150" s="20"/>
      <c r="Y150" s="20"/>
      <c r="Z150" s="20"/>
      <c r="AA150" s="20"/>
      <c r="AB150" s="20"/>
      <c r="AC150" s="20"/>
      <c r="AD150" s="18" t="str">
        <f aca="false">IF(A150="","",IF(IFERROR(INDEX($G:$G,MATCH(A150,$A:$A,0)),"")="","",TRIM(IF(ISNUMBER(FIND(",",IFERROR(INDEX($G:$G,MATCH(A150,$A:$A,0)),""))),LEFT(IFERROR(INDEX($G:$G,MATCH(A150,$A:$A,0)),""),FIND(",",IFERROR(INDEX($G:$G,MATCH(A150,$A:$A,0)),""))-1),IFERROR(INDEX($G:$G,MATCH(A150,$A:$A,0)),"")))))</f>
        <v/>
      </c>
      <c r="AE150" s="18" t="str">
        <f aca="false">IF(AD150="","",IF(IFERROR(INDEX($G:$G,MATCH(AD150,$A:$A,0)),"")="","",TRIM(IF(ISNUMBER(FIND(",",IFERROR(INDEX($G:$G,MATCH(AD150,$A:$A,0)),""))),LEFT(IFERROR(INDEX($G:$G,MATCH(AD150,$A:$A,0)),""),FIND(",",IFERROR(INDEX($G:$G,MATCH(AD150,$A:$A,0)),""))-1),IFERROR(INDEX($G:$G,MATCH(AD150,$A:$A,0)),"")))))</f>
        <v/>
      </c>
      <c r="AF150" s="18" t="str">
        <f aca="false">IF(AE150="","",IF(IFERROR(INDEX($G:$G,MATCH(AE150,$A:$A,0)),"")="","",TRIM(IF(ISNUMBER(FIND(",",IFERROR(INDEX($G:$G,MATCH(AE150,$A:$A,0)),""))),LEFT(IFERROR(INDEX($G:$G,MATCH(AE150,$A:$A,0)),""),FIND(",",IFERROR(INDEX($G:$G,MATCH(AE150,$A:$A,0)),""))-1),IFERROR(INDEX($G:$G,MATCH(AE150,$A:$A,0)),"")))))</f>
        <v/>
      </c>
      <c r="AG150" s="18" t="str">
        <f aca="false">IF(AF150="","",IF(IFERROR(INDEX($G:$G,MATCH(AF150,$A:$A,0)),"")="","",TRIM(IF(ISNUMBER(FIND(",",IFERROR(INDEX($G:$G,MATCH(AF150,$A:$A,0)),""))),LEFT(IFERROR(INDEX($G:$G,MATCH(AF150,$A:$A,0)),""),FIND(",",IFERROR(INDEX($G:$G,MATCH(AF150,$A:$A,0)),""))-1),IFERROR(INDEX($G:$G,MATCH(AF150,$A:$A,0)),"")))))</f>
        <v/>
      </c>
    </row>
    <row r="151" customFormat="false" ht="15" hidden="false" customHeight="false" outlineLevel="0" collapsed="false">
      <c r="A151" s="18"/>
      <c r="B151" s="19"/>
      <c r="C151" s="20"/>
      <c r="D151" s="20"/>
      <c r="E151" s="20"/>
      <c r="F151" s="20"/>
      <c r="G151" s="18"/>
      <c r="H151" s="20"/>
      <c r="I151" s="18"/>
      <c r="J151" s="20"/>
      <c r="K151" s="20"/>
      <c r="L151" s="20"/>
      <c r="M151" s="20"/>
      <c r="N151" s="20"/>
      <c r="O151" s="21" t="str">
        <f aca="false">IF(A151="","",IF(AD151="",0,IF(AE151="",1,IF(AF151="",2,IF(AG151="",3,"4+")))))</f>
        <v/>
      </c>
      <c r="P151" s="21" t="str">
        <f aca="false">IF(A151="","",B151&amp;IF(AD151="",""," &lt;- "&amp;IFERROR(INDEX($B:$B,MATCH(AD151,$A:$A,0)),AD151)&amp;IF(AE151="",""," &lt;- "&amp;IFERROR(INDEX($B:$B,MATCH(AE151,$A:$A,0)),AE151)&amp;IF(AF151="",""," &lt;- "&amp;IFERROR(INDEX($B:$B,MATCH(AF151,$A:$A,0)),AF151)&amp;IF(AG151="",""," &lt;- "&amp;IFERROR(INDEX($B:$B,MATCH(AG151,$A:$A,0)),AG151)))))&amp;IF(ISNUMBER(FIND(",",G151))," (+ other parents)",""))</f>
        <v/>
      </c>
      <c r="Q151" s="21" t="str">
        <f aca="false">IF(A151="","",IF(AD151="",E151&amp;"",IF(AE151="",IF(IFERROR(INDEX($E:$E,MATCH(AD151,$A:$A,0)),"")="","",INDEX($E:$E,MATCH(AD151,$A:$A,0))),IF(AF151="",IF(IFERROR(INDEX($E:$E,MATCH(AE151,$A:$A,0)),"")="","",INDEX($E:$E,MATCH(AE151,$A:$A,0))),IF(AG151="",IF(IFERROR(INDEX($E:$E,MATCH(AF151,$A:$A,0)),"")="","",INDEX($E:$E,MATCH(AF151,$A:$A,0))),IF(IFERROR(INDEX($E:$E,MATCH(AG151,$A:$A,0)),"")="","",INDEX($E:$E,MATCH(AG151,$A:$A,0))))))))</f>
        <v/>
      </c>
      <c r="R151" s="21" t="str">
        <f aca="false">IF(A151="","",COUNTIF(Fields!$D:$D,A151))</f>
        <v/>
      </c>
      <c r="S151" s="21" t="str">
        <f aca="false">IF(A151="","",SUMIF(Fields!$D:$D,A151,Fields!$Q:$Q))</f>
        <v/>
      </c>
      <c r="T151" s="21" t="str">
        <f aca="false">IF(A151="","",COUNTIF('Product inputs'!$D:$D,A151))</f>
        <v/>
      </c>
      <c r="U151" s="20"/>
      <c r="V151" s="20"/>
      <c r="W151" s="20"/>
      <c r="X151" s="20"/>
      <c r="Y151" s="20"/>
      <c r="Z151" s="20"/>
      <c r="AA151" s="20"/>
      <c r="AB151" s="20"/>
      <c r="AC151" s="20"/>
      <c r="AD151" s="18" t="str">
        <f aca="false">IF(A151="","",IF(IFERROR(INDEX($G:$G,MATCH(A151,$A:$A,0)),"")="","",TRIM(IF(ISNUMBER(FIND(",",IFERROR(INDEX($G:$G,MATCH(A151,$A:$A,0)),""))),LEFT(IFERROR(INDEX($G:$G,MATCH(A151,$A:$A,0)),""),FIND(",",IFERROR(INDEX($G:$G,MATCH(A151,$A:$A,0)),""))-1),IFERROR(INDEX($G:$G,MATCH(A151,$A:$A,0)),"")))))</f>
        <v/>
      </c>
      <c r="AE151" s="18" t="str">
        <f aca="false">IF(AD151="","",IF(IFERROR(INDEX($G:$G,MATCH(AD151,$A:$A,0)),"")="","",TRIM(IF(ISNUMBER(FIND(",",IFERROR(INDEX($G:$G,MATCH(AD151,$A:$A,0)),""))),LEFT(IFERROR(INDEX($G:$G,MATCH(AD151,$A:$A,0)),""),FIND(",",IFERROR(INDEX($G:$G,MATCH(AD151,$A:$A,0)),""))-1),IFERROR(INDEX($G:$G,MATCH(AD151,$A:$A,0)),"")))))</f>
        <v/>
      </c>
      <c r="AF151" s="18" t="str">
        <f aca="false">IF(AE151="","",IF(IFERROR(INDEX($G:$G,MATCH(AE151,$A:$A,0)),"")="","",TRIM(IF(ISNUMBER(FIND(",",IFERROR(INDEX($G:$G,MATCH(AE151,$A:$A,0)),""))),LEFT(IFERROR(INDEX($G:$G,MATCH(AE151,$A:$A,0)),""),FIND(",",IFERROR(INDEX($G:$G,MATCH(AE151,$A:$A,0)),""))-1),IFERROR(INDEX($G:$G,MATCH(AE151,$A:$A,0)),"")))))</f>
        <v/>
      </c>
      <c r="AG151" s="18" t="str">
        <f aca="false">IF(AF151="","",IF(IFERROR(INDEX($G:$G,MATCH(AF151,$A:$A,0)),"")="","",TRIM(IF(ISNUMBER(FIND(",",IFERROR(INDEX($G:$G,MATCH(AF151,$A:$A,0)),""))),LEFT(IFERROR(INDEX($G:$G,MATCH(AF151,$A:$A,0)),""),FIND(",",IFERROR(INDEX($G:$G,MATCH(AF151,$A:$A,0)),""))-1),IFERROR(INDEX($G:$G,MATCH(AF151,$A:$A,0)),"")))))</f>
        <v/>
      </c>
    </row>
    <row r="152" customFormat="false" ht="15" hidden="false" customHeight="false" outlineLevel="0" collapsed="false">
      <c r="A152" s="18"/>
      <c r="B152" s="19"/>
      <c r="C152" s="20"/>
      <c r="D152" s="20"/>
      <c r="E152" s="20"/>
      <c r="F152" s="20"/>
      <c r="G152" s="18"/>
      <c r="H152" s="20"/>
      <c r="I152" s="18"/>
      <c r="J152" s="20"/>
      <c r="K152" s="20"/>
      <c r="L152" s="20"/>
      <c r="M152" s="20"/>
      <c r="N152" s="20"/>
      <c r="O152" s="21" t="str">
        <f aca="false">IF(A152="","",IF(AD152="",0,IF(AE152="",1,IF(AF152="",2,IF(AG152="",3,"4+")))))</f>
        <v/>
      </c>
      <c r="P152" s="21" t="str">
        <f aca="false">IF(A152="","",B152&amp;IF(AD152="",""," &lt;- "&amp;IFERROR(INDEX($B:$B,MATCH(AD152,$A:$A,0)),AD152)&amp;IF(AE152="",""," &lt;- "&amp;IFERROR(INDEX($B:$B,MATCH(AE152,$A:$A,0)),AE152)&amp;IF(AF152="",""," &lt;- "&amp;IFERROR(INDEX($B:$B,MATCH(AF152,$A:$A,0)),AF152)&amp;IF(AG152="",""," &lt;- "&amp;IFERROR(INDEX($B:$B,MATCH(AG152,$A:$A,0)),AG152)))))&amp;IF(ISNUMBER(FIND(",",G152))," (+ other parents)",""))</f>
        <v/>
      </c>
      <c r="Q152" s="21" t="str">
        <f aca="false">IF(A152="","",IF(AD152="",E152&amp;"",IF(AE152="",IF(IFERROR(INDEX($E:$E,MATCH(AD152,$A:$A,0)),"")="","",INDEX($E:$E,MATCH(AD152,$A:$A,0))),IF(AF152="",IF(IFERROR(INDEX($E:$E,MATCH(AE152,$A:$A,0)),"")="","",INDEX($E:$E,MATCH(AE152,$A:$A,0))),IF(AG152="",IF(IFERROR(INDEX($E:$E,MATCH(AF152,$A:$A,0)),"")="","",INDEX($E:$E,MATCH(AF152,$A:$A,0))),IF(IFERROR(INDEX($E:$E,MATCH(AG152,$A:$A,0)),"")="","",INDEX($E:$E,MATCH(AG152,$A:$A,0))))))))</f>
        <v/>
      </c>
      <c r="R152" s="21" t="str">
        <f aca="false">IF(A152="","",COUNTIF(Fields!$D:$D,A152))</f>
        <v/>
      </c>
      <c r="S152" s="21" t="str">
        <f aca="false">IF(A152="","",SUMIF(Fields!$D:$D,A152,Fields!$Q:$Q))</f>
        <v/>
      </c>
      <c r="T152" s="21" t="str">
        <f aca="false">IF(A152="","",COUNTIF('Product inputs'!$D:$D,A152))</f>
        <v/>
      </c>
      <c r="U152" s="20"/>
      <c r="V152" s="20"/>
      <c r="W152" s="20"/>
      <c r="X152" s="20"/>
      <c r="Y152" s="20"/>
      <c r="Z152" s="20"/>
      <c r="AA152" s="20"/>
      <c r="AB152" s="20"/>
      <c r="AC152" s="20"/>
      <c r="AD152" s="18" t="str">
        <f aca="false">IF(A152="","",IF(IFERROR(INDEX($G:$G,MATCH(A152,$A:$A,0)),"")="","",TRIM(IF(ISNUMBER(FIND(",",IFERROR(INDEX($G:$G,MATCH(A152,$A:$A,0)),""))),LEFT(IFERROR(INDEX($G:$G,MATCH(A152,$A:$A,0)),""),FIND(",",IFERROR(INDEX($G:$G,MATCH(A152,$A:$A,0)),""))-1),IFERROR(INDEX($G:$G,MATCH(A152,$A:$A,0)),"")))))</f>
        <v/>
      </c>
      <c r="AE152" s="18" t="str">
        <f aca="false">IF(AD152="","",IF(IFERROR(INDEX($G:$G,MATCH(AD152,$A:$A,0)),"")="","",TRIM(IF(ISNUMBER(FIND(",",IFERROR(INDEX($G:$G,MATCH(AD152,$A:$A,0)),""))),LEFT(IFERROR(INDEX($G:$G,MATCH(AD152,$A:$A,0)),""),FIND(",",IFERROR(INDEX($G:$G,MATCH(AD152,$A:$A,0)),""))-1),IFERROR(INDEX($G:$G,MATCH(AD152,$A:$A,0)),"")))))</f>
        <v/>
      </c>
      <c r="AF152" s="18" t="str">
        <f aca="false">IF(AE152="","",IF(IFERROR(INDEX($G:$G,MATCH(AE152,$A:$A,0)),"")="","",TRIM(IF(ISNUMBER(FIND(",",IFERROR(INDEX($G:$G,MATCH(AE152,$A:$A,0)),""))),LEFT(IFERROR(INDEX($G:$G,MATCH(AE152,$A:$A,0)),""),FIND(",",IFERROR(INDEX($G:$G,MATCH(AE152,$A:$A,0)),""))-1),IFERROR(INDEX($G:$G,MATCH(AE152,$A:$A,0)),"")))))</f>
        <v/>
      </c>
      <c r="AG152" s="18" t="str">
        <f aca="false">IF(AF152="","",IF(IFERROR(INDEX($G:$G,MATCH(AF152,$A:$A,0)),"")="","",TRIM(IF(ISNUMBER(FIND(",",IFERROR(INDEX($G:$G,MATCH(AF152,$A:$A,0)),""))),LEFT(IFERROR(INDEX($G:$G,MATCH(AF152,$A:$A,0)),""),FIND(",",IFERROR(INDEX($G:$G,MATCH(AF152,$A:$A,0)),""))-1),IFERROR(INDEX($G:$G,MATCH(AF152,$A:$A,0)),"")))))</f>
        <v/>
      </c>
    </row>
    <row r="153" customFormat="false" ht="15" hidden="false" customHeight="false" outlineLevel="0" collapsed="false">
      <c r="A153" s="18"/>
      <c r="B153" s="19"/>
      <c r="C153" s="20"/>
      <c r="D153" s="20"/>
      <c r="E153" s="20"/>
      <c r="F153" s="20"/>
      <c r="G153" s="18"/>
      <c r="H153" s="20"/>
      <c r="I153" s="18"/>
      <c r="J153" s="20"/>
      <c r="K153" s="20"/>
      <c r="L153" s="20"/>
      <c r="M153" s="20"/>
      <c r="N153" s="20"/>
      <c r="O153" s="21" t="str">
        <f aca="false">IF(A153="","",IF(AD153="",0,IF(AE153="",1,IF(AF153="",2,IF(AG153="",3,"4+")))))</f>
        <v/>
      </c>
      <c r="P153" s="21" t="str">
        <f aca="false">IF(A153="","",B153&amp;IF(AD153="",""," &lt;- "&amp;IFERROR(INDEX($B:$B,MATCH(AD153,$A:$A,0)),AD153)&amp;IF(AE153="",""," &lt;- "&amp;IFERROR(INDEX($B:$B,MATCH(AE153,$A:$A,0)),AE153)&amp;IF(AF153="",""," &lt;- "&amp;IFERROR(INDEX($B:$B,MATCH(AF153,$A:$A,0)),AF153)&amp;IF(AG153="",""," &lt;- "&amp;IFERROR(INDEX($B:$B,MATCH(AG153,$A:$A,0)),AG153)))))&amp;IF(ISNUMBER(FIND(",",G153))," (+ other parents)",""))</f>
        <v/>
      </c>
      <c r="Q153" s="21" t="str">
        <f aca="false">IF(A153="","",IF(AD153="",E153&amp;"",IF(AE153="",IF(IFERROR(INDEX($E:$E,MATCH(AD153,$A:$A,0)),"")="","",INDEX($E:$E,MATCH(AD153,$A:$A,0))),IF(AF153="",IF(IFERROR(INDEX($E:$E,MATCH(AE153,$A:$A,0)),"")="","",INDEX($E:$E,MATCH(AE153,$A:$A,0))),IF(AG153="",IF(IFERROR(INDEX($E:$E,MATCH(AF153,$A:$A,0)),"")="","",INDEX($E:$E,MATCH(AF153,$A:$A,0))),IF(IFERROR(INDEX($E:$E,MATCH(AG153,$A:$A,0)),"")="","",INDEX($E:$E,MATCH(AG153,$A:$A,0))))))))</f>
        <v/>
      </c>
      <c r="R153" s="21" t="str">
        <f aca="false">IF(A153="","",COUNTIF(Fields!$D:$D,A153))</f>
        <v/>
      </c>
      <c r="S153" s="21" t="str">
        <f aca="false">IF(A153="","",SUMIF(Fields!$D:$D,A153,Fields!$Q:$Q))</f>
        <v/>
      </c>
      <c r="T153" s="21" t="str">
        <f aca="false">IF(A153="","",COUNTIF('Product inputs'!$D:$D,A153))</f>
        <v/>
      </c>
      <c r="U153" s="20"/>
      <c r="V153" s="20"/>
      <c r="W153" s="20"/>
      <c r="X153" s="20"/>
      <c r="Y153" s="20"/>
      <c r="Z153" s="20"/>
      <c r="AA153" s="20"/>
      <c r="AB153" s="20"/>
      <c r="AC153" s="20"/>
      <c r="AD153" s="18" t="str">
        <f aca="false">IF(A153="","",IF(IFERROR(INDEX($G:$G,MATCH(A153,$A:$A,0)),"")="","",TRIM(IF(ISNUMBER(FIND(",",IFERROR(INDEX($G:$G,MATCH(A153,$A:$A,0)),""))),LEFT(IFERROR(INDEX($G:$G,MATCH(A153,$A:$A,0)),""),FIND(",",IFERROR(INDEX($G:$G,MATCH(A153,$A:$A,0)),""))-1),IFERROR(INDEX($G:$G,MATCH(A153,$A:$A,0)),"")))))</f>
        <v/>
      </c>
      <c r="AE153" s="18" t="str">
        <f aca="false">IF(AD153="","",IF(IFERROR(INDEX($G:$G,MATCH(AD153,$A:$A,0)),"")="","",TRIM(IF(ISNUMBER(FIND(",",IFERROR(INDEX($G:$G,MATCH(AD153,$A:$A,0)),""))),LEFT(IFERROR(INDEX($G:$G,MATCH(AD153,$A:$A,0)),""),FIND(",",IFERROR(INDEX($G:$G,MATCH(AD153,$A:$A,0)),""))-1),IFERROR(INDEX($G:$G,MATCH(AD153,$A:$A,0)),"")))))</f>
        <v/>
      </c>
      <c r="AF153" s="18" t="str">
        <f aca="false">IF(AE153="","",IF(IFERROR(INDEX($G:$G,MATCH(AE153,$A:$A,0)),"")="","",TRIM(IF(ISNUMBER(FIND(",",IFERROR(INDEX($G:$G,MATCH(AE153,$A:$A,0)),""))),LEFT(IFERROR(INDEX($G:$G,MATCH(AE153,$A:$A,0)),""),FIND(",",IFERROR(INDEX($G:$G,MATCH(AE153,$A:$A,0)),""))-1),IFERROR(INDEX($G:$G,MATCH(AE153,$A:$A,0)),"")))))</f>
        <v/>
      </c>
      <c r="AG153" s="18" t="str">
        <f aca="false">IF(AF153="","",IF(IFERROR(INDEX($G:$G,MATCH(AF153,$A:$A,0)),"")="","",TRIM(IF(ISNUMBER(FIND(",",IFERROR(INDEX($G:$G,MATCH(AF153,$A:$A,0)),""))),LEFT(IFERROR(INDEX($G:$G,MATCH(AF153,$A:$A,0)),""),FIND(",",IFERROR(INDEX($G:$G,MATCH(AF153,$A:$A,0)),""))-1),IFERROR(INDEX($G:$G,MATCH(AF153,$A:$A,0)),"")))))</f>
        <v/>
      </c>
    </row>
    <row r="154" customFormat="false" ht="15" hidden="false" customHeight="false" outlineLevel="0" collapsed="false">
      <c r="A154" s="18"/>
      <c r="B154" s="19"/>
      <c r="C154" s="20"/>
      <c r="D154" s="20"/>
      <c r="E154" s="20"/>
      <c r="F154" s="20"/>
      <c r="G154" s="18"/>
      <c r="H154" s="20"/>
      <c r="I154" s="18"/>
      <c r="J154" s="20"/>
      <c r="K154" s="20"/>
      <c r="L154" s="20"/>
      <c r="M154" s="20"/>
      <c r="N154" s="20"/>
      <c r="O154" s="21" t="str">
        <f aca="false">IF(A154="","",IF(AD154="",0,IF(AE154="",1,IF(AF154="",2,IF(AG154="",3,"4+")))))</f>
        <v/>
      </c>
      <c r="P154" s="21" t="str">
        <f aca="false">IF(A154="","",B154&amp;IF(AD154="",""," &lt;- "&amp;IFERROR(INDEX($B:$B,MATCH(AD154,$A:$A,0)),AD154)&amp;IF(AE154="",""," &lt;- "&amp;IFERROR(INDEX($B:$B,MATCH(AE154,$A:$A,0)),AE154)&amp;IF(AF154="",""," &lt;- "&amp;IFERROR(INDEX($B:$B,MATCH(AF154,$A:$A,0)),AF154)&amp;IF(AG154="",""," &lt;- "&amp;IFERROR(INDEX($B:$B,MATCH(AG154,$A:$A,0)),AG154)))))&amp;IF(ISNUMBER(FIND(",",G154))," (+ other parents)",""))</f>
        <v/>
      </c>
      <c r="Q154" s="21" t="str">
        <f aca="false">IF(A154="","",IF(AD154="",E154&amp;"",IF(AE154="",IF(IFERROR(INDEX($E:$E,MATCH(AD154,$A:$A,0)),"")="","",INDEX($E:$E,MATCH(AD154,$A:$A,0))),IF(AF154="",IF(IFERROR(INDEX($E:$E,MATCH(AE154,$A:$A,0)),"")="","",INDEX($E:$E,MATCH(AE154,$A:$A,0))),IF(AG154="",IF(IFERROR(INDEX($E:$E,MATCH(AF154,$A:$A,0)),"")="","",INDEX($E:$E,MATCH(AF154,$A:$A,0))),IF(IFERROR(INDEX($E:$E,MATCH(AG154,$A:$A,0)),"")="","",INDEX($E:$E,MATCH(AG154,$A:$A,0))))))))</f>
        <v/>
      </c>
      <c r="R154" s="21" t="str">
        <f aca="false">IF(A154="","",COUNTIF(Fields!$D:$D,A154))</f>
        <v/>
      </c>
      <c r="S154" s="21" t="str">
        <f aca="false">IF(A154="","",SUMIF(Fields!$D:$D,A154,Fields!$Q:$Q))</f>
        <v/>
      </c>
      <c r="T154" s="21" t="str">
        <f aca="false">IF(A154="","",COUNTIF('Product inputs'!$D:$D,A154))</f>
        <v/>
      </c>
      <c r="U154" s="20"/>
      <c r="V154" s="20"/>
      <c r="W154" s="20"/>
      <c r="X154" s="20"/>
      <c r="Y154" s="20"/>
      <c r="Z154" s="20"/>
      <c r="AA154" s="20"/>
      <c r="AB154" s="20"/>
      <c r="AC154" s="20"/>
      <c r="AD154" s="18" t="str">
        <f aca="false">IF(A154="","",IF(IFERROR(INDEX($G:$G,MATCH(A154,$A:$A,0)),"")="","",TRIM(IF(ISNUMBER(FIND(",",IFERROR(INDEX($G:$G,MATCH(A154,$A:$A,0)),""))),LEFT(IFERROR(INDEX($G:$G,MATCH(A154,$A:$A,0)),""),FIND(",",IFERROR(INDEX($G:$G,MATCH(A154,$A:$A,0)),""))-1),IFERROR(INDEX($G:$G,MATCH(A154,$A:$A,0)),"")))))</f>
        <v/>
      </c>
      <c r="AE154" s="18" t="str">
        <f aca="false">IF(AD154="","",IF(IFERROR(INDEX($G:$G,MATCH(AD154,$A:$A,0)),"")="","",TRIM(IF(ISNUMBER(FIND(",",IFERROR(INDEX($G:$G,MATCH(AD154,$A:$A,0)),""))),LEFT(IFERROR(INDEX($G:$G,MATCH(AD154,$A:$A,0)),""),FIND(",",IFERROR(INDEX($G:$G,MATCH(AD154,$A:$A,0)),""))-1),IFERROR(INDEX($G:$G,MATCH(AD154,$A:$A,0)),"")))))</f>
        <v/>
      </c>
      <c r="AF154" s="18" t="str">
        <f aca="false">IF(AE154="","",IF(IFERROR(INDEX($G:$G,MATCH(AE154,$A:$A,0)),"")="","",TRIM(IF(ISNUMBER(FIND(",",IFERROR(INDEX($G:$G,MATCH(AE154,$A:$A,0)),""))),LEFT(IFERROR(INDEX($G:$G,MATCH(AE154,$A:$A,0)),""),FIND(",",IFERROR(INDEX($G:$G,MATCH(AE154,$A:$A,0)),""))-1),IFERROR(INDEX($G:$G,MATCH(AE154,$A:$A,0)),"")))))</f>
        <v/>
      </c>
      <c r="AG154" s="18" t="str">
        <f aca="false">IF(AF154="","",IF(IFERROR(INDEX($G:$G,MATCH(AF154,$A:$A,0)),"")="","",TRIM(IF(ISNUMBER(FIND(",",IFERROR(INDEX($G:$G,MATCH(AF154,$A:$A,0)),""))),LEFT(IFERROR(INDEX($G:$G,MATCH(AF154,$A:$A,0)),""),FIND(",",IFERROR(INDEX($G:$G,MATCH(AF154,$A:$A,0)),""))-1),IFERROR(INDEX($G:$G,MATCH(AF154,$A:$A,0)),"")))))</f>
        <v/>
      </c>
    </row>
    <row r="155" customFormat="false" ht="15" hidden="false" customHeight="false" outlineLevel="0" collapsed="false">
      <c r="A155" s="18"/>
      <c r="B155" s="19"/>
      <c r="C155" s="20"/>
      <c r="D155" s="20"/>
      <c r="E155" s="20"/>
      <c r="F155" s="20"/>
      <c r="G155" s="18"/>
      <c r="H155" s="20"/>
      <c r="I155" s="18"/>
      <c r="J155" s="20"/>
      <c r="K155" s="20"/>
      <c r="L155" s="20"/>
      <c r="M155" s="20"/>
      <c r="N155" s="20"/>
      <c r="O155" s="21" t="str">
        <f aca="false">IF(A155="","",IF(AD155="",0,IF(AE155="",1,IF(AF155="",2,IF(AG155="",3,"4+")))))</f>
        <v/>
      </c>
      <c r="P155" s="21" t="str">
        <f aca="false">IF(A155="","",B155&amp;IF(AD155="",""," &lt;- "&amp;IFERROR(INDEX($B:$B,MATCH(AD155,$A:$A,0)),AD155)&amp;IF(AE155="",""," &lt;- "&amp;IFERROR(INDEX($B:$B,MATCH(AE155,$A:$A,0)),AE155)&amp;IF(AF155="",""," &lt;- "&amp;IFERROR(INDEX($B:$B,MATCH(AF155,$A:$A,0)),AF155)&amp;IF(AG155="",""," &lt;- "&amp;IFERROR(INDEX($B:$B,MATCH(AG155,$A:$A,0)),AG155)))))&amp;IF(ISNUMBER(FIND(",",G155))," (+ other parents)",""))</f>
        <v/>
      </c>
      <c r="Q155" s="21" t="str">
        <f aca="false">IF(A155="","",IF(AD155="",E155&amp;"",IF(AE155="",IF(IFERROR(INDEX($E:$E,MATCH(AD155,$A:$A,0)),"")="","",INDEX($E:$E,MATCH(AD155,$A:$A,0))),IF(AF155="",IF(IFERROR(INDEX($E:$E,MATCH(AE155,$A:$A,0)),"")="","",INDEX($E:$E,MATCH(AE155,$A:$A,0))),IF(AG155="",IF(IFERROR(INDEX($E:$E,MATCH(AF155,$A:$A,0)),"")="","",INDEX($E:$E,MATCH(AF155,$A:$A,0))),IF(IFERROR(INDEX($E:$E,MATCH(AG155,$A:$A,0)),"")="","",INDEX($E:$E,MATCH(AG155,$A:$A,0))))))))</f>
        <v/>
      </c>
      <c r="R155" s="21" t="str">
        <f aca="false">IF(A155="","",COUNTIF(Fields!$D:$D,A155))</f>
        <v/>
      </c>
      <c r="S155" s="21" t="str">
        <f aca="false">IF(A155="","",SUMIF(Fields!$D:$D,A155,Fields!$Q:$Q))</f>
        <v/>
      </c>
      <c r="T155" s="21" t="str">
        <f aca="false">IF(A155="","",COUNTIF('Product inputs'!$D:$D,A155))</f>
        <v/>
      </c>
      <c r="U155" s="20"/>
      <c r="V155" s="20"/>
      <c r="W155" s="20"/>
      <c r="X155" s="20"/>
      <c r="Y155" s="20"/>
      <c r="Z155" s="20"/>
      <c r="AA155" s="20"/>
      <c r="AB155" s="20"/>
      <c r="AC155" s="20"/>
      <c r="AD155" s="18" t="str">
        <f aca="false">IF(A155="","",IF(IFERROR(INDEX($G:$G,MATCH(A155,$A:$A,0)),"")="","",TRIM(IF(ISNUMBER(FIND(",",IFERROR(INDEX($G:$G,MATCH(A155,$A:$A,0)),""))),LEFT(IFERROR(INDEX($G:$G,MATCH(A155,$A:$A,0)),""),FIND(",",IFERROR(INDEX($G:$G,MATCH(A155,$A:$A,0)),""))-1),IFERROR(INDEX($G:$G,MATCH(A155,$A:$A,0)),"")))))</f>
        <v/>
      </c>
      <c r="AE155" s="18" t="str">
        <f aca="false">IF(AD155="","",IF(IFERROR(INDEX($G:$G,MATCH(AD155,$A:$A,0)),"")="","",TRIM(IF(ISNUMBER(FIND(",",IFERROR(INDEX($G:$G,MATCH(AD155,$A:$A,0)),""))),LEFT(IFERROR(INDEX($G:$G,MATCH(AD155,$A:$A,0)),""),FIND(",",IFERROR(INDEX($G:$G,MATCH(AD155,$A:$A,0)),""))-1),IFERROR(INDEX($G:$G,MATCH(AD155,$A:$A,0)),"")))))</f>
        <v/>
      </c>
      <c r="AF155" s="18" t="str">
        <f aca="false">IF(AE155="","",IF(IFERROR(INDEX($G:$G,MATCH(AE155,$A:$A,0)),"")="","",TRIM(IF(ISNUMBER(FIND(",",IFERROR(INDEX($G:$G,MATCH(AE155,$A:$A,0)),""))),LEFT(IFERROR(INDEX($G:$G,MATCH(AE155,$A:$A,0)),""),FIND(",",IFERROR(INDEX($G:$G,MATCH(AE155,$A:$A,0)),""))-1),IFERROR(INDEX($G:$G,MATCH(AE155,$A:$A,0)),"")))))</f>
        <v/>
      </c>
      <c r="AG155" s="18" t="str">
        <f aca="false">IF(AF155="","",IF(IFERROR(INDEX($G:$G,MATCH(AF155,$A:$A,0)),"")="","",TRIM(IF(ISNUMBER(FIND(",",IFERROR(INDEX($G:$G,MATCH(AF155,$A:$A,0)),""))),LEFT(IFERROR(INDEX($G:$G,MATCH(AF155,$A:$A,0)),""),FIND(",",IFERROR(INDEX($G:$G,MATCH(AF155,$A:$A,0)),""))-1),IFERROR(INDEX($G:$G,MATCH(AF155,$A:$A,0)),"")))))</f>
        <v/>
      </c>
    </row>
    <row r="156" customFormat="false" ht="15" hidden="false" customHeight="false" outlineLevel="0" collapsed="false">
      <c r="A156" s="18"/>
      <c r="B156" s="19"/>
      <c r="C156" s="20"/>
      <c r="D156" s="20"/>
      <c r="E156" s="20"/>
      <c r="F156" s="20"/>
      <c r="G156" s="18"/>
      <c r="H156" s="20"/>
      <c r="I156" s="18"/>
      <c r="J156" s="20"/>
      <c r="K156" s="20"/>
      <c r="L156" s="20"/>
      <c r="M156" s="20"/>
      <c r="N156" s="20"/>
      <c r="O156" s="21" t="str">
        <f aca="false">IF(A156="","",IF(AD156="",0,IF(AE156="",1,IF(AF156="",2,IF(AG156="",3,"4+")))))</f>
        <v/>
      </c>
      <c r="P156" s="21" t="str">
        <f aca="false">IF(A156="","",B156&amp;IF(AD156="",""," &lt;- "&amp;IFERROR(INDEX($B:$B,MATCH(AD156,$A:$A,0)),AD156)&amp;IF(AE156="",""," &lt;- "&amp;IFERROR(INDEX($B:$B,MATCH(AE156,$A:$A,0)),AE156)&amp;IF(AF156="",""," &lt;- "&amp;IFERROR(INDEX($B:$B,MATCH(AF156,$A:$A,0)),AF156)&amp;IF(AG156="",""," &lt;- "&amp;IFERROR(INDEX($B:$B,MATCH(AG156,$A:$A,0)),AG156)))))&amp;IF(ISNUMBER(FIND(",",G156))," (+ other parents)",""))</f>
        <v/>
      </c>
      <c r="Q156" s="21" t="str">
        <f aca="false">IF(A156="","",IF(AD156="",E156&amp;"",IF(AE156="",IF(IFERROR(INDEX($E:$E,MATCH(AD156,$A:$A,0)),"")="","",INDEX($E:$E,MATCH(AD156,$A:$A,0))),IF(AF156="",IF(IFERROR(INDEX($E:$E,MATCH(AE156,$A:$A,0)),"")="","",INDEX($E:$E,MATCH(AE156,$A:$A,0))),IF(AG156="",IF(IFERROR(INDEX($E:$E,MATCH(AF156,$A:$A,0)),"")="","",INDEX($E:$E,MATCH(AF156,$A:$A,0))),IF(IFERROR(INDEX($E:$E,MATCH(AG156,$A:$A,0)),"")="","",INDEX($E:$E,MATCH(AG156,$A:$A,0))))))))</f>
        <v/>
      </c>
      <c r="R156" s="21" t="str">
        <f aca="false">IF(A156="","",COUNTIF(Fields!$D:$D,A156))</f>
        <v/>
      </c>
      <c r="S156" s="21" t="str">
        <f aca="false">IF(A156="","",SUMIF(Fields!$D:$D,A156,Fields!$Q:$Q))</f>
        <v/>
      </c>
      <c r="T156" s="21" t="str">
        <f aca="false">IF(A156="","",COUNTIF('Product inputs'!$D:$D,A156))</f>
        <v/>
      </c>
      <c r="U156" s="20"/>
      <c r="V156" s="20"/>
      <c r="W156" s="20"/>
      <c r="X156" s="20"/>
      <c r="Y156" s="20"/>
      <c r="Z156" s="20"/>
      <c r="AA156" s="20"/>
      <c r="AB156" s="20"/>
      <c r="AC156" s="20"/>
      <c r="AD156" s="18" t="str">
        <f aca="false">IF(A156="","",IF(IFERROR(INDEX($G:$G,MATCH(A156,$A:$A,0)),"")="","",TRIM(IF(ISNUMBER(FIND(",",IFERROR(INDEX($G:$G,MATCH(A156,$A:$A,0)),""))),LEFT(IFERROR(INDEX($G:$G,MATCH(A156,$A:$A,0)),""),FIND(",",IFERROR(INDEX($G:$G,MATCH(A156,$A:$A,0)),""))-1),IFERROR(INDEX($G:$G,MATCH(A156,$A:$A,0)),"")))))</f>
        <v/>
      </c>
      <c r="AE156" s="18" t="str">
        <f aca="false">IF(AD156="","",IF(IFERROR(INDEX($G:$G,MATCH(AD156,$A:$A,0)),"")="","",TRIM(IF(ISNUMBER(FIND(",",IFERROR(INDEX($G:$G,MATCH(AD156,$A:$A,0)),""))),LEFT(IFERROR(INDEX($G:$G,MATCH(AD156,$A:$A,0)),""),FIND(",",IFERROR(INDEX($G:$G,MATCH(AD156,$A:$A,0)),""))-1),IFERROR(INDEX($G:$G,MATCH(AD156,$A:$A,0)),"")))))</f>
        <v/>
      </c>
      <c r="AF156" s="18" t="str">
        <f aca="false">IF(AE156="","",IF(IFERROR(INDEX($G:$G,MATCH(AE156,$A:$A,0)),"")="","",TRIM(IF(ISNUMBER(FIND(",",IFERROR(INDEX($G:$G,MATCH(AE156,$A:$A,0)),""))),LEFT(IFERROR(INDEX($G:$G,MATCH(AE156,$A:$A,0)),""),FIND(",",IFERROR(INDEX($G:$G,MATCH(AE156,$A:$A,0)),""))-1),IFERROR(INDEX($G:$G,MATCH(AE156,$A:$A,0)),"")))))</f>
        <v/>
      </c>
      <c r="AG156" s="18" t="str">
        <f aca="false">IF(AF156="","",IF(IFERROR(INDEX($G:$G,MATCH(AF156,$A:$A,0)),"")="","",TRIM(IF(ISNUMBER(FIND(",",IFERROR(INDEX($G:$G,MATCH(AF156,$A:$A,0)),""))),LEFT(IFERROR(INDEX($G:$G,MATCH(AF156,$A:$A,0)),""),FIND(",",IFERROR(INDEX($G:$G,MATCH(AF156,$A:$A,0)),""))-1),IFERROR(INDEX($G:$G,MATCH(AF156,$A:$A,0)),"")))))</f>
        <v/>
      </c>
    </row>
    <row r="157" customFormat="false" ht="15" hidden="false" customHeight="false" outlineLevel="0" collapsed="false">
      <c r="A157" s="18"/>
      <c r="B157" s="19"/>
      <c r="C157" s="20"/>
      <c r="D157" s="20"/>
      <c r="E157" s="20"/>
      <c r="F157" s="20"/>
      <c r="G157" s="18"/>
      <c r="H157" s="20"/>
      <c r="I157" s="18"/>
      <c r="J157" s="20"/>
      <c r="K157" s="20"/>
      <c r="L157" s="20"/>
      <c r="M157" s="20"/>
      <c r="N157" s="20"/>
      <c r="O157" s="21" t="str">
        <f aca="false">IF(A157="","",IF(AD157="",0,IF(AE157="",1,IF(AF157="",2,IF(AG157="",3,"4+")))))</f>
        <v/>
      </c>
      <c r="P157" s="21" t="str">
        <f aca="false">IF(A157="","",B157&amp;IF(AD157="",""," &lt;- "&amp;IFERROR(INDEX($B:$B,MATCH(AD157,$A:$A,0)),AD157)&amp;IF(AE157="",""," &lt;- "&amp;IFERROR(INDEX($B:$B,MATCH(AE157,$A:$A,0)),AE157)&amp;IF(AF157="",""," &lt;- "&amp;IFERROR(INDEX($B:$B,MATCH(AF157,$A:$A,0)),AF157)&amp;IF(AG157="",""," &lt;- "&amp;IFERROR(INDEX($B:$B,MATCH(AG157,$A:$A,0)),AG157)))))&amp;IF(ISNUMBER(FIND(",",G157))," (+ other parents)",""))</f>
        <v/>
      </c>
      <c r="Q157" s="21" t="str">
        <f aca="false">IF(A157="","",IF(AD157="",E157&amp;"",IF(AE157="",IF(IFERROR(INDEX($E:$E,MATCH(AD157,$A:$A,0)),"")="","",INDEX($E:$E,MATCH(AD157,$A:$A,0))),IF(AF157="",IF(IFERROR(INDEX($E:$E,MATCH(AE157,$A:$A,0)),"")="","",INDEX($E:$E,MATCH(AE157,$A:$A,0))),IF(AG157="",IF(IFERROR(INDEX($E:$E,MATCH(AF157,$A:$A,0)),"")="","",INDEX($E:$E,MATCH(AF157,$A:$A,0))),IF(IFERROR(INDEX($E:$E,MATCH(AG157,$A:$A,0)),"")="","",INDEX($E:$E,MATCH(AG157,$A:$A,0))))))))</f>
        <v/>
      </c>
      <c r="R157" s="21" t="str">
        <f aca="false">IF(A157="","",COUNTIF(Fields!$D:$D,A157))</f>
        <v/>
      </c>
      <c r="S157" s="21" t="str">
        <f aca="false">IF(A157="","",SUMIF(Fields!$D:$D,A157,Fields!$Q:$Q))</f>
        <v/>
      </c>
      <c r="T157" s="21" t="str">
        <f aca="false">IF(A157="","",COUNTIF('Product inputs'!$D:$D,A157))</f>
        <v/>
      </c>
      <c r="U157" s="20"/>
      <c r="V157" s="20"/>
      <c r="W157" s="20"/>
      <c r="X157" s="20"/>
      <c r="Y157" s="20"/>
      <c r="Z157" s="20"/>
      <c r="AA157" s="20"/>
      <c r="AB157" s="20"/>
      <c r="AC157" s="20"/>
      <c r="AD157" s="18" t="str">
        <f aca="false">IF(A157="","",IF(IFERROR(INDEX($G:$G,MATCH(A157,$A:$A,0)),"")="","",TRIM(IF(ISNUMBER(FIND(",",IFERROR(INDEX($G:$G,MATCH(A157,$A:$A,0)),""))),LEFT(IFERROR(INDEX($G:$G,MATCH(A157,$A:$A,0)),""),FIND(",",IFERROR(INDEX($G:$G,MATCH(A157,$A:$A,0)),""))-1),IFERROR(INDEX($G:$G,MATCH(A157,$A:$A,0)),"")))))</f>
        <v/>
      </c>
      <c r="AE157" s="18" t="str">
        <f aca="false">IF(AD157="","",IF(IFERROR(INDEX($G:$G,MATCH(AD157,$A:$A,0)),"")="","",TRIM(IF(ISNUMBER(FIND(",",IFERROR(INDEX($G:$G,MATCH(AD157,$A:$A,0)),""))),LEFT(IFERROR(INDEX($G:$G,MATCH(AD157,$A:$A,0)),""),FIND(",",IFERROR(INDEX($G:$G,MATCH(AD157,$A:$A,0)),""))-1),IFERROR(INDEX($G:$G,MATCH(AD157,$A:$A,0)),"")))))</f>
        <v/>
      </c>
      <c r="AF157" s="18" t="str">
        <f aca="false">IF(AE157="","",IF(IFERROR(INDEX($G:$G,MATCH(AE157,$A:$A,0)),"")="","",TRIM(IF(ISNUMBER(FIND(",",IFERROR(INDEX($G:$G,MATCH(AE157,$A:$A,0)),""))),LEFT(IFERROR(INDEX($G:$G,MATCH(AE157,$A:$A,0)),""),FIND(",",IFERROR(INDEX($G:$G,MATCH(AE157,$A:$A,0)),""))-1),IFERROR(INDEX($G:$G,MATCH(AE157,$A:$A,0)),"")))))</f>
        <v/>
      </c>
      <c r="AG157" s="18" t="str">
        <f aca="false">IF(AF157="","",IF(IFERROR(INDEX($G:$G,MATCH(AF157,$A:$A,0)),"")="","",TRIM(IF(ISNUMBER(FIND(",",IFERROR(INDEX($G:$G,MATCH(AF157,$A:$A,0)),""))),LEFT(IFERROR(INDEX($G:$G,MATCH(AF157,$A:$A,0)),""),FIND(",",IFERROR(INDEX($G:$G,MATCH(AF157,$A:$A,0)),""))-1),IFERROR(INDEX($G:$G,MATCH(AF157,$A:$A,0)),"")))))</f>
        <v/>
      </c>
    </row>
    <row r="158" customFormat="false" ht="15" hidden="false" customHeight="false" outlineLevel="0" collapsed="false">
      <c r="A158" s="18"/>
      <c r="B158" s="19"/>
      <c r="C158" s="20"/>
      <c r="D158" s="20"/>
      <c r="E158" s="20"/>
      <c r="F158" s="20"/>
      <c r="G158" s="18"/>
      <c r="H158" s="20"/>
      <c r="I158" s="18"/>
      <c r="J158" s="20"/>
      <c r="K158" s="20"/>
      <c r="L158" s="20"/>
      <c r="M158" s="20"/>
      <c r="N158" s="20"/>
      <c r="O158" s="21" t="str">
        <f aca="false">IF(A158="","",IF(AD158="",0,IF(AE158="",1,IF(AF158="",2,IF(AG158="",3,"4+")))))</f>
        <v/>
      </c>
      <c r="P158" s="21" t="str">
        <f aca="false">IF(A158="","",B158&amp;IF(AD158="",""," &lt;- "&amp;IFERROR(INDEX($B:$B,MATCH(AD158,$A:$A,0)),AD158)&amp;IF(AE158="",""," &lt;- "&amp;IFERROR(INDEX($B:$B,MATCH(AE158,$A:$A,0)),AE158)&amp;IF(AF158="",""," &lt;- "&amp;IFERROR(INDEX($B:$B,MATCH(AF158,$A:$A,0)),AF158)&amp;IF(AG158="",""," &lt;- "&amp;IFERROR(INDEX($B:$B,MATCH(AG158,$A:$A,0)),AG158)))))&amp;IF(ISNUMBER(FIND(",",G158))," (+ other parents)",""))</f>
        <v/>
      </c>
      <c r="Q158" s="21" t="str">
        <f aca="false">IF(A158="","",IF(AD158="",E158&amp;"",IF(AE158="",IF(IFERROR(INDEX($E:$E,MATCH(AD158,$A:$A,0)),"")="","",INDEX($E:$E,MATCH(AD158,$A:$A,0))),IF(AF158="",IF(IFERROR(INDEX($E:$E,MATCH(AE158,$A:$A,0)),"")="","",INDEX($E:$E,MATCH(AE158,$A:$A,0))),IF(AG158="",IF(IFERROR(INDEX($E:$E,MATCH(AF158,$A:$A,0)),"")="","",INDEX($E:$E,MATCH(AF158,$A:$A,0))),IF(IFERROR(INDEX($E:$E,MATCH(AG158,$A:$A,0)),"")="","",INDEX($E:$E,MATCH(AG158,$A:$A,0))))))))</f>
        <v/>
      </c>
      <c r="R158" s="21" t="str">
        <f aca="false">IF(A158="","",COUNTIF(Fields!$D:$D,A158))</f>
        <v/>
      </c>
      <c r="S158" s="21" t="str">
        <f aca="false">IF(A158="","",SUMIF(Fields!$D:$D,A158,Fields!$Q:$Q))</f>
        <v/>
      </c>
      <c r="T158" s="21" t="str">
        <f aca="false">IF(A158="","",COUNTIF('Product inputs'!$D:$D,A158))</f>
        <v/>
      </c>
      <c r="U158" s="20"/>
      <c r="V158" s="20"/>
      <c r="W158" s="20"/>
      <c r="X158" s="20"/>
      <c r="Y158" s="20"/>
      <c r="Z158" s="20"/>
      <c r="AA158" s="20"/>
      <c r="AB158" s="20"/>
      <c r="AC158" s="20"/>
      <c r="AD158" s="18" t="str">
        <f aca="false">IF(A158="","",IF(IFERROR(INDEX($G:$G,MATCH(A158,$A:$A,0)),"")="","",TRIM(IF(ISNUMBER(FIND(",",IFERROR(INDEX($G:$G,MATCH(A158,$A:$A,0)),""))),LEFT(IFERROR(INDEX($G:$G,MATCH(A158,$A:$A,0)),""),FIND(",",IFERROR(INDEX($G:$G,MATCH(A158,$A:$A,0)),""))-1),IFERROR(INDEX($G:$G,MATCH(A158,$A:$A,0)),"")))))</f>
        <v/>
      </c>
      <c r="AE158" s="18" t="str">
        <f aca="false">IF(AD158="","",IF(IFERROR(INDEX($G:$G,MATCH(AD158,$A:$A,0)),"")="","",TRIM(IF(ISNUMBER(FIND(",",IFERROR(INDEX($G:$G,MATCH(AD158,$A:$A,0)),""))),LEFT(IFERROR(INDEX($G:$G,MATCH(AD158,$A:$A,0)),""),FIND(",",IFERROR(INDEX($G:$G,MATCH(AD158,$A:$A,0)),""))-1),IFERROR(INDEX($G:$G,MATCH(AD158,$A:$A,0)),"")))))</f>
        <v/>
      </c>
      <c r="AF158" s="18" t="str">
        <f aca="false">IF(AE158="","",IF(IFERROR(INDEX($G:$G,MATCH(AE158,$A:$A,0)),"")="","",TRIM(IF(ISNUMBER(FIND(",",IFERROR(INDEX($G:$G,MATCH(AE158,$A:$A,0)),""))),LEFT(IFERROR(INDEX($G:$G,MATCH(AE158,$A:$A,0)),""),FIND(",",IFERROR(INDEX($G:$G,MATCH(AE158,$A:$A,0)),""))-1),IFERROR(INDEX($G:$G,MATCH(AE158,$A:$A,0)),"")))))</f>
        <v/>
      </c>
      <c r="AG158" s="18" t="str">
        <f aca="false">IF(AF158="","",IF(IFERROR(INDEX($G:$G,MATCH(AF158,$A:$A,0)),"")="","",TRIM(IF(ISNUMBER(FIND(",",IFERROR(INDEX($G:$G,MATCH(AF158,$A:$A,0)),""))),LEFT(IFERROR(INDEX($G:$G,MATCH(AF158,$A:$A,0)),""),FIND(",",IFERROR(INDEX($G:$G,MATCH(AF158,$A:$A,0)),""))-1),IFERROR(INDEX($G:$G,MATCH(AF158,$A:$A,0)),"")))))</f>
        <v/>
      </c>
    </row>
    <row r="159" customFormat="false" ht="15" hidden="false" customHeight="false" outlineLevel="0" collapsed="false">
      <c r="A159" s="18"/>
      <c r="B159" s="19"/>
      <c r="C159" s="20"/>
      <c r="D159" s="20"/>
      <c r="E159" s="20"/>
      <c r="F159" s="20"/>
      <c r="G159" s="18"/>
      <c r="H159" s="20"/>
      <c r="I159" s="18"/>
      <c r="J159" s="20"/>
      <c r="K159" s="20"/>
      <c r="L159" s="20"/>
      <c r="M159" s="20"/>
      <c r="N159" s="20"/>
      <c r="O159" s="21" t="str">
        <f aca="false">IF(A159="","",IF(AD159="",0,IF(AE159="",1,IF(AF159="",2,IF(AG159="",3,"4+")))))</f>
        <v/>
      </c>
      <c r="P159" s="21" t="str">
        <f aca="false">IF(A159="","",B159&amp;IF(AD159="",""," &lt;- "&amp;IFERROR(INDEX($B:$B,MATCH(AD159,$A:$A,0)),AD159)&amp;IF(AE159="",""," &lt;- "&amp;IFERROR(INDEX($B:$B,MATCH(AE159,$A:$A,0)),AE159)&amp;IF(AF159="",""," &lt;- "&amp;IFERROR(INDEX($B:$B,MATCH(AF159,$A:$A,0)),AF159)&amp;IF(AG159="",""," &lt;- "&amp;IFERROR(INDEX($B:$B,MATCH(AG159,$A:$A,0)),AG159)))))&amp;IF(ISNUMBER(FIND(",",G159))," (+ other parents)",""))</f>
        <v/>
      </c>
      <c r="Q159" s="21" t="str">
        <f aca="false">IF(A159="","",IF(AD159="",E159&amp;"",IF(AE159="",IF(IFERROR(INDEX($E:$E,MATCH(AD159,$A:$A,0)),"")="","",INDEX($E:$E,MATCH(AD159,$A:$A,0))),IF(AF159="",IF(IFERROR(INDEX($E:$E,MATCH(AE159,$A:$A,0)),"")="","",INDEX($E:$E,MATCH(AE159,$A:$A,0))),IF(AG159="",IF(IFERROR(INDEX($E:$E,MATCH(AF159,$A:$A,0)),"")="","",INDEX($E:$E,MATCH(AF159,$A:$A,0))),IF(IFERROR(INDEX($E:$E,MATCH(AG159,$A:$A,0)),"")="","",INDEX($E:$E,MATCH(AG159,$A:$A,0))))))))</f>
        <v/>
      </c>
      <c r="R159" s="21" t="str">
        <f aca="false">IF(A159="","",COUNTIF(Fields!$D:$D,A159))</f>
        <v/>
      </c>
      <c r="S159" s="21" t="str">
        <f aca="false">IF(A159="","",SUMIF(Fields!$D:$D,A159,Fields!$Q:$Q))</f>
        <v/>
      </c>
      <c r="T159" s="21" t="str">
        <f aca="false">IF(A159="","",COUNTIF('Product inputs'!$D:$D,A159))</f>
        <v/>
      </c>
      <c r="U159" s="20"/>
      <c r="V159" s="20"/>
      <c r="W159" s="20"/>
      <c r="X159" s="20"/>
      <c r="Y159" s="20"/>
      <c r="Z159" s="20"/>
      <c r="AA159" s="20"/>
      <c r="AB159" s="20"/>
      <c r="AC159" s="20"/>
      <c r="AD159" s="18" t="str">
        <f aca="false">IF(A159="","",IF(IFERROR(INDEX($G:$G,MATCH(A159,$A:$A,0)),"")="","",TRIM(IF(ISNUMBER(FIND(",",IFERROR(INDEX($G:$G,MATCH(A159,$A:$A,0)),""))),LEFT(IFERROR(INDEX($G:$G,MATCH(A159,$A:$A,0)),""),FIND(",",IFERROR(INDEX($G:$G,MATCH(A159,$A:$A,0)),""))-1),IFERROR(INDEX($G:$G,MATCH(A159,$A:$A,0)),"")))))</f>
        <v/>
      </c>
      <c r="AE159" s="18" t="str">
        <f aca="false">IF(AD159="","",IF(IFERROR(INDEX($G:$G,MATCH(AD159,$A:$A,0)),"")="","",TRIM(IF(ISNUMBER(FIND(",",IFERROR(INDEX($G:$G,MATCH(AD159,$A:$A,0)),""))),LEFT(IFERROR(INDEX($G:$G,MATCH(AD159,$A:$A,0)),""),FIND(",",IFERROR(INDEX($G:$G,MATCH(AD159,$A:$A,0)),""))-1),IFERROR(INDEX($G:$G,MATCH(AD159,$A:$A,0)),"")))))</f>
        <v/>
      </c>
      <c r="AF159" s="18" t="str">
        <f aca="false">IF(AE159="","",IF(IFERROR(INDEX($G:$G,MATCH(AE159,$A:$A,0)),"")="","",TRIM(IF(ISNUMBER(FIND(",",IFERROR(INDEX($G:$G,MATCH(AE159,$A:$A,0)),""))),LEFT(IFERROR(INDEX($G:$G,MATCH(AE159,$A:$A,0)),""),FIND(",",IFERROR(INDEX($G:$G,MATCH(AE159,$A:$A,0)),""))-1),IFERROR(INDEX($G:$G,MATCH(AE159,$A:$A,0)),"")))))</f>
        <v/>
      </c>
      <c r="AG159" s="18" t="str">
        <f aca="false">IF(AF159="","",IF(IFERROR(INDEX($G:$G,MATCH(AF159,$A:$A,0)),"")="","",TRIM(IF(ISNUMBER(FIND(",",IFERROR(INDEX($G:$G,MATCH(AF159,$A:$A,0)),""))),LEFT(IFERROR(INDEX($G:$G,MATCH(AF159,$A:$A,0)),""),FIND(",",IFERROR(INDEX($G:$G,MATCH(AF159,$A:$A,0)),""))-1),IFERROR(INDEX($G:$G,MATCH(AF159,$A:$A,0)),"")))))</f>
        <v/>
      </c>
    </row>
    <row r="160" customFormat="false" ht="15" hidden="false" customHeight="false" outlineLevel="0" collapsed="false">
      <c r="A160" s="18"/>
      <c r="B160" s="19"/>
      <c r="C160" s="20"/>
      <c r="D160" s="20"/>
      <c r="E160" s="20"/>
      <c r="F160" s="20"/>
      <c r="G160" s="18"/>
      <c r="H160" s="20"/>
      <c r="I160" s="18"/>
      <c r="J160" s="20"/>
      <c r="K160" s="20"/>
      <c r="L160" s="20"/>
      <c r="M160" s="20"/>
      <c r="N160" s="20"/>
      <c r="O160" s="21" t="str">
        <f aca="false">IF(A160="","",IF(AD160="",0,IF(AE160="",1,IF(AF160="",2,IF(AG160="",3,"4+")))))</f>
        <v/>
      </c>
      <c r="P160" s="21" t="str">
        <f aca="false">IF(A160="","",B160&amp;IF(AD160="",""," &lt;- "&amp;IFERROR(INDEX($B:$B,MATCH(AD160,$A:$A,0)),AD160)&amp;IF(AE160="",""," &lt;- "&amp;IFERROR(INDEX($B:$B,MATCH(AE160,$A:$A,0)),AE160)&amp;IF(AF160="",""," &lt;- "&amp;IFERROR(INDEX($B:$B,MATCH(AF160,$A:$A,0)),AF160)&amp;IF(AG160="",""," &lt;- "&amp;IFERROR(INDEX($B:$B,MATCH(AG160,$A:$A,0)),AG160)))))&amp;IF(ISNUMBER(FIND(",",G160))," (+ other parents)",""))</f>
        <v/>
      </c>
      <c r="Q160" s="21" t="str">
        <f aca="false">IF(A160="","",IF(AD160="",E160&amp;"",IF(AE160="",IF(IFERROR(INDEX($E:$E,MATCH(AD160,$A:$A,0)),"")="","",INDEX($E:$E,MATCH(AD160,$A:$A,0))),IF(AF160="",IF(IFERROR(INDEX($E:$E,MATCH(AE160,$A:$A,0)),"")="","",INDEX($E:$E,MATCH(AE160,$A:$A,0))),IF(AG160="",IF(IFERROR(INDEX($E:$E,MATCH(AF160,$A:$A,0)),"")="","",INDEX($E:$E,MATCH(AF160,$A:$A,0))),IF(IFERROR(INDEX($E:$E,MATCH(AG160,$A:$A,0)),"")="","",INDEX($E:$E,MATCH(AG160,$A:$A,0))))))))</f>
        <v/>
      </c>
      <c r="R160" s="21" t="str">
        <f aca="false">IF(A160="","",COUNTIF(Fields!$D:$D,A160))</f>
        <v/>
      </c>
      <c r="S160" s="21" t="str">
        <f aca="false">IF(A160="","",SUMIF(Fields!$D:$D,A160,Fields!$Q:$Q))</f>
        <v/>
      </c>
      <c r="T160" s="21" t="str">
        <f aca="false">IF(A160="","",COUNTIF('Product inputs'!$D:$D,A160))</f>
        <v/>
      </c>
      <c r="U160" s="20"/>
      <c r="V160" s="20"/>
      <c r="W160" s="20"/>
      <c r="X160" s="20"/>
      <c r="Y160" s="20"/>
      <c r="Z160" s="20"/>
      <c r="AA160" s="20"/>
      <c r="AB160" s="20"/>
      <c r="AC160" s="20"/>
      <c r="AD160" s="18" t="str">
        <f aca="false">IF(A160="","",IF(IFERROR(INDEX($G:$G,MATCH(A160,$A:$A,0)),"")="","",TRIM(IF(ISNUMBER(FIND(",",IFERROR(INDEX($G:$G,MATCH(A160,$A:$A,0)),""))),LEFT(IFERROR(INDEX($G:$G,MATCH(A160,$A:$A,0)),""),FIND(",",IFERROR(INDEX($G:$G,MATCH(A160,$A:$A,0)),""))-1),IFERROR(INDEX($G:$G,MATCH(A160,$A:$A,0)),"")))))</f>
        <v/>
      </c>
      <c r="AE160" s="18" t="str">
        <f aca="false">IF(AD160="","",IF(IFERROR(INDEX($G:$G,MATCH(AD160,$A:$A,0)),"")="","",TRIM(IF(ISNUMBER(FIND(",",IFERROR(INDEX($G:$G,MATCH(AD160,$A:$A,0)),""))),LEFT(IFERROR(INDEX($G:$G,MATCH(AD160,$A:$A,0)),""),FIND(",",IFERROR(INDEX($G:$G,MATCH(AD160,$A:$A,0)),""))-1),IFERROR(INDEX($G:$G,MATCH(AD160,$A:$A,0)),"")))))</f>
        <v/>
      </c>
      <c r="AF160" s="18" t="str">
        <f aca="false">IF(AE160="","",IF(IFERROR(INDEX($G:$G,MATCH(AE160,$A:$A,0)),"")="","",TRIM(IF(ISNUMBER(FIND(",",IFERROR(INDEX($G:$G,MATCH(AE160,$A:$A,0)),""))),LEFT(IFERROR(INDEX($G:$G,MATCH(AE160,$A:$A,0)),""),FIND(",",IFERROR(INDEX($G:$G,MATCH(AE160,$A:$A,0)),""))-1),IFERROR(INDEX($G:$G,MATCH(AE160,$A:$A,0)),"")))))</f>
        <v/>
      </c>
      <c r="AG160" s="18" t="str">
        <f aca="false">IF(AF160="","",IF(IFERROR(INDEX($G:$G,MATCH(AF160,$A:$A,0)),"")="","",TRIM(IF(ISNUMBER(FIND(",",IFERROR(INDEX($G:$G,MATCH(AF160,$A:$A,0)),""))),LEFT(IFERROR(INDEX($G:$G,MATCH(AF160,$A:$A,0)),""),FIND(",",IFERROR(INDEX($G:$G,MATCH(AF160,$A:$A,0)),""))-1),IFERROR(INDEX($G:$G,MATCH(AF160,$A:$A,0)),"")))))</f>
        <v/>
      </c>
    </row>
    <row r="161" customFormat="false" ht="15" hidden="false" customHeight="false" outlineLevel="0" collapsed="false">
      <c r="A161" s="18"/>
      <c r="B161" s="19"/>
      <c r="C161" s="20"/>
      <c r="D161" s="20"/>
      <c r="E161" s="20"/>
      <c r="F161" s="20"/>
      <c r="G161" s="18"/>
      <c r="H161" s="20"/>
      <c r="I161" s="18"/>
      <c r="J161" s="20"/>
      <c r="K161" s="20"/>
      <c r="L161" s="20"/>
      <c r="M161" s="20"/>
      <c r="N161" s="20"/>
      <c r="O161" s="21" t="str">
        <f aca="false">IF(A161="","",IF(AD161="",0,IF(AE161="",1,IF(AF161="",2,IF(AG161="",3,"4+")))))</f>
        <v/>
      </c>
      <c r="P161" s="21" t="str">
        <f aca="false">IF(A161="","",B161&amp;IF(AD161="",""," &lt;- "&amp;IFERROR(INDEX($B:$B,MATCH(AD161,$A:$A,0)),AD161)&amp;IF(AE161="",""," &lt;- "&amp;IFERROR(INDEX($B:$B,MATCH(AE161,$A:$A,0)),AE161)&amp;IF(AF161="",""," &lt;- "&amp;IFERROR(INDEX($B:$B,MATCH(AF161,$A:$A,0)),AF161)&amp;IF(AG161="",""," &lt;- "&amp;IFERROR(INDEX($B:$B,MATCH(AG161,$A:$A,0)),AG161)))))&amp;IF(ISNUMBER(FIND(",",G161))," (+ other parents)",""))</f>
        <v/>
      </c>
      <c r="Q161" s="21" t="str">
        <f aca="false">IF(A161="","",IF(AD161="",E161&amp;"",IF(AE161="",IF(IFERROR(INDEX($E:$E,MATCH(AD161,$A:$A,0)),"")="","",INDEX($E:$E,MATCH(AD161,$A:$A,0))),IF(AF161="",IF(IFERROR(INDEX($E:$E,MATCH(AE161,$A:$A,0)),"")="","",INDEX($E:$E,MATCH(AE161,$A:$A,0))),IF(AG161="",IF(IFERROR(INDEX($E:$E,MATCH(AF161,$A:$A,0)),"")="","",INDEX($E:$E,MATCH(AF161,$A:$A,0))),IF(IFERROR(INDEX($E:$E,MATCH(AG161,$A:$A,0)),"")="","",INDEX($E:$E,MATCH(AG161,$A:$A,0))))))))</f>
        <v/>
      </c>
      <c r="R161" s="21" t="str">
        <f aca="false">IF(A161="","",COUNTIF(Fields!$D:$D,A161))</f>
        <v/>
      </c>
      <c r="S161" s="21" t="str">
        <f aca="false">IF(A161="","",SUMIF(Fields!$D:$D,A161,Fields!$Q:$Q))</f>
        <v/>
      </c>
      <c r="T161" s="21" t="str">
        <f aca="false">IF(A161="","",COUNTIF('Product inputs'!$D:$D,A161))</f>
        <v/>
      </c>
      <c r="U161" s="20"/>
      <c r="V161" s="20"/>
      <c r="W161" s="20"/>
      <c r="X161" s="20"/>
      <c r="Y161" s="20"/>
      <c r="Z161" s="20"/>
      <c r="AA161" s="20"/>
      <c r="AB161" s="20"/>
      <c r="AC161" s="20"/>
      <c r="AD161" s="18" t="str">
        <f aca="false">IF(A161="","",IF(IFERROR(INDEX($G:$G,MATCH(A161,$A:$A,0)),"")="","",TRIM(IF(ISNUMBER(FIND(",",IFERROR(INDEX($G:$G,MATCH(A161,$A:$A,0)),""))),LEFT(IFERROR(INDEX($G:$G,MATCH(A161,$A:$A,0)),""),FIND(",",IFERROR(INDEX($G:$G,MATCH(A161,$A:$A,0)),""))-1),IFERROR(INDEX($G:$G,MATCH(A161,$A:$A,0)),"")))))</f>
        <v/>
      </c>
      <c r="AE161" s="18" t="str">
        <f aca="false">IF(AD161="","",IF(IFERROR(INDEX($G:$G,MATCH(AD161,$A:$A,0)),"")="","",TRIM(IF(ISNUMBER(FIND(",",IFERROR(INDEX($G:$G,MATCH(AD161,$A:$A,0)),""))),LEFT(IFERROR(INDEX($G:$G,MATCH(AD161,$A:$A,0)),""),FIND(",",IFERROR(INDEX($G:$G,MATCH(AD161,$A:$A,0)),""))-1),IFERROR(INDEX($G:$G,MATCH(AD161,$A:$A,0)),"")))))</f>
        <v/>
      </c>
      <c r="AF161" s="18" t="str">
        <f aca="false">IF(AE161="","",IF(IFERROR(INDEX($G:$G,MATCH(AE161,$A:$A,0)),"")="","",TRIM(IF(ISNUMBER(FIND(",",IFERROR(INDEX($G:$G,MATCH(AE161,$A:$A,0)),""))),LEFT(IFERROR(INDEX($G:$G,MATCH(AE161,$A:$A,0)),""),FIND(",",IFERROR(INDEX($G:$G,MATCH(AE161,$A:$A,0)),""))-1),IFERROR(INDEX($G:$G,MATCH(AE161,$A:$A,0)),"")))))</f>
        <v/>
      </c>
      <c r="AG161" s="18" t="str">
        <f aca="false">IF(AF161="","",IF(IFERROR(INDEX($G:$G,MATCH(AF161,$A:$A,0)),"")="","",TRIM(IF(ISNUMBER(FIND(",",IFERROR(INDEX($G:$G,MATCH(AF161,$A:$A,0)),""))),LEFT(IFERROR(INDEX($G:$G,MATCH(AF161,$A:$A,0)),""),FIND(",",IFERROR(INDEX($G:$G,MATCH(AF161,$A:$A,0)),""))-1),IFERROR(INDEX($G:$G,MATCH(AF161,$A:$A,0)),"")))))</f>
        <v/>
      </c>
    </row>
    <row r="162" customFormat="false" ht="15" hidden="false" customHeight="false" outlineLevel="0" collapsed="false">
      <c r="A162" s="18"/>
      <c r="B162" s="19"/>
      <c r="C162" s="20"/>
      <c r="D162" s="20"/>
      <c r="E162" s="20"/>
      <c r="F162" s="20"/>
      <c r="G162" s="18"/>
      <c r="H162" s="20"/>
      <c r="I162" s="18"/>
      <c r="J162" s="20"/>
      <c r="K162" s="20"/>
      <c r="L162" s="20"/>
      <c r="M162" s="20"/>
      <c r="N162" s="20"/>
      <c r="O162" s="21" t="str">
        <f aca="false">IF(A162="","",IF(AD162="",0,IF(AE162="",1,IF(AF162="",2,IF(AG162="",3,"4+")))))</f>
        <v/>
      </c>
      <c r="P162" s="21" t="str">
        <f aca="false">IF(A162="","",B162&amp;IF(AD162="",""," &lt;- "&amp;IFERROR(INDEX($B:$B,MATCH(AD162,$A:$A,0)),AD162)&amp;IF(AE162="",""," &lt;- "&amp;IFERROR(INDEX($B:$B,MATCH(AE162,$A:$A,0)),AE162)&amp;IF(AF162="",""," &lt;- "&amp;IFERROR(INDEX($B:$B,MATCH(AF162,$A:$A,0)),AF162)&amp;IF(AG162="",""," &lt;- "&amp;IFERROR(INDEX($B:$B,MATCH(AG162,$A:$A,0)),AG162)))))&amp;IF(ISNUMBER(FIND(",",G162))," (+ other parents)",""))</f>
        <v/>
      </c>
      <c r="Q162" s="21" t="str">
        <f aca="false">IF(A162="","",IF(AD162="",E162&amp;"",IF(AE162="",IF(IFERROR(INDEX($E:$E,MATCH(AD162,$A:$A,0)),"")="","",INDEX($E:$E,MATCH(AD162,$A:$A,0))),IF(AF162="",IF(IFERROR(INDEX($E:$E,MATCH(AE162,$A:$A,0)),"")="","",INDEX($E:$E,MATCH(AE162,$A:$A,0))),IF(AG162="",IF(IFERROR(INDEX($E:$E,MATCH(AF162,$A:$A,0)),"")="","",INDEX($E:$E,MATCH(AF162,$A:$A,0))),IF(IFERROR(INDEX($E:$E,MATCH(AG162,$A:$A,0)),"")="","",INDEX($E:$E,MATCH(AG162,$A:$A,0))))))))</f>
        <v/>
      </c>
      <c r="R162" s="21" t="str">
        <f aca="false">IF(A162="","",COUNTIF(Fields!$D:$D,A162))</f>
        <v/>
      </c>
      <c r="S162" s="21" t="str">
        <f aca="false">IF(A162="","",SUMIF(Fields!$D:$D,A162,Fields!$Q:$Q))</f>
        <v/>
      </c>
      <c r="T162" s="21" t="str">
        <f aca="false">IF(A162="","",COUNTIF('Product inputs'!$D:$D,A162))</f>
        <v/>
      </c>
      <c r="U162" s="20"/>
      <c r="V162" s="20"/>
      <c r="W162" s="20"/>
      <c r="X162" s="20"/>
      <c r="Y162" s="20"/>
      <c r="Z162" s="20"/>
      <c r="AA162" s="20"/>
      <c r="AB162" s="20"/>
      <c r="AC162" s="20"/>
      <c r="AD162" s="18" t="str">
        <f aca="false">IF(A162="","",IF(IFERROR(INDEX($G:$G,MATCH(A162,$A:$A,0)),"")="","",TRIM(IF(ISNUMBER(FIND(",",IFERROR(INDEX($G:$G,MATCH(A162,$A:$A,0)),""))),LEFT(IFERROR(INDEX($G:$G,MATCH(A162,$A:$A,0)),""),FIND(",",IFERROR(INDEX($G:$G,MATCH(A162,$A:$A,0)),""))-1),IFERROR(INDEX($G:$G,MATCH(A162,$A:$A,0)),"")))))</f>
        <v/>
      </c>
      <c r="AE162" s="18" t="str">
        <f aca="false">IF(AD162="","",IF(IFERROR(INDEX($G:$G,MATCH(AD162,$A:$A,0)),"")="","",TRIM(IF(ISNUMBER(FIND(",",IFERROR(INDEX($G:$G,MATCH(AD162,$A:$A,0)),""))),LEFT(IFERROR(INDEX($G:$G,MATCH(AD162,$A:$A,0)),""),FIND(",",IFERROR(INDEX($G:$G,MATCH(AD162,$A:$A,0)),""))-1),IFERROR(INDEX($G:$G,MATCH(AD162,$A:$A,0)),"")))))</f>
        <v/>
      </c>
      <c r="AF162" s="18" t="str">
        <f aca="false">IF(AE162="","",IF(IFERROR(INDEX($G:$G,MATCH(AE162,$A:$A,0)),"")="","",TRIM(IF(ISNUMBER(FIND(",",IFERROR(INDEX($G:$G,MATCH(AE162,$A:$A,0)),""))),LEFT(IFERROR(INDEX($G:$G,MATCH(AE162,$A:$A,0)),""),FIND(",",IFERROR(INDEX($G:$G,MATCH(AE162,$A:$A,0)),""))-1),IFERROR(INDEX($G:$G,MATCH(AE162,$A:$A,0)),"")))))</f>
        <v/>
      </c>
      <c r="AG162" s="18" t="str">
        <f aca="false">IF(AF162="","",IF(IFERROR(INDEX($G:$G,MATCH(AF162,$A:$A,0)),"")="","",TRIM(IF(ISNUMBER(FIND(",",IFERROR(INDEX($G:$G,MATCH(AF162,$A:$A,0)),""))),LEFT(IFERROR(INDEX($G:$G,MATCH(AF162,$A:$A,0)),""),FIND(",",IFERROR(INDEX($G:$G,MATCH(AF162,$A:$A,0)),""))-1),IFERROR(INDEX($G:$G,MATCH(AF162,$A:$A,0)),"")))))</f>
        <v/>
      </c>
    </row>
    <row r="163" customFormat="false" ht="15" hidden="false" customHeight="false" outlineLevel="0" collapsed="false">
      <c r="A163" s="18"/>
      <c r="B163" s="19"/>
      <c r="C163" s="20"/>
      <c r="D163" s="20"/>
      <c r="E163" s="20"/>
      <c r="F163" s="20"/>
      <c r="G163" s="18"/>
      <c r="H163" s="20"/>
      <c r="I163" s="18"/>
      <c r="J163" s="20"/>
      <c r="K163" s="20"/>
      <c r="L163" s="20"/>
      <c r="M163" s="20"/>
      <c r="N163" s="20"/>
      <c r="O163" s="21" t="str">
        <f aca="false">IF(A163="","",IF(AD163="",0,IF(AE163="",1,IF(AF163="",2,IF(AG163="",3,"4+")))))</f>
        <v/>
      </c>
      <c r="P163" s="21" t="str">
        <f aca="false">IF(A163="","",B163&amp;IF(AD163="",""," &lt;- "&amp;IFERROR(INDEX($B:$B,MATCH(AD163,$A:$A,0)),AD163)&amp;IF(AE163="",""," &lt;- "&amp;IFERROR(INDEX($B:$B,MATCH(AE163,$A:$A,0)),AE163)&amp;IF(AF163="",""," &lt;- "&amp;IFERROR(INDEX($B:$B,MATCH(AF163,$A:$A,0)),AF163)&amp;IF(AG163="",""," &lt;- "&amp;IFERROR(INDEX($B:$B,MATCH(AG163,$A:$A,0)),AG163)))))&amp;IF(ISNUMBER(FIND(",",G163))," (+ other parents)",""))</f>
        <v/>
      </c>
      <c r="Q163" s="21" t="str">
        <f aca="false">IF(A163="","",IF(AD163="",E163&amp;"",IF(AE163="",IF(IFERROR(INDEX($E:$E,MATCH(AD163,$A:$A,0)),"")="","",INDEX($E:$E,MATCH(AD163,$A:$A,0))),IF(AF163="",IF(IFERROR(INDEX($E:$E,MATCH(AE163,$A:$A,0)),"")="","",INDEX($E:$E,MATCH(AE163,$A:$A,0))),IF(AG163="",IF(IFERROR(INDEX($E:$E,MATCH(AF163,$A:$A,0)),"")="","",INDEX($E:$E,MATCH(AF163,$A:$A,0))),IF(IFERROR(INDEX($E:$E,MATCH(AG163,$A:$A,0)),"")="","",INDEX($E:$E,MATCH(AG163,$A:$A,0))))))))</f>
        <v/>
      </c>
      <c r="R163" s="21" t="str">
        <f aca="false">IF(A163="","",COUNTIF(Fields!$D:$D,A163))</f>
        <v/>
      </c>
      <c r="S163" s="21" t="str">
        <f aca="false">IF(A163="","",SUMIF(Fields!$D:$D,A163,Fields!$Q:$Q))</f>
        <v/>
      </c>
      <c r="T163" s="21" t="str">
        <f aca="false">IF(A163="","",COUNTIF('Product inputs'!$D:$D,A163))</f>
        <v/>
      </c>
      <c r="U163" s="20"/>
      <c r="V163" s="20"/>
      <c r="W163" s="20"/>
      <c r="X163" s="20"/>
      <c r="Y163" s="20"/>
      <c r="Z163" s="20"/>
      <c r="AA163" s="20"/>
      <c r="AB163" s="20"/>
      <c r="AC163" s="20"/>
      <c r="AD163" s="18" t="str">
        <f aca="false">IF(A163="","",IF(IFERROR(INDEX($G:$G,MATCH(A163,$A:$A,0)),"")="","",TRIM(IF(ISNUMBER(FIND(",",IFERROR(INDEX($G:$G,MATCH(A163,$A:$A,0)),""))),LEFT(IFERROR(INDEX($G:$G,MATCH(A163,$A:$A,0)),""),FIND(",",IFERROR(INDEX($G:$G,MATCH(A163,$A:$A,0)),""))-1),IFERROR(INDEX($G:$G,MATCH(A163,$A:$A,0)),"")))))</f>
        <v/>
      </c>
      <c r="AE163" s="18" t="str">
        <f aca="false">IF(AD163="","",IF(IFERROR(INDEX($G:$G,MATCH(AD163,$A:$A,0)),"")="","",TRIM(IF(ISNUMBER(FIND(",",IFERROR(INDEX($G:$G,MATCH(AD163,$A:$A,0)),""))),LEFT(IFERROR(INDEX($G:$G,MATCH(AD163,$A:$A,0)),""),FIND(",",IFERROR(INDEX($G:$G,MATCH(AD163,$A:$A,0)),""))-1),IFERROR(INDEX($G:$G,MATCH(AD163,$A:$A,0)),"")))))</f>
        <v/>
      </c>
      <c r="AF163" s="18" t="str">
        <f aca="false">IF(AE163="","",IF(IFERROR(INDEX($G:$G,MATCH(AE163,$A:$A,0)),"")="","",TRIM(IF(ISNUMBER(FIND(",",IFERROR(INDEX($G:$G,MATCH(AE163,$A:$A,0)),""))),LEFT(IFERROR(INDEX($G:$G,MATCH(AE163,$A:$A,0)),""),FIND(",",IFERROR(INDEX($G:$G,MATCH(AE163,$A:$A,0)),""))-1),IFERROR(INDEX($G:$G,MATCH(AE163,$A:$A,0)),"")))))</f>
        <v/>
      </c>
      <c r="AG163" s="18" t="str">
        <f aca="false">IF(AF163="","",IF(IFERROR(INDEX($G:$G,MATCH(AF163,$A:$A,0)),"")="","",TRIM(IF(ISNUMBER(FIND(",",IFERROR(INDEX($G:$G,MATCH(AF163,$A:$A,0)),""))),LEFT(IFERROR(INDEX($G:$G,MATCH(AF163,$A:$A,0)),""),FIND(",",IFERROR(INDEX($G:$G,MATCH(AF163,$A:$A,0)),""))-1),IFERROR(INDEX($G:$G,MATCH(AF163,$A:$A,0)),"")))))</f>
        <v/>
      </c>
    </row>
    <row r="164" customFormat="false" ht="15" hidden="false" customHeight="false" outlineLevel="0" collapsed="false">
      <c r="A164" s="18"/>
      <c r="B164" s="19"/>
      <c r="C164" s="20"/>
      <c r="D164" s="20"/>
      <c r="E164" s="20"/>
      <c r="F164" s="20"/>
      <c r="G164" s="18"/>
      <c r="H164" s="20"/>
      <c r="I164" s="18"/>
      <c r="J164" s="20"/>
      <c r="K164" s="20"/>
      <c r="L164" s="20"/>
      <c r="M164" s="20"/>
      <c r="N164" s="20"/>
      <c r="O164" s="21" t="str">
        <f aca="false">IF(A164="","",IF(AD164="",0,IF(AE164="",1,IF(AF164="",2,IF(AG164="",3,"4+")))))</f>
        <v/>
      </c>
      <c r="P164" s="21" t="str">
        <f aca="false">IF(A164="","",B164&amp;IF(AD164="",""," &lt;- "&amp;IFERROR(INDEX($B:$B,MATCH(AD164,$A:$A,0)),AD164)&amp;IF(AE164="",""," &lt;- "&amp;IFERROR(INDEX($B:$B,MATCH(AE164,$A:$A,0)),AE164)&amp;IF(AF164="",""," &lt;- "&amp;IFERROR(INDEX($B:$B,MATCH(AF164,$A:$A,0)),AF164)&amp;IF(AG164="",""," &lt;- "&amp;IFERROR(INDEX($B:$B,MATCH(AG164,$A:$A,0)),AG164)))))&amp;IF(ISNUMBER(FIND(",",G164))," (+ other parents)",""))</f>
        <v/>
      </c>
      <c r="Q164" s="21" t="str">
        <f aca="false">IF(A164="","",IF(AD164="",E164&amp;"",IF(AE164="",IF(IFERROR(INDEX($E:$E,MATCH(AD164,$A:$A,0)),"")="","",INDEX($E:$E,MATCH(AD164,$A:$A,0))),IF(AF164="",IF(IFERROR(INDEX($E:$E,MATCH(AE164,$A:$A,0)),"")="","",INDEX($E:$E,MATCH(AE164,$A:$A,0))),IF(AG164="",IF(IFERROR(INDEX($E:$E,MATCH(AF164,$A:$A,0)),"")="","",INDEX($E:$E,MATCH(AF164,$A:$A,0))),IF(IFERROR(INDEX($E:$E,MATCH(AG164,$A:$A,0)),"")="","",INDEX($E:$E,MATCH(AG164,$A:$A,0))))))))</f>
        <v/>
      </c>
      <c r="R164" s="21" t="str">
        <f aca="false">IF(A164="","",COUNTIF(Fields!$D:$D,A164))</f>
        <v/>
      </c>
      <c r="S164" s="21" t="str">
        <f aca="false">IF(A164="","",SUMIF(Fields!$D:$D,A164,Fields!$Q:$Q))</f>
        <v/>
      </c>
      <c r="T164" s="21" t="str">
        <f aca="false">IF(A164="","",COUNTIF('Product inputs'!$D:$D,A164))</f>
        <v/>
      </c>
      <c r="U164" s="20"/>
      <c r="V164" s="20"/>
      <c r="W164" s="20"/>
      <c r="X164" s="20"/>
      <c r="Y164" s="20"/>
      <c r="Z164" s="20"/>
      <c r="AA164" s="20"/>
      <c r="AB164" s="20"/>
      <c r="AC164" s="20"/>
      <c r="AD164" s="18" t="str">
        <f aca="false">IF(A164="","",IF(IFERROR(INDEX($G:$G,MATCH(A164,$A:$A,0)),"")="","",TRIM(IF(ISNUMBER(FIND(",",IFERROR(INDEX($G:$G,MATCH(A164,$A:$A,0)),""))),LEFT(IFERROR(INDEX($G:$G,MATCH(A164,$A:$A,0)),""),FIND(",",IFERROR(INDEX($G:$G,MATCH(A164,$A:$A,0)),""))-1),IFERROR(INDEX($G:$G,MATCH(A164,$A:$A,0)),"")))))</f>
        <v/>
      </c>
      <c r="AE164" s="18" t="str">
        <f aca="false">IF(AD164="","",IF(IFERROR(INDEX($G:$G,MATCH(AD164,$A:$A,0)),"")="","",TRIM(IF(ISNUMBER(FIND(",",IFERROR(INDEX($G:$G,MATCH(AD164,$A:$A,0)),""))),LEFT(IFERROR(INDEX($G:$G,MATCH(AD164,$A:$A,0)),""),FIND(",",IFERROR(INDEX($G:$G,MATCH(AD164,$A:$A,0)),""))-1),IFERROR(INDEX($G:$G,MATCH(AD164,$A:$A,0)),"")))))</f>
        <v/>
      </c>
      <c r="AF164" s="18" t="str">
        <f aca="false">IF(AE164="","",IF(IFERROR(INDEX($G:$G,MATCH(AE164,$A:$A,0)),"")="","",TRIM(IF(ISNUMBER(FIND(",",IFERROR(INDEX($G:$G,MATCH(AE164,$A:$A,0)),""))),LEFT(IFERROR(INDEX($G:$G,MATCH(AE164,$A:$A,0)),""),FIND(",",IFERROR(INDEX($G:$G,MATCH(AE164,$A:$A,0)),""))-1),IFERROR(INDEX($G:$G,MATCH(AE164,$A:$A,0)),"")))))</f>
        <v/>
      </c>
      <c r="AG164" s="18" t="str">
        <f aca="false">IF(AF164="","",IF(IFERROR(INDEX($G:$G,MATCH(AF164,$A:$A,0)),"")="","",TRIM(IF(ISNUMBER(FIND(",",IFERROR(INDEX($G:$G,MATCH(AF164,$A:$A,0)),""))),LEFT(IFERROR(INDEX($G:$G,MATCH(AF164,$A:$A,0)),""),FIND(",",IFERROR(INDEX($G:$G,MATCH(AF164,$A:$A,0)),""))-1),IFERROR(INDEX($G:$G,MATCH(AF164,$A:$A,0)),"")))))</f>
        <v/>
      </c>
    </row>
    <row r="165" customFormat="false" ht="15" hidden="false" customHeight="false" outlineLevel="0" collapsed="false">
      <c r="A165" s="18"/>
      <c r="B165" s="19"/>
      <c r="C165" s="20"/>
      <c r="D165" s="20"/>
      <c r="E165" s="20"/>
      <c r="F165" s="20"/>
      <c r="G165" s="18"/>
      <c r="H165" s="20"/>
      <c r="I165" s="18"/>
      <c r="J165" s="20"/>
      <c r="K165" s="20"/>
      <c r="L165" s="20"/>
      <c r="M165" s="20"/>
      <c r="N165" s="20"/>
      <c r="O165" s="21" t="str">
        <f aca="false">IF(A165="","",IF(AD165="",0,IF(AE165="",1,IF(AF165="",2,IF(AG165="",3,"4+")))))</f>
        <v/>
      </c>
      <c r="P165" s="21" t="str">
        <f aca="false">IF(A165="","",B165&amp;IF(AD165="",""," &lt;- "&amp;IFERROR(INDEX($B:$B,MATCH(AD165,$A:$A,0)),AD165)&amp;IF(AE165="",""," &lt;- "&amp;IFERROR(INDEX($B:$B,MATCH(AE165,$A:$A,0)),AE165)&amp;IF(AF165="",""," &lt;- "&amp;IFERROR(INDEX($B:$B,MATCH(AF165,$A:$A,0)),AF165)&amp;IF(AG165="",""," &lt;- "&amp;IFERROR(INDEX($B:$B,MATCH(AG165,$A:$A,0)),AG165)))))&amp;IF(ISNUMBER(FIND(",",G165))," (+ other parents)",""))</f>
        <v/>
      </c>
      <c r="Q165" s="21" t="str">
        <f aca="false">IF(A165="","",IF(AD165="",E165&amp;"",IF(AE165="",IF(IFERROR(INDEX($E:$E,MATCH(AD165,$A:$A,0)),"")="","",INDEX($E:$E,MATCH(AD165,$A:$A,0))),IF(AF165="",IF(IFERROR(INDEX($E:$E,MATCH(AE165,$A:$A,0)),"")="","",INDEX($E:$E,MATCH(AE165,$A:$A,0))),IF(AG165="",IF(IFERROR(INDEX($E:$E,MATCH(AF165,$A:$A,0)),"")="","",INDEX($E:$E,MATCH(AF165,$A:$A,0))),IF(IFERROR(INDEX($E:$E,MATCH(AG165,$A:$A,0)),"")="","",INDEX($E:$E,MATCH(AG165,$A:$A,0))))))))</f>
        <v/>
      </c>
      <c r="R165" s="21" t="str">
        <f aca="false">IF(A165="","",COUNTIF(Fields!$D:$D,A165))</f>
        <v/>
      </c>
      <c r="S165" s="21" t="str">
        <f aca="false">IF(A165="","",SUMIF(Fields!$D:$D,A165,Fields!$Q:$Q))</f>
        <v/>
      </c>
      <c r="T165" s="21" t="str">
        <f aca="false">IF(A165="","",COUNTIF('Product inputs'!$D:$D,A165))</f>
        <v/>
      </c>
      <c r="U165" s="20"/>
      <c r="V165" s="20"/>
      <c r="W165" s="20"/>
      <c r="X165" s="20"/>
      <c r="Y165" s="20"/>
      <c r="Z165" s="20"/>
      <c r="AA165" s="20"/>
      <c r="AB165" s="20"/>
      <c r="AC165" s="20"/>
      <c r="AD165" s="18" t="str">
        <f aca="false">IF(A165="","",IF(IFERROR(INDEX($G:$G,MATCH(A165,$A:$A,0)),"")="","",TRIM(IF(ISNUMBER(FIND(",",IFERROR(INDEX($G:$G,MATCH(A165,$A:$A,0)),""))),LEFT(IFERROR(INDEX($G:$G,MATCH(A165,$A:$A,0)),""),FIND(",",IFERROR(INDEX($G:$G,MATCH(A165,$A:$A,0)),""))-1),IFERROR(INDEX($G:$G,MATCH(A165,$A:$A,0)),"")))))</f>
        <v/>
      </c>
      <c r="AE165" s="18" t="str">
        <f aca="false">IF(AD165="","",IF(IFERROR(INDEX($G:$G,MATCH(AD165,$A:$A,0)),"")="","",TRIM(IF(ISNUMBER(FIND(",",IFERROR(INDEX($G:$G,MATCH(AD165,$A:$A,0)),""))),LEFT(IFERROR(INDEX($G:$G,MATCH(AD165,$A:$A,0)),""),FIND(",",IFERROR(INDEX($G:$G,MATCH(AD165,$A:$A,0)),""))-1),IFERROR(INDEX($G:$G,MATCH(AD165,$A:$A,0)),"")))))</f>
        <v/>
      </c>
      <c r="AF165" s="18" t="str">
        <f aca="false">IF(AE165="","",IF(IFERROR(INDEX($G:$G,MATCH(AE165,$A:$A,0)),"")="","",TRIM(IF(ISNUMBER(FIND(",",IFERROR(INDEX($G:$G,MATCH(AE165,$A:$A,0)),""))),LEFT(IFERROR(INDEX($G:$G,MATCH(AE165,$A:$A,0)),""),FIND(",",IFERROR(INDEX($G:$G,MATCH(AE165,$A:$A,0)),""))-1),IFERROR(INDEX($G:$G,MATCH(AE165,$A:$A,0)),"")))))</f>
        <v/>
      </c>
      <c r="AG165" s="18" t="str">
        <f aca="false">IF(AF165="","",IF(IFERROR(INDEX($G:$G,MATCH(AF165,$A:$A,0)),"")="","",TRIM(IF(ISNUMBER(FIND(",",IFERROR(INDEX($G:$G,MATCH(AF165,$A:$A,0)),""))),LEFT(IFERROR(INDEX($G:$G,MATCH(AF165,$A:$A,0)),""),FIND(",",IFERROR(INDEX($G:$G,MATCH(AF165,$A:$A,0)),""))-1),IFERROR(INDEX($G:$G,MATCH(AF165,$A:$A,0)),"")))))</f>
        <v/>
      </c>
    </row>
    <row r="166" customFormat="false" ht="15" hidden="false" customHeight="false" outlineLevel="0" collapsed="false">
      <c r="A166" s="18"/>
      <c r="B166" s="19"/>
      <c r="C166" s="20"/>
      <c r="D166" s="20"/>
      <c r="E166" s="20"/>
      <c r="F166" s="20"/>
      <c r="G166" s="18"/>
      <c r="H166" s="20"/>
      <c r="I166" s="18"/>
      <c r="J166" s="20"/>
      <c r="K166" s="20"/>
      <c r="L166" s="20"/>
      <c r="M166" s="20"/>
      <c r="N166" s="20"/>
      <c r="O166" s="21" t="str">
        <f aca="false">IF(A166="","",IF(AD166="",0,IF(AE166="",1,IF(AF166="",2,IF(AG166="",3,"4+")))))</f>
        <v/>
      </c>
      <c r="P166" s="21" t="str">
        <f aca="false">IF(A166="","",B166&amp;IF(AD166="",""," &lt;- "&amp;IFERROR(INDEX($B:$B,MATCH(AD166,$A:$A,0)),AD166)&amp;IF(AE166="",""," &lt;- "&amp;IFERROR(INDEX($B:$B,MATCH(AE166,$A:$A,0)),AE166)&amp;IF(AF166="",""," &lt;- "&amp;IFERROR(INDEX($B:$B,MATCH(AF166,$A:$A,0)),AF166)&amp;IF(AG166="",""," &lt;- "&amp;IFERROR(INDEX($B:$B,MATCH(AG166,$A:$A,0)),AG166)))))&amp;IF(ISNUMBER(FIND(",",G166))," (+ other parents)",""))</f>
        <v/>
      </c>
      <c r="Q166" s="21" t="str">
        <f aca="false">IF(A166="","",IF(AD166="",E166&amp;"",IF(AE166="",IF(IFERROR(INDEX($E:$E,MATCH(AD166,$A:$A,0)),"")="","",INDEX($E:$E,MATCH(AD166,$A:$A,0))),IF(AF166="",IF(IFERROR(INDEX($E:$E,MATCH(AE166,$A:$A,0)),"")="","",INDEX($E:$E,MATCH(AE166,$A:$A,0))),IF(AG166="",IF(IFERROR(INDEX($E:$E,MATCH(AF166,$A:$A,0)),"")="","",INDEX($E:$E,MATCH(AF166,$A:$A,0))),IF(IFERROR(INDEX($E:$E,MATCH(AG166,$A:$A,0)),"")="","",INDEX($E:$E,MATCH(AG166,$A:$A,0))))))))</f>
        <v/>
      </c>
      <c r="R166" s="21" t="str">
        <f aca="false">IF(A166="","",COUNTIF(Fields!$D:$D,A166))</f>
        <v/>
      </c>
      <c r="S166" s="21" t="str">
        <f aca="false">IF(A166="","",SUMIF(Fields!$D:$D,A166,Fields!$Q:$Q))</f>
        <v/>
      </c>
      <c r="T166" s="21" t="str">
        <f aca="false">IF(A166="","",COUNTIF('Product inputs'!$D:$D,A166))</f>
        <v/>
      </c>
      <c r="U166" s="20"/>
      <c r="V166" s="20"/>
      <c r="W166" s="20"/>
      <c r="X166" s="20"/>
      <c r="Y166" s="20"/>
      <c r="Z166" s="20"/>
      <c r="AA166" s="20"/>
      <c r="AB166" s="20"/>
      <c r="AC166" s="20"/>
      <c r="AD166" s="18" t="str">
        <f aca="false">IF(A166="","",IF(IFERROR(INDEX($G:$G,MATCH(A166,$A:$A,0)),"")="","",TRIM(IF(ISNUMBER(FIND(",",IFERROR(INDEX($G:$G,MATCH(A166,$A:$A,0)),""))),LEFT(IFERROR(INDEX($G:$G,MATCH(A166,$A:$A,0)),""),FIND(",",IFERROR(INDEX($G:$G,MATCH(A166,$A:$A,0)),""))-1),IFERROR(INDEX($G:$G,MATCH(A166,$A:$A,0)),"")))))</f>
        <v/>
      </c>
      <c r="AE166" s="18" t="str">
        <f aca="false">IF(AD166="","",IF(IFERROR(INDEX($G:$G,MATCH(AD166,$A:$A,0)),"")="","",TRIM(IF(ISNUMBER(FIND(",",IFERROR(INDEX($G:$G,MATCH(AD166,$A:$A,0)),""))),LEFT(IFERROR(INDEX($G:$G,MATCH(AD166,$A:$A,0)),""),FIND(",",IFERROR(INDEX($G:$G,MATCH(AD166,$A:$A,0)),""))-1),IFERROR(INDEX($G:$G,MATCH(AD166,$A:$A,0)),"")))))</f>
        <v/>
      </c>
      <c r="AF166" s="18" t="str">
        <f aca="false">IF(AE166="","",IF(IFERROR(INDEX($G:$G,MATCH(AE166,$A:$A,0)),"")="","",TRIM(IF(ISNUMBER(FIND(",",IFERROR(INDEX($G:$G,MATCH(AE166,$A:$A,0)),""))),LEFT(IFERROR(INDEX($G:$G,MATCH(AE166,$A:$A,0)),""),FIND(",",IFERROR(INDEX($G:$G,MATCH(AE166,$A:$A,0)),""))-1),IFERROR(INDEX($G:$G,MATCH(AE166,$A:$A,0)),"")))))</f>
        <v/>
      </c>
      <c r="AG166" s="18" t="str">
        <f aca="false">IF(AF166="","",IF(IFERROR(INDEX($G:$G,MATCH(AF166,$A:$A,0)),"")="","",TRIM(IF(ISNUMBER(FIND(",",IFERROR(INDEX($G:$G,MATCH(AF166,$A:$A,0)),""))),LEFT(IFERROR(INDEX($G:$G,MATCH(AF166,$A:$A,0)),""),FIND(",",IFERROR(INDEX($G:$G,MATCH(AF166,$A:$A,0)),""))-1),IFERROR(INDEX($G:$G,MATCH(AF166,$A:$A,0)),"")))))</f>
        <v/>
      </c>
    </row>
    <row r="167" customFormat="false" ht="15" hidden="false" customHeight="false" outlineLevel="0" collapsed="false">
      <c r="A167" s="18"/>
      <c r="B167" s="19"/>
      <c r="C167" s="20"/>
      <c r="D167" s="20"/>
      <c r="E167" s="20"/>
      <c r="F167" s="20"/>
      <c r="G167" s="18"/>
      <c r="H167" s="20"/>
      <c r="I167" s="18"/>
      <c r="J167" s="20"/>
      <c r="K167" s="20"/>
      <c r="L167" s="20"/>
      <c r="M167" s="20"/>
      <c r="N167" s="20"/>
      <c r="O167" s="21" t="str">
        <f aca="false">IF(A167="","",IF(AD167="",0,IF(AE167="",1,IF(AF167="",2,IF(AG167="",3,"4+")))))</f>
        <v/>
      </c>
      <c r="P167" s="21" t="str">
        <f aca="false">IF(A167="","",B167&amp;IF(AD167="",""," &lt;- "&amp;IFERROR(INDEX($B:$B,MATCH(AD167,$A:$A,0)),AD167)&amp;IF(AE167="",""," &lt;- "&amp;IFERROR(INDEX($B:$B,MATCH(AE167,$A:$A,0)),AE167)&amp;IF(AF167="",""," &lt;- "&amp;IFERROR(INDEX($B:$B,MATCH(AF167,$A:$A,0)),AF167)&amp;IF(AG167="",""," &lt;- "&amp;IFERROR(INDEX($B:$B,MATCH(AG167,$A:$A,0)),AG167)))))&amp;IF(ISNUMBER(FIND(",",G167))," (+ other parents)",""))</f>
        <v/>
      </c>
      <c r="Q167" s="21" t="str">
        <f aca="false">IF(A167="","",IF(AD167="",E167&amp;"",IF(AE167="",IF(IFERROR(INDEX($E:$E,MATCH(AD167,$A:$A,0)),"")="","",INDEX($E:$E,MATCH(AD167,$A:$A,0))),IF(AF167="",IF(IFERROR(INDEX($E:$E,MATCH(AE167,$A:$A,0)),"")="","",INDEX($E:$E,MATCH(AE167,$A:$A,0))),IF(AG167="",IF(IFERROR(INDEX($E:$E,MATCH(AF167,$A:$A,0)),"")="","",INDEX($E:$E,MATCH(AF167,$A:$A,0))),IF(IFERROR(INDEX($E:$E,MATCH(AG167,$A:$A,0)),"")="","",INDEX($E:$E,MATCH(AG167,$A:$A,0))))))))</f>
        <v/>
      </c>
      <c r="R167" s="21" t="str">
        <f aca="false">IF(A167="","",COUNTIF(Fields!$D:$D,A167))</f>
        <v/>
      </c>
      <c r="S167" s="21" t="str">
        <f aca="false">IF(A167="","",SUMIF(Fields!$D:$D,A167,Fields!$Q:$Q))</f>
        <v/>
      </c>
      <c r="T167" s="21" t="str">
        <f aca="false">IF(A167="","",COUNTIF('Product inputs'!$D:$D,A167))</f>
        <v/>
      </c>
      <c r="U167" s="20"/>
      <c r="V167" s="20"/>
      <c r="W167" s="20"/>
      <c r="X167" s="20"/>
      <c r="Y167" s="20"/>
      <c r="Z167" s="20"/>
      <c r="AA167" s="20"/>
      <c r="AB167" s="20"/>
      <c r="AC167" s="20"/>
      <c r="AD167" s="18" t="str">
        <f aca="false">IF(A167="","",IF(IFERROR(INDEX($G:$G,MATCH(A167,$A:$A,0)),"")="","",TRIM(IF(ISNUMBER(FIND(",",IFERROR(INDEX($G:$G,MATCH(A167,$A:$A,0)),""))),LEFT(IFERROR(INDEX($G:$G,MATCH(A167,$A:$A,0)),""),FIND(",",IFERROR(INDEX($G:$G,MATCH(A167,$A:$A,0)),""))-1),IFERROR(INDEX($G:$G,MATCH(A167,$A:$A,0)),"")))))</f>
        <v/>
      </c>
      <c r="AE167" s="18" t="str">
        <f aca="false">IF(AD167="","",IF(IFERROR(INDEX($G:$G,MATCH(AD167,$A:$A,0)),"")="","",TRIM(IF(ISNUMBER(FIND(",",IFERROR(INDEX($G:$G,MATCH(AD167,$A:$A,0)),""))),LEFT(IFERROR(INDEX($G:$G,MATCH(AD167,$A:$A,0)),""),FIND(",",IFERROR(INDEX($G:$G,MATCH(AD167,$A:$A,0)),""))-1),IFERROR(INDEX($G:$G,MATCH(AD167,$A:$A,0)),"")))))</f>
        <v/>
      </c>
      <c r="AF167" s="18" t="str">
        <f aca="false">IF(AE167="","",IF(IFERROR(INDEX($G:$G,MATCH(AE167,$A:$A,0)),"")="","",TRIM(IF(ISNUMBER(FIND(",",IFERROR(INDEX($G:$G,MATCH(AE167,$A:$A,0)),""))),LEFT(IFERROR(INDEX($G:$G,MATCH(AE167,$A:$A,0)),""),FIND(",",IFERROR(INDEX($G:$G,MATCH(AE167,$A:$A,0)),""))-1),IFERROR(INDEX($G:$G,MATCH(AE167,$A:$A,0)),"")))))</f>
        <v/>
      </c>
      <c r="AG167" s="18" t="str">
        <f aca="false">IF(AF167="","",IF(IFERROR(INDEX($G:$G,MATCH(AF167,$A:$A,0)),"")="","",TRIM(IF(ISNUMBER(FIND(",",IFERROR(INDEX($G:$G,MATCH(AF167,$A:$A,0)),""))),LEFT(IFERROR(INDEX($G:$G,MATCH(AF167,$A:$A,0)),""),FIND(",",IFERROR(INDEX($G:$G,MATCH(AF167,$A:$A,0)),""))-1),IFERROR(INDEX($G:$G,MATCH(AF167,$A:$A,0)),"")))))</f>
        <v/>
      </c>
    </row>
    <row r="168" customFormat="false" ht="15" hidden="false" customHeight="false" outlineLevel="0" collapsed="false">
      <c r="A168" s="18"/>
      <c r="B168" s="19"/>
      <c r="C168" s="20"/>
      <c r="D168" s="20"/>
      <c r="E168" s="20"/>
      <c r="F168" s="20"/>
      <c r="G168" s="18"/>
      <c r="H168" s="20"/>
      <c r="I168" s="18"/>
      <c r="J168" s="20"/>
      <c r="K168" s="20"/>
      <c r="L168" s="20"/>
      <c r="M168" s="20"/>
      <c r="N168" s="20"/>
      <c r="O168" s="21" t="str">
        <f aca="false">IF(A168="","",IF(AD168="",0,IF(AE168="",1,IF(AF168="",2,IF(AG168="",3,"4+")))))</f>
        <v/>
      </c>
      <c r="P168" s="21" t="str">
        <f aca="false">IF(A168="","",B168&amp;IF(AD168="",""," &lt;- "&amp;IFERROR(INDEX($B:$B,MATCH(AD168,$A:$A,0)),AD168)&amp;IF(AE168="",""," &lt;- "&amp;IFERROR(INDEX($B:$B,MATCH(AE168,$A:$A,0)),AE168)&amp;IF(AF168="",""," &lt;- "&amp;IFERROR(INDEX($B:$B,MATCH(AF168,$A:$A,0)),AF168)&amp;IF(AG168="",""," &lt;- "&amp;IFERROR(INDEX($B:$B,MATCH(AG168,$A:$A,0)),AG168)))))&amp;IF(ISNUMBER(FIND(",",G168))," (+ other parents)",""))</f>
        <v/>
      </c>
      <c r="Q168" s="21" t="str">
        <f aca="false">IF(A168="","",IF(AD168="",E168&amp;"",IF(AE168="",IF(IFERROR(INDEX($E:$E,MATCH(AD168,$A:$A,0)),"")="","",INDEX($E:$E,MATCH(AD168,$A:$A,0))),IF(AF168="",IF(IFERROR(INDEX($E:$E,MATCH(AE168,$A:$A,0)),"")="","",INDEX($E:$E,MATCH(AE168,$A:$A,0))),IF(AG168="",IF(IFERROR(INDEX($E:$E,MATCH(AF168,$A:$A,0)),"")="","",INDEX($E:$E,MATCH(AF168,$A:$A,0))),IF(IFERROR(INDEX($E:$E,MATCH(AG168,$A:$A,0)),"")="","",INDEX($E:$E,MATCH(AG168,$A:$A,0))))))))</f>
        <v/>
      </c>
      <c r="R168" s="21" t="str">
        <f aca="false">IF(A168="","",COUNTIF(Fields!$D:$D,A168))</f>
        <v/>
      </c>
      <c r="S168" s="21" t="str">
        <f aca="false">IF(A168="","",SUMIF(Fields!$D:$D,A168,Fields!$Q:$Q))</f>
        <v/>
      </c>
      <c r="T168" s="21" t="str">
        <f aca="false">IF(A168="","",COUNTIF('Product inputs'!$D:$D,A168))</f>
        <v/>
      </c>
      <c r="U168" s="20"/>
      <c r="V168" s="20"/>
      <c r="W168" s="20"/>
      <c r="X168" s="20"/>
      <c r="Y168" s="20"/>
      <c r="Z168" s="20"/>
      <c r="AA168" s="20"/>
      <c r="AB168" s="20"/>
      <c r="AC168" s="20"/>
      <c r="AD168" s="18" t="str">
        <f aca="false">IF(A168="","",IF(IFERROR(INDEX($G:$G,MATCH(A168,$A:$A,0)),"")="","",TRIM(IF(ISNUMBER(FIND(",",IFERROR(INDEX($G:$G,MATCH(A168,$A:$A,0)),""))),LEFT(IFERROR(INDEX($G:$G,MATCH(A168,$A:$A,0)),""),FIND(",",IFERROR(INDEX($G:$G,MATCH(A168,$A:$A,0)),""))-1),IFERROR(INDEX($G:$G,MATCH(A168,$A:$A,0)),"")))))</f>
        <v/>
      </c>
      <c r="AE168" s="18" t="str">
        <f aca="false">IF(AD168="","",IF(IFERROR(INDEX($G:$G,MATCH(AD168,$A:$A,0)),"")="","",TRIM(IF(ISNUMBER(FIND(",",IFERROR(INDEX($G:$G,MATCH(AD168,$A:$A,0)),""))),LEFT(IFERROR(INDEX($G:$G,MATCH(AD168,$A:$A,0)),""),FIND(",",IFERROR(INDEX($G:$G,MATCH(AD168,$A:$A,0)),""))-1),IFERROR(INDEX($G:$G,MATCH(AD168,$A:$A,0)),"")))))</f>
        <v/>
      </c>
      <c r="AF168" s="18" t="str">
        <f aca="false">IF(AE168="","",IF(IFERROR(INDEX($G:$G,MATCH(AE168,$A:$A,0)),"")="","",TRIM(IF(ISNUMBER(FIND(",",IFERROR(INDEX($G:$G,MATCH(AE168,$A:$A,0)),""))),LEFT(IFERROR(INDEX($G:$G,MATCH(AE168,$A:$A,0)),""),FIND(",",IFERROR(INDEX($G:$G,MATCH(AE168,$A:$A,0)),""))-1),IFERROR(INDEX($G:$G,MATCH(AE168,$A:$A,0)),"")))))</f>
        <v/>
      </c>
      <c r="AG168" s="18" t="str">
        <f aca="false">IF(AF168="","",IF(IFERROR(INDEX($G:$G,MATCH(AF168,$A:$A,0)),"")="","",TRIM(IF(ISNUMBER(FIND(",",IFERROR(INDEX($G:$G,MATCH(AF168,$A:$A,0)),""))),LEFT(IFERROR(INDEX($G:$G,MATCH(AF168,$A:$A,0)),""),FIND(",",IFERROR(INDEX($G:$G,MATCH(AF168,$A:$A,0)),""))-1),IFERROR(INDEX($G:$G,MATCH(AF168,$A:$A,0)),"")))))</f>
        <v/>
      </c>
    </row>
    <row r="169" customFormat="false" ht="15" hidden="false" customHeight="false" outlineLevel="0" collapsed="false">
      <c r="A169" s="18"/>
      <c r="B169" s="19"/>
      <c r="C169" s="20"/>
      <c r="D169" s="20"/>
      <c r="E169" s="20"/>
      <c r="F169" s="20"/>
      <c r="G169" s="18"/>
      <c r="H169" s="20"/>
      <c r="I169" s="18"/>
      <c r="J169" s="20"/>
      <c r="K169" s="20"/>
      <c r="L169" s="20"/>
      <c r="M169" s="20"/>
      <c r="N169" s="20"/>
      <c r="O169" s="21" t="str">
        <f aca="false">IF(A169="","",IF(AD169="",0,IF(AE169="",1,IF(AF169="",2,IF(AG169="",3,"4+")))))</f>
        <v/>
      </c>
      <c r="P169" s="21" t="str">
        <f aca="false">IF(A169="","",B169&amp;IF(AD169="",""," &lt;- "&amp;IFERROR(INDEX($B:$B,MATCH(AD169,$A:$A,0)),AD169)&amp;IF(AE169="",""," &lt;- "&amp;IFERROR(INDEX($B:$B,MATCH(AE169,$A:$A,0)),AE169)&amp;IF(AF169="",""," &lt;- "&amp;IFERROR(INDEX($B:$B,MATCH(AF169,$A:$A,0)),AF169)&amp;IF(AG169="",""," &lt;- "&amp;IFERROR(INDEX($B:$B,MATCH(AG169,$A:$A,0)),AG169)))))&amp;IF(ISNUMBER(FIND(",",G169))," (+ other parents)",""))</f>
        <v/>
      </c>
      <c r="Q169" s="21" t="str">
        <f aca="false">IF(A169="","",IF(AD169="",E169&amp;"",IF(AE169="",IF(IFERROR(INDEX($E:$E,MATCH(AD169,$A:$A,0)),"")="","",INDEX($E:$E,MATCH(AD169,$A:$A,0))),IF(AF169="",IF(IFERROR(INDEX($E:$E,MATCH(AE169,$A:$A,0)),"")="","",INDEX($E:$E,MATCH(AE169,$A:$A,0))),IF(AG169="",IF(IFERROR(INDEX($E:$E,MATCH(AF169,$A:$A,0)),"")="","",INDEX($E:$E,MATCH(AF169,$A:$A,0))),IF(IFERROR(INDEX($E:$E,MATCH(AG169,$A:$A,0)),"")="","",INDEX($E:$E,MATCH(AG169,$A:$A,0))))))))</f>
        <v/>
      </c>
      <c r="R169" s="21" t="str">
        <f aca="false">IF(A169="","",COUNTIF(Fields!$D:$D,A169))</f>
        <v/>
      </c>
      <c r="S169" s="21" t="str">
        <f aca="false">IF(A169="","",SUMIF(Fields!$D:$D,A169,Fields!$Q:$Q))</f>
        <v/>
      </c>
      <c r="T169" s="21" t="str">
        <f aca="false">IF(A169="","",COUNTIF('Product inputs'!$D:$D,A169))</f>
        <v/>
      </c>
      <c r="U169" s="20"/>
      <c r="V169" s="20"/>
      <c r="W169" s="20"/>
      <c r="X169" s="20"/>
      <c r="Y169" s="20"/>
      <c r="Z169" s="20"/>
      <c r="AA169" s="20"/>
      <c r="AB169" s="20"/>
      <c r="AC169" s="20"/>
      <c r="AD169" s="18" t="str">
        <f aca="false">IF(A169="","",IF(IFERROR(INDEX($G:$G,MATCH(A169,$A:$A,0)),"")="","",TRIM(IF(ISNUMBER(FIND(",",IFERROR(INDEX($G:$G,MATCH(A169,$A:$A,0)),""))),LEFT(IFERROR(INDEX($G:$G,MATCH(A169,$A:$A,0)),""),FIND(",",IFERROR(INDEX($G:$G,MATCH(A169,$A:$A,0)),""))-1),IFERROR(INDEX($G:$G,MATCH(A169,$A:$A,0)),"")))))</f>
        <v/>
      </c>
      <c r="AE169" s="18" t="str">
        <f aca="false">IF(AD169="","",IF(IFERROR(INDEX($G:$G,MATCH(AD169,$A:$A,0)),"")="","",TRIM(IF(ISNUMBER(FIND(",",IFERROR(INDEX($G:$G,MATCH(AD169,$A:$A,0)),""))),LEFT(IFERROR(INDEX($G:$G,MATCH(AD169,$A:$A,0)),""),FIND(",",IFERROR(INDEX($G:$G,MATCH(AD169,$A:$A,0)),""))-1),IFERROR(INDEX($G:$G,MATCH(AD169,$A:$A,0)),"")))))</f>
        <v/>
      </c>
      <c r="AF169" s="18" t="str">
        <f aca="false">IF(AE169="","",IF(IFERROR(INDEX($G:$G,MATCH(AE169,$A:$A,0)),"")="","",TRIM(IF(ISNUMBER(FIND(",",IFERROR(INDEX($G:$G,MATCH(AE169,$A:$A,0)),""))),LEFT(IFERROR(INDEX($G:$G,MATCH(AE169,$A:$A,0)),""),FIND(",",IFERROR(INDEX($G:$G,MATCH(AE169,$A:$A,0)),""))-1),IFERROR(INDEX($G:$G,MATCH(AE169,$A:$A,0)),"")))))</f>
        <v/>
      </c>
      <c r="AG169" s="18" t="str">
        <f aca="false">IF(AF169="","",IF(IFERROR(INDEX($G:$G,MATCH(AF169,$A:$A,0)),"")="","",TRIM(IF(ISNUMBER(FIND(",",IFERROR(INDEX($G:$G,MATCH(AF169,$A:$A,0)),""))),LEFT(IFERROR(INDEX($G:$G,MATCH(AF169,$A:$A,0)),""),FIND(",",IFERROR(INDEX($G:$G,MATCH(AF169,$A:$A,0)),""))-1),IFERROR(INDEX($G:$G,MATCH(AF169,$A:$A,0)),"")))))</f>
        <v/>
      </c>
    </row>
    <row r="170" customFormat="false" ht="15" hidden="false" customHeight="false" outlineLevel="0" collapsed="false">
      <c r="A170" s="18"/>
      <c r="B170" s="19"/>
      <c r="C170" s="20"/>
      <c r="D170" s="20"/>
      <c r="E170" s="20"/>
      <c r="F170" s="20"/>
      <c r="G170" s="18"/>
      <c r="H170" s="20"/>
      <c r="I170" s="18"/>
      <c r="J170" s="20"/>
      <c r="K170" s="20"/>
      <c r="L170" s="20"/>
      <c r="M170" s="20"/>
      <c r="N170" s="20"/>
      <c r="O170" s="21" t="str">
        <f aca="false">IF(A170="","",IF(AD170="",0,IF(AE170="",1,IF(AF170="",2,IF(AG170="",3,"4+")))))</f>
        <v/>
      </c>
      <c r="P170" s="21" t="str">
        <f aca="false">IF(A170="","",B170&amp;IF(AD170="",""," &lt;- "&amp;IFERROR(INDEX($B:$B,MATCH(AD170,$A:$A,0)),AD170)&amp;IF(AE170="",""," &lt;- "&amp;IFERROR(INDEX($B:$B,MATCH(AE170,$A:$A,0)),AE170)&amp;IF(AF170="",""," &lt;- "&amp;IFERROR(INDEX($B:$B,MATCH(AF170,$A:$A,0)),AF170)&amp;IF(AG170="",""," &lt;- "&amp;IFERROR(INDEX($B:$B,MATCH(AG170,$A:$A,0)),AG170)))))&amp;IF(ISNUMBER(FIND(",",G170))," (+ other parents)",""))</f>
        <v/>
      </c>
      <c r="Q170" s="21" t="str">
        <f aca="false">IF(A170="","",IF(AD170="",E170&amp;"",IF(AE170="",IF(IFERROR(INDEX($E:$E,MATCH(AD170,$A:$A,0)),"")="","",INDEX($E:$E,MATCH(AD170,$A:$A,0))),IF(AF170="",IF(IFERROR(INDEX($E:$E,MATCH(AE170,$A:$A,0)),"")="","",INDEX($E:$E,MATCH(AE170,$A:$A,0))),IF(AG170="",IF(IFERROR(INDEX($E:$E,MATCH(AF170,$A:$A,0)),"")="","",INDEX($E:$E,MATCH(AF170,$A:$A,0))),IF(IFERROR(INDEX($E:$E,MATCH(AG170,$A:$A,0)),"")="","",INDEX($E:$E,MATCH(AG170,$A:$A,0))))))))</f>
        <v/>
      </c>
      <c r="R170" s="21" t="str">
        <f aca="false">IF(A170="","",COUNTIF(Fields!$D:$D,A170))</f>
        <v/>
      </c>
      <c r="S170" s="21" t="str">
        <f aca="false">IF(A170="","",SUMIF(Fields!$D:$D,A170,Fields!$Q:$Q))</f>
        <v/>
      </c>
      <c r="T170" s="21" t="str">
        <f aca="false">IF(A170="","",COUNTIF('Product inputs'!$D:$D,A170))</f>
        <v/>
      </c>
      <c r="U170" s="20"/>
      <c r="V170" s="20"/>
      <c r="W170" s="20"/>
      <c r="X170" s="20"/>
      <c r="Y170" s="20"/>
      <c r="Z170" s="20"/>
      <c r="AA170" s="20"/>
      <c r="AB170" s="20"/>
      <c r="AC170" s="20"/>
      <c r="AD170" s="18" t="str">
        <f aca="false">IF(A170="","",IF(IFERROR(INDEX($G:$G,MATCH(A170,$A:$A,0)),"")="","",TRIM(IF(ISNUMBER(FIND(",",IFERROR(INDEX($G:$G,MATCH(A170,$A:$A,0)),""))),LEFT(IFERROR(INDEX($G:$G,MATCH(A170,$A:$A,0)),""),FIND(",",IFERROR(INDEX($G:$G,MATCH(A170,$A:$A,0)),""))-1),IFERROR(INDEX($G:$G,MATCH(A170,$A:$A,0)),"")))))</f>
        <v/>
      </c>
      <c r="AE170" s="18" t="str">
        <f aca="false">IF(AD170="","",IF(IFERROR(INDEX($G:$G,MATCH(AD170,$A:$A,0)),"")="","",TRIM(IF(ISNUMBER(FIND(",",IFERROR(INDEX($G:$G,MATCH(AD170,$A:$A,0)),""))),LEFT(IFERROR(INDEX($G:$G,MATCH(AD170,$A:$A,0)),""),FIND(",",IFERROR(INDEX($G:$G,MATCH(AD170,$A:$A,0)),""))-1),IFERROR(INDEX($G:$G,MATCH(AD170,$A:$A,0)),"")))))</f>
        <v/>
      </c>
      <c r="AF170" s="18" t="str">
        <f aca="false">IF(AE170="","",IF(IFERROR(INDEX($G:$G,MATCH(AE170,$A:$A,0)),"")="","",TRIM(IF(ISNUMBER(FIND(",",IFERROR(INDEX($G:$G,MATCH(AE170,$A:$A,0)),""))),LEFT(IFERROR(INDEX($G:$G,MATCH(AE170,$A:$A,0)),""),FIND(",",IFERROR(INDEX($G:$G,MATCH(AE170,$A:$A,0)),""))-1),IFERROR(INDEX($G:$G,MATCH(AE170,$A:$A,0)),"")))))</f>
        <v/>
      </c>
      <c r="AG170" s="18" t="str">
        <f aca="false">IF(AF170="","",IF(IFERROR(INDEX($G:$G,MATCH(AF170,$A:$A,0)),"")="","",TRIM(IF(ISNUMBER(FIND(",",IFERROR(INDEX($G:$G,MATCH(AF170,$A:$A,0)),""))),LEFT(IFERROR(INDEX($G:$G,MATCH(AF170,$A:$A,0)),""),FIND(",",IFERROR(INDEX($G:$G,MATCH(AF170,$A:$A,0)),""))-1),IFERROR(INDEX($G:$G,MATCH(AF170,$A:$A,0)),"")))))</f>
        <v/>
      </c>
    </row>
    <row r="171" customFormat="false" ht="15" hidden="false" customHeight="false" outlineLevel="0" collapsed="false">
      <c r="A171" s="18"/>
      <c r="B171" s="19"/>
      <c r="C171" s="20"/>
      <c r="D171" s="20"/>
      <c r="E171" s="20"/>
      <c r="F171" s="20"/>
      <c r="G171" s="18"/>
      <c r="H171" s="20"/>
      <c r="I171" s="18"/>
      <c r="J171" s="20"/>
      <c r="K171" s="20"/>
      <c r="L171" s="20"/>
      <c r="M171" s="20"/>
      <c r="N171" s="20"/>
      <c r="O171" s="21" t="str">
        <f aca="false">IF(A171="","",IF(AD171="",0,IF(AE171="",1,IF(AF171="",2,IF(AG171="",3,"4+")))))</f>
        <v/>
      </c>
      <c r="P171" s="21" t="str">
        <f aca="false">IF(A171="","",B171&amp;IF(AD171="",""," &lt;- "&amp;IFERROR(INDEX($B:$B,MATCH(AD171,$A:$A,0)),AD171)&amp;IF(AE171="",""," &lt;- "&amp;IFERROR(INDEX($B:$B,MATCH(AE171,$A:$A,0)),AE171)&amp;IF(AF171="",""," &lt;- "&amp;IFERROR(INDEX($B:$B,MATCH(AF171,$A:$A,0)),AF171)&amp;IF(AG171="",""," &lt;- "&amp;IFERROR(INDEX($B:$B,MATCH(AG171,$A:$A,0)),AG171)))))&amp;IF(ISNUMBER(FIND(",",G171))," (+ other parents)",""))</f>
        <v/>
      </c>
      <c r="Q171" s="21" t="str">
        <f aca="false">IF(A171="","",IF(AD171="",E171&amp;"",IF(AE171="",IF(IFERROR(INDEX($E:$E,MATCH(AD171,$A:$A,0)),"")="","",INDEX($E:$E,MATCH(AD171,$A:$A,0))),IF(AF171="",IF(IFERROR(INDEX($E:$E,MATCH(AE171,$A:$A,0)),"")="","",INDEX($E:$E,MATCH(AE171,$A:$A,0))),IF(AG171="",IF(IFERROR(INDEX($E:$E,MATCH(AF171,$A:$A,0)),"")="","",INDEX($E:$E,MATCH(AF171,$A:$A,0))),IF(IFERROR(INDEX($E:$E,MATCH(AG171,$A:$A,0)),"")="","",INDEX($E:$E,MATCH(AG171,$A:$A,0))))))))</f>
        <v/>
      </c>
      <c r="R171" s="21" t="str">
        <f aca="false">IF(A171="","",COUNTIF(Fields!$D:$D,A171))</f>
        <v/>
      </c>
      <c r="S171" s="21" t="str">
        <f aca="false">IF(A171="","",SUMIF(Fields!$D:$D,A171,Fields!$Q:$Q))</f>
        <v/>
      </c>
      <c r="T171" s="21" t="str">
        <f aca="false">IF(A171="","",COUNTIF('Product inputs'!$D:$D,A171))</f>
        <v/>
      </c>
      <c r="U171" s="20"/>
      <c r="V171" s="20"/>
      <c r="W171" s="20"/>
      <c r="X171" s="20"/>
      <c r="Y171" s="20"/>
      <c r="Z171" s="20"/>
      <c r="AA171" s="20"/>
      <c r="AB171" s="20"/>
      <c r="AC171" s="20"/>
      <c r="AD171" s="18" t="str">
        <f aca="false">IF(A171="","",IF(IFERROR(INDEX($G:$G,MATCH(A171,$A:$A,0)),"")="","",TRIM(IF(ISNUMBER(FIND(",",IFERROR(INDEX($G:$G,MATCH(A171,$A:$A,0)),""))),LEFT(IFERROR(INDEX($G:$G,MATCH(A171,$A:$A,0)),""),FIND(",",IFERROR(INDEX($G:$G,MATCH(A171,$A:$A,0)),""))-1),IFERROR(INDEX($G:$G,MATCH(A171,$A:$A,0)),"")))))</f>
        <v/>
      </c>
      <c r="AE171" s="18" t="str">
        <f aca="false">IF(AD171="","",IF(IFERROR(INDEX($G:$G,MATCH(AD171,$A:$A,0)),"")="","",TRIM(IF(ISNUMBER(FIND(",",IFERROR(INDEX($G:$G,MATCH(AD171,$A:$A,0)),""))),LEFT(IFERROR(INDEX($G:$G,MATCH(AD171,$A:$A,0)),""),FIND(",",IFERROR(INDEX($G:$G,MATCH(AD171,$A:$A,0)),""))-1),IFERROR(INDEX($G:$G,MATCH(AD171,$A:$A,0)),"")))))</f>
        <v/>
      </c>
      <c r="AF171" s="18" t="str">
        <f aca="false">IF(AE171="","",IF(IFERROR(INDEX($G:$G,MATCH(AE171,$A:$A,0)),"")="","",TRIM(IF(ISNUMBER(FIND(",",IFERROR(INDEX($G:$G,MATCH(AE171,$A:$A,0)),""))),LEFT(IFERROR(INDEX($G:$G,MATCH(AE171,$A:$A,0)),""),FIND(",",IFERROR(INDEX($G:$G,MATCH(AE171,$A:$A,0)),""))-1),IFERROR(INDEX($G:$G,MATCH(AE171,$A:$A,0)),"")))))</f>
        <v/>
      </c>
      <c r="AG171" s="18" t="str">
        <f aca="false">IF(AF171="","",IF(IFERROR(INDEX($G:$G,MATCH(AF171,$A:$A,0)),"")="","",TRIM(IF(ISNUMBER(FIND(",",IFERROR(INDEX($G:$G,MATCH(AF171,$A:$A,0)),""))),LEFT(IFERROR(INDEX($G:$G,MATCH(AF171,$A:$A,0)),""),FIND(",",IFERROR(INDEX($G:$G,MATCH(AF171,$A:$A,0)),""))-1),IFERROR(INDEX($G:$G,MATCH(AF171,$A:$A,0)),"")))))</f>
        <v/>
      </c>
    </row>
    <row r="172" customFormat="false" ht="15" hidden="false" customHeight="false" outlineLevel="0" collapsed="false">
      <c r="A172" s="18"/>
      <c r="B172" s="19"/>
      <c r="C172" s="20"/>
      <c r="D172" s="20"/>
      <c r="E172" s="20"/>
      <c r="F172" s="20"/>
      <c r="G172" s="18"/>
      <c r="H172" s="20"/>
      <c r="I172" s="18"/>
      <c r="J172" s="20"/>
      <c r="K172" s="20"/>
      <c r="L172" s="20"/>
      <c r="M172" s="20"/>
      <c r="N172" s="20"/>
      <c r="O172" s="21" t="str">
        <f aca="false">IF(A172="","",IF(AD172="",0,IF(AE172="",1,IF(AF172="",2,IF(AG172="",3,"4+")))))</f>
        <v/>
      </c>
      <c r="P172" s="21" t="str">
        <f aca="false">IF(A172="","",B172&amp;IF(AD172="",""," &lt;- "&amp;IFERROR(INDEX($B:$B,MATCH(AD172,$A:$A,0)),AD172)&amp;IF(AE172="",""," &lt;- "&amp;IFERROR(INDEX($B:$B,MATCH(AE172,$A:$A,0)),AE172)&amp;IF(AF172="",""," &lt;- "&amp;IFERROR(INDEX($B:$B,MATCH(AF172,$A:$A,0)),AF172)&amp;IF(AG172="",""," &lt;- "&amp;IFERROR(INDEX($B:$B,MATCH(AG172,$A:$A,0)),AG172)))))&amp;IF(ISNUMBER(FIND(",",G172))," (+ other parents)",""))</f>
        <v/>
      </c>
      <c r="Q172" s="21" t="str">
        <f aca="false">IF(A172="","",IF(AD172="",E172&amp;"",IF(AE172="",IF(IFERROR(INDEX($E:$E,MATCH(AD172,$A:$A,0)),"")="","",INDEX($E:$E,MATCH(AD172,$A:$A,0))),IF(AF172="",IF(IFERROR(INDEX($E:$E,MATCH(AE172,$A:$A,0)),"")="","",INDEX($E:$E,MATCH(AE172,$A:$A,0))),IF(AG172="",IF(IFERROR(INDEX($E:$E,MATCH(AF172,$A:$A,0)),"")="","",INDEX($E:$E,MATCH(AF172,$A:$A,0))),IF(IFERROR(INDEX($E:$E,MATCH(AG172,$A:$A,0)),"")="","",INDEX($E:$E,MATCH(AG172,$A:$A,0))))))))</f>
        <v/>
      </c>
      <c r="R172" s="21" t="str">
        <f aca="false">IF(A172="","",COUNTIF(Fields!$D:$D,A172))</f>
        <v/>
      </c>
      <c r="S172" s="21" t="str">
        <f aca="false">IF(A172="","",SUMIF(Fields!$D:$D,A172,Fields!$Q:$Q))</f>
        <v/>
      </c>
      <c r="T172" s="21" t="str">
        <f aca="false">IF(A172="","",COUNTIF('Product inputs'!$D:$D,A172))</f>
        <v/>
      </c>
      <c r="U172" s="20"/>
      <c r="V172" s="20"/>
      <c r="W172" s="20"/>
      <c r="X172" s="20"/>
      <c r="Y172" s="20"/>
      <c r="Z172" s="20"/>
      <c r="AA172" s="20"/>
      <c r="AB172" s="20"/>
      <c r="AC172" s="20"/>
      <c r="AD172" s="18" t="str">
        <f aca="false">IF(A172="","",IF(IFERROR(INDEX($G:$G,MATCH(A172,$A:$A,0)),"")="","",TRIM(IF(ISNUMBER(FIND(",",IFERROR(INDEX($G:$G,MATCH(A172,$A:$A,0)),""))),LEFT(IFERROR(INDEX($G:$G,MATCH(A172,$A:$A,0)),""),FIND(",",IFERROR(INDEX($G:$G,MATCH(A172,$A:$A,0)),""))-1),IFERROR(INDEX($G:$G,MATCH(A172,$A:$A,0)),"")))))</f>
        <v/>
      </c>
      <c r="AE172" s="18" t="str">
        <f aca="false">IF(AD172="","",IF(IFERROR(INDEX($G:$G,MATCH(AD172,$A:$A,0)),"")="","",TRIM(IF(ISNUMBER(FIND(",",IFERROR(INDEX($G:$G,MATCH(AD172,$A:$A,0)),""))),LEFT(IFERROR(INDEX($G:$G,MATCH(AD172,$A:$A,0)),""),FIND(",",IFERROR(INDEX($G:$G,MATCH(AD172,$A:$A,0)),""))-1),IFERROR(INDEX($G:$G,MATCH(AD172,$A:$A,0)),"")))))</f>
        <v/>
      </c>
      <c r="AF172" s="18" t="str">
        <f aca="false">IF(AE172="","",IF(IFERROR(INDEX($G:$G,MATCH(AE172,$A:$A,0)),"")="","",TRIM(IF(ISNUMBER(FIND(",",IFERROR(INDEX($G:$G,MATCH(AE172,$A:$A,0)),""))),LEFT(IFERROR(INDEX($G:$G,MATCH(AE172,$A:$A,0)),""),FIND(",",IFERROR(INDEX($G:$G,MATCH(AE172,$A:$A,0)),""))-1),IFERROR(INDEX($G:$G,MATCH(AE172,$A:$A,0)),"")))))</f>
        <v/>
      </c>
      <c r="AG172" s="18" t="str">
        <f aca="false">IF(AF172="","",IF(IFERROR(INDEX($G:$G,MATCH(AF172,$A:$A,0)),"")="","",TRIM(IF(ISNUMBER(FIND(",",IFERROR(INDEX($G:$G,MATCH(AF172,$A:$A,0)),""))),LEFT(IFERROR(INDEX($G:$G,MATCH(AF172,$A:$A,0)),""),FIND(",",IFERROR(INDEX($G:$G,MATCH(AF172,$A:$A,0)),""))-1),IFERROR(INDEX($G:$G,MATCH(AF172,$A:$A,0)),"")))))</f>
        <v/>
      </c>
    </row>
    <row r="173" customFormat="false" ht="15" hidden="false" customHeight="false" outlineLevel="0" collapsed="false">
      <c r="A173" s="18"/>
      <c r="B173" s="19"/>
      <c r="C173" s="20"/>
      <c r="D173" s="20"/>
      <c r="E173" s="20"/>
      <c r="F173" s="20"/>
      <c r="G173" s="18"/>
      <c r="H173" s="20"/>
      <c r="I173" s="18"/>
      <c r="J173" s="20"/>
      <c r="K173" s="20"/>
      <c r="L173" s="20"/>
      <c r="M173" s="20"/>
      <c r="N173" s="20"/>
      <c r="O173" s="21" t="str">
        <f aca="false">IF(A173="","",IF(AD173="",0,IF(AE173="",1,IF(AF173="",2,IF(AG173="",3,"4+")))))</f>
        <v/>
      </c>
      <c r="P173" s="21" t="str">
        <f aca="false">IF(A173="","",B173&amp;IF(AD173="",""," &lt;- "&amp;IFERROR(INDEX($B:$B,MATCH(AD173,$A:$A,0)),AD173)&amp;IF(AE173="",""," &lt;- "&amp;IFERROR(INDEX($B:$B,MATCH(AE173,$A:$A,0)),AE173)&amp;IF(AF173="",""," &lt;- "&amp;IFERROR(INDEX($B:$B,MATCH(AF173,$A:$A,0)),AF173)&amp;IF(AG173="",""," &lt;- "&amp;IFERROR(INDEX($B:$B,MATCH(AG173,$A:$A,0)),AG173)))))&amp;IF(ISNUMBER(FIND(",",G173))," (+ other parents)",""))</f>
        <v/>
      </c>
      <c r="Q173" s="21" t="str">
        <f aca="false">IF(A173="","",IF(AD173="",E173&amp;"",IF(AE173="",IF(IFERROR(INDEX($E:$E,MATCH(AD173,$A:$A,0)),"")="","",INDEX($E:$E,MATCH(AD173,$A:$A,0))),IF(AF173="",IF(IFERROR(INDEX($E:$E,MATCH(AE173,$A:$A,0)),"")="","",INDEX($E:$E,MATCH(AE173,$A:$A,0))),IF(AG173="",IF(IFERROR(INDEX($E:$E,MATCH(AF173,$A:$A,0)),"")="","",INDEX($E:$E,MATCH(AF173,$A:$A,0))),IF(IFERROR(INDEX($E:$E,MATCH(AG173,$A:$A,0)),"")="","",INDEX($E:$E,MATCH(AG173,$A:$A,0))))))))</f>
        <v/>
      </c>
      <c r="R173" s="21" t="str">
        <f aca="false">IF(A173="","",COUNTIF(Fields!$D:$D,A173))</f>
        <v/>
      </c>
      <c r="S173" s="21" t="str">
        <f aca="false">IF(A173="","",SUMIF(Fields!$D:$D,A173,Fields!$Q:$Q))</f>
        <v/>
      </c>
      <c r="T173" s="21" t="str">
        <f aca="false">IF(A173="","",COUNTIF('Product inputs'!$D:$D,A173))</f>
        <v/>
      </c>
      <c r="U173" s="20"/>
      <c r="V173" s="20"/>
      <c r="W173" s="20"/>
      <c r="X173" s="20"/>
      <c r="Y173" s="20"/>
      <c r="Z173" s="20"/>
      <c r="AA173" s="20"/>
      <c r="AB173" s="20"/>
      <c r="AC173" s="20"/>
      <c r="AD173" s="18" t="str">
        <f aca="false">IF(A173="","",IF(IFERROR(INDEX($G:$G,MATCH(A173,$A:$A,0)),"")="","",TRIM(IF(ISNUMBER(FIND(",",IFERROR(INDEX($G:$G,MATCH(A173,$A:$A,0)),""))),LEFT(IFERROR(INDEX($G:$G,MATCH(A173,$A:$A,0)),""),FIND(",",IFERROR(INDEX($G:$G,MATCH(A173,$A:$A,0)),""))-1),IFERROR(INDEX($G:$G,MATCH(A173,$A:$A,0)),"")))))</f>
        <v/>
      </c>
      <c r="AE173" s="18" t="str">
        <f aca="false">IF(AD173="","",IF(IFERROR(INDEX($G:$G,MATCH(AD173,$A:$A,0)),"")="","",TRIM(IF(ISNUMBER(FIND(",",IFERROR(INDEX($G:$G,MATCH(AD173,$A:$A,0)),""))),LEFT(IFERROR(INDEX($G:$G,MATCH(AD173,$A:$A,0)),""),FIND(",",IFERROR(INDEX($G:$G,MATCH(AD173,$A:$A,0)),""))-1),IFERROR(INDEX($G:$G,MATCH(AD173,$A:$A,0)),"")))))</f>
        <v/>
      </c>
      <c r="AF173" s="18" t="str">
        <f aca="false">IF(AE173="","",IF(IFERROR(INDEX($G:$G,MATCH(AE173,$A:$A,0)),"")="","",TRIM(IF(ISNUMBER(FIND(",",IFERROR(INDEX($G:$G,MATCH(AE173,$A:$A,0)),""))),LEFT(IFERROR(INDEX($G:$G,MATCH(AE173,$A:$A,0)),""),FIND(",",IFERROR(INDEX($G:$G,MATCH(AE173,$A:$A,0)),""))-1),IFERROR(INDEX($G:$G,MATCH(AE173,$A:$A,0)),"")))))</f>
        <v/>
      </c>
      <c r="AG173" s="18" t="str">
        <f aca="false">IF(AF173="","",IF(IFERROR(INDEX($G:$G,MATCH(AF173,$A:$A,0)),"")="","",TRIM(IF(ISNUMBER(FIND(",",IFERROR(INDEX($G:$G,MATCH(AF173,$A:$A,0)),""))),LEFT(IFERROR(INDEX($G:$G,MATCH(AF173,$A:$A,0)),""),FIND(",",IFERROR(INDEX($G:$G,MATCH(AF173,$A:$A,0)),""))-1),IFERROR(INDEX($G:$G,MATCH(AF173,$A:$A,0)),"")))))</f>
        <v/>
      </c>
    </row>
    <row r="174" customFormat="false" ht="15" hidden="false" customHeight="false" outlineLevel="0" collapsed="false">
      <c r="A174" s="18"/>
      <c r="B174" s="19"/>
      <c r="C174" s="20"/>
      <c r="D174" s="20"/>
      <c r="E174" s="20"/>
      <c r="F174" s="20"/>
      <c r="G174" s="18"/>
      <c r="H174" s="20"/>
      <c r="I174" s="18"/>
      <c r="J174" s="20"/>
      <c r="K174" s="20"/>
      <c r="L174" s="20"/>
      <c r="M174" s="20"/>
      <c r="N174" s="20"/>
      <c r="O174" s="21" t="str">
        <f aca="false">IF(A174="","",IF(AD174="",0,IF(AE174="",1,IF(AF174="",2,IF(AG174="",3,"4+")))))</f>
        <v/>
      </c>
      <c r="P174" s="21" t="str">
        <f aca="false">IF(A174="","",B174&amp;IF(AD174="",""," &lt;- "&amp;IFERROR(INDEX($B:$B,MATCH(AD174,$A:$A,0)),AD174)&amp;IF(AE174="",""," &lt;- "&amp;IFERROR(INDEX($B:$B,MATCH(AE174,$A:$A,0)),AE174)&amp;IF(AF174="",""," &lt;- "&amp;IFERROR(INDEX($B:$B,MATCH(AF174,$A:$A,0)),AF174)&amp;IF(AG174="",""," &lt;- "&amp;IFERROR(INDEX($B:$B,MATCH(AG174,$A:$A,0)),AG174)))))&amp;IF(ISNUMBER(FIND(",",G174))," (+ other parents)",""))</f>
        <v/>
      </c>
      <c r="Q174" s="21" t="str">
        <f aca="false">IF(A174="","",IF(AD174="",E174&amp;"",IF(AE174="",IF(IFERROR(INDEX($E:$E,MATCH(AD174,$A:$A,0)),"")="","",INDEX($E:$E,MATCH(AD174,$A:$A,0))),IF(AF174="",IF(IFERROR(INDEX($E:$E,MATCH(AE174,$A:$A,0)),"")="","",INDEX($E:$E,MATCH(AE174,$A:$A,0))),IF(AG174="",IF(IFERROR(INDEX($E:$E,MATCH(AF174,$A:$A,0)),"")="","",INDEX($E:$E,MATCH(AF174,$A:$A,0))),IF(IFERROR(INDEX($E:$E,MATCH(AG174,$A:$A,0)),"")="","",INDEX($E:$E,MATCH(AG174,$A:$A,0))))))))</f>
        <v/>
      </c>
      <c r="R174" s="21" t="str">
        <f aca="false">IF(A174="","",COUNTIF(Fields!$D:$D,A174))</f>
        <v/>
      </c>
      <c r="S174" s="21" t="str">
        <f aca="false">IF(A174="","",SUMIF(Fields!$D:$D,A174,Fields!$Q:$Q))</f>
        <v/>
      </c>
      <c r="T174" s="21" t="str">
        <f aca="false">IF(A174="","",COUNTIF('Product inputs'!$D:$D,A174))</f>
        <v/>
      </c>
      <c r="U174" s="20"/>
      <c r="V174" s="20"/>
      <c r="W174" s="20"/>
      <c r="X174" s="20"/>
      <c r="Y174" s="20"/>
      <c r="Z174" s="20"/>
      <c r="AA174" s="20"/>
      <c r="AB174" s="20"/>
      <c r="AC174" s="20"/>
      <c r="AD174" s="18" t="str">
        <f aca="false">IF(A174="","",IF(IFERROR(INDEX($G:$G,MATCH(A174,$A:$A,0)),"")="","",TRIM(IF(ISNUMBER(FIND(",",IFERROR(INDEX($G:$G,MATCH(A174,$A:$A,0)),""))),LEFT(IFERROR(INDEX($G:$G,MATCH(A174,$A:$A,0)),""),FIND(",",IFERROR(INDEX($G:$G,MATCH(A174,$A:$A,0)),""))-1),IFERROR(INDEX($G:$G,MATCH(A174,$A:$A,0)),"")))))</f>
        <v/>
      </c>
      <c r="AE174" s="18" t="str">
        <f aca="false">IF(AD174="","",IF(IFERROR(INDEX($G:$G,MATCH(AD174,$A:$A,0)),"")="","",TRIM(IF(ISNUMBER(FIND(",",IFERROR(INDEX($G:$G,MATCH(AD174,$A:$A,0)),""))),LEFT(IFERROR(INDEX($G:$G,MATCH(AD174,$A:$A,0)),""),FIND(",",IFERROR(INDEX($G:$G,MATCH(AD174,$A:$A,0)),""))-1),IFERROR(INDEX($G:$G,MATCH(AD174,$A:$A,0)),"")))))</f>
        <v/>
      </c>
      <c r="AF174" s="18" t="str">
        <f aca="false">IF(AE174="","",IF(IFERROR(INDEX($G:$G,MATCH(AE174,$A:$A,0)),"")="","",TRIM(IF(ISNUMBER(FIND(",",IFERROR(INDEX($G:$G,MATCH(AE174,$A:$A,0)),""))),LEFT(IFERROR(INDEX($G:$G,MATCH(AE174,$A:$A,0)),""),FIND(",",IFERROR(INDEX($G:$G,MATCH(AE174,$A:$A,0)),""))-1),IFERROR(INDEX($G:$G,MATCH(AE174,$A:$A,0)),"")))))</f>
        <v/>
      </c>
      <c r="AG174" s="18" t="str">
        <f aca="false">IF(AF174="","",IF(IFERROR(INDEX($G:$G,MATCH(AF174,$A:$A,0)),"")="","",TRIM(IF(ISNUMBER(FIND(",",IFERROR(INDEX($G:$G,MATCH(AF174,$A:$A,0)),""))),LEFT(IFERROR(INDEX($G:$G,MATCH(AF174,$A:$A,0)),""),FIND(",",IFERROR(INDEX($G:$G,MATCH(AF174,$A:$A,0)),""))-1),IFERROR(INDEX($G:$G,MATCH(AF174,$A:$A,0)),"")))))</f>
        <v/>
      </c>
    </row>
    <row r="175" customFormat="false" ht="15" hidden="false" customHeight="false" outlineLevel="0" collapsed="false">
      <c r="A175" s="18"/>
      <c r="B175" s="19"/>
      <c r="C175" s="20"/>
      <c r="D175" s="20"/>
      <c r="E175" s="20"/>
      <c r="F175" s="20"/>
      <c r="G175" s="18"/>
      <c r="H175" s="20"/>
      <c r="I175" s="18"/>
      <c r="J175" s="20"/>
      <c r="K175" s="20"/>
      <c r="L175" s="20"/>
      <c r="M175" s="20"/>
      <c r="N175" s="20"/>
      <c r="O175" s="21" t="str">
        <f aca="false">IF(A175="","",IF(AD175="",0,IF(AE175="",1,IF(AF175="",2,IF(AG175="",3,"4+")))))</f>
        <v/>
      </c>
      <c r="P175" s="21" t="str">
        <f aca="false">IF(A175="","",B175&amp;IF(AD175="",""," &lt;- "&amp;IFERROR(INDEX($B:$B,MATCH(AD175,$A:$A,0)),AD175)&amp;IF(AE175="",""," &lt;- "&amp;IFERROR(INDEX($B:$B,MATCH(AE175,$A:$A,0)),AE175)&amp;IF(AF175="",""," &lt;- "&amp;IFERROR(INDEX($B:$B,MATCH(AF175,$A:$A,0)),AF175)&amp;IF(AG175="",""," &lt;- "&amp;IFERROR(INDEX($B:$B,MATCH(AG175,$A:$A,0)),AG175)))))&amp;IF(ISNUMBER(FIND(",",G175))," (+ other parents)",""))</f>
        <v/>
      </c>
      <c r="Q175" s="21" t="str">
        <f aca="false">IF(A175="","",IF(AD175="",E175&amp;"",IF(AE175="",IF(IFERROR(INDEX($E:$E,MATCH(AD175,$A:$A,0)),"")="","",INDEX($E:$E,MATCH(AD175,$A:$A,0))),IF(AF175="",IF(IFERROR(INDEX($E:$E,MATCH(AE175,$A:$A,0)),"")="","",INDEX($E:$E,MATCH(AE175,$A:$A,0))),IF(AG175="",IF(IFERROR(INDEX($E:$E,MATCH(AF175,$A:$A,0)),"")="","",INDEX($E:$E,MATCH(AF175,$A:$A,0))),IF(IFERROR(INDEX($E:$E,MATCH(AG175,$A:$A,0)),"")="","",INDEX($E:$E,MATCH(AG175,$A:$A,0))))))))</f>
        <v/>
      </c>
      <c r="R175" s="21" t="str">
        <f aca="false">IF(A175="","",COUNTIF(Fields!$D:$D,A175))</f>
        <v/>
      </c>
      <c r="S175" s="21" t="str">
        <f aca="false">IF(A175="","",SUMIF(Fields!$D:$D,A175,Fields!$Q:$Q))</f>
        <v/>
      </c>
      <c r="T175" s="21" t="str">
        <f aca="false">IF(A175="","",COUNTIF('Product inputs'!$D:$D,A175))</f>
        <v/>
      </c>
      <c r="U175" s="20"/>
      <c r="V175" s="20"/>
      <c r="W175" s="20"/>
      <c r="X175" s="20"/>
      <c r="Y175" s="20"/>
      <c r="Z175" s="20"/>
      <c r="AA175" s="20"/>
      <c r="AB175" s="20"/>
      <c r="AC175" s="20"/>
      <c r="AD175" s="18" t="str">
        <f aca="false">IF(A175="","",IF(IFERROR(INDEX($G:$G,MATCH(A175,$A:$A,0)),"")="","",TRIM(IF(ISNUMBER(FIND(",",IFERROR(INDEX($G:$G,MATCH(A175,$A:$A,0)),""))),LEFT(IFERROR(INDEX($G:$G,MATCH(A175,$A:$A,0)),""),FIND(",",IFERROR(INDEX($G:$G,MATCH(A175,$A:$A,0)),""))-1),IFERROR(INDEX($G:$G,MATCH(A175,$A:$A,0)),"")))))</f>
        <v/>
      </c>
      <c r="AE175" s="18" t="str">
        <f aca="false">IF(AD175="","",IF(IFERROR(INDEX($G:$G,MATCH(AD175,$A:$A,0)),"")="","",TRIM(IF(ISNUMBER(FIND(",",IFERROR(INDEX($G:$G,MATCH(AD175,$A:$A,0)),""))),LEFT(IFERROR(INDEX($G:$G,MATCH(AD175,$A:$A,0)),""),FIND(",",IFERROR(INDEX($G:$G,MATCH(AD175,$A:$A,0)),""))-1),IFERROR(INDEX($G:$G,MATCH(AD175,$A:$A,0)),"")))))</f>
        <v/>
      </c>
      <c r="AF175" s="18" t="str">
        <f aca="false">IF(AE175="","",IF(IFERROR(INDEX($G:$G,MATCH(AE175,$A:$A,0)),"")="","",TRIM(IF(ISNUMBER(FIND(",",IFERROR(INDEX($G:$G,MATCH(AE175,$A:$A,0)),""))),LEFT(IFERROR(INDEX($G:$G,MATCH(AE175,$A:$A,0)),""),FIND(",",IFERROR(INDEX($G:$G,MATCH(AE175,$A:$A,0)),""))-1),IFERROR(INDEX($G:$G,MATCH(AE175,$A:$A,0)),"")))))</f>
        <v/>
      </c>
      <c r="AG175" s="18" t="str">
        <f aca="false">IF(AF175="","",IF(IFERROR(INDEX($G:$G,MATCH(AF175,$A:$A,0)),"")="","",TRIM(IF(ISNUMBER(FIND(",",IFERROR(INDEX($G:$G,MATCH(AF175,$A:$A,0)),""))),LEFT(IFERROR(INDEX($G:$G,MATCH(AF175,$A:$A,0)),""),FIND(",",IFERROR(INDEX($G:$G,MATCH(AF175,$A:$A,0)),""))-1),IFERROR(INDEX($G:$G,MATCH(AF175,$A:$A,0)),"")))))</f>
        <v/>
      </c>
    </row>
    <row r="176" customFormat="false" ht="15" hidden="false" customHeight="false" outlineLevel="0" collapsed="false">
      <c r="A176" s="18"/>
      <c r="B176" s="19"/>
      <c r="C176" s="20"/>
      <c r="D176" s="20"/>
      <c r="E176" s="20"/>
      <c r="F176" s="20"/>
      <c r="G176" s="18"/>
      <c r="H176" s="20"/>
      <c r="I176" s="18"/>
      <c r="J176" s="20"/>
      <c r="K176" s="20"/>
      <c r="L176" s="20"/>
      <c r="M176" s="20"/>
      <c r="N176" s="20"/>
      <c r="O176" s="21" t="str">
        <f aca="false">IF(A176="","",IF(AD176="",0,IF(AE176="",1,IF(AF176="",2,IF(AG176="",3,"4+")))))</f>
        <v/>
      </c>
      <c r="P176" s="21" t="str">
        <f aca="false">IF(A176="","",B176&amp;IF(AD176="",""," &lt;- "&amp;IFERROR(INDEX($B:$B,MATCH(AD176,$A:$A,0)),AD176)&amp;IF(AE176="",""," &lt;- "&amp;IFERROR(INDEX($B:$B,MATCH(AE176,$A:$A,0)),AE176)&amp;IF(AF176="",""," &lt;- "&amp;IFERROR(INDEX($B:$B,MATCH(AF176,$A:$A,0)),AF176)&amp;IF(AG176="",""," &lt;- "&amp;IFERROR(INDEX($B:$B,MATCH(AG176,$A:$A,0)),AG176)))))&amp;IF(ISNUMBER(FIND(",",G176))," (+ other parents)",""))</f>
        <v/>
      </c>
      <c r="Q176" s="21" t="str">
        <f aca="false">IF(A176="","",IF(AD176="",E176&amp;"",IF(AE176="",IF(IFERROR(INDEX($E:$E,MATCH(AD176,$A:$A,0)),"")="","",INDEX($E:$E,MATCH(AD176,$A:$A,0))),IF(AF176="",IF(IFERROR(INDEX($E:$E,MATCH(AE176,$A:$A,0)),"")="","",INDEX($E:$E,MATCH(AE176,$A:$A,0))),IF(AG176="",IF(IFERROR(INDEX($E:$E,MATCH(AF176,$A:$A,0)),"")="","",INDEX($E:$E,MATCH(AF176,$A:$A,0))),IF(IFERROR(INDEX($E:$E,MATCH(AG176,$A:$A,0)),"")="","",INDEX($E:$E,MATCH(AG176,$A:$A,0))))))))</f>
        <v/>
      </c>
      <c r="R176" s="21" t="str">
        <f aca="false">IF(A176="","",COUNTIF(Fields!$D:$D,A176))</f>
        <v/>
      </c>
      <c r="S176" s="21" t="str">
        <f aca="false">IF(A176="","",SUMIF(Fields!$D:$D,A176,Fields!$Q:$Q))</f>
        <v/>
      </c>
      <c r="T176" s="21" t="str">
        <f aca="false">IF(A176="","",COUNTIF('Product inputs'!$D:$D,A176))</f>
        <v/>
      </c>
      <c r="U176" s="20"/>
      <c r="V176" s="20"/>
      <c r="W176" s="20"/>
      <c r="X176" s="20"/>
      <c r="Y176" s="20"/>
      <c r="Z176" s="20"/>
      <c r="AA176" s="20"/>
      <c r="AB176" s="20"/>
      <c r="AC176" s="20"/>
      <c r="AD176" s="18" t="str">
        <f aca="false">IF(A176="","",IF(IFERROR(INDEX($G:$G,MATCH(A176,$A:$A,0)),"")="","",TRIM(IF(ISNUMBER(FIND(",",IFERROR(INDEX($G:$G,MATCH(A176,$A:$A,0)),""))),LEFT(IFERROR(INDEX($G:$G,MATCH(A176,$A:$A,0)),""),FIND(",",IFERROR(INDEX($G:$G,MATCH(A176,$A:$A,0)),""))-1),IFERROR(INDEX($G:$G,MATCH(A176,$A:$A,0)),"")))))</f>
        <v/>
      </c>
      <c r="AE176" s="18" t="str">
        <f aca="false">IF(AD176="","",IF(IFERROR(INDEX($G:$G,MATCH(AD176,$A:$A,0)),"")="","",TRIM(IF(ISNUMBER(FIND(",",IFERROR(INDEX($G:$G,MATCH(AD176,$A:$A,0)),""))),LEFT(IFERROR(INDEX($G:$G,MATCH(AD176,$A:$A,0)),""),FIND(",",IFERROR(INDEX($G:$G,MATCH(AD176,$A:$A,0)),""))-1),IFERROR(INDEX($G:$G,MATCH(AD176,$A:$A,0)),"")))))</f>
        <v/>
      </c>
      <c r="AF176" s="18" t="str">
        <f aca="false">IF(AE176="","",IF(IFERROR(INDEX($G:$G,MATCH(AE176,$A:$A,0)),"")="","",TRIM(IF(ISNUMBER(FIND(",",IFERROR(INDEX($G:$G,MATCH(AE176,$A:$A,0)),""))),LEFT(IFERROR(INDEX($G:$G,MATCH(AE176,$A:$A,0)),""),FIND(",",IFERROR(INDEX($G:$G,MATCH(AE176,$A:$A,0)),""))-1),IFERROR(INDEX($G:$G,MATCH(AE176,$A:$A,0)),"")))))</f>
        <v/>
      </c>
      <c r="AG176" s="18" t="str">
        <f aca="false">IF(AF176="","",IF(IFERROR(INDEX($G:$G,MATCH(AF176,$A:$A,0)),"")="","",TRIM(IF(ISNUMBER(FIND(",",IFERROR(INDEX($G:$G,MATCH(AF176,$A:$A,0)),""))),LEFT(IFERROR(INDEX($G:$G,MATCH(AF176,$A:$A,0)),""),FIND(",",IFERROR(INDEX($G:$G,MATCH(AF176,$A:$A,0)),""))-1),IFERROR(INDEX($G:$G,MATCH(AF176,$A:$A,0)),"")))))</f>
        <v/>
      </c>
    </row>
    <row r="177" customFormat="false" ht="15" hidden="false" customHeight="false" outlineLevel="0" collapsed="false">
      <c r="A177" s="18"/>
      <c r="B177" s="19"/>
      <c r="C177" s="20"/>
      <c r="D177" s="20"/>
      <c r="E177" s="20"/>
      <c r="F177" s="20"/>
      <c r="G177" s="18"/>
      <c r="H177" s="20"/>
      <c r="I177" s="18"/>
      <c r="J177" s="20"/>
      <c r="K177" s="20"/>
      <c r="L177" s="20"/>
      <c r="M177" s="20"/>
      <c r="N177" s="20"/>
      <c r="O177" s="21" t="str">
        <f aca="false">IF(A177="","",IF(AD177="",0,IF(AE177="",1,IF(AF177="",2,IF(AG177="",3,"4+")))))</f>
        <v/>
      </c>
      <c r="P177" s="21" t="str">
        <f aca="false">IF(A177="","",B177&amp;IF(AD177="",""," &lt;- "&amp;IFERROR(INDEX($B:$B,MATCH(AD177,$A:$A,0)),AD177)&amp;IF(AE177="",""," &lt;- "&amp;IFERROR(INDEX($B:$B,MATCH(AE177,$A:$A,0)),AE177)&amp;IF(AF177="",""," &lt;- "&amp;IFERROR(INDEX($B:$B,MATCH(AF177,$A:$A,0)),AF177)&amp;IF(AG177="",""," &lt;- "&amp;IFERROR(INDEX($B:$B,MATCH(AG177,$A:$A,0)),AG177)))))&amp;IF(ISNUMBER(FIND(",",G177))," (+ other parents)",""))</f>
        <v/>
      </c>
      <c r="Q177" s="21" t="str">
        <f aca="false">IF(A177="","",IF(AD177="",E177&amp;"",IF(AE177="",IF(IFERROR(INDEX($E:$E,MATCH(AD177,$A:$A,0)),"")="","",INDEX($E:$E,MATCH(AD177,$A:$A,0))),IF(AF177="",IF(IFERROR(INDEX($E:$E,MATCH(AE177,$A:$A,0)),"")="","",INDEX($E:$E,MATCH(AE177,$A:$A,0))),IF(AG177="",IF(IFERROR(INDEX($E:$E,MATCH(AF177,$A:$A,0)),"")="","",INDEX($E:$E,MATCH(AF177,$A:$A,0))),IF(IFERROR(INDEX($E:$E,MATCH(AG177,$A:$A,0)),"")="","",INDEX($E:$E,MATCH(AG177,$A:$A,0))))))))</f>
        <v/>
      </c>
      <c r="R177" s="21" t="str">
        <f aca="false">IF(A177="","",COUNTIF(Fields!$D:$D,A177))</f>
        <v/>
      </c>
      <c r="S177" s="21" t="str">
        <f aca="false">IF(A177="","",SUMIF(Fields!$D:$D,A177,Fields!$Q:$Q))</f>
        <v/>
      </c>
      <c r="T177" s="21" t="str">
        <f aca="false">IF(A177="","",COUNTIF('Product inputs'!$D:$D,A177))</f>
        <v/>
      </c>
      <c r="U177" s="20"/>
      <c r="V177" s="20"/>
      <c r="W177" s="20"/>
      <c r="X177" s="20"/>
      <c r="Y177" s="20"/>
      <c r="Z177" s="20"/>
      <c r="AA177" s="20"/>
      <c r="AB177" s="20"/>
      <c r="AC177" s="20"/>
      <c r="AD177" s="18" t="str">
        <f aca="false">IF(A177="","",IF(IFERROR(INDEX($G:$G,MATCH(A177,$A:$A,0)),"")="","",TRIM(IF(ISNUMBER(FIND(",",IFERROR(INDEX($G:$G,MATCH(A177,$A:$A,0)),""))),LEFT(IFERROR(INDEX($G:$G,MATCH(A177,$A:$A,0)),""),FIND(",",IFERROR(INDEX($G:$G,MATCH(A177,$A:$A,0)),""))-1),IFERROR(INDEX($G:$G,MATCH(A177,$A:$A,0)),"")))))</f>
        <v/>
      </c>
      <c r="AE177" s="18" t="str">
        <f aca="false">IF(AD177="","",IF(IFERROR(INDEX($G:$G,MATCH(AD177,$A:$A,0)),"")="","",TRIM(IF(ISNUMBER(FIND(",",IFERROR(INDEX($G:$G,MATCH(AD177,$A:$A,0)),""))),LEFT(IFERROR(INDEX($G:$G,MATCH(AD177,$A:$A,0)),""),FIND(",",IFERROR(INDEX($G:$G,MATCH(AD177,$A:$A,0)),""))-1),IFERROR(INDEX($G:$G,MATCH(AD177,$A:$A,0)),"")))))</f>
        <v/>
      </c>
      <c r="AF177" s="18" t="str">
        <f aca="false">IF(AE177="","",IF(IFERROR(INDEX($G:$G,MATCH(AE177,$A:$A,0)),"")="","",TRIM(IF(ISNUMBER(FIND(",",IFERROR(INDEX($G:$G,MATCH(AE177,$A:$A,0)),""))),LEFT(IFERROR(INDEX($G:$G,MATCH(AE177,$A:$A,0)),""),FIND(",",IFERROR(INDEX($G:$G,MATCH(AE177,$A:$A,0)),""))-1),IFERROR(INDEX($G:$G,MATCH(AE177,$A:$A,0)),"")))))</f>
        <v/>
      </c>
      <c r="AG177" s="18" t="str">
        <f aca="false">IF(AF177="","",IF(IFERROR(INDEX($G:$G,MATCH(AF177,$A:$A,0)),"")="","",TRIM(IF(ISNUMBER(FIND(",",IFERROR(INDEX($G:$G,MATCH(AF177,$A:$A,0)),""))),LEFT(IFERROR(INDEX($G:$G,MATCH(AF177,$A:$A,0)),""),FIND(",",IFERROR(INDEX($G:$G,MATCH(AF177,$A:$A,0)),""))-1),IFERROR(INDEX($G:$G,MATCH(AF177,$A:$A,0)),"")))))</f>
        <v/>
      </c>
    </row>
    <row r="178" customFormat="false" ht="15" hidden="false" customHeight="false" outlineLevel="0" collapsed="false">
      <c r="A178" s="18"/>
      <c r="B178" s="19"/>
      <c r="C178" s="20"/>
      <c r="D178" s="20"/>
      <c r="E178" s="20"/>
      <c r="F178" s="20"/>
      <c r="G178" s="18"/>
      <c r="H178" s="20"/>
      <c r="I178" s="18"/>
      <c r="J178" s="20"/>
      <c r="K178" s="20"/>
      <c r="L178" s="20"/>
      <c r="M178" s="20"/>
      <c r="N178" s="20"/>
      <c r="O178" s="21" t="str">
        <f aca="false">IF(A178="","",IF(AD178="",0,IF(AE178="",1,IF(AF178="",2,IF(AG178="",3,"4+")))))</f>
        <v/>
      </c>
      <c r="P178" s="21" t="str">
        <f aca="false">IF(A178="","",B178&amp;IF(AD178="",""," &lt;- "&amp;IFERROR(INDEX($B:$B,MATCH(AD178,$A:$A,0)),AD178)&amp;IF(AE178="",""," &lt;- "&amp;IFERROR(INDEX($B:$B,MATCH(AE178,$A:$A,0)),AE178)&amp;IF(AF178="",""," &lt;- "&amp;IFERROR(INDEX($B:$B,MATCH(AF178,$A:$A,0)),AF178)&amp;IF(AG178="",""," &lt;- "&amp;IFERROR(INDEX($B:$B,MATCH(AG178,$A:$A,0)),AG178)))))&amp;IF(ISNUMBER(FIND(",",G178))," (+ other parents)",""))</f>
        <v/>
      </c>
      <c r="Q178" s="21" t="str">
        <f aca="false">IF(A178="","",IF(AD178="",E178&amp;"",IF(AE178="",IF(IFERROR(INDEX($E:$E,MATCH(AD178,$A:$A,0)),"")="","",INDEX($E:$E,MATCH(AD178,$A:$A,0))),IF(AF178="",IF(IFERROR(INDEX($E:$E,MATCH(AE178,$A:$A,0)),"")="","",INDEX($E:$E,MATCH(AE178,$A:$A,0))),IF(AG178="",IF(IFERROR(INDEX($E:$E,MATCH(AF178,$A:$A,0)),"")="","",INDEX($E:$E,MATCH(AF178,$A:$A,0))),IF(IFERROR(INDEX($E:$E,MATCH(AG178,$A:$A,0)),"")="","",INDEX($E:$E,MATCH(AG178,$A:$A,0))))))))</f>
        <v/>
      </c>
      <c r="R178" s="21" t="str">
        <f aca="false">IF(A178="","",COUNTIF(Fields!$D:$D,A178))</f>
        <v/>
      </c>
      <c r="S178" s="21" t="str">
        <f aca="false">IF(A178="","",SUMIF(Fields!$D:$D,A178,Fields!$Q:$Q))</f>
        <v/>
      </c>
      <c r="T178" s="21" t="str">
        <f aca="false">IF(A178="","",COUNTIF('Product inputs'!$D:$D,A178))</f>
        <v/>
      </c>
      <c r="U178" s="20"/>
      <c r="V178" s="20"/>
      <c r="W178" s="20"/>
      <c r="X178" s="20"/>
      <c r="Y178" s="20"/>
      <c r="Z178" s="20"/>
      <c r="AA178" s="20"/>
      <c r="AB178" s="20"/>
      <c r="AC178" s="20"/>
      <c r="AD178" s="18" t="str">
        <f aca="false">IF(A178="","",IF(IFERROR(INDEX($G:$G,MATCH(A178,$A:$A,0)),"")="","",TRIM(IF(ISNUMBER(FIND(",",IFERROR(INDEX($G:$G,MATCH(A178,$A:$A,0)),""))),LEFT(IFERROR(INDEX($G:$G,MATCH(A178,$A:$A,0)),""),FIND(",",IFERROR(INDEX($G:$G,MATCH(A178,$A:$A,0)),""))-1),IFERROR(INDEX($G:$G,MATCH(A178,$A:$A,0)),"")))))</f>
        <v/>
      </c>
      <c r="AE178" s="18" t="str">
        <f aca="false">IF(AD178="","",IF(IFERROR(INDEX($G:$G,MATCH(AD178,$A:$A,0)),"")="","",TRIM(IF(ISNUMBER(FIND(",",IFERROR(INDEX($G:$G,MATCH(AD178,$A:$A,0)),""))),LEFT(IFERROR(INDEX($G:$G,MATCH(AD178,$A:$A,0)),""),FIND(",",IFERROR(INDEX($G:$G,MATCH(AD178,$A:$A,0)),""))-1),IFERROR(INDEX($G:$G,MATCH(AD178,$A:$A,0)),"")))))</f>
        <v/>
      </c>
      <c r="AF178" s="18" t="str">
        <f aca="false">IF(AE178="","",IF(IFERROR(INDEX($G:$G,MATCH(AE178,$A:$A,0)),"")="","",TRIM(IF(ISNUMBER(FIND(",",IFERROR(INDEX($G:$G,MATCH(AE178,$A:$A,0)),""))),LEFT(IFERROR(INDEX($G:$G,MATCH(AE178,$A:$A,0)),""),FIND(",",IFERROR(INDEX($G:$G,MATCH(AE178,$A:$A,0)),""))-1),IFERROR(INDEX($G:$G,MATCH(AE178,$A:$A,0)),"")))))</f>
        <v/>
      </c>
      <c r="AG178" s="18" t="str">
        <f aca="false">IF(AF178="","",IF(IFERROR(INDEX($G:$G,MATCH(AF178,$A:$A,0)),"")="","",TRIM(IF(ISNUMBER(FIND(",",IFERROR(INDEX($G:$G,MATCH(AF178,$A:$A,0)),""))),LEFT(IFERROR(INDEX($G:$G,MATCH(AF178,$A:$A,0)),""),FIND(",",IFERROR(INDEX($G:$G,MATCH(AF178,$A:$A,0)),""))-1),IFERROR(INDEX($G:$G,MATCH(AF178,$A:$A,0)),"")))))</f>
        <v/>
      </c>
    </row>
    <row r="179" customFormat="false" ht="15" hidden="false" customHeight="false" outlineLevel="0" collapsed="false">
      <c r="A179" s="18"/>
      <c r="B179" s="19"/>
      <c r="C179" s="20"/>
      <c r="D179" s="20"/>
      <c r="E179" s="20"/>
      <c r="F179" s="20"/>
      <c r="G179" s="18"/>
      <c r="H179" s="20"/>
      <c r="I179" s="18"/>
      <c r="J179" s="20"/>
      <c r="K179" s="20"/>
      <c r="L179" s="20"/>
      <c r="M179" s="20"/>
      <c r="N179" s="20"/>
      <c r="O179" s="21" t="str">
        <f aca="false">IF(A179="","",IF(AD179="",0,IF(AE179="",1,IF(AF179="",2,IF(AG179="",3,"4+")))))</f>
        <v/>
      </c>
      <c r="P179" s="21" t="str">
        <f aca="false">IF(A179="","",B179&amp;IF(AD179="",""," &lt;- "&amp;IFERROR(INDEX($B:$B,MATCH(AD179,$A:$A,0)),AD179)&amp;IF(AE179="",""," &lt;- "&amp;IFERROR(INDEX($B:$B,MATCH(AE179,$A:$A,0)),AE179)&amp;IF(AF179="",""," &lt;- "&amp;IFERROR(INDEX($B:$B,MATCH(AF179,$A:$A,0)),AF179)&amp;IF(AG179="",""," &lt;- "&amp;IFERROR(INDEX($B:$B,MATCH(AG179,$A:$A,0)),AG179)))))&amp;IF(ISNUMBER(FIND(",",G179))," (+ other parents)",""))</f>
        <v/>
      </c>
      <c r="Q179" s="21" t="str">
        <f aca="false">IF(A179="","",IF(AD179="",E179&amp;"",IF(AE179="",IF(IFERROR(INDEX($E:$E,MATCH(AD179,$A:$A,0)),"")="","",INDEX($E:$E,MATCH(AD179,$A:$A,0))),IF(AF179="",IF(IFERROR(INDEX($E:$E,MATCH(AE179,$A:$A,0)),"")="","",INDEX($E:$E,MATCH(AE179,$A:$A,0))),IF(AG179="",IF(IFERROR(INDEX($E:$E,MATCH(AF179,$A:$A,0)),"")="","",INDEX($E:$E,MATCH(AF179,$A:$A,0))),IF(IFERROR(INDEX($E:$E,MATCH(AG179,$A:$A,0)),"")="","",INDEX($E:$E,MATCH(AG179,$A:$A,0))))))))</f>
        <v/>
      </c>
      <c r="R179" s="21" t="str">
        <f aca="false">IF(A179="","",COUNTIF(Fields!$D:$D,A179))</f>
        <v/>
      </c>
      <c r="S179" s="21" t="str">
        <f aca="false">IF(A179="","",SUMIF(Fields!$D:$D,A179,Fields!$Q:$Q))</f>
        <v/>
      </c>
      <c r="T179" s="21" t="str">
        <f aca="false">IF(A179="","",COUNTIF('Product inputs'!$D:$D,A179))</f>
        <v/>
      </c>
      <c r="U179" s="20"/>
      <c r="V179" s="20"/>
      <c r="W179" s="20"/>
      <c r="X179" s="20"/>
      <c r="Y179" s="20"/>
      <c r="Z179" s="20"/>
      <c r="AA179" s="20"/>
      <c r="AB179" s="20"/>
      <c r="AC179" s="20"/>
      <c r="AD179" s="18" t="str">
        <f aca="false">IF(A179="","",IF(IFERROR(INDEX($G:$G,MATCH(A179,$A:$A,0)),"")="","",TRIM(IF(ISNUMBER(FIND(",",IFERROR(INDEX($G:$G,MATCH(A179,$A:$A,0)),""))),LEFT(IFERROR(INDEX($G:$G,MATCH(A179,$A:$A,0)),""),FIND(",",IFERROR(INDEX($G:$G,MATCH(A179,$A:$A,0)),""))-1),IFERROR(INDEX($G:$G,MATCH(A179,$A:$A,0)),"")))))</f>
        <v/>
      </c>
      <c r="AE179" s="18" t="str">
        <f aca="false">IF(AD179="","",IF(IFERROR(INDEX($G:$G,MATCH(AD179,$A:$A,0)),"")="","",TRIM(IF(ISNUMBER(FIND(",",IFERROR(INDEX($G:$G,MATCH(AD179,$A:$A,0)),""))),LEFT(IFERROR(INDEX($G:$G,MATCH(AD179,$A:$A,0)),""),FIND(",",IFERROR(INDEX($G:$G,MATCH(AD179,$A:$A,0)),""))-1),IFERROR(INDEX($G:$G,MATCH(AD179,$A:$A,0)),"")))))</f>
        <v/>
      </c>
      <c r="AF179" s="18" t="str">
        <f aca="false">IF(AE179="","",IF(IFERROR(INDEX($G:$G,MATCH(AE179,$A:$A,0)),"")="","",TRIM(IF(ISNUMBER(FIND(",",IFERROR(INDEX($G:$G,MATCH(AE179,$A:$A,0)),""))),LEFT(IFERROR(INDEX($G:$G,MATCH(AE179,$A:$A,0)),""),FIND(",",IFERROR(INDEX($G:$G,MATCH(AE179,$A:$A,0)),""))-1),IFERROR(INDEX($G:$G,MATCH(AE179,$A:$A,0)),"")))))</f>
        <v/>
      </c>
      <c r="AG179" s="18" t="str">
        <f aca="false">IF(AF179="","",IF(IFERROR(INDEX($G:$G,MATCH(AF179,$A:$A,0)),"")="","",TRIM(IF(ISNUMBER(FIND(",",IFERROR(INDEX($G:$G,MATCH(AF179,$A:$A,0)),""))),LEFT(IFERROR(INDEX($G:$G,MATCH(AF179,$A:$A,0)),""),FIND(",",IFERROR(INDEX($G:$G,MATCH(AF179,$A:$A,0)),""))-1),IFERROR(INDEX($G:$G,MATCH(AF179,$A:$A,0)),"")))))</f>
        <v/>
      </c>
    </row>
    <row r="180" customFormat="false" ht="15" hidden="false" customHeight="false" outlineLevel="0" collapsed="false">
      <c r="A180" s="18"/>
      <c r="B180" s="19"/>
      <c r="C180" s="20"/>
      <c r="D180" s="20"/>
      <c r="E180" s="20"/>
      <c r="F180" s="20"/>
      <c r="G180" s="18"/>
      <c r="H180" s="20"/>
      <c r="I180" s="18"/>
      <c r="J180" s="20"/>
      <c r="K180" s="20"/>
      <c r="L180" s="20"/>
      <c r="M180" s="20"/>
      <c r="N180" s="20"/>
      <c r="O180" s="21" t="str">
        <f aca="false">IF(A180="","",IF(AD180="",0,IF(AE180="",1,IF(AF180="",2,IF(AG180="",3,"4+")))))</f>
        <v/>
      </c>
      <c r="P180" s="21" t="str">
        <f aca="false">IF(A180="","",B180&amp;IF(AD180="",""," &lt;- "&amp;IFERROR(INDEX($B:$B,MATCH(AD180,$A:$A,0)),AD180)&amp;IF(AE180="",""," &lt;- "&amp;IFERROR(INDEX($B:$B,MATCH(AE180,$A:$A,0)),AE180)&amp;IF(AF180="",""," &lt;- "&amp;IFERROR(INDEX($B:$B,MATCH(AF180,$A:$A,0)),AF180)&amp;IF(AG180="",""," &lt;- "&amp;IFERROR(INDEX($B:$B,MATCH(AG180,$A:$A,0)),AG180)))))&amp;IF(ISNUMBER(FIND(",",G180))," (+ other parents)",""))</f>
        <v/>
      </c>
      <c r="Q180" s="21" t="str">
        <f aca="false">IF(A180="","",IF(AD180="",E180&amp;"",IF(AE180="",IF(IFERROR(INDEX($E:$E,MATCH(AD180,$A:$A,0)),"")="","",INDEX($E:$E,MATCH(AD180,$A:$A,0))),IF(AF180="",IF(IFERROR(INDEX($E:$E,MATCH(AE180,$A:$A,0)),"")="","",INDEX($E:$E,MATCH(AE180,$A:$A,0))),IF(AG180="",IF(IFERROR(INDEX($E:$E,MATCH(AF180,$A:$A,0)),"")="","",INDEX($E:$E,MATCH(AF180,$A:$A,0))),IF(IFERROR(INDEX($E:$E,MATCH(AG180,$A:$A,0)),"")="","",INDEX($E:$E,MATCH(AG180,$A:$A,0))))))))</f>
        <v/>
      </c>
      <c r="R180" s="21" t="str">
        <f aca="false">IF(A180="","",COUNTIF(Fields!$D:$D,A180))</f>
        <v/>
      </c>
      <c r="S180" s="21" t="str">
        <f aca="false">IF(A180="","",SUMIF(Fields!$D:$D,A180,Fields!$Q:$Q))</f>
        <v/>
      </c>
      <c r="T180" s="21" t="str">
        <f aca="false">IF(A180="","",COUNTIF('Product inputs'!$D:$D,A180))</f>
        <v/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18" t="str">
        <f aca="false">IF(A180="","",IF(IFERROR(INDEX($G:$G,MATCH(A180,$A:$A,0)),"")="","",TRIM(IF(ISNUMBER(FIND(",",IFERROR(INDEX($G:$G,MATCH(A180,$A:$A,0)),""))),LEFT(IFERROR(INDEX($G:$G,MATCH(A180,$A:$A,0)),""),FIND(",",IFERROR(INDEX($G:$G,MATCH(A180,$A:$A,0)),""))-1),IFERROR(INDEX($G:$G,MATCH(A180,$A:$A,0)),"")))))</f>
        <v/>
      </c>
      <c r="AE180" s="18" t="str">
        <f aca="false">IF(AD180="","",IF(IFERROR(INDEX($G:$G,MATCH(AD180,$A:$A,0)),"")="","",TRIM(IF(ISNUMBER(FIND(",",IFERROR(INDEX($G:$G,MATCH(AD180,$A:$A,0)),""))),LEFT(IFERROR(INDEX($G:$G,MATCH(AD180,$A:$A,0)),""),FIND(",",IFERROR(INDEX($G:$G,MATCH(AD180,$A:$A,0)),""))-1),IFERROR(INDEX($G:$G,MATCH(AD180,$A:$A,0)),"")))))</f>
        <v/>
      </c>
      <c r="AF180" s="18" t="str">
        <f aca="false">IF(AE180="","",IF(IFERROR(INDEX($G:$G,MATCH(AE180,$A:$A,0)),"")="","",TRIM(IF(ISNUMBER(FIND(",",IFERROR(INDEX($G:$G,MATCH(AE180,$A:$A,0)),""))),LEFT(IFERROR(INDEX($G:$G,MATCH(AE180,$A:$A,0)),""),FIND(",",IFERROR(INDEX($G:$G,MATCH(AE180,$A:$A,0)),""))-1),IFERROR(INDEX($G:$G,MATCH(AE180,$A:$A,0)),"")))))</f>
        <v/>
      </c>
      <c r="AG180" s="18" t="str">
        <f aca="false">IF(AF180="","",IF(IFERROR(INDEX($G:$G,MATCH(AF180,$A:$A,0)),"")="","",TRIM(IF(ISNUMBER(FIND(",",IFERROR(INDEX($G:$G,MATCH(AF180,$A:$A,0)),""))),LEFT(IFERROR(INDEX($G:$G,MATCH(AF180,$A:$A,0)),""),FIND(",",IFERROR(INDEX($G:$G,MATCH(AF180,$A:$A,0)),""))-1),IFERROR(INDEX($G:$G,MATCH(AF180,$A:$A,0)),"")))))</f>
        <v/>
      </c>
    </row>
    <row r="181" customFormat="false" ht="15" hidden="false" customHeight="false" outlineLevel="0" collapsed="false">
      <c r="A181" s="18"/>
      <c r="B181" s="19"/>
      <c r="C181" s="20"/>
      <c r="D181" s="20"/>
      <c r="E181" s="20"/>
      <c r="F181" s="20"/>
      <c r="G181" s="18"/>
      <c r="H181" s="20"/>
      <c r="I181" s="18"/>
      <c r="J181" s="20"/>
      <c r="K181" s="20"/>
      <c r="L181" s="20"/>
      <c r="M181" s="20"/>
      <c r="N181" s="20"/>
      <c r="O181" s="21" t="str">
        <f aca="false">IF(A181="","",IF(AD181="",0,IF(AE181="",1,IF(AF181="",2,IF(AG181="",3,"4+")))))</f>
        <v/>
      </c>
      <c r="P181" s="21" t="str">
        <f aca="false">IF(A181="","",B181&amp;IF(AD181="",""," &lt;- "&amp;IFERROR(INDEX($B:$B,MATCH(AD181,$A:$A,0)),AD181)&amp;IF(AE181="",""," &lt;- "&amp;IFERROR(INDEX($B:$B,MATCH(AE181,$A:$A,0)),AE181)&amp;IF(AF181="",""," &lt;- "&amp;IFERROR(INDEX($B:$B,MATCH(AF181,$A:$A,0)),AF181)&amp;IF(AG181="",""," &lt;- "&amp;IFERROR(INDEX($B:$B,MATCH(AG181,$A:$A,0)),AG181)))))&amp;IF(ISNUMBER(FIND(",",G181))," (+ other parents)",""))</f>
        <v/>
      </c>
      <c r="Q181" s="21" t="str">
        <f aca="false">IF(A181="","",IF(AD181="",E181&amp;"",IF(AE181="",IF(IFERROR(INDEX($E:$E,MATCH(AD181,$A:$A,0)),"")="","",INDEX($E:$E,MATCH(AD181,$A:$A,0))),IF(AF181="",IF(IFERROR(INDEX($E:$E,MATCH(AE181,$A:$A,0)),"")="","",INDEX($E:$E,MATCH(AE181,$A:$A,0))),IF(AG181="",IF(IFERROR(INDEX($E:$E,MATCH(AF181,$A:$A,0)),"")="","",INDEX($E:$E,MATCH(AF181,$A:$A,0))),IF(IFERROR(INDEX($E:$E,MATCH(AG181,$A:$A,0)),"")="","",INDEX($E:$E,MATCH(AG181,$A:$A,0))))))))</f>
        <v/>
      </c>
      <c r="R181" s="21" t="str">
        <f aca="false">IF(A181="","",COUNTIF(Fields!$D:$D,A181))</f>
        <v/>
      </c>
      <c r="S181" s="21" t="str">
        <f aca="false">IF(A181="","",SUMIF(Fields!$D:$D,A181,Fields!$Q:$Q))</f>
        <v/>
      </c>
      <c r="T181" s="21" t="str">
        <f aca="false">IF(A181="","",COUNTIF('Product inputs'!$D:$D,A181))</f>
        <v/>
      </c>
      <c r="U181" s="20"/>
      <c r="V181" s="20"/>
      <c r="W181" s="20"/>
      <c r="X181" s="20"/>
      <c r="Y181" s="20"/>
      <c r="Z181" s="20"/>
      <c r="AA181" s="20"/>
      <c r="AB181" s="20"/>
      <c r="AC181" s="20"/>
      <c r="AD181" s="18" t="str">
        <f aca="false">IF(A181="","",IF(IFERROR(INDEX($G:$G,MATCH(A181,$A:$A,0)),"")="","",TRIM(IF(ISNUMBER(FIND(",",IFERROR(INDEX($G:$G,MATCH(A181,$A:$A,0)),""))),LEFT(IFERROR(INDEX($G:$G,MATCH(A181,$A:$A,0)),""),FIND(",",IFERROR(INDEX($G:$G,MATCH(A181,$A:$A,0)),""))-1),IFERROR(INDEX($G:$G,MATCH(A181,$A:$A,0)),"")))))</f>
        <v/>
      </c>
      <c r="AE181" s="18" t="str">
        <f aca="false">IF(AD181="","",IF(IFERROR(INDEX($G:$G,MATCH(AD181,$A:$A,0)),"")="","",TRIM(IF(ISNUMBER(FIND(",",IFERROR(INDEX($G:$G,MATCH(AD181,$A:$A,0)),""))),LEFT(IFERROR(INDEX($G:$G,MATCH(AD181,$A:$A,0)),""),FIND(",",IFERROR(INDEX($G:$G,MATCH(AD181,$A:$A,0)),""))-1),IFERROR(INDEX($G:$G,MATCH(AD181,$A:$A,0)),"")))))</f>
        <v/>
      </c>
      <c r="AF181" s="18" t="str">
        <f aca="false">IF(AE181="","",IF(IFERROR(INDEX($G:$G,MATCH(AE181,$A:$A,0)),"")="","",TRIM(IF(ISNUMBER(FIND(",",IFERROR(INDEX($G:$G,MATCH(AE181,$A:$A,0)),""))),LEFT(IFERROR(INDEX($G:$G,MATCH(AE181,$A:$A,0)),""),FIND(",",IFERROR(INDEX($G:$G,MATCH(AE181,$A:$A,0)),""))-1),IFERROR(INDEX($G:$G,MATCH(AE181,$A:$A,0)),"")))))</f>
        <v/>
      </c>
      <c r="AG181" s="18" t="str">
        <f aca="false">IF(AF181="","",IF(IFERROR(INDEX($G:$G,MATCH(AF181,$A:$A,0)),"")="","",TRIM(IF(ISNUMBER(FIND(",",IFERROR(INDEX($G:$G,MATCH(AF181,$A:$A,0)),""))),LEFT(IFERROR(INDEX($G:$G,MATCH(AF181,$A:$A,0)),""),FIND(",",IFERROR(INDEX($G:$G,MATCH(AF181,$A:$A,0)),""))-1),IFERROR(INDEX($G:$G,MATCH(AF181,$A:$A,0)),"")))))</f>
        <v/>
      </c>
    </row>
    <row r="182" customFormat="false" ht="15" hidden="false" customHeight="false" outlineLevel="0" collapsed="false">
      <c r="A182" s="18"/>
      <c r="B182" s="19"/>
      <c r="C182" s="20"/>
      <c r="D182" s="20"/>
      <c r="E182" s="20"/>
      <c r="F182" s="20"/>
      <c r="G182" s="18"/>
      <c r="H182" s="20"/>
      <c r="I182" s="18"/>
      <c r="J182" s="20"/>
      <c r="K182" s="20"/>
      <c r="L182" s="20"/>
      <c r="M182" s="20"/>
      <c r="N182" s="20"/>
      <c r="O182" s="21" t="str">
        <f aca="false">IF(A182="","",IF(AD182="",0,IF(AE182="",1,IF(AF182="",2,IF(AG182="",3,"4+")))))</f>
        <v/>
      </c>
      <c r="P182" s="21" t="str">
        <f aca="false">IF(A182="","",B182&amp;IF(AD182="",""," &lt;- "&amp;IFERROR(INDEX($B:$B,MATCH(AD182,$A:$A,0)),AD182)&amp;IF(AE182="",""," &lt;- "&amp;IFERROR(INDEX($B:$B,MATCH(AE182,$A:$A,0)),AE182)&amp;IF(AF182="",""," &lt;- "&amp;IFERROR(INDEX($B:$B,MATCH(AF182,$A:$A,0)),AF182)&amp;IF(AG182="",""," &lt;- "&amp;IFERROR(INDEX($B:$B,MATCH(AG182,$A:$A,0)),AG182)))))&amp;IF(ISNUMBER(FIND(",",G182))," (+ other parents)",""))</f>
        <v/>
      </c>
      <c r="Q182" s="21" t="str">
        <f aca="false">IF(A182="","",IF(AD182="",E182&amp;"",IF(AE182="",IF(IFERROR(INDEX($E:$E,MATCH(AD182,$A:$A,0)),"")="","",INDEX($E:$E,MATCH(AD182,$A:$A,0))),IF(AF182="",IF(IFERROR(INDEX($E:$E,MATCH(AE182,$A:$A,0)),"")="","",INDEX($E:$E,MATCH(AE182,$A:$A,0))),IF(AG182="",IF(IFERROR(INDEX($E:$E,MATCH(AF182,$A:$A,0)),"")="","",INDEX($E:$E,MATCH(AF182,$A:$A,0))),IF(IFERROR(INDEX($E:$E,MATCH(AG182,$A:$A,0)),"")="","",INDEX($E:$E,MATCH(AG182,$A:$A,0))))))))</f>
        <v/>
      </c>
      <c r="R182" s="21" t="str">
        <f aca="false">IF(A182="","",COUNTIF(Fields!$D:$D,A182))</f>
        <v/>
      </c>
      <c r="S182" s="21" t="str">
        <f aca="false">IF(A182="","",SUMIF(Fields!$D:$D,A182,Fields!$Q:$Q))</f>
        <v/>
      </c>
      <c r="T182" s="21" t="str">
        <f aca="false">IF(A182="","",COUNTIF('Product inputs'!$D:$D,A182))</f>
        <v/>
      </c>
      <c r="U182" s="20"/>
      <c r="V182" s="20"/>
      <c r="W182" s="20"/>
      <c r="X182" s="20"/>
      <c r="Y182" s="20"/>
      <c r="Z182" s="20"/>
      <c r="AA182" s="20"/>
      <c r="AB182" s="20"/>
      <c r="AC182" s="20"/>
      <c r="AD182" s="18" t="str">
        <f aca="false">IF(A182="","",IF(IFERROR(INDEX($G:$G,MATCH(A182,$A:$A,0)),"")="","",TRIM(IF(ISNUMBER(FIND(",",IFERROR(INDEX($G:$G,MATCH(A182,$A:$A,0)),""))),LEFT(IFERROR(INDEX($G:$G,MATCH(A182,$A:$A,0)),""),FIND(",",IFERROR(INDEX($G:$G,MATCH(A182,$A:$A,0)),""))-1),IFERROR(INDEX($G:$G,MATCH(A182,$A:$A,0)),"")))))</f>
        <v/>
      </c>
      <c r="AE182" s="18" t="str">
        <f aca="false">IF(AD182="","",IF(IFERROR(INDEX($G:$G,MATCH(AD182,$A:$A,0)),"")="","",TRIM(IF(ISNUMBER(FIND(",",IFERROR(INDEX($G:$G,MATCH(AD182,$A:$A,0)),""))),LEFT(IFERROR(INDEX($G:$G,MATCH(AD182,$A:$A,0)),""),FIND(",",IFERROR(INDEX($G:$G,MATCH(AD182,$A:$A,0)),""))-1),IFERROR(INDEX($G:$G,MATCH(AD182,$A:$A,0)),"")))))</f>
        <v/>
      </c>
      <c r="AF182" s="18" t="str">
        <f aca="false">IF(AE182="","",IF(IFERROR(INDEX($G:$G,MATCH(AE182,$A:$A,0)),"")="","",TRIM(IF(ISNUMBER(FIND(",",IFERROR(INDEX($G:$G,MATCH(AE182,$A:$A,0)),""))),LEFT(IFERROR(INDEX($G:$G,MATCH(AE182,$A:$A,0)),""),FIND(",",IFERROR(INDEX($G:$G,MATCH(AE182,$A:$A,0)),""))-1),IFERROR(INDEX($G:$G,MATCH(AE182,$A:$A,0)),"")))))</f>
        <v/>
      </c>
      <c r="AG182" s="18" t="str">
        <f aca="false">IF(AF182="","",IF(IFERROR(INDEX($G:$G,MATCH(AF182,$A:$A,0)),"")="","",TRIM(IF(ISNUMBER(FIND(",",IFERROR(INDEX($G:$G,MATCH(AF182,$A:$A,0)),""))),LEFT(IFERROR(INDEX($G:$G,MATCH(AF182,$A:$A,0)),""),FIND(",",IFERROR(INDEX($G:$G,MATCH(AF182,$A:$A,0)),""))-1),IFERROR(INDEX($G:$G,MATCH(AF182,$A:$A,0)),"")))))</f>
        <v/>
      </c>
    </row>
    <row r="183" customFormat="false" ht="15" hidden="false" customHeight="false" outlineLevel="0" collapsed="false">
      <c r="A183" s="18"/>
      <c r="B183" s="19"/>
      <c r="C183" s="20"/>
      <c r="D183" s="20"/>
      <c r="E183" s="20"/>
      <c r="F183" s="20"/>
      <c r="G183" s="18"/>
      <c r="H183" s="20"/>
      <c r="I183" s="18"/>
      <c r="J183" s="20"/>
      <c r="K183" s="20"/>
      <c r="L183" s="20"/>
      <c r="M183" s="20"/>
      <c r="N183" s="20"/>
      <c r="O183" s="21" t="str">
        <f aca="false">IF(A183="","",IF(AD183="",0,IF(AE183="",1,IF(AF183="",2,IF(AG183="",3,"4+")))))</f>
        <v/>
      </c>
      <c r="P183" s="21" t="str">
        <f aca="false">IF(A183="","",B183&amp;IF(AD183="",""," &lt;- "&amp;IFERROR(INDEX($B:$B,MATCH(AD183,$A:$A,0)),AD183)&amp;IF(AE183="",""," &lt;- "&amp;IFERROR(INDEX($B:$B,MATCH(AE183,$A:$A,0)),AE183)&amp;IF(AF183="",""," &lt;- "&amp;IFERROR(INDEX($B:$B,MATCH(AF183,$A:$A,0)),AF183)&amp;IF(AG183="",""," &lt;- "&amp;IFERROR(INDEX($B:$B,MATCH(AG183,$A:$A,0)),AG183)))))&amp;IF(ISNUMBER(FIND(",",G183))," (+ other parents)",""))</f>
        <v/>
      </c>
      <c r="Q183" s="21" t="str">
        <f aca="false">IF(A183="","",IF(AD183="",E183&amp;"",IF(AE183="",IF(IFERROR(INDEX($E:$E,MATCH(AD183,$A:$A,0)),"")="","",INDEX($E:$E,MATCH(AD183,$A:$A,0))),IF(AF183="",IF(IFERROR(INDEX($E:$E,MATCH(AE183,$A:$A,0)),"")="","",INDEX($E:$E,MATCH(AE183,$A:$A,0))),IF(AG183="",IF(IFERROR(INDEX($E:$E,MATCH(AF183,$A:$A,0)),"")="","",INDEX($E:$E,MATCH(AF183,$A:$A,0))),IF(IFERROR(INDEX($E:$E,MATCH(AG183,$A:$A,0)),"")="","",INDEX($E:$E,MATCH(AG183,$A:$A,0))))))))</f>
        <v/>
      </c>
      <c r="R183" s="21" t="str">
        <f aca="false">IF(A183="","",COUNTIF(Fields!$D:$D,A183))</f>
        <v/>
      </c>
      <c r="S183" s="21" t="str">
        <f aca="false">IF(A183="","",SUMIF(Fields!$D:$D,A183,Fields!$Q:$Q))</f>
        <v/>
      </c>
      <c r="T183" s="21" t="str">
        <f aca="false">IF(A183="","",COUNTIF('Product inputs'!$D:$D,A183))</f>
        <v/>
      </c>
      <c r="U183" s="20"/>
      <c r="V183" s="20"/>
      <c r="W183" s="20"/>
      <c r="X183" s="20"/>
      <c r="Y183" s="20"/>
      <c r="Z183" s="20"/>
      <c r="AA183" s="20"/>
      <c r="AB183" s="20"/>
      <c r="AC183" s="20"/>
      <c r="AD183" s="18" t="str">
        <f aca="false">IF(A183="","",IF(IFERROR(INDEX($G:$G,MATCH(A183,$A:$A,0)),"")="","",TRIM(IF(ISNUMBER(FIND(",",IFERROR(INDEX($G:$G,MATCH(A183,$A:$A,0)),""))),LEFT(IFERROR(INDEX($G:$G,MATCH(A183,$A:$A,0)),""),FIND(",",IFERROR(INDEX($G:$G,MATCH(A183,$A:$A,0)),""))-1),IFERROR(INDEX($G:$G,MATCH(A183,$A:$A,0)),"")))))</f>
        <v/>
      </c>
      <c r="AE183" s="18" t="str">
        <f aca="false">IF(AD183="","",IF(IFERROR(INDEX($G:$G,MATCH(AD183,$A:$A,0)),"")="","",TRIM(IF(ISNUMBER(FIND(",",IFERROR(INDEX($G:$G,MATCH(AD183,$A:$A,0)),""))),LEFT(IFERROR(INDEX($G:$G,MATCH(AD183,$A:$A,0)),""),FIND(",",IFERROR(INDEX($G:$G,MATCH(AD183,$A:$A,0)),""))-1),IFERROR(INDEX($G:$G,MATCH(AD183,$A:$A,0)),"")))))</f>
        <v/>
      </c>
      <c r="AF183" s="18" t="str">
        <f aca="false">IF(AE183="","",IF(IFERROR(INDEX($G:$G,MATCH(AE183,$A:$A,0)),"")="","",TRIM(IF(ISNUMBER(FIND(",",IFERROR(INDEX($G:$G,MATCH(AE183,$A:$A,0)),""))),LEFT(IFERROR(INDEX($G:$G,MATCH(AE183,$A:$A,0)),""),FIND(",",IFERROR(INDEX($G:$G,MATCH(AE183,$A:$A,0)),""))-1),IFERROR(INDEX($G:$G,MATCH(AE183,$A:$A,0)),"")))))</f>
        <v/>
      </c>
      <c r="AG183" s="18" t="str">
        <f aca="false">IF(AF183="","",IF(IFERROR(INDEX($G:$G,MATCH(AF183,$A:$A,0)),"")="","",TRIM(IF(ISNUMBER(FIND(",",IFERROR(INDEX($G:$G,MATCH(AF183,$A:$A,0)),""))),LEFT(IFERROR(INDEX($G:$G,MATCH(AF183,$A:$A,0)),""),FIND(",",IFERROR(INDEX($G:$G,MATCH(AF183,$A:$A,0)),""))-1),IFERROR(INDEX($G:$G,MATCH(AF183,$A:$A,0)),"")))))</f>
        <v/>
      </c>
    </row>
    <row r="184" customFormat="false" ht="15" hidden="false" customHeight="false" outlineLevel="0" collapsed="false">
      <c r="A184" s="18"/>
      <c r="B184" s="19"/>
      <c r="C184" s="20"/>
      <c r="D184" s="20"/>
      <c r="E184" s="20"/>
      <c r="F184" s="20"/>
      <c r="G184" s="18"/>
      <c r="H184" s="20"/>
      <c r="I184" s="18"/>
      <c r="J184" s="20"/>
      <c r="K184" s="20"/>
      <c r="L184" s="20"/>
      <c r="M184" s="20"/>
      <c r="N184" s="20"/>
      <c r="O184" s="21" t="str">
        <f aca="false">IF(A184="","",IF(AD184="",0,IF(AE184="",1,IF(AF184="",2,IF(AG184="",3,"4+")))))</f>
        <v/>
      </c>
      <c r="P184" s="21" t="str">
        <f aca="false">IF(A184="","",B184&amp;IF(AD184="",""," &lt;- "&amp;IFERROR(INDEX($B:$B,MATCH(AD184,$A:$A,0)),AD184)&amp;IF(AE184="",""," &lt;- "&amp;IFERROR(INDEX($B:$B,MATCH(AE184,$A:$A,0)),AE184)&amp;IF(AF184="",""," &lt;- "&amp;IFERROR(INDEX($B:$B,MATCH(AF184,$A:$A,0)),AF184)&amp;IF(AG184="",""," &lt;- "&amp;IFERROR(INDEX($B:$B,MATCH(AG184,$A:$A,0)),AG184)))))&amp;IF(ISNUMBER(FIND(",",G184))," (+ other parents)",""))</f>
        <v/>
      </c>
      <c r="Q184" s="21" t="str">
        <f aca="false">IF(A184="","",IF(AD184="",E184&amp;"",IF(AE184="",IF(IFERROR(INDEX($E:$E,MATCH(AD184,$A:$A,0)),"")="","",INDEX($E:$E,MATCH(AD184,$A:$A,0))),IF(AF184="",IF(IFERROR(INDEX($E:$E,MATCH(AE184,$A:$A,0)),"")="","",INDEX($E:$E,MATCH(AE184,$A:$A,0))),IF(AG184="",IF(IFERROR(INDEX($E:$E,MATCH(AF184,$A:$A,0)),"")="","",INDEX($E:$E,MATCH(AF184,$A:$A,0))),IF(IFERROR(INDEX($E:$E,MATCH(AG184,$A:$A,0)),"")="","",INDEX($E:$E,MATCH(AG184,$A:$A,0))))))))</f>
        <v/>
      </c>
      <c r="R184" s="21" t="str">
        <f aca="false">IF(A184="","",COUNTIF(Fields!$D:$D,A184))</f>
        <v/>
      </c>
      <c r="S184" s="21" t="str">
        <f aca="false">IF(A184="","",SUMIF(Fields!$D:$D,A184,Fields!$Q:$Q))</f>
        <v/>
      </c>
      <c r="T184" s="21" t="str">
        <f aca="false">IF(A184="","",COUNTIF('Product inputs'!$D:$D,A184))</f>
        <v/>
      </c>
      <c r="U184" s="20"/>
      <c r="V184" s="20"/>
      <c r="W184" s="20"/>
      <c r="X184" s="20"/>
      <c r="Y184" s="20"/>
      <c r="Z184" s="20"/>
      <c r="AA184" s="20"/>
      <c r="AB184" s="20"/>
      <c r="AC184" s="20"/>
      <c r="AD184" s="18" t="str">
        <f aca="false">IF(A184="","",IF(IFERROR(INDEX($G:$G,MATCH(A184,$A:$A,0)),"")="","",TRIM(IF(ISNUMBER(FIND(",",IFERROR(INDEX($G:$G,MATCH(A184,$A:$A,0)),""))),LEFT(IFERROR(INDEX($G:$G,MATCH(A184,$A:$A,0)),""),FIND(",",IFERROR(INDEX($G:$G,MATCH(A184,$A:$A,0)),""))-1),IFERROR(INDEX($G:$G,MATCH(A184,$A:$A,0)),"")))))</f>
        <v/>
      </c>
      <c r="AE184" s="18" t="str">
        <f aca="false">IF(AD184="","",IF(IFERROR(INDEX($G:$G,MATCH(AD184,$A:$A,0)),"")="","",TRIM(IF(ISNUMBER(FIND(",",IFERROR(INDEX($G:$G,MATCH(AD184,$A:$A,0)),""))),LEFT(IFERROR(INDEX($G:$G,MATCH(AD184,$A:$A,0)),""),FIND(",",IFERROR(INDEX($G:$G,MATCH(AD184,$A:$A,0)),""))-1),IFERROR(INDEX($G:$G,MATCH(AD184,$A:$A,0)),"")))))</f>
        <v/>
      </c>
      <c r="AF184" s="18" t="str">
        <f aca="false">IF(AE184="","",IF(IFERROR(INDEX($G:$G,MATCH(AE184,$A:$A,0)),"")="","",TRIM(IF(ISNUMBER(FIND(",",IFERROR(INDEX($G:$G,MATCH(AE184,$A:$A,0)),""))),LEFT(IFERROR(INDEX($G:$G,MATCH(AE184,$A:$A,0)),""),FIND(",",IFERROR(INDEX($G:$G,MATCH(AE184,$A:$A,0)),""))-1),IFERROR(INDEX($G:$G,MATCH(AE184,$A:$A,0)),"")))))</f>
        <v/>
      </c>
      <c r="AG184" s="18" t="str">
        <f aca="false">IF(AF184="","",IF(IFERROR(INDEX($G:$G,MATCH(AF184,$A:$A,0)),"")="","",TRIM(IF(ISNUMBER(FIND(",",IFERROR(INDEX($G:$G,MATCH(AF184,$A:$A,0)),""))),LEFT(IFERROR(INDEX($G:$G,MATCH(AF184,$A:$A,0)),""),FIND(",",IFERROR(INDEX($G:$G,MATCH(AF184,$A:$A,0)),""))-1),IFERROR(INDEX($G:$G,MATCH(AF184,$A:$A,0)),"")))))</f>
        <v/>
      </c>
    </row>
    <row r="185" customFormat="false" ht="15" hidden="false" customHeight="false" outlineLevel="0" collapsed="false">
      <c r="A185" s="18"/>
      <c r="B185" s="19"/>
      <c r="C185" s="20"/>
      <c r="D185" s="20"/>
      <c r="E185" s="20"/>
      <c r="F185" s="20"/>
      <c r="G185" s="18"/>
      <c r="H185" s="20"/>
      <c r="I185" s="18"/>
      <c r="J185" s="20"/>
      <c r="K185" s="20"/>
      <c r="L185" s="20"/>
      <c r="M185" s="20"/>
      <c r="N185" s="20"/>
      <c r="O185" s="21" t="str">
        <f aca="false">IF(A185="","",IF(AD185="",0,IF(AE185="",1,IF(AF185="",2,IF(AG185="",3,"4+")))))</f>
        <v/>
      </c>
      <c r="P185" s="21" t="str">
        <f aca="false">IF(A185="","",B185&amp;IF(AD185="",""," &lt;- "&amp;IFERROR(INDEX($B:$B,MATCH(AD185,$A:$A,0)),AD185)&amp;IF(AE185="",""," &lt;- "&amp;IFERROR(INDEX($B:$B,MATCH(AE185,$A:$A,0)),AE185)&amp;IF(AF185="",""," &lt;- "&amp;IFERROR(INDEX($B:$B,MATCH(AF185,$A:$A,0)),AF185)&amp;IF(AG185="",""," &lt;- "&amp;IFERROR(INDEX($B:$B,MATCH(AG185,$A:$A,0)),AG185)))))&amp;IF(ISNUMBER(FIND(",",G185))," (+ other parents)",""))</f>
        <v/>
      </c>
      <c r="Q185" s="21" t="str">
        <f aca="false">IF(A185="","",IF(AD185="",E185&amp;"",IF(AE185="",IF(IFERROR(INDEX($E:$E,MATCH(AD185,$A:$A,0)),"")="","",INDEX($E:$E,MATCH(AD185,$A:$A,0))),IF(AF185="",IF(IFERROR(INDEX($E:$E,MATCH(AE185,$A:$A,0)),"")="","",INDEX($E:$E,MATCH(AE185,$A:$A,0))),IF(AG185="",IF(IFERROR(INDEX($E:$E,MATCH(AF185,$A:$A,0)),"")="","",INDEX($E:$E,MATCH(AF185,$A:$A,0))),IF(IFERROR(INDEX($E:$E,MATCH(AG185,$A:$A,0)),"")="","",INDEX($E:$E,MATCH(AG185,$A:$A,0))))))))</f>
        <v/>
      </c>
      <c r="R185" s="21" t="str">
        <f aca="false">IF(A185="","",COUNTIF(Fields!$D:$D,A185))</f>
        <v/>
      </c>
      <c r="S185" s="21" t="str">
        <f aca="false">IF(A185="","",SUMIF(Fields!$D:$D,A185,Fields!$Q:$Q))</f>
        <v/>
      </c>
      <c r="T185" s="21" t="str">
        <f aca="false">IF(A185="","",COUNTIF('Product inputs'!$D:$D,A185))</f>
        <v/>
      </c>
      <c r="U185" s="20"/>
      <c r="V185" s="20"/>
      <c r="W185" s="20"/>
      <c r="X185" s="20"/>
      <c r="Y185" s="20"/>
      <c r="Z185" s="20"/>
      <c r="AA185" s="20"/>
      <c r="AB185" s="20"/>
      <c r="AC185" s="20"/>
      <c r="AD185" s="18" t="str">
        <f aca="false">IF(A185="","",IF(IFERROR(INDEX($G:$G,MATCH(A185,$A:$A,0)),"")="","",TRIM(IF(ISNUMBER(FIND(",",IFERROR(INDEX($G:$G,MATCH(A185,$A:$A,0)),""))),LEFT(IFERROR(INDEX($G:$G,MATCH(A185,$A:$A,0)),""),FIND(",",IFERROR(INDEX($G:$G,MATCH(A185,$A:$A,0)),""))-1),IFERROR(INDEX($G:$G,MATCH(A185,$A:$A,0)),"")))))</f>
        <v/>
      </c>
      <c r="AE185" s="18" t="str">
        <f aca="false">IF(AD185="","",IF(IFERROR(INDEX($G:$G,MATCH(AD185,$A:$A,0)),"")="","",TRIM(IF(ISNUMBER(FIND(",",IFERROR(INDEX($G:$G,MATCH(AD185,$A:$A,0)),""))),LEFT(IFERROR(INDEX($G:$G,MATCH(AD185,$A:$A,0)),""),FIND(",",IFERROR(INDEX($G:$G,MATCH(AD185,$A:$A,0)),""))-1),IFERROR(INDEX($G:$G,MATCH(AD185,$A:$A,0)),"")))))</f>
        <v/>
      </c>
      <c r="AF185" s="18" t="str">
        <f aca="false">IF(AE185="","",IF(IFERROR(INDEX($G:$G,MATCH(AE185,$A:$A,0)),"")="","",TRIM(IF(ISNUMBER(FIND(",",IFERROR(INDEX($G:$G,MATCH(AE185,$A:$A,0)),""))),LEFT(IFERROR(INDEX($G:$G,MATCH(AE185,$A:$A,0)),""),FIND(",",IFERROR(INDEX($G:$G,MATCH(AE185,$A:$A,0)),""))-1),IFERROR(INDEX($G:$G,MATCH(AE185,$A:$A,0)),"")))))</f>
        <v/>
      </c>
      <c r="AG185" s="18" t="str">
        <f aca="false">IF(AF185="","",IF(IFERROR(INDEX($G:$G,MATCH(AF185,$A:$A,0)),"")="","",TRIM(IF(ISNUMBER(FIND(",",IFERROR(INDEX($G:$G,MATCH(AF185,$A:$A,0)),""))),LEFT(IFERROR(INDEX($G:$G,MATCH(AF185,$A:$A,0)),""),FIND(",",IFERROR(INDEX($G:$G,MATCH(AF185,$A:$A,0)),""))-1),IFERROR(INDEX($G:$G,MATCH(AF185,$A:$A,0)),"")))))</f>
        <v/>
      </c>
    </row>
    <row r="186" customFormat="false" ht="15" hidden="false" customHeight="false" outlineLevel="0" collapsed="false">
      <c r="A186" s="18"/>
      <c r="B186" s="19"/>
      <c r="C186" s="20"/>
      <c r="D186" s="20"/>
      <c r="E186" s="20"/>
      <c r="F186" s="20"/>
      <c r="G186" s="18"/>
      <c r="H186" s="20"/>
      <c r="I186" s="18"/>
      <c r="J186" s="20"/>
      <c r="K186" s="20"/>
      <c r="L186" s="20"/>
      <c r="M186" s="20"/>
      <c r="N186" s="20"/>
      <c r="O186" s="21" t="str">
        <f aca="false">IF(A186="","",IF(AD186="",0,IF(AE186="",1,IF(AF186="",2,IF(AG186="",3,"4+")))))</f>
        <v/>
      </c>
      <c r="P186" s="21" t="str">
        <f aca="false">IF(A186="","",B186&amp;IF(AD186="",""," &lt;- "&amp;IFERROR(INDEX($B:$B,MATCH(AD186,$A:$A,0)),AD186)&amp;IF(AE186="",""," &lt;- "&amp;IFERROR(INDEX($B:$B,MATCH(AE186,$A:$A,0)),AE186)&amp;IF(AF186="",""," &lt;- "&amp;IFERROR(INDEX($B:$B,MATCH(AF186,$A:$A,0)),AF186)&amp;IF(AG186="",""," &lt;- "&amp;IFERROR(INDEX($B:$B,MATCH(AG186,$A:$A,0)),AG186)))))&amp;IF(ISNUMBER(FIND(",",G186))," (+ other parents)",""))</f>
        <v/>
      </c>
      <c r="Q186" s="21" t="str">
        <f aca="false">IF(A186="","",IF(AD186="",E186&amp;"",IF(AE186="",IF(IFERROR(INDEX($E:$E,MATCH(AD186,$A:$A,0)),"")="","",INDEX($E:$E,MATCH(AD186,$A:$A,0))),IF(AF186="",IF(IFERROR(INDEX($E:$E,MATCH(AE186,$A:$A,0)),"")="","",INDEX($E:$E,MATCH(AE186,$A:$A,0))),IF(AG186="",IF(IFERROR(INDEX($E:$E,MATCH(AF186,$A:$A,0)),"")="","",INDEX($E:$E,MATCH(AF186,$A:$A,0))),IF(IFERROR(INDEX($E:$E,MATCH(AG186,$A:$A,0)),"")="","",INDEX($E:$E,MATCH(AG186,$A:$A,0))))))))</f>
        <v/>
      </c>
      <c r="R186" s="21" t="str">
        <f aca="false">IF(A186="","",COUNTIF(Fields!$D:$D,A186))</f>
        <v/>
      </c>
      <c r="S186" s="21" t="str">
        <f aca="false">IF(A186="","",SUMIF(Fields!$D:$D,A186,Fields!$Q:$Q))</f>
        <v/>
      </c>
      <c r="T186" s="21" t="str">
        <f aca="false">IF(A186="","",COUNTIF('Product inputs'!$D:$D,A186))</f>
        <v/>
      </c>
      <c r="U186" s="20"/>
      <c r="V186" s="20"/>
      <c r="W186" s="20"/>
      <c r="X186" s="20"/>
      <c r="Y186" s="20"/>
      <c r="Z186" s="20"/>
      <c r="AA186" s="20"/>
      <c r="AB186" s="20"/>
      <c r="AC186" s="20"/>
      <c r="AD186" s="18" t="str">
        <f aca="false">IF(A186="","",IF(IFERROR(INDEX($G:$G,MATCH(A186,$A:$A,0)),"")="","",TRIM(IF(ISNUMBER(FIND(",",IFERROR(INDEX($G:$G,MATCH(A186,$A:$A,0)),""))),LEFT(IFERROR(INDEX($G:$G,MATCH(A186,$A:$A,0)),""),FIND(",",IFERROR(INDEX($G:$G,MATCH(A186,$A:$A,0)),""))-1),IFERROR(INDEX($G:$G,MATCH(A186,$A:$A,0)),"")))))</f>
        <v/>
      </c>
      <c r="AE186" s="18" t="str">
        <f aca="false">IF(AD186="","",IF(IFERROR(INDEX($G:$G,MATCH(AD186,$A:$A,0)),"")="","",TRIM(IF(ISNUMBER(FIND(",",IFERROR(INDEX($G:$G,MATCH(AD186,$A:$A,0)),""))),LEFT(IFERROR(INDEX($G:$G,MATCH(AD186,$A:$A,0)),""),FIND(",",IFERROR(INDEX($G:$G,MATCH(AD186,$A:$A,0)),""))-1),IFERROR(INDEX($G:$G,MATCH(AD186,$A:$A,0)),"")))))</f>
        <v/>
      </c>
      <c r="AF186" s="18" t="str">
        <f aca="false">IF(AE186="","",IF(IFERROR(INDEX($G:$G,MATCH(AE186,$A:$A,0)),"")="","",TRIM(IF(ISNUMBER(FIND(",",IFERROR(INDEX($G:$G,MATCH(AE186,$A:$A,0)),""))),LEFT(IFERROR(INDEX($G:$G,MATCH(AE186,$A:$A,0)),""),FIND(",",IFERROR(INDEX($G:$G,MATCH(AE186,$A:$A,0)),""))-1),IFERROR(INDEX($G:$G,MATCH(AE186,$A:$A,0)),"")))))</f>
        <v/>
      </c>
      <c r="AG186" s="18" t="str">
        <f aca="false">IF(AF186="","",IF(IFERROR(INDEX($G:$G,MATCH(AF186,$A:$A,0)),"")="","",TRIM(IF(ISNUMBER(FIND(",",IFERROR(INDEX($G:$G,MATCH(AF186,$A:$A,0)),""))),LEFT(IFERROR(INDEX($G:$G,MATCH(AF186,$A:$A,0)),""),FIND(",",IFERROR(INDEX($G:$G,MATCH(AF186,$A:$A,0)),""))-1),IFERROR(INDEX($G:$G,MATCH(AF186,$A:$A,0)),"")))))</f>
        <v/>
      </c>
    </row>
    <row r="187" customFormat="false" ht="15" hidden="false" customHeight="false" outlineLevel="0" collapsed="false">
      <c r="A187" s="18"/>
      <c r="B187" s="19"/>
      <c r="C187" s="20"/>
      <c r="D187" s="20"/>
      <c r="E187" s="20"/>
      <c r="F187" s="20"/>
      <c r="G187" s="18"/>
      <c r="H187" s="20"/>
      <c r="I187" s="18"/>
      <c r="J187" s="20"/>
      <c r="K187" s="20"/>
      <c r="L187" s="20"/>
      <c r="M187" s="20"/>
      <c r="N187" s="20"/>
      <c r="O187" s="21" t="str">
        <f aca="false">IF(A187="","",IF(AD187="",0,IF(AE187="",1,IF(AF187="",2,IF(AG187="",3,"4+")))))</f>
        <v/>
      </c>
      <c r="P187" s="21" t="str">
        <f aca="false">IF(A187="","",B187&amp;IF(AD187="",""," &lt;- "&amp;IFERROR(INDEX($B:$B,MATCH(AD187,$A:$A,0)),AD187)&amp;IF(AE187="",""," &lt;- "&amp;IFERROR(INDEX($B:$B,MATCH(AE187,$A:$A,0)),AE187)&amp;IF(AF187="",""," &lt;- "&amp;IFERROR(INDEX($B:$B,MATCH(AF187,$A:$A,0)),AF187)&amp;IF(AG187="",""," &lt;- "&amp;IFERROR(INDEX($B:$B,MATCH(AG187,$A:$A,0)),AG187)))))&amp;IF(ISNUMBER(FIND(",",G187))," (+ other parents)",""))</f>
        <v/>
      </c>
      <c r="Q187" s="21" t="str">
        <f aca="false">IF(A187="","",IF(AD187="",E187&amp;"",IF(AE187="",IF(IFERROR(INDEX($E:$E,MATCH(AD187,$A:$A,0)),"")="","",INDEX($E:$E,MATCH(AD187,$A:$A,0))),IF(AF187="",IF(IFERROR(INDEX($E:$E,MATCH(AE187,$A:$A,0)),"")="","",INDEX($E:$E,MATCH(AE187,$A:$A,0))),IF(AG187="",IF(IFERROR(INDEX($E:$E,MATCH(AF187,$A:$A,0)),"")="","",INDEX($E:$E,MATCH(AF187,$A:$A,0))),IF(IFERROR(INDEX($E:$E,MATCH(AG187,$A:$A,0)),"")="","",INDEX($E:$E,MATCH(AG187,$A:$A,0))))))))</f>
        <v/>
      </c>
      <c r="R187" s="21" t="str">
        <f aca="false">IF(A187="","",COUNTIF(Fields!$D:$D,A187))</f>
        <v/>
      </c>
      <c r="S187" s="21" t="str">
        <f aca="false">IF(A187="","",SUMIF(Fields!$D:$D,A187,Fields!$Q:$Q))</f>
        <v/>
      </c>
      <c r="T187" s="21" t="str">
        <f aca="false">IF(A187="","",COUNTIF('Product inputs'!$D:$D,A187))</f>
        <v/>
      </c>
      <c r="U187" s="20"/>
      <c r="V187" s="20"/>
      <c r="W187" s="20"/>
      <c r="X187" s="20"/>
      <c r="Y187" s="20"/>
      <c r="Z187" s="20"/>
      <c r="AA187" s="20"/>
      <c r="AB187" s="20"/>
      <c r="AC187" s="20"/>
      <c r="AD187" s="18" t="str">
        <f aca="false">IF(A187="","",IF(IFERROR(INDEX($G:$G,MATCH(A187,$A:$A,0)),"")="","",TRIM(IF(ISNUMBER(FIND(",",IFERROR(INDEX($G:$G,MATCH(A187,$A:$A,0)),""))),LEFT(IFERROR(INDEX($G:$G,MATCH(A187,$A:$A,0)),""),FIND(",",IFERROR(INDEX($G:$G,MATCH(A187,$A:$A,0)),""))-1),IFERROR(INDEX($G:$G,MATCH(A187,$A:$A,0)),"")))))</f>
        <v/>
      </c>
      <c r="AE187" s="18" t="str">
        <f aca="false">IF(AD187="","",IF(IFERROR(INDEX($G:$G,MATCH(AD187,$A:$A,0)),"")="","",TRIM(IF(ISNUMBER(FIND(",",IFERROR(INDEX($G:$G,MATCH(AD187,$A:$A,0)),""))),LEFT(IFERROR(INDEX($G:$G,MATCH(AD187,$A:$A,0)),""),FIND(",",IFERROR(INDEX($G:$G,MATCH(AD187,$A:$A,0)),""))-1),IFERROR(INDEX($G:$G,MATCH(AD187,$A:$A,0)),"")))))</f>
        <v/>
      </c>
      <c r="AF187" s="18" t="str">
        <f aca="false">IF(AE187="","",IF(IFERROR(INDEX($G:$G,MATCH(AE187,$A:$A,0)),"")="","",TRIM(IF(ISNUMBER(FIND(",",IFERROR(INDEX($G:$G,MATCH(AE187,$A:$A,0)),""))),LEFT(IFERROR(INDEX($G:$G,MATCH(AE187,$A:$A,0)),""),FIND(",",IFERROR(INDEX($G:$G,MATCH(AE187,$A:$A,0)),""))-1),IFERROR(INDEX($G:$G,MATCH(AE187,$A:$A,0)),"")))))</f>
        <v/>
      </c>
      <c r="AG187" s="18" t="str">
        <f aca="false">IF(AF187="","",IF(IFERROR(INDEX($G:$G,MATCH(AF187,$A:$A,0)),"")="","",TRIM(IF(ISNUMBER(FIND(",",IFERROR(INDEX($G:$G,MATCH(AF187,$A:$A,0)),""))),LEFT(IFERROR(INDEX($G:$G,MATCH(AF187,$A:$A,0)),""),FIND(",",IFERROR(INDEX($G:$G,MATCH(AF187,$A:$A,0)),""))-1),IFERROR(INDEX($G:$G,MATCH(AF187,$A:$A,0)),"")))))</f>
        <v/>
      </c>
    </row>
    <row r="188" customFormat="false" ht="15" hidden="false" customHeight="false" outlineLevel="0" collapsed="false">
      <c r="A188" s="18"/>
      <c r="B188" s="19"/>
      <c r="C188" s="20"/>
      <c r="D188" s="20"/>
      <c r="E188" s="20"/>
      <c r="F188" s="20"/>
      <c r="G188" s="18"/>
      <c r="H188" s="20"/>
      <c r="I188" s="18"/>
      <c r="J188" s="20"/>
      <c r="K188" s="20"/>
      <c r="L188" s="20"/>
      <c r="M188" s="20"/>
      <c r="N188" s="20"/>
      <c r="O188" s="21" t="str">
        <f aca="false">IF(A188="","",IF(AD188="",0,IF(AE188="",1,IF(AF188="",2,IF(AG188="",3,"4+")))))</f>
        <v/>
      </c>
      <c r="P188" s="21" t="str">
        <f aca="false">IF(A188="","",B188&amp;IF(AD188="",""," &lt;- "&amp;IFERROR(INDEX($B:$B,MATCH(AD188,$A:$A,0)),AD188)&amp;IF(AE188="",""," &lt;- "&amp;IFERROR(INDEX($B:$B,MATCH(AE188,$A:$A,0)),AE188)&amp;IF(AF188="",""," &lt;- "&amp;IFERROR(INDEX($B:$B,MATCH(AF188,$A:$A,0)),AF188)&amp;IF(AG188="",""," &lt;- "&amp;IFERROR(INDEX($B:$B,MATCH(AG188,$A:$A,0)),AG188)))))&amp;IF(ISNUMBER(FIND(",",G188))," (+ other parents)",""))</f>
        <v/>
      </c>
      <c r="Q188" s="21" t="str">
        <f aca="false">IF(A188="","",IF(AD188="",E188&amp;"",IF(AE188="",IF(IFERROR(INDEX($E:$E,MATCH(AD188,$A:$A,0)),"")="","",INDEX($E:$E,MATCH(AD188,$A:$A,0))),IF(AF188="",IF(IFERROR(INDEX($E:$E,MATCH(AE188,$A:$A,0)),"")="","",INDEX($E:$E,MATCH(AE188,$A:$A,0))),IF(AG188="",IF(IFERROR(INDEX($E:$E,MATCH(AF188,$A:$A,0)),"")="","",INDEX($E:$E,MATCH(AF188,$A:$A,0))),IF(IFERROR(INDEX($E:$E,MATCH(AG188,$A:$A,0)),"")="","",INDEX($E:$E,MATCH(AG188,$A:$A,0))))))))</f>
        <v/>
      </c>
      <c r="R188" s="21" t="str">
        <f aca="false">IF(A188="","",COUNTIF(Fields!$D:$D,A188))</f>
        <v/>
      </c>
      <c r="S188" s="21" t="str">
        <f aca="false">IF(A188="","",SUMIF(Fields!$D:$D,A188,Fields!$Q:$Q))</f>
        <v/>
      </c>
      <c r="T188" s="21" t="str">
        <f aca="false">IF(A188="","",COUNTIF('Product inputs'!$D:$D,A188))</f>
        <v/>
      </c>
      <c r="U188" s="20"/>
      <c r="V188" s="20"/>
      <c r="W188" s="20"/>
      <c r="X188" s="20"/>
      <c r="Y188" s="20"/>
      <c r="Z188" s="20"/>
      <c r="AA188" s="20"/>
      <c r="AB188" s="20"/>
      <c r="AC188" s="20"/>
      <c r="AD188" s="18" t="str">
        <f aca="false">IF(A188="","",IF(IFERROR(INDEX($G:$G,MATCH(A188,$A:$A,0)),"")="","",TRIM(IF(ISNUMBER(FIND(",",IFERROR(INDEX($G:$G,MATCH(A188,$A:$A,0)),""))),LEFT(IFERROR(INDEX($G:$G,MATCH(A188,$A:$A,0)),""),FIND(",",IFERROR(INDEX($G:$G,MATCH(A188,$A:$A,0)),""))-1),IFERROR(INDEX($G:$G,MATCH(A188,$A:$A,0)),"")))))</f>
        <v/>
      </c>
      <c r="AE188" s="18" t="str">
        <f aca="false">IF(AD188="","",IF(IFERROR(INDEX($G:$G,MATCH(AD188,$A:$A,0)),"")="","",TRIM(IF(ISNUMBER(FIND(",",IFERROR(INDEX($G:$G,MATCH(AD188,$A:$A,0)),""))),LEFT(IFERROR(INDEX($G:$G,MATCH(AD188,$A:$A,0)),""),FIND(",",IFERROR(INDEX($G:$G,MATCH(AD188,$A:$A,0)),""))-1),IFERROR(INDEX($G:$G,MATCH(AD188,$A:$A,0)),"")))))</f>
        <v/>
      </c>
      <c r="AF188" s="18" t="str">
        <f aca="false">IF(AE188="","",IF(IFERROR(INDEX($G:$G,MATCH(AE188,$A:$A,0)),"")="","",TRIM(IF(ISNUMBER(FIND(",",IFERROR(INDEX($G:$G,MATCH(AE188,$A:$A,0)),""))),LEFT(IFERROR(INDEX($G:$G,MATCH(AE188,$A:$A,0)),""),FIND(",",IFERROR(INDEX($G:$G,MATCH(AE188,$A:$A,0)),""))-1),IFERROR(INDEX($G:$G,MATCH(AE188,$A:$A,0)),"")))))</f>
        <v/>
      </c>
      <c r="AG188" s="18" t="str">
        <f aca="false">IF(AF188="","",IF(IFERROR(INDEX($G:$G,MATCH(AF188,$A:$A,0)),"")="","",TRIM(IF(ISNUMBER(FIND(",",IFERROR(INDEX($G:$G,MATCH(AF188,$A:$A,0)),""))),LEFT(IFERROR(INDEX($G:$G,MATCH(AF188,$A:$A,0)),""),FIND(",",IFERROR(INDEX($G:$G,MATCH(AF188,$A:$A,0)),""))-1),IFERROR(INDEX($G:$G,MATCH(AF188,$A:$A,0)),"")))))</f>
        <v/>
      </c>
    </row>
    <row r="189" customFormat="false" ht="15" hidden="false" customHeight="false" outlineLevel="0" collapsed="false">
      <c r="A189" s="18"/>
      <c r="B189" s="19"/>
      <c r="C189" s="20"/>
      <c r="D189" s="20"/>
      <c r="E189" s="20"/>
      <c r="F189" s="20"/>
      <c r="G189" s="18"/>
      <c r="H189" s="20"/>
      <c r="I189" s="18"/>
      <c r="J189" s="20"/>
      <c r="K189" s="20"/>
      <c r="L189" s="20"/>
      <c r="M189" s="20"/>
      <c r="N189" s="20"/>
      <c r="O189" s="21" t="str">
        <f aca="false">IF(A189="","",IF(AD189="",0,IF(AE189="",1,IF(AF189="",2,IF(AG189="",3,"4+")))))</f>
        <v/>
      </c>
      <c r="P189" s="21" t="str">
        <f aca="false">IF(A189="","",B189&amp;IF(AD189="",""," &lt;- "&amp;IFERROR(INDEX($B:$B,MATCH(AD189,$A:$A,0)),AD189)&amp;IF(AE189="",""," &lt;- "&amp;IFERROR(INDEX($B:$B,MATCH(AE189,$A:$A,0)),AE189)&amp;IF(AF189="",""," &lt;- "&amp;IFERROR(INDEX($B:$B,MATCH(AF189,$A:$A,0)),AF189)&amp;IF(AG189="",""," &lt;- "&amp;IFERROR(INDEX($B:$B,MATCH(AG189,$A:$A,0)),AG189)))))&amp;IF(ISNUMBER(FIND(",",G189))," (+ other parents)",""))</f>
        <v/>
      </c>
      <c r="Q189" s="21" t="str">
        <f aca="false">IF(A189="","",IF(AD189="",E189&amp;"",IF(AE189="",IF(IFERROR(INDEX($E:$E,MATCH(AD189,$A:$A,0)),"")="","",INDEX($E:$E,MATCH(AD189,$A:$A,0))),IF(AF189="",IF(IFERROR(INDEX($E:$E,MATCH(AE189,$A:$A,0)),"")="","",INDEX($E:$E,MATCH(AE189,$A:$A,0))),IF(AG189="",IF(IFERROR(INDEX($E:$E,MATCH(AF189,$A:$A,0)),"")="","",INDEX($E:$E,MATCH(AF189,$A:$A,0))),IF(IFERROR(INDEX($E:$E,MATCH(AG189,$A:$A,0)),"")="","",INDEX($E:$E,MATCH(AG189,$A:$A,0))))))))</f>
        <v/>
      </c>
      <c r="R189" s="21" t="str">
        <f aca="false">IF(A189="","",COUNTIF(Fields!$D:$D,A189))</f>
        <v/>
      </c>
      <c r="S189" s="21" t="str">
        <f aca="false">IF(A189="","",SUMIF(Fields!$D:$D,A189,Fields!$Q:$Q))</f>
        <v/>
      </c>
      <c r="T189" s="21" t="str">
        <f aca="false">IF(A189="","",COUNTIF('Product inputs'!$D:$D,A189))</f>
        <v/>
      </c>
      <c r="U189" s="20"/>
      <c r="V189" s="20"/>
      <c r="W189" s="20"/>
      <c r="X189" s="20"/>
      <c r="Y189" s="20"/>
      <c r="Z189" s="20"/>
      <c r="AA189" s="20"/>
      <c r="AB189" s="20"/>
      <c r="AC189" s="20"/>
      <c r="AD189" s="18" t="str">
        <f aca="false">IF(A189="","",IF(IFERROR(INDEX($G:$G,MATCH(A189,$A:$A,0)),"")="","",TRIM(IF(ISNUMBER(FIND(",",IFERROR(INDEX($G:$G,MATCH(A189,$A:$A,0)),""))),LEFT(IFERROR(INDEX($G:$G,MATCH(A189,$A:$A,0)),""),FIND(",",IFERROR(INDEX($G:$G,MATCH(A189,$A:$A,0)),""))-1),IFERROR(INDEX($G:$G,MATCH(A189,$A:$A,0)),"")))))</f>
        <v/>
      </c>
      <c r="AE189" s="18" t="str">
        <f aca="false">IF(AD189="","",IF(IFERROR(INDEX($G:$G,MATCH(AD189,$A:$A,0)),"")="","",TRIM(IF(ISNUMBER(FIND(",",IFERROR(INDEX($G:$G,MATCH(AD189,$A:$A,0)),""))),LEFT(IFERROR(INDEX($G:$G,MATCH(AD189,$A:$A,0)),""),FIND(",",IFERROR(INDEX($G:$G,MATCH(AD189,$A:$A,0)),""))-1),IFERROR(INDEX($G:$G,MATCH(AD189,$A:$A,0)),"")))))</f>
        <v/>
      </c>
      <c r="AF189" s="18" t="str">
        <f aca="false">IF(AE189="","",IF(IFERROR(INDEX($G:$G,MATCH(AE189,$A:$A,0)),"")="","",TRIM(IF(ISNUMBER(FIND(",",IFERROR(INDEX($G:$G,MATCH(AE189,$A:$A,0)),""))),LEFT(IFERROR(INDEX($G:$G,MATCH(AE189,$A:$A,0)),""),FIND(",",IFERROR(INDEX($G:$G,MATCH(AE189,$A:$A,0)),""))-1),IFERROR(INDEX($G:$G,MATCH(AE189,$A:$A,0)),"")))))</f>
        <v/>
      </c>
      <c r="AG189" s="18" t="str">
        <f aca="false">IF(AF189="","",IF(IFERROR(INDEX($G:$G,MATCH(AF189,$A:$A,0)),"")="","",TRIM(IF(ISNUMBER(FIND(",",IFERROR(INDEX($G:$G,MATCH(AF189,$A:$A,0)),""))),LEFT(IFERROR(INDEX($G:$G,MATCH(AF189,$A:$A,0)),""),FIND(",",IFERROR(INDEX($G:$G,MATCH(AF189,$A:$A,0)),""))-1),IFERROR(INDEX($G:$G,MATCH(AF189,$A:$A,0)),"")))))</f>
        <v/>
      </c>
    </row>
    <row r="190" customFormat="false" ht="15" hidden="false" customHeight="false" outlineLevel="0" collapsed="false">
      <c r="A190" s="18"/>
      <c r="B190" s="19"/>
      <c r="C190" s="20"/>
      <c r="D190" s="20"/>
      <c r="E190" s="20"/>
      <c r="F190" s="20"/>
      <c r="G190" s="18"/>
      <c r="H190" s="20"/>
      <c r="I190" s="18"/>
      <c r="J190" s="20"/>
      <c r="K190" s="20"/>
      <c r="L190" s="20"/>
      <c r="M190" s="20"/>
      <c r="N190" s="20"/>
      <c r="O190" s="21" t="str">
        <f aca="false">IF(A190="","",IF(AD190="",0,IF(AE190="",1,IF(AF190="",2,IF(AG190="",3,"4+")))))</f>
        <v/>
      </c>
      <c r="P190" s="21" t="str">
        <f aca="false">IF(A190="","",B190&amp;IF(AD190="",""," &lt;- "&amp;IFERROR(INDEX($B:$B,MATCH(AD190,$A:$A,0)),AD190)&amp;IF(AE190="",""," &lt;- "&amp;IFERROR(INDEX($B:$B,MATCH(AE190,$A:$A,0)),AE190)&amp;IF(AF190="",""," &lt;- "&amp;IFERROR(INDEX($B:$B,MATCH(AF190,$A:$A,0)),AF190)&amp;IF(AG190="",""," &lt;- "&amp;IFERROR(INDEX($B:$B,MATCH(AG190,$A:$A,0)),AG190)))))&amp;IF(ISNUMBER(FIND(",",G190))," (+ other parents)",""))</f>
        <v/>
      </c>
      <c r="Q190" s="21" t="str">
        <f aca="false">IF(A190="","",IF(AD190="",E190&amp;"",IF(AE190="",IF(IFERROR(INDEX($E:$E,MATCH(AD190,$A:$A,0)),"")="","",INDEX($E:$E,MATCH(AD190,$A:$A,0))),IF(AF190="",IF(IFERROR(INDEX($E:$E,MATCH(AE190,$A:$A,0)),"")="","",INDEX($E:$E,MATCH(AE190,$A:$A,0))),IF(AG190="",IF(IFERROR(INDEX($E:$E,MATCH(AF190,$A:$A,0)),"")="","",INDEX($E:$E,MATCH(AF190,$A:$A,0))),IF(IFERROR(INDEX($E:$E,MATCH(AG190,$A:$A,0)),"")="","",INDEX($E:$E,MATCH(AG190,$A:$A,0))))))))</f>
        <v/>
      </c>
      <c r="R190" s="21" t="str">
        <f aca="false">IF(A190="","",COUNTIF(Fields!$D:$D,A190))</f>
        <v/>
      </c>
      <c r="S190" s="21" t="str">
        <f aca="false">IF(A190="","",SUMIF(Fields!$D:$D,A190,Fields!$Q:$Q))</f>
        <v/>
      </c>
      <c r="T190" s="21" t="str">
        <f aca="false">IF(A190="","",COUNTIF('Product inputs'!$D:$D,A190))</f>
        <v/>
      </c>
      <c r="U190" s="20"/>
      <c r="V190" s="20"/>
      <c r="W190" s="20"/>
      <c r="X190" s="20"/>
      <c r="Y190" s="20"/>
      <c r="Z190" s="20"/>
      <c r="AA190" s="20"/>
      <c r="AB190" s="20"/>
      <c r="AC190" s="20"/>
      <c r="AD190" s="18" t="str">
        <f aca="false">IF(A190="","",IF(IFERROR(INDEX($G:$G,MATCH(A190,$A:$A,0)),"")="","",TRIM(IF(ISNUMBER(FIND(",",IFERROR(INDEX($G:$G,MATCH(A190,$A:$A,0)),""))),LEFT(IFERROR(INDEX($G:$G,MATCH(A190,$A:$A,0)),""),FIND(",",IFERROR(INDEX($G:$G,MATCH(A190,$A:$A,0)),""))-1),IFERROR(INDEX($G:$G,MATCH(A190,$A:$A,0)),"")))))</f>
        <v/>
      </c>
      <c r="AE190" s="18" t="str">
        <f aca="false">IF(AD190="","",IF(IFERROR(INDEX($G:$G,MATCH(AD190,$A:$A,0)),"")="","",TRIM(IF(ISNUMBER(FIND(",",IFERROR(INDEX($G:$G,MATCH(AD190,$A:$A,0)),""))),LEFT(IFERROR(INDEX($G:$G,MATCH(AD190,$A:$A,0)),""),FIND(",",IFERROR(INDEX($G:$G,MATCH(AD190,$A:$A,0)),""))-1),IFERROR(INDEX($G:$G,MATCH(AD190,$A:$A,0)),"")))))</f>
        <v/>
      </c>
      <c r="AF190" s="18" t="str">
        <f aca="false">IF(AE190="","",IF(IFERROR(INDEX($G:$G,MATCH(AE190,$A:$A,0)),"")="","",TRIM(IF(ISNUMBER(FIND(",",IFERROR(INDEX($G:$G,MATCH(AE190,$A:$A,0)),""))),LEFT(IFERROR(INDEX($G:$G,MATCH(AE190,$A:$A,0)),""),FIND(",",IFERROR(INDEX($G:$G,MATCH(AE190,$A:$A,0)),""))-1),IFERROR(INDEX($G:$G,MATCH(AE190,$A:$A,0)),"")))))</f>
        <v/>
      </c>
      <c r="AG190" s="18" t="str">
        <f aca="false">IF(AF190="","",IF(IFERROR(INDEX($G:$G,MATCH(AF190,$A:$A,0)),"")="","",TRIM(IF(ISNUMBER(FIND(",",IFERROR(INDEX($G:$G,MATCH(AF190,$A:$A,0)),""))),LEFT(IFERROR(INDEX($G:$G,MATCH(AF190,$A:$A,0)),""),FIND(",",IFERROR(INDEX($G:$G,MATCH(AF190,$A:$A,0)),""))-1),IFERROR(INDEX($G:$G,MATCH(AF190,$A:$A,0)),"")))))</f>
        <v/>
      </c>
    </row>
    <row r="191" customFormat="false" ht="15" hidden="false" customHeight="false" outlineLevel="0" collapsed="false">
      <c r="A191" s="18"/>
      <c r="B191" s="19"/>
      <c r="C191" s="20"/>
      <c r="D191" s="20"/>
      <c r="E191" s="20"/>
      <c r="F191" s="20"/>
      <c r="G191" s="18"/>
      <c r="H191" s="20"/>
      <c r="I191" s="18"/>
      <c r="J191" s="20"/>
      <c r="K191" s="20"/>
      <c r="L191" s="20"/>
      <c r="M191" s="20"/>
      <c r="N191" s="20"/>
      <c r="O191" s="21" t="str">
        <f aca="false">IF(A191="","",IF(AD191="",0,IF(AE191="",1,IF(AF191="",2,IF(AG191="",3,"4+")))))</f>
        <v/>
      </c>
      <c r="P191" s="21" t="str">
        <f aca="false">IF(A191="","",B191&amp;IF(AD191="",""," &lt;- "&amp;IFERROR(INDEX($B:$B,MATCH(AD191,$A:$A,0)),AD191)&amp;IF(AE191="",""," &lt;- "&amp;IFERROR(INDEX($B:$B,MATCH(AE191,$A:$A,0)),AE191)&amp;IF(AF191="",""," &lt;- "&amp;IFERROR(INDEX($B:$B,MATCH(AF191,$A:$A,0)),AF191)&amp;IF(AG191="",""," &lt;- "&amp;IFERROR(INDEX($B:$B,MATCH(AG191,$A:$A,0)),AG191)))))&amp;IF(ISNUMBER(FIND(",",G191))," (+ other parents)",""))</f>
        <v/>
      </c>
      <c r="Q191" s="21" t="str">
        <f aca="false">IF(A191="","",IF(AD191="",E191&amp;"",IF(AE191="",IF(IFERROR(INDEX($E:$E,MATCH(AD191,$A:$A,0)),"")="","",INDEX($E:$E,MATCH(AD191,$A:$A,0))),IF(AF191="",IF(IFERROR(INDEX($E:$E,MATCH(AE191,$A:$A,0)),"")="","",INDEX($E:$E,MATCH(AE191,$A:$A,0))),IF(AG191="",IF(IFERROR(INDEX($E:$E,MATCH(AF191,$A:$A,0)),"")="","",INDEX($E:$E,MATCH(AF191,$A:$A,0))),IF(IFERROR(INDEX($E:$E,MATCH(AG191,$A:$A,0)),"")="","",INDEX($E:$E,MATCH(AG191,$A:$A,0))))))))</f>
        <v/>
      </c>
      <c r="R191" s="21" t="str">
        <f aca="false">IF(A191="","",COUNTIF(Fields!$D:$D,A191))</f>
        <v/>
      </c>
      <c r="S191" s="21" t="str">
        <f aca="false">IF(A191="","",SUMIF(Fields!$D:$D,A191,Fields!$Q:$Q))</f>
        <v/>
      </c>
      <c r="T191" s="21" t="str">
        <f aca="false">IF(A191="","",COUNTIF('Product inputs'!$D:$D,A191))</f>
        <v/>
      </c>
      <c r="U191" s="20"/>
      <c r="V191" s="20"/>
      <c r="W191" s="20"/>
      <c r="X191" s="20"/>
      <c r="Y191" s="20"/>
      <c r="Z191" s="20"/>
      <c r="AA191" s="20"/>
      <c r="AB191" s="20"/>
      <c r="AC191" s="20"/>
      <c r="AD191" s="18" t="str">
        <f aca="false">IF(A191="","",IF(IFERROR(INDEX($G:$G,MATCH(A191,$A:$A,0)),"")="","",TRIM(IF(ISNUMBER(FIND(",",IFERROR(INDEX($G:$G,MATCH(A191,$A:$A,0)),""))),LEFT(IFERROR(INDEX($G:$G,MATCH(A191,$A:$A,0)),""),FIND(",",IFERROR(INDEX($G:$G,MATCH(A191,$A:$A,0)),""))-1),IFERROR(INDEX($G:$G,MATCH(A191,$A:$A,0)),"")))))</f>
        <v/>
      </c>
      <c r="AE191" s="18" t="str">
        <f aca="false">IF(AD191="","",IF(IFERROR(INDEX($G:$G,MATCH(AD191,$A:$A,0)),"")="","",TRIM(IF(ISNUMBER(FIND(",",IFERROR(INDEX($G:$G,MATCH(AD191,$A:$A,0)),""))),LEFT(IFERROR(INDEX($G:$G,MATCH(AD191,$A:$A,0)),""),FIND(",",IFERROR(INDEX($G:$G,MATCH(AD191,$A:$A,0)),""))-1),IFERROR(INDEX($G:$G,MATCH(AD191,$A:$A,0)),"")))))</f>
        <v/>
      </c>
      <c r="AF191" s="18" t="str">
        <f aca="false">IF(AE191="","",IF(IFERROR(INDEX($G:$G,MATCH(AE191,$A:$A,0)),"")="","",TRIM(IF(ISNUMBER(FIND(",",IFERROR(INDEX($G:$G,MATCH(AE191,$A:$A,0)),""))),LEFT(IFERROR(INDEX($G:$G,MATCH(AE191,$A:$A,0)),""),FIND(",",IFERROR(INDEX($G:$G,MATCH(AE191,$A:$A,0)),""))-1),IFERROR(INDEX($G:$G,MATCH(AE191,$A:$A,0)),"")))))</f>
        <v/>
      </c>
      <c r="AG191" s="18" t="str">
        <f aca="false">IF(AF191="","",IF(IFERROR(INDEX($G:$G,MATCH(AF191,$A:$A,0)),"")="","",TRIM(IF(ISNUMBER(FIND(",",IFERROR(INDEX($G:$G,MATCH(AF191,$A:$A,0)),""))),LEFT(IFERROR(INDEX($G:$G,MATCH(AF191,$A:$A,0)),""),FIND(",",IFERROR(INDEX($G:$G,MATCH(AF191,$A:$A,0)),""))-1),IFERROR(INDEX($G:$G,MATCH(AF191,$A:$A,0)),"")))))</f>
        <v/>
      </c>
    </row>
    <row r="192" customFormat="false" ht="15" hidden="false" customHeight="false" outlineLevel="0" collapsed="false">
      <c r="A192" s="18"/>
      <c r="B192" s="19"/>
      <c r="C192" s="20"/>
      <c r="D192" s="20"/>
      <c r="E192" s="20"/>
      <c r="F192" s="20"/>
      <c r="G192" s="18"/>
      <c r="H192" s="20"/>
      <c r="I192" s="18"/>
      <c r="J192" s="20"/>
      <c r="K192" s="20"/>
      <c r="L192" s="20"/>
      <c r="M192" s="20"/>
      <c r="N192" s="20"/>
      <c r="O192" s="21" t="str">
        <f aca="false">IF(A192="","",IF(AD192="",0,IF(AE192="",1,IF(AF192="",2,IF(AG192="",3,"4+")))))</f>
        <v/>
      </c>
      <c r="P192" s="21" t="str">
        <f aca="false">IF(A192="","",B192&amp;IF(AD192="",""," &lt;- "&amp;IFERROR(INDEX($B:$B,MATCH(AD192,$A:$A,0)),AD192)&amp;IF(AE192="",""," &lt;- "&amp;IFERROR(INDEX($B:$B,MATCH(AE192,$A:$A,0)),AE192)&amp;IF(AF192="",""," &lt;- "&amp;IFERROR(INDEX($B:$B,MATCH(AF192,$A:$A,0)),AF192)&amp;IF(AG192="",""," &lt;- "&amp;IFERROR(INDEX($B:$B,MATCH(AG192,$A:$A,0)),AG192)))))&amp;IF(ISNUMBER(FIND(",",G192))," (+ other parents)",""))</f>
        <v/>
      </c>
      <c r="Q192" s="21" t="str">
        <f aca="false">IF(A192="","",IF(AD192="",E192&amp;"",IF(AE192="",IF(IFERROR(INDEX($E:$E,MATCH(AD192,$A:$A,0)),"")="","",INDEX($E:$E,MATCH(AD192,$A:$A,0))),IF(AF192="",IF(IFERROR(INDEX($E:$E,MATCH(AE192,$A:$A,0)),"")="","",INDEX($E:$E,MATCH(AE192,$A:$A,0))),IF(AG192="",IF(IFERROR(INDEX($E:$E,MATCH(AF192,$A:$A,0)),"")="","",INDEX($E:$E,MATCH(AF192,$A:$A,0))),IF(IFERROR(INDEX($E:$E,MATCH(AG192,$A:$A,0)),"")="","",INDEX($E:$E,MATCH(AG192,$A:$A,0))))))))</f>
        <v/>
      </c>
      <c r="R192" s="21" t="str">
        <f aca="false">IF(A192="","",COUNTIF(Fields!$D:$D,A192))</f>
        <v/>
      </c>
      <c r="S192" s="21" t="str">
        <f aca="false">IF(A192="","",SUMIF(Fields!$D:$D,A192,Fields!$Q:$Q))</f>
        <v/>
      </c>
      <c r="T192" s="21" t="str">
        <f aca="false">IF(A192="","",COUNTIF('Product inputs'!$D:$D,A192))</f>
        <v/>
      </c>
      <c r="U192" s="20"/>
      <c r="V192" s="20"/>
      <c r="W192" s="20"/>
      <c r="X192" s="20"/>
      <c r="Y192" s="20"/>
      <c r="Z192" s="20"/>
      <c r="AA192" s="20"/>
      <c r="AB192" s="20"/>
      <c r="AC192" s="20"/>
      <c r="AD192" s="18" t="str">
        <f aca="false">IF(A192="","",IF(IFERROR(INDEX($G:$G,MATCH(A192,$A:$A,0)),"")="","",TRIM(IF(ISNUMBER(FIND(",",IFERROR(INDEX($G:$G,MATCH(A192,$A:$A,0)),""))),LEFT(IFERROR(INDEX($G:$G,MATCH(A192,$A:$A,0)),""),FIND(",",IFERROR(INDEX($G:$G,MATCH(A192,$A:$A,0)),""))-1),IFERROR(INDEX($G:$G,MATCH(A192,$A:$A,0)),"")))))</f>
        <v/>
      </c>
      <c r="AE192" s="18" t="str">
        <f aca="false">IF(AD192="","",IF(IFERROR(INDEX($G:$G,MATCH(AD192,$A:$A,0)),"")="","",TRIM(IF(ISNUMBER(FIND(",",IFERROR(INDEX($G:$G,MATCH(AD192,$A:$A,0)),""))),LEFT(IFERROR(INDEX($G:$G,MATCH(AD192,$A:$A,0)),""),FIND(",",IFERROR(INDEX($G:$G,MATCH(AD192,$A:$A,0)),""))-1),IFERROR(INDEX($G:$G,MATCH(AD192,$A:$A,0)),"")))))</f>
        <v/>
      </c>
      <c r="AF192" s="18" t="str">
        <f aca="false">IF(AE192="","",IF(IFERROR(INDEX($G:$G,MATCH(AE192,$A:$A,0)),"")="","",TRIM(IF(ISNUMBER(FIND(",",IFERROR(INDEX($G:$G,MATCH(AE192,$A:$A,0)),""))),LEFT(IFERROR(INDEX($G:$G,MATCH(AE192,$A:$A,0)),""),FIND(",",IFERROR(INDEX($G:$G,MATCH(AE192,$A:$A,0)),""))-1),IFERROR(INDEX($G:$G,MATCH(AE192,$A:$A,0)),"")))))</f>
        <v/>
      </c>
      <c r="AG192" s="18" t="str">
        <f aca="false">IF(AF192="","",IF(IFERROR(INDEX($G:$G,MATCH(AF192,$A:$A,0)),"")="","",TRIM(IF(ISNUMBER(FIND(",",IFERROR(INDEX($G:$G,MATCH(AF192,$A:$A,0)),""))),LEFT(IFERROR(INDEX($G:$G,MATCH(AF192,$A:$A,0)),""),FIND(",",IFERROR(INDEX($G:$G,MATCH(AF192,$A:$A,0)),""))-1),IFERROR(INDEX($G:$G,MATCH(AF192,$A:$A,0)),"")))))</f>
        <v/>
      </c>
    </row>
    <row r="193" customFormat="false" ht="15" hidden="false" customHeight="false" outlineLevel="0" collapsed="false">
      <c r="A193" s="18"/>
      <c r="B193" s="19"/>
      <c r="C193" s="20"/>
      <c r="D193" s="20"/>
      <c r="E193" s="20"/>
      <c r="F193" s="20"/>
      <c r="G193" s="18"/>
      <c r="H193" s="20"/>
      <c r="I193" s="18"/>
      <c r="J193" s="20"/>
      <c r="K193" s="20"/>
      <c r="L193" s="20"/>
      <c r="M193" s="20"/>
      <c r="N193" s="20"/>
      <c r="O193" s="21" t="str">
        <f aca="false">IF(A193="","",IF(AD193="",0,IF(AE193="",1,IF(AF193="",2,IF(AG193="",3,"4+")))))</f>
        <v/>
      </c>
      <c r="P193" s="21" t="str">
        <f aca="false">IF(A193="","",B193&amp;IF(AD193="",""," &lt;- "&amp;IFERROR(INDEX($B:$B,MATCH(AD193,$A:$A,0)),AD193)&amp;IF(AE193="",""," &lt;- "&amp;IFERROR(INDEX($B:$B,MATCH(AE193,$A:$A,0)),AE193)&amp;IF(AF193="",""," &lt;- "&amp;IFERROR(INDEX($B:$B,MATCH(AF193,$A:$A,0)),AF193)&amp;IF(AG193="",""," &lt;- "&amp;IFERROR(INDEX($B:$B,MATCH(AG193,$A:$A,0)),AG193)))))&amp;IF(ISNUMBER(FIND(",",G193))," (+ other parents)",""))</f>
        <v/>
      </c>
      <c r="Q193" s="21" t="str">
        <f aca="false">IF(A193="","",IF(AD193="",E193&amp;"",IF(AE193="",IF(IFERROR(INDEX($E:$E,MATCH(AD193,$A:$A,0)),"")="","",INDEX($E:$E,MATCH(AD193,$A:$A,0))),IF(AF193="",IF(IFERROR(INDEX($E:$E,MATCH(AE193,$A:$A,0)),"")="","",INDEX($E:$E,MATCH(AE193,$A:$A,0))),IF(AG193="",IF(IFERROR(INDEX($E:$E,MATCH(AF193,$A:$A,0)),"")="","",INDEX($E:$E,MATCH(AF193,$A:$A,0))),IF(IFERROR(INDEX($E:$E,MATCH(AG193,$A:$A,0)),"")="","",INDEX($E:$E,MATCH(AG193,$A:$A,0))))))))</f>
        <v/>
      </c>
      <c r="R193" s="21" t="str">
        <f aca="false">IF(A193="","",COUNTIF(Fields!$D:$D,A193))</f>
        <v/>
      </c>
      <c r="S193" s="21" t="str">
        <f aca="false">IF(A193="","",SUMIF(Fields!$D:$D,A193,Fields!$Q:$Q))</f>
        <v/>
      </c>
      <c r="T193" s="21" t="str">
        <f aca="false">IF(A193="","",COUNTIF('Product inputs'!$D:$D,A193))</f>
        <v/>
      </c>
      <c r="U193" s="20"/>
      <c r="V193" s="20"/>
      <c r="W193" s="20"/>
      <c r="X193" s="20"/>
      <c r="Y193" s="20"/>
      <c r="Z193" s="20"/>
      <c r="AA193" s="20"/>
      <c r="AB193" s="20"/>
      <c r="AC193" s="20"/>
      <c r="AD193" s="18" t="str">
        <f aca="false">IF(A193="","",IF(IFERROR(INDEX($G:$G,MATCH(A193,$A:$A,0)),"")="","",TRIM(IF(ISNUMBER(FIND(",",IFERROR(INDEX($G:$G,MATCH(A193,$A:$A,0)),""))),LEFT(IFERROR(INDEX($G:$G,MATCH(A193,$A:$A,0)),""),FIND(",",IFERROR(INDEX($G:$G,MATCH(A193,$A:$A,0)),""))-1),IFERROR(INDEX($G:$G,MATCH(A193,$A:$A,0)),"")))))</f>
        <v/>
      </c>
      <c r="AE193" s="18" t="str">
        <f aca="false">IF(AD193="","",IF(IFERROR(INDEX($G:$G,MATCH(AD193,$A:$A,0)),"")="","",TRIM(IF(ISNUMBER(FIND(",",IFERROR(INDEX($G:$G,MATCH(AD193,$A:$A,0)),""))),LEFT(IFERROR(INDEX($G:$G,MATCH(AD193,$A:$A,0)),""),FIND(",",IFERROR(INDEX($G:$G,MATCH(AD193,$A:$A,0)),""))-1),IFERROR(INDEX($G:$G,MATCH(AD193,$A:$A,0)),"")))))</f>
        <v/>
      </c>
      <c r="AF193" s="18" t="str">
        <f aca="false">IF(AE193="","",IF(IFERROR(INDEX($G:$G,MATCH(AE193,$A:$A,0)),"")="","",TRIM(IF(ISNUMBER(FIND(",",IFERROR(INDEX($G:$G,MATCH(AE193,$A:$A,0)),""))),LEFT(IFERROR(INDEX($G:$G,MATCH(AE193,$A:$A,0)),""),FIND(",",IFERROR(INDEX($G:$G,MATCH(AE193,$A:$A,0)),""))-1),IFERROR(INDEX($G:$G,MATCH(AE193,$A:$A,0)),"")))))</f>
        <v/>
      </c>
      <c r="AG193" s="18" t="str">
        <f aca="false">IF(AF193="","",IF(IFERROR(INDEX($G:$G,MATCH(AF193,$A:$A,0)),"")="","",TRIM(IF(ISNUMBER(FIND(",",IFERROR(INDEX($G:$G,MATCH(AF193,$A:$A,0)),""))),LEFT(IFERROR(INDEX($G:$G,MATCH(AF193,$A:$A,0)),""),FIND(",",IFERROR(INDEX($G:$G,MATCH(AF193,$A:$A,0)),""))-1),IFERROR(INDEX($G:$G,MATCH(AF193,$A:$A,0)),"")))))</f>
        <v/>
      </c>
    </row>
    <row r="194" customFormat="false" ht="15" hidden="false" customHeight="false" outlineLevel="0" collapsed="false">
      <c r="A194" s="18"/>
      <c r="B194" s="19"/>
      <c r="C194" s="20"/>
      <c r="D194" s="20"/>
      <c r="E194" s="20"/>
      <c r="F194" s="20"/>
      <c r="G194" s="18"/>
      <c r="H194" s="20"/>
      <c r="I194" s="18"/>
      <c r="J194" s="20"/>
      <c r="K194" s="20"/>
      <c r="L194" s="20"/>
      <c r="M194" s="20"/>
      <c r="N194" s="20"/>
      <c r="O194" s="21" t="str">
        <f aca="false">IF(A194="","",IF(AD194="",0,IF(AE194="",1,IF(AF194="",2,IF(AG194="",3,"4+")))))</f>
        <v/>
      </c>
      <c r="P194" s="21" t="str">
        <f aca="false">IF(A194="","",B194&amp;IF(AD194="",""," &lt;- "&amp;IFERROR(INDEX($B:$B,MATCH(AD194,$A:$A,0)),AD194)&amp;IF(AE194="",""," &lt;- "&amp;IFERROR(INDEX($B:$B,MATCH(AE194,$A:$A,0)),AE194)&amp;IF(AF194="",""," &lt;- "&amp;IFERROR(INDEX($B:$B,MATCH(AF194,$A:$A,0)),AF194)&amp;IF(AG194="",""," &lt;- "&amp;IFERROR(INDEX($B:$B,MATCH(AG194,$A:$A,0)),AG194)))))&amp;IF(ISNUMBER(FIND(",",G194))," (+ other parents)",""))</f>
        <v/>
      </c>
      <c r="Q194" s="21" t="str">
        <f aca="false">IF(A194="","",IF(AD194="",E194&amp;"",IF(AE194="",IF(IFERROR(INDEX($E:$E,MATCH(AD194,$A:$A,0)),"")="","",INDEX($E:$E,MATCH(AD194,$A:$A,0))),IF(AF194="",IF(IFERROR(INDEX($E:$E,MATCH(AE194,$A:$A,0)),"")="","",INDEX($E:$E,MATCH(AE194,$A:$A,0))),IF(AG194="",IF(IFERROR(INDEX($E:$E,MATCH(AF194,$A:$A,0)),"")="","",INDEX($E:$E,MATCH(AF194,$A:$A,0))),IF(IFERROR(INDEX($E:$E,MATCH(AG194,$A:$A,0)),"")="","",INDEX($E:$E,MATCH(AG194,$A:$A,0))))))))</f>
        <v/>
      </c>
      <c r="R194" s="21" t="str">
        <f aca="false">IF(A194="","",COUNTIF(Fields!$D:$D,A194))</f>
        <v/>
      </c>
      <c r="S194" s="21" t="str">
        <f aca="false">IF(A194="","",SUMIF(Fields!$D:$D,A194,Fields!$Q:$Q))</f>
        <v/>
      </c>
      <c r="T194" s="21" t="str">
        <f aca="false">IF(A194="","",COUNTIF('Product inputs'!$D:$D,A194))</f>
        <v/>
      </c>
      <c r="U194" s="20"/>
      <c r="V194" s="20"/>
      <c r="W194" s="20"/>
      <c r="X194" s="20"/>
      <c r="Y194" s="20"/>
      <c r="Z194" s="20"/>
      <c r="AA194" s="20"/>
      <c r="AB194" s="20"/>
      <c r="AC194" s="20"/>
      <c r="AD194" s="18" t="str">
        <f aca="false">IF(A194="","",IF(IFERROR(INDEX($G:$G,MATCH(A194,$A:$A,0)),"")="","",TRIM(IF(ISNUMBER(FIND(",",IFERROR(INDEX($G:$G,MATCH(A194,$A:$A,0)),""))),LEFT(IFERROR(INDEX($G:$G,MATCH(A194,$A:$A,0)),""),FIND(",",IFERROR(INDEX($G:$G,MATCH(A194,$A:$A,0)),""))-1),IFERROR(INDEX($G:$G,MATCH(A194,$A:$A,0)),"")))))</f>
        <v/>
      </c>
      <c r="AE194" s="18" t="str">
        <f aca="false">IF(AD194="","",IF(IFERROR(INDEX($G:$G,MATCH(AD194,$A:$A,0)),"")="","",TRIM(IF(ISNUMBER(FIND(",",IFERROR(INDEX($G:$G,MATCH(AD194,$A:$A,0)),""))),LEFT(IFERROR(INDEX($G:$G,MATCH(AD194,$A:$A,0)),""),FIND(",",IFERROR(INDEX($G:$G,MATCH(AD194,$A:$A,0)),""))-1),IFERROR(INDEX($G:$G,MATCH(AD194,$A:$A,0)),"")))))</f>
        <v/>
      </c>
      <c r="AF194" s="18" t="str">
        <f aca="false">IF(AE194="","",IF(IFERROR(INDEX($G:$G,MATCH(AE194,$A:$A,0)),"")="","",TRIM(IF(ISNUMBER(FIND(",",IFERROR(INDEX($G:$G,MATCH(AE194,$A:$A,0)),""))),LEFT(IFERROR(INDEX($G:$G,MATCH(AE194,$A:$A,0)),""),FIND(",",IFERROR(INDEX($G:$G,MATCH(AE194,$A:$A,0)),""))-1),IFERROR(INDEX($G:$G,MATCH(AE194,$A:$A,0)),"")))))</f>
        <v/>
      </c>
      <c r="AG194" s="18" t="str">
        <f aca="false">IF(AF194="","",IF(IFERROR(INDEX($G:$G,MATCH(AF194,$A:$A,0)),"")="","",TRIM(IF(ISNUMBER(FIND(",",IFERROR(INDEX($G:$G,MATCH(AF194,$A:$A,0)),""))),LEFT(IFERROR(INDEX($G:$G,MATCH(AF194,$A:$A,0)),""),FIND(",",IFERROR(INDEX($G:$G,MATCH(AF194,$A:$A,0)),""))-1),IFERROR(INDEX($G:$G,MATCH(AF194,$A:$A,0)),"")))))</f>
        <v/>
      </c>
    </row>
    <row r="195" customFormat="false" ht="15" hidden="false" customHeight="false" outlineLevel="0" collapsed="false">
      <c r="A195" s="18"/>
      <c r="B195" s="19"/>
      <c r="C195" s="20"/>
      <c r="D195" s="20"/>
      <c r="E195" s="20"/>
      <c r="F195" s="20"/>
      <c r="G195" s="18"/>
      <c r="H195" s="20"/>
      <c r="I195" s="18"/>
      <c r="J195" s="20"/>
      <c r="K195" s="20"/>
      <c r="L195" s="20"/>
      <c r="M195" s="20"/>
      <c r="N195" s="20"/>
      <c r="O195" s="21" t="str">
        <f aca="false">IF(A195="","",IF(AD195="",0,IF(AE195="",1,IF(AF195="",2,IF(AG195="",3,"4+")))))</f>
        <v/>
      </c>
      <c r="P195" s="21" t="str">
        <f aca="false">IF(A195="","",B195&amp;IF(AD195="",""," &lt;- "&amp;IFERROR(INDEX($B:$B,MATCH(AD195,$A:$A,0)),AD195)&amp;IF(AE195="",""," &lt;- "&amp;IFERROR(INDEX($B:$B,MATCH(AE195,$A:$A,0)),AE195)&amp;IF(AF195="",""," &lt;- "&amp;IFERROR(INDEX($B:$B,MATCH(AF195,$A:$A,0)),AF195)&amp;IF(AG195="",""," &lt;- "&amp;IFERROR(INDEX($B:$B,MATCH(AG195,$A:$A,0)),AG195)))))&amp;IF(ISNUMBER(FIND(",",G195))," (+ other parents)",""))</f>
        <v/>
      </c>
      <c r="Q195" s="21" t="str">
        <f aca="false">IF(A195="","",IF(AD195="",E195&amp;"",IF(AE195="",IF(IFERROR(INDEX($E:$E,MATCH(AD195,$A:$A,0)),"")="","",INDEX($E:$E,MATCH(AD195,$A:$A,0))),IF(AF195="",IF(IFERROR(INDEX($E:$E,MATCH(AE195,$A:$A,0)),"")="","",INDEX($E:$E,MATCH(AE195,$A:$A,0))),IF(AG195="",IF(IFERROR(INDEX($E:$E,MATCH(AF195,$A:$A,0)),"")="","",INDEX($E:$E,MATCH(AF195,$A:$A,0))),IF(IFERROR(INDEX($E:$E,MATCH(AG195,$A:$A,0)),"")="","",INDEX($E:$E,MATCH(AG195,$A:$A,0))))))))</f>
        <v/>
      </c>
      <c r="R195" s="21" t="str">
        <f aca="false">IF(A195="","",COUNTIF(Fields!$D:$D,A195))</f>
        <v/>
      </c>
      <c r="S195" s="21" t="str">
        <f aca="false">IF(A195="","",SUMIF(Fields!$D:$D,A195,Fields!$Q:$Q))</f>
        <v/>
      </c>
      <c r="T195" s="21" t="str">
        <f aca="false">IF(A195="","",COUNTIF('Product inputs'!$D:$D,A195))</f>
        <v/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18" t="str">
        <f aca="false">IF(A195="","",IF(IFERROR(INDEX($G:$G,MATCH(A195,$A:$A,0)),"")="","",TRIM(IF(ISNUMBER(FIND(",",IFERROR(INDEX($G:$G,MATCH(A195,$A:$A,0)),""))),LEFT(IFERROR(INDEX($G:$G,MATCH(A195,$A:$A,0)),""),FIND(",",IFERROR(INDEX($G:$G,MATCH(A195,$A:$A,0)),""))-1),IFERROR(INDEX($G:$G,MATCH(A195,$A:$A,0)),"")))))</f>
        <v/>
      </c>
      <c r="AE195" s="18" t="str">
        <f aca="false">IF(AD195="","",IF(IFERROR(INDEX($G:$G,MATCH(AD195,$A:$A,0)),"")="","",TRIM(IF(ISNUMBER(FIND(",",IFERROR(INDEX($G:$G,MATCH(AD195,$A:$A,0)),""))),LEFT(IFERROR(INDEX($G:$G,MATCH(AD195,$A:$A,0)),""),FIND(",",IFERROR(INDEX($G:$G,MATCH(AD195,$A:$A,0)),""))-1),IFERROR(INDEX($G:$G,MATCH(AD195,$A:$A,0)),"")))))</f>
        <v/>
      </c>
      <c r="AF195" s="18" t="str">
        <f aca="false">IF(AE195="","",IF(IFERROR(INDEX($G:$G,MATCH(AE195,$A:$A,0)),"")="","",TRIM(IF(ISNUMBER(FIND(",",IFERROR(INDEX($G:$G,MATCH(AE195,$A:$A,0)),""))),LEFT(IFERROR(INDEX($G:$G,MATCH(AE195,$A:$A,0)),""),FIND(",",IFERROR(INDEX($G:$G,MATCH(AE195,$A:$A,0)),""))-1),IFERROR(INDEX($G:$G,MATCH(AE195,$A:$A,0)),"")))))</f>
        <v/>
      </c>
      <c r="AG195" s="18" t="str">
        <f aca="false">IF(AF195="","",IF(IFERROR(INDEX($G:$G,MATCH(AF195,$A:$A,0)),"")="","",TRIM(IF(ISNUMBER(FIND(",",IFERROR(INDEX($G:$G,MATCH(AF195,$A:$A,0)),""))),LEFT(IFERROR(INDEX($G:$G,MATCH(AF195,$A:$A,0)),""),FIND(",",IFERROR(INDEX($G:$G,MATCH(AF195,$A:$A,0)),""))-1),IFERROR(INDEX($G:$G,MATCH(AF195,$A:$A,0)),"")))))</f>
        <v/>
      </c>
    </row>
    <row r="196" customFormat="false" ht="15" hidden="false" customHeight="false" outlineLevel="0" collapsed="false">
      <c r="A196" s="18"/>
      <c r="B196" s="19"/>
      <c r="C196" s="20"/>
      <c r="D196" s="20"/>
      <c r="E196" s="20"/>
      <c r="F196" s="20"/>
      <c r="G196" s="18"/>
      <c r="H196" s="20"/>
      <c r="I196" s="18"/>
      <c r="J196" s="20"/>
      <c r="K196" s="20"/>
      <c r="L196" s="20"/>
      <c r="M196" s="20"/>
      <c r="N196" s="20"/>
      <c r="O196" s="21" t="str">
        <f aca="false">IF(A196="","",IF(AD196="",0,IF(AE196="",1,IF(AF196="",2,IF(AG196="",3,"4+")))))</f>
        <v/>
      </c>
      <c r="P196" s="21" t="str">
        <f aca="false">IF(A196="","",B196&amp;IF(AD196="",""," &lt;- "&amp;IFERROR(INDEX($B:$B,MATCH(AD196,$A:$A,0)),AD196)&amp;IF(AE196="",""," &lt;- "&amp;IFERROR(INDEX($B:$B,MATCH(AE196,$A:$A,0)),AE196)&amp;IF(AF196="",""," &lt;- "&amp;IFERROR(INDEX($B:$B,MATCH(AF196,$A:$A,0)),AF196)&amp;IF(AG196="",""," &lt;- "&amp;IFERROR(INDEX($B:$B,MATCH(AG196,$A:$A,0)),AG196)))))&amp;IF(ISNUMBER(FIND(",",G196))," (+ other parents)",""))</f>
        <v/>
      </c>
      <c r="Q196" s="21" t="str">
        <f aca="false">IF(A196="","",IF(AD196="",E196&amp;"",IF(AE196="",IF(IFERROR(INDEX($E:$E,MATCH(AD196,$A:$A,0)),"")="","",INDEX($E:$E,MATCH(AD196,$A:$A,0))),IF(AF196="",IF(IFERROR(INDEX($E:$E,MATCH(AE196,$A:$A,0)),"")="","",INDEX($E:$E,MATCH(AE196,$A:$A,0))),IF(AG196="",IF(IFERROR(INDEX($E:$E,MATCH(AF196,$A:$A,0)),"")="","",INDEX($E:$E,MATCH(AF196,$A:$A,0))),IF(IFERROR(INDEX($E:$E,MATCH(AG196,$A:$A,0)),"")="","",INDEX($E:$E,MATCH(AG196,$A:$A,0))))))))</f>
        <v/>
      </c>
      <c r="R196" s="21" t="str">
        <f aca="false">IF(A196="","",COUNTIF(Fields!$D:$D,A196))</f>
        <v/>
      </c>
      <c r="S196" s="21" t="str">
        <f aca="false">IF(A196="","",SUMIF(Fields!$D:$D,A196,Fields!$Q:$Q))</f>
        <v/>
      </c>
      <c r="T196" s="21" t="str">
        <f aca="false">IF(A196="","",COUNTIF('Product inputs'!$D:$D,A196))</f>
        <v/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18" t="str">
        <f aca="false">IF(A196="","",IF(IFERROR(INDEX($G:$G,MATCH(A196,$A:$A,0)),"")="","",TRIM(IF(ISNUMBER(FIND(",",IFERROR(INDEX($G:$G,MATCH(A196,$A:$A,0)),""))),LEFT(IFERROR(INDEX($G:$G,MATCH(A196,$A:$A,0)),""),FIND(",",IFERROR(INDEX($G:$G,MATCH(A196,$A:$A,0)),""))-1),IFERROR(INDEX($G:$G,MATCH(A196,$A:$A,0)),"")))))</f>
        <v/>
      </c>
      <c r="AE196" s="18" t="str">
        <f aca="false">IF(AD196="","",IF(IFERROR(INDEX($G:$G,MATCH(AD196,$A:$A,0)),"")="","",TRIM(IF(ISNUMBER(FIND(",",IFERROR(INDEX($G:$G,MATCH(AD196,$A:$A,0)),""))),LEFT(IFERROR(INDEX($G:$G,MATCH(AD196,$A:$A,0)),""),FIND(",",IFERROR(INDEX($G:$G,MATCH(AD196,$A:$A,0)),""))-1),IFERROR(INDEX($G:$G,MATCH(AD196,$A:$A,0)),"")))))</f>
        <v/>
      </c>
      <c r="AF196" s="18" t="str">
        <f aca="false">IF(AE196="","",IF(IFERROR(INDEX($G:$G,MATCH(AE196,$A:$A,0)),"")="","",TRIM(IF(ISNUMBER(FIND(",",IFERROR(INDEX($G:$G,MATCH(AE196,$A:$A,0)),""))),LEFT(IFERROR(INDEX($G:$G,MATCH(AE196,$A:$A,0)),""),FIND(",",IFERROR(INDEX($G:$G,MATCH(AE196,$A:$A,0)),""))-1),IFERROR(INDEX($G:$G,MATCH(AE196,$A:$A,0)),"")))))</f>
        <v/>
      </c>
      <c r="AG196" s="18" t="str">
        <f aca="false">IF(AF196="","",IF(IFERROR(INDEX($G:$G,MATCH(AF196,$A:$A,0)),"")="","",TRIM(IF(ISNUMBER(FIND(",",IFERROR(INDEX($G:$G,MATCH(AF196,$A:$A,0)),""))),LEFT(IFERROR(INDEX($G:$G,MATCH(AF196,$A:$A,0)),""),FIND(",",IFERROR(INDEX($G:$G,MATCH(AF196,$A:$A,0)),""))-1),IFERROR(INDEX($G:$G,MATCH(AF196,$A:$A,0)),"")))))</f>
        <v/>
      </c>
    </row>
    <row r="197" customFormat="false" ht="15" hidden="false" customHeight="false" outlineLevel="0" collapsed="false">
      <c r="A197" s="18"/>
      <c r="B197" s="19"/>
      <c r="C197" s="20"/>
      <c r="D197" s="20"/>
      <c r="E197" s="20"/>
      <c r="F197" s="20"/>
      <c r="G197" s="18"/>
      <c r="H197" s="20"/>
      <c r="I197" s="18"/>
      <c r="J197" s="20"/>
      <c r="K197" s="20"/>
      <c r="L197" s="20"/>
      <c r="M197" s="20"/>
      <c r="N197" s="20"/>
      <c r="O197" s="21" t="str">
        <f aca="false">IF(A197="","",IF(AD197="",0,IF(AE197="",1,IF(AF197="",2,IF(AG197="",3,"4+")))))</f>
        <v/>
      </c>
      <c r="P197" s="21" t="str">
        <f aca="false">IF(A197="","",B197&amp;IF(AD197="",""," &lt;- "&amp;IFERROR(INDEX($B:$B,MATCH(AD197,$A:$A,0)),AD197)&amp;IF(AE197="",""," &lt;- "&amp;IFERROR(INDEX($B:$B,MATCH(AE197,$A:$A,0)),AE197)&amp;IF(AF197="",""," &lt;- "&amp;IFERROR(INDEX($B:$B,MATCH(AF197,$A:$A,0)),AF197)&amp;IF(AG197="",""," &lt;- "&amp;IFERROR(INDEX($B:$B,MATCH(AG197,$A:$A,0)),AG197)))))&amp;IF(ISNUMBER(FIND(",",G197))," (+ other parents)",""))</f>
        <v/>
      </c>
      <c r="Q197" s="21" t="str">
        <f aca="false">IF(A197="","",IF(AD197="",E197&amp;"",IF(AE197="",IF(IFERROR(INDEX($E:$E,MATCH(AD197,$A:$A,0)),"")="","",INDEX($E:$E,MATCH(AD197,$A:$A,0))),IF(AF197="",IF(IFERROR(INDEX($E:$E,MATCH(AE197,$A:$A,0)),"")="","",INDEX($E:$E,MATCH(AE197,$A:$A,0))),IF(AG197="",IF(IFERROR(INDEX($E:$E,MATCH(AF197,$A:$A,0)),"")="","",INDEX($E:$E,MATCH(AF197,$A:$A,0))),IF(IFERROR(INDEX($E:$E,MATCH(AG197,$A:$A,0)),"")="","",INDEX($E:$E,MATCH(AG197,$A:$A,0))))))))</f>
        <v/>
      </c>
      <c r="R197" s="21" t="str">
        <f aca="false">IF(A197="","",COUNTIF(Fields!$D:$D,A197))</f>
        <v/>
      </c>
      <c r="S197" s="21" t="str">
        <f aca="false">IF(A197="","",SUMIF(Fields!$D:$D,A197,Fields!$Q:$Q))</f>
        <v/>
      </c>
      <c r="T197" s="21" t="str">
        <f aca="false">IF(A197="","",COUNTIF('Product inputs'!$D:$D,A197))</f>
        <v/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18" t="str">
        <f aca="false">IF(A197="","",IF(IFERROR(INDEX($G:$G,MATCH(A197,$A:$A,0)),"")="","",TRIM(IF(ISNUMBER(FIND(",",IFERROR(INDEX($G:$G,MATCH(A197,$A:$A,0)),""))),LEFT(IFERROR(INDEX($G:$G,MATCH(A197,$A:$A,0)),""),FIND(",",IFERROR(INDEX($G:$G,MATCH(A197,$A:$A,0)),""))-1),IFERROR(INDEX($G:$G,MATCH(A197,$A:$A,0)),"")))))</f>
        <v/>
      </c>
      <c r="AE197" s="18" t="str">
        <f aca="false">IF(AD197="","",IF(IFERROR(INDEX($G:$G,MATCH(AD197,$A:$A,0)),"")="","",TRIM(IF(ISNUMBER(FIND(",",IFERROR(INDEX($G:$G,MATCH(AD197,$A:$A,0)),""))),LEFT(IFERROR(INDEX($G:$G,MATCH(AD197,$A:$A,0)),""),FIND(",",IFERROR(INDEX($G:$G,MATCH(AD197,$A:$A,0)),""))-1),IFERROR(INDEX($G:$G,MATCH(AD197,$A:$A,0)),"")))))</f>
        <v/>
      </c>
      <c r="AF197" s="18" t="str">
        <f aca="false">IF(AE197="","",IF(IFERROR(INDEX($G:$G,MATCH(AE197,$A:$A,0)),"")="","",TRIM(IF(ISNUMBER(FIND(",",IFERROR(INDEX($G:$G,MATCH(AE197,$A:$A,0)),""))),LEFT(IFERROR(INDEX($G:$G,MATCH(AE197,$A:$A,0)),""),FIND(",",IFERROR(INDEX($G:$G,MATCH(AE197,$A:$A,0)),""))-1),IFERROR(INDEX($G:$G,MATCH(AE197,$A:$A,0)),"")))))</f>
        <v/>
      </c>
      <c r="AG197" s="18" t="str">
        <f aca="false">IF(AF197="","",IF(IFERROR(INDEX($G:$G,MATCH(AF197,$A:$A,0)),"")="","",TRIM(IF(ISNUMBER(FIND(",",IFERROR(INDEX($G:$G,MATCH(AF197,$A:$A,0)),""))),LEFT(IFERROR(INDEX($G:$G,MATCH(AF197,$A:$A,0)),""),FIND(",",IFERROR(INDEX($G:$G,MATCH(AF197,$A:$A,0)),""))-1),IFERROR(INDEX($G:$G,MATCH(AF197,$A:$A,0)),"")))))</f>
        <v/>
      </c>
    </row>
    <row r="198" customFormat="false" ht="15" hidden="false" customHeight="false" outlineLevel="0" collapsed="false">
      <c r="A198" s="18"/>
      <c r="B198" s="19"/>
      <c r="C198" s="20"/>
      <c r="D198" s="20"/>
      <c r="E198" s="20"/>
      <c r="F198" s="20"/>
      <c r="G198" s="18"/>
      <c r="H198" s="20"/>
      <c r="I198" s="18"/>
      <c r="J198" s="20"/>
      <c r="K198" s="20"/>
      <c r="L198" s="20"/>
      <c r="M198" s="20"/>
      <c r="N198" s="20"/>
      <c r="O198" s="21" t="str">
        <f aca="false">IF(A198="","",IF(AD198="",0,IF(AE198="",1,IF(AF198="",2,IF(AG198="",3,"4+")))))</f>
        <v/>
      </c>
      <c r="P198" s="21" t="str">
        <f aca="false">IF(A198="","",B198&amp;IF(AD198="",""," &lt;- "&amp;IFERROR(INDEX($B:$B,MATCH(AD198,$A:$A,0)),AD198)&amp;IF(AE198="",""," &lt;- "&amp;IFERROR(INDEX($B:$B,MATCH(AE198,$A:$A,0)),AE198)&amp;IF(AF198="",""," &lt;- "&amp;IFERROR(INDEX($B:$B,MATCH(AF198,$A:$A,0)),AF198)&amp;IF(AG198="",""," &lt;- "&amp;IFERROR(INDEX($B:$B,MATCH(AG198,$A:$A,0)),AG198)))))&amp;IF(ISNUMBER(FIND(",",G198))," (+ other parents)",""))</f>
        <v/>
      </c>
      <c r="Q198" s="21" t="str">
        <f aca="false">IF(A198="","",IF(AD198="",E198&amp;"",IF(AE198="",IF(IFERROR(INDEX($E:$E,MATCH(AD198,$A:$A,0)),"")="","",INDEX($E:$E,MATCH(AD198,$A:$A,0))),IF(AF198="",IF(IFERROR(INDEX($E:$E,MATCH(AE198,$A:$A,0)),"")="","",INDEX($E:$E,MATCH(AE198,$A:$A,0))),IF(AG198="",IF(IFERROR(INDEX($E:$E,MATCH(AF198,$A:$A,0)),"")="","",INDEX($E:$E,MATCH(AF198,$A:$A,0))),IF(IFERROR(INDEX($E:$E,MATCH(AG198,$A:$A,0)),"")="","",INDEX($E:$E,MATCH(AG198,$A:$A,0))))))))</f>
        <v/>
      </c>
      <c r="R198" s="21" t="str">
        <f aca="false">IF(A198="","",COUNTIF(Fields!$D:$D,A198))</f>
        <v/>
      </c>
      <c r="S198" s="21" t="str">
        <f aca="false">IF(A198="","",SUMIF(Fields!$D:$D,A198,Fields!$Q:$Q))</f>
        <v/>
      </c>
      <c r="T198" s="21" t="str">
        <f aca="false">IF(A198="","",COUNTIF('Product inputs'!$D:$D,A198))</f>
        <v/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18" t="str">
        <f aca="false">IF(A198="","",IF(IFERROR(INDEX($G:$G,MATCH(A198,$A:$A,0)),"")="","",TRIM(IF(ISNUMBER(FIND(",",IFERROR(INDEX($G:$G,MATCH(A198,$A:$A,0)),""))),LEFT(IFERROR(INDEX($G:$G,MATCH(A198,$A:$A,0)),""),FIND(",",IFERROR(INDEX($G:$G,MATCH(A198,$A:$A,0)),""))-1),IFERROR(INDEX($G:$G,MATCH(A198,$A:$A,0)),"")))))</f>
        <v/>
      </c>
      <c r="AE198" s="18" t="str">
        <f aca="false">IF(AD198="","",IF(IFERROR(INDEX($G:$G,MATCH(AD198,$A:$A,0)),"")="","",TRIM(IF(ISNUMBER(FIND(",",IFERROR(INDEX($G:$G,MATCH(AD198,$A:$A,0)),""))),LEFT(IFERROR(INDEX($G:$G,MATCH(AD198,$A:$A,0)),""),FIND(",",IFERROR(INDEX($G:$G,MATCH(AD198,$A:$A,0)),""))-1),IFERROR(INDEX($G:$G,MATCH(AD198,$A:$A,0)),"")))))</f>
        <v/>
      </c>
      <c r="AF198" s="18" t="str">
        <f aca="false">IF(AE198="","",IF(IFERROR(INDEX($G:$G,MATCH(AE198,$A:$A,0)),"")="","",TRIM(IF(ISNUMBER(FIND(",",IFERROR(INDEX($G:$G,MATCH(AE198,$A:$A,0)),""))),LEFT(IFERROR(INDEX($G:$G,MATCH(AE198,$A:$A,0)),""),FIND(",",IFERROR(INDEX($G:$G,MATCH(AE198,$A:$A,0)),""))-1),IFERROR(INDEX($G:$G,MATCH(AE198,$A:$A,0)),"")))))</f>
        <v/>
      </c>
      <c r="AG198" s="18" t="str">
        <f aca="false">IF(AF198="","",IF(IFERROR(INDEX($G:$G,MATCH(AF198,$A:$A,0)),"")="","",TRIM(IF(ISNUMBER(FIND(",",IFERROR(INDEX($G:$G,MATCH(AF198,$A:$A,0)),""))),LEFT(IFERROR(INDEX($G:$G,MATCH(AF198,$A:$A,0)),""),FIND(",",IFERROR(INDEX($G:$G,MATCH(AF198,$A:$A,0)),""))-1),IFERROR(INDEX($G:$G,MATCH(AF198,$A:$A,0)),"")))))</f>
        <v/>
      </c>
    </row>
    <row r="199" customFormat="false" ht="15" hidden="false" customHeight="false" outlineLevel="0" collapsed="false">
      <c r="A199" s="18"/>
      <c r="B199" s="19"/>
      <c r="C199" s="20"/>
      <c r="D199" s="20"/>
      <c r="E199" s="20"/>
      <c r="F199" s="20"/>
      <c r="G199" s="18"/>
      <c r="H199" s="20"/>
      <c r="I199" s="18"/>
      <c r="J199" s="20"/>
      <c r="K199" s="20"/>
      <c r="L199" s="20"/>
      <c r="M199" s="20"/>
      <c r="N199" s="20"/>
      <c r="O199" s="21" t="str">
        <f aca="false">IF(A199="","",IF(AD199="",0,IF(AE199="",1,IF(AF199="",2,IF(AG199="",3,"4+")))))</f>
        <v/>
      </c>
      <c r="P199" s="21" t="str">
        <f aca="false">IF(A199="","",B199&amp;IF(AD199="",""," &lt;- "&amp;IFERROR(INDEX($B:$B,MATCH(AD199,$A:$A,0)),AD199)&amp;IF(AE199="",""," &lt;- "&amp;IFERROR(INDEX($B:$B,MATCH(AE199,$A:$A,0)),AE199)&amp;IF(AF199="",""," &lt;- "&amp;IFERROR(INDEX($B:$B,MATCH(AF199,$A:$A,0)),AF199)&amp;IF(AG199="",""," &lt;- "&amp;IFERROR(INDEX($B:$B,MATCH(AG199,$A:$A,0)),AG199)))))&amp;IF(ISNUMBER(FIND(",",G199))," (+ other parents)",""))</f>
        <v/>
      </c>
      <c r="Q199" s="21" t="str">
        <f aca="false">IF(A199="","",IF(AD199="",E199&amp;"",IF(AE199="",IF(IFERROR(INDEX($E:$E,MATCH(AD199,$A:$A,0)),"")="","",INDEX($E:$E,MATCH(AD199,$A:$A,0))),IF(AF199="",IF(IFERROR(INDEX($E:$E,MATCH(AE199,$A:$A,0)),"")="","",INDEX($E:$E,MATCH(AE199,$A:$A,0))),IF(AG199="",IF(IFERROR(INDEX($E:$E,MATCH(AF199,$A:$A,0)),"")="","",INDEX($E:$E,MATCH(AF199,$A:$A,0))),IF(IFERROR(INDEX($E:$E,MATCH(AG199,$A:$A,0)),"")="","",INDEX($E:$E,MATCH(AG199,$A:$A,0))))))))</f>
        <v/>
      </c>
      <c r="R199" s="21" t="str">
        <f aca="false">IF(A199="","",COUNTIF(Fields!$D:$D,A199))</f>
        <v/>
      </c>
      <c r="S199" s="21" t="str">
        <f aca="false">IF(A199="","",SUMIF(Fields!$D:$D,A199,Fields!$Q:$Q))</f>
        <v/>
      </c>
      <c r="T199" s="21" t="str">
        <f aca="false">IF(A199="","",COUNTIF('Product inputs'!$D:$D,A199))</f>
        <v/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18" t="str">
        <f aca="false">IF(A199="","",IF(IFERROR(INDEX($G:$G,MATCH(A199,$A:$A,0)),"")="","",TRIM(IF(ISNUMBER(FIND(",",IFERROR(INDEX($G:$G,MATCH(A199,$A:$A,0)),""))),LEFT(IFERROR(INDEX($G:$G,MATCH(A199,$A:$A,0)),""),FIND(",",IFERROR(INDEX($G:$G,MATCH(A199,$A:$A,0)),""))-1),IFERROR(INDEX($G:$G,MATCH(A199,$A:$A,0)),"")))))</f>
        <v/>
      </c>
      <c r="AE199" s="18" t="str">
        <f aca="false">IF(AD199="","",IF(IFERROR(INDEX($G:$G,MATCH(AD199,$A:$A,0)),"")="","",TRIM(IF(ISNUMBER(FIND(",",IFERROR(INDEX($G:$G,MATCH(AD199,$A:$A,0)),""))),LEFT(IFERROR(INDEX($G:$G,MATCH(AD199,$A:$A,0)),""),FIND(",",IFERROR(INDEX($G:$G,MATCH(AD199,$A:$A,0)),""))-1),IFERROR(INDEX($G:$G,MATCH(AD199,$A:$A,0)),"")))))</f>
        <v/>
      </c>
      <c r="AF199" s="18" t="str">
        <f aca="false">IF(AE199="","",IF(IFERROR(INDEX($G:$G,MATCH(AE199,$A:$A,0)),"")="","",TRIM(IF(ISNUMBER(FIND(",",IFERROR(INDEX($G:$G,MATCH(AE199,$A:$A,0)),""))),LEFT(IFERROR(INDEX($G:$G,MATCH(AE199,$A:$A,0)),""),FIND(",",IFERROR(INDEX($G:$G,MATCH(AE199,$A:$A,0)),""))-1),IFERROR(INDEX($G:$G,MATCH(AE199,$A:$A,0)),"")))))</f>
        <v/>
      </c>
      <c r="AG199" s="18" t="str">
        <f aca="false">IF(AF199="","",IF(IFERROR(INDEX($G:$G,MATCH(AF199,$A:$A,0)),"")="","",TRIM(IF(ISNUMBER(FIND(",",IFERROR(INDEX($G:$G,MATCH(AF199,$A:$A,0)),""))),LEFT(IFERROR(INDEX($G:$G,MATCH(AF199,$A:$A,0)),""),FIND(",",IFERROR(INDEX($G:$G,MATCH(AF199,$A:$A,0)),""))-1),IFERROR(INDEX($G:$G,MATCH(AF199,$A:$A,0)),"")))))</f>
        <v/>
      </c>
    </row>
    <row r="200" customFormat="false" ht="15" hidden="false" customHeight="false" outlineLevel="0" collapsed="false">
      <c r="A200" s="18"/>
      <c r="B200" s="19"/>
      <c r="C200" s="20"/>
      <c r="D200" s="20"/>
      <c r="E200" s="20"/>
      <c r="F200" s="20"/>
      <c r="G200" s="18"/>
      <c r="H200" s="20"/>
      <c r="I200" s="18"/>
      <c r="J200" s="20"/>
      <c r="K200" s="20"/>
      <c r="L200" s="20"/>
      <c r="M200" s="20"/>
      <c r="N200" s="20"/>
      <c r="O200" s="21" t="str">
        <f aca="false">IF(A200="","",IF(AD200="",0,IF(AE200="",1,IF(AF200="",2,IF(AG200="",3,"4+")))))</f>
        <v/>
      </c>
      <c r="P200" s="21" t="str">
        <f aca="false">IF(A200="","",B200&amp;IF(AD200="",""," &lt;- "&amp;IFERROR(INDEX($B:$B,MATCH(AD200,$A:$A,0)),AD200)&amp;IF(AE200="",""," &lt;- "&amp;IFERROR(INDEX($B:$B,MATCH(AE200,$A:$A,0)),AE200)&amp;IF(AF200="",""," &lt;- "&amp;IFERROR(INDEX($B:$B,MATCH(AF200,$A:$A,0)),AF200)&amp;IF(AG200="",""," &lt;- "&amp;IFERROR(INDEX($B:$B,MATCH(AG200,$A:$A,0)),AG200)))))&amp;IF(ISNUMBER(FIND(",",G200))," (+ other parents)",""))</f>
        <v/>
      </c>
      <c r="Q200" s="21" t="str">
        <f aca="false">IF(A200="","",IF(AD200="",E200&amp;"",IF(AE200="",IF(IFERROR(INDEX($E:$E,MATCH(AD200,$A:$A,0)),"")="","",INDEX($E:$E,MATCH(AD200,$A:$A,0))),IF(AF200="",IF(IFERROR(INDEX($E:$E,MATCH(AE200,$A:$A,0)),"")="","",INDEX($E:$E,MATCH(AE200,$A:$A,0))),IF(AG200="",IF(IFERROR(INDEX($E:$E,MATCH(AF200,$A:$A,0)),"")="","",INDEX($E:$E,MATCH(AF200,$A:$A,0))),IF(IFERROR(INDEX($E:$E,MATCH(AG200,$A:$A,0)),"")="","",INDEX($E:$E,MATCH(AG200,$A:$A,0))))))))</f>
        <v/>
      </c>
      <c r="R200" s="21" t="str">
        <f aca="false">IF(A200="","",COUNTIF(Fields!$D:$D,A200))</f>
        <v/>
      </c>
      <c r="S200" s="21" t="str">
        <f aca="false">IF(A200="","",SUMIF(Fields!$D:$D,A200,Fields!$Q:$Q))</f>
        <v/>
      </c>
      <c r="T200" s="21" t="str">
        <f aca="false">IF(A200="","",COUNTIF('Product inputs'!$D:$D,A200))</f>
        <v/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18" t="str">
        <f aca="false">IF(A200="","",IF(IFERROR(INDEX($G:$G,MATCH(A200,$A:$A,0)),"")="","",TRIM(IF(ISNUMBER(FIND(",",IFERROR(INDEX($G:$G,MATCH(A200,$A:$A,0)),""))),LEFT(IFERROR(INDEX($G:$G,MATCH(A200,$A:$A,0)),""),FIND(",",IFERROR(INDEX($G:$G,MATCH(A200,$A:$A,0)),""))-1),IFERROR(INDEX($G:$G,MATCH(A200,$A:$A,0)),"")))))</f>
        <v/>
      </c>
      <c r="AE200" s="18" t="str">
        <f aca="false">IF(AD200="","",IF(IFERROR(INDEX($G:$G,MATCH(AD200,$A:$A,0)),"")="","",TRIM(IF(ISNUMBER(FIND(",",IFERROR(INDEX($G:$G,MATCH(AD200,$A:$A,0)),""))),LEFT(IFERROR(INDEX($G:$G,MATCH(AD200,$A:$A,0)),""),FIND(",",IFERROR(INDEX($G:$G,MATCH(AD200,$A:$A,0)),""))-1),IFERROR(INDEX($G:$G,MATCH(AD200,$A:$A,0)),"")))))</f>
        <v/>
      </c>
      <c r="AF200" s="18" t="str">
        <f aca="false">IF(AE200="","",IF(IFERROR(INDEX($G:$G,MATCH(AE200,$A:$A,0)),"")="","",TRIM(IF(ISNUMBER(FIND(",",IFERROR(INDEX($G:$G,MATCH(AE200,$A:$A,0)),""))),LEFT(IFERROR(INDEX($G:$G,MATCH(AE200,$A:$A,0)),""),FIND(",",IFERROR(INDEX($G:$G,MATCH(AE200,$A:$A,0)),""))-1),IFERROR(INDEX($G:$G,MATCH(AE200,$A:$A,0)),"")))))</f>
        <v/>
      </c>
      <c r="AG200" s="18" t="str">
        <f aca="false">IF(AF200="","",IF(IFERROR(INDEX($G:$G,MATCH(AF200,$A:$A,0)),"")="","",TRIM(IF(ISNUMBER(FIND(",",IFERROR(INDEX($G:$G,MATCH(AF200,$A:$A,0)),""))),LEFT(IFERROR(INDEX($G:$G,MATCH(AF200,$A:$A,0)),""),FIND(",",IFERROR(INDEX($G:$G,MATCH(AF200,$A:$A,0)),""))-1),IFERROR(INDEX($G:$G,MATCH(AF200,$A:$A,0)),"")))))</f>
        <v/>
      </c>
    </row>
    <row r="201" customFormat="false" ht="15" hidden="false" customHeight="false" outlineLevel="0" collapsed="false">
      <c r="A201" s="18"/>
      <c r="B201" s="19"/>
      <c r="C201" s="20"/>
      <c r="D201" s="20"/>
      <c r="E201" s="20"/>
      <c r="F201" s="20"/>
      <c r="G201" s="18"/>
      <c r="H201" s="20"/>
      <c r="I201" s="18"/>
      <c r="J201" s="20"/>
      <c r="K201" s="20"/>
      <c r="L201" s="20"/>
      <c r="M201" s="20"/>
      <c r="N201" s="20"/>
      <c r="O201" s="21" t="str">
        <f aca="false">IF(A201="","",IF(AD201="",0,IF(AE201="",1,IF(AF201="",2,IF(AG201="",3,"4+")))))</f>
        <v/>
      </c>
      <c r="P201" s="21" t="str">
        <f aca="false">IF(A201="","",B201&amp;IF(AD201="",""," &lt;- "&amp;IFERROR(INDEX($B:$B,MATCH(AD201,$A:$A,0)),AD201)&amp;IF(AE201="",""," &lt;- "&amp;IFERROR(INDEX($B:$B,MATCH(AE201,$A:$A,0)),AE201)&amp;IF(AF201="",""," &lt;- "&amp;IFERROR(INDEX($B:$B,MATCH(AF201,$A:$A,0)),AF201)&amp;IF(AG201="",""," &lt;- "&amp;IFERROR(INDEX($B:$B,MATCH(AG201,$A:$A,0)),AG201)))))&amp;IF(ISNUMBER(FIND(",",G201))," (+ other parents)",""))</f>
        <v/>
      </c>
      <c r="Q201" s="21" t="str">
        <f aca="false">IF(A201="","",IF(AD201="",E201&amp;"",IF(AE201="",IF(IFERROR(INDEX($E:$E,MATCH(AD201,$A:$A,0)),"")="","",INDEX($E:$E,MATCH(AD201,$A:$A,0))),IF(AF201="",IF(IFERROR(INDEX($E:$E,MATCH(AE201,$A:$A,0)),"")="","",INDEX($E:$E,MATCH(AE201,$A:$A,0))),IF(AG201="",IF(IFERROR(INDEX($E:$E,MATCH(AF201,$A:$A,0)),"")="","",INDEX($E:$E,MATCH(AF201,$A:$A,0))),IF(IFERROR(INDEX($E:$E,MATCH(AG201,$A:$A,0)),"")="","",INDEX($E:$E,MATCH(AG201,$A:$A,0))))))))</f>
        <v/>
      </c>
      <c r="R201" s="21" t="str">
        <f aca="false">IF(A201="","",COUNTIF(Fields!$D:$D,A201))</f>
        <v/>
      </c>
      <c r="S201" s="21" t="str">
        <f aca="false">IF(A201="","",SUMIF(Fields!$D:$D,A201,Fields!$Q:$Q))</f>
        <v/>
      </c>
      <c r="T201" s="21" t="str">
        <f aca="false">IF(A201="","",COUNTIF('Product inputs'!$D:$D,A201))</f>
        <v/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18" t="str">
        <f aca="false">IF(A201="","",IF(IFERROR(INDEX($G:$G,MATCH(A201,$A:$A,0)),"")="","",TRIM(IF(ISNUMBER(FIND(",",IFERROR(INDEX($G:$G,MATCH(A201,$A:$A,0)),""))),LEFT(IFERROR(INDEX($G:$G,MATCH(A201,$A:$A,0)),""),FIND(",",IFERROR(INDEX($G:$G,MATCH(A201,$A:$A,0)),""))-1),IFERROR(INDEX($G:$G,MATCH(A201,$A:$A,0)),"")))))</f>
        <v/>
      </c>
      <c r="AE201" s="18" t="str">
        <f aca="false">IF(AD201="","",IF(IFERROR(INDEX($G:$G,MATCH(AD201,$A:$A,0)),"")="","",TRIM(IF(ISNUMBER(FIND(",",IFERROR(INDEX($G:$G,MATCH(AD201,$A:$A,0)),""))),LEFT(IFERROR(INDEX($G:$G,MATCH(AD201,$A:$A,0)),""),FIND(",",IFERROR(INDEX($G:$G,MATCH(AD201,$A:$A,0)),""))-1),IFERROR(INDEX($G:$G,MATCH(AD201,$A:$A,0)),"")))))</f>
        <v/>
      </c>
      <c r="AF201" s="18" t="str">
        <f aca="false">IF(AE201="","",IF(IFERROR(INDEX($G:$G,MATCH(AE201,$A:$A,0)),"")="","",TRIM(IF(ISNUMBER(FIND(",",IFERROR(INDEX($G:$G,MATCH(AE201,$A:$A,0)),""))),LEFT(IFERROR(INDEX($G:$G,MATCH(AE201,$A:$A,0)),""),FIND(",",IFERROR(INDEX($G:$G,MATCH(AE201,$A:$A,0)),""))-1),IFERROR(INDEX($G:$G,MATCH(AE201,$A:$A,0)),"")))))</f>
        <v/>
      </c>
      <c r="AG201" s="18" t="str">
        <f aca="false">IF(AF201="","",IF(IFERROR(INDEX($G:$G,MATCH(AF201,$A:$A,0)),"")="","",TRIM(IF(ISNUMBER(FIND(",",IFERROR(INDEX($G:$G,MATCH(AF201,$A:$A,0)),""))),LEFT(IFERROR(INDEX($G:$G,MATCH(AF201,$A:$A,0)),""),FIND(",",IFERROR(INDEX($G:$G,MATCH(AF201,$A:$A,0)),""))-1),IFERROR(INDEX($G:$G,MATCH(AF201,$A:$A,0)),"")))))</f>
        <v/>
      </c>
    </row>
    <row r="202" customFormat="false" ht="15" hidden="false" customHeight="false" outlineLevel="0" collapsed="false">
      <c r="A202" s="18"/>
      <c r="B202" s="19"/>
      <c r="C202" s="20"/>
      <c r="D202" s="20"/>
      <c r="E202" s="20"/>
      <c r="F202" s="20"/>
      <c r="G202" s="18"/>
      <c r="H202" s="20"/>
      <c r="I202" s="18"/>
      <c r="J202" s="20"/>
      <c r="K202" s="20"/>
      <c r="L202" s="20"/>
      <c r="M202" s="20"/>
      <c r="N202" s="20"/>
      <c r="O202" s="21" t="str">
        <f aca="false">IF(A202="","",IF(AD202="",0,IF(AE202="",1,IF(AF202="",2,IF(AG202="",3,"4+")))))</f>
        <v/>
      </c>
      <c r="P202" s="21" t="str">
        <f aca="false">IF(A202="","",B202&amp;IF(AD202="",""," &lt;- "&amp;IFERROR(INDEX($B:$B,MATCH(AD202,$A:$A,0)),AD202)&amp;IF(AE202="",""," &lt;- "&amp;IFERROR(INDEX($B:$B,MATCH(AE202,$A:$A,0)),AE202)&amp;IF(AF202="",""," &lt;- "&amp;IFERROR(INDEX($B:$B,MATCH(AF202,$A:$A,0)),AF202)&amp;IF(AG202="",""," &lt;- "&amp;IFERROR(INDEX($B:$B,MATCH(AG202,$A:$A,0)),AG202)))))&amp;IF(ISNUMBER(FIND(",",G202))," (+ other parents)",""))</f>
        <v/>
      </c>
      <c r="Q202" s="21" t="str">
        <f aca="false">IF(A202="","",IF(AD202="",E202&amp;"",IF(AE202="",IF(IFERROR(INDEX($E:$E,MATCH(AD202,$A:$A,0)),"")="","",INDEX($E:$E,MATCH(AD202,$A:$A,0))),IF(AF202="",IF(IFERROR(INDEX($E:$E,MATCH(AE202,$A:$A,0)),"")="","",INDEX($E:$E,MATCH(AE202,$A:$A,0))),IF(AG202="",IF(IFERROR(INDEX($E:$E,MATCH(AF202,$A:$A,0)),"")="","",INDEX($E:$E,MATCH(AF202,$A:$A,0))),IF(IFERROR(INDEX($E:$E,MATCH(AG202,$A:$A,0)),"")="","",INDEX($E:$E,MATCH(AG202,$A:$A,0))))))))</f>
        <v/>
      </c>
      <c r="R202" s="21" t="str">
        <f aca="false">IF(A202="","",COUNTIF(Fields!$D:$D,A202))</f>
        <v/>
      </c>
      <c r="S202" s="21" t="str">
        <f aca="false">IF(A202="","",SUMIF(Fields!$D:$D,A202,Fields!$Q:$Q))</f>
        <v/>
      </c>
      <c r="T202" s="21" t="str">
        <f aca="false">IF(A202="","",COUNTIF('Product inputs'!$D:$D,A202))</f>
        <v/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18" t="str">
        <f aca="false">IF(A202="","",IF(IFERROR(INDEX($G:$G,MATCH(A202,$A:$A,0)),"")="","",TRIM(IF(ISNUMBER(FIND(",",IFERROR(INDEX($G:$G,MATCH(A202,$A:$A,0)),""))),LEFT(IFERROR(INDEX($G:$G,MATCH(A202,$A:$A,0)),""),FIND(",",IFERROR(INDEX($G:$G,MATCH(A202,$A:$A,0)),""))-1),IFERROR(INDEX($G:$G,MATCH(A202,$A:$A,0)),"")))))</f>
        <v/>
      </c>
      <c r="AE202" s="18" t="str">
        <f aca="false">IF(AD202="","",IF(IFERROR(INDEX($G:$G,MATCH(AD202,$A:$A,0)),"")="","",TRIM(IF(ISNUMBER(FIND(",",IFERROR(INDEX($G:$G,MATCH(AD202,$A:$A,0)),""))),LEFT(IFERROR(INDEX($G:$G,MATCH(AD202,$A:$A,0)),""),FIND(",",IFERROR(INDEX($G:$G,MATCH(AD202,$A:$A,0)),""))-1),IFERROR(INDEX($G:$G,MATCH(AD202,$A:$A,0)),"")))))</f>
        <v/>
      </c>
      <c r="AF202" s="18" t="str">
        <f aca="false">IF(AE202="","",IF(IFERROR(INDEX($G:$G,MATCH(AE202,$A:$A,0)),"")="","",TRIM(IF(ISNUMBER(FIND(",",IFERROR(INDEX($G:$G,MATCH(AE202,$A:$A,0)),""))),LEFT(IFERROR(INDEX($G:$G,MATCH(AE202,$A:$A,0)),""),FIND(",",IFERROR(INDEX($G:$G,MATCH(AE202,$A:$A,0)),""))-1),IFERROR(INDEX($G:$G,MATCH(AE202,$A:$A,0)),"")))))</f>
        <v/>
      </c>
      <c r="AG202" s="18" t="str">
        <f aca="false">IF(AF202="","",IF(IFERROR(INDEX($G:$G,MATCH(AF202,$A:$A,0)),"")="","",TRIM(IF(ISNUMBER(FIND(",",IFERROR(INDEX($G:$G,MATCH(AF202,$A:$A,0)),""))),LEFT(IFERROR(INDEX($G:$G,MATCH(AF202,$A:$A,0)),""),FIND(",",IFERROR(INDEX($G:$G,MATCH(AF202,$A:$A,0)),""))-1),IFERROR(INDEX($G:$G,MATCH(AF202,$A:$A,0)),"")))))</f>
        <v/>
      </c>
    </row>
    <row r="203" customFormat="false" ht="15" hidden="false" customHeight="false" outlineLevel="0" collapsed="false">
      <c r="A203" s="18"/>
      <c r="B203" s="19"/>
      <c r="C203" s="20"/>
      <c r="D203" s="20"/>
      <c r="E203" s="20"/>
      <c r="F203" s="20"/>
      <c r="G203" s="18"/>
      <c r="H203" s="20"/>
      <c r="I203" s="18"/>
      <c r="J203" s="20"/>
      <c r="K203" s="20"/>
      <c r="L203" s="20"/>
      <c r="M203" s="20"/>
      <c r="N203" s="20"/>
      <c r="O203" s="21" t="str">
        <f aca="false">IF(A203="","",IF(AD203="",0,IF(AE203="",1,IF(AF203="",2,IF(AG203="",3,"4+")))))</f>
        <v/>
      </c>
      <c r="P203" s="21" t="str">
        <f aca="false">IF(A203="","",B203&amp;IF(AD203="",""," &lt;- "&amp;IFERROR(INDEX($B:$B,MATCH(AD203,$A:$A,0)),AD203)&amp;IF(AE203="",""," &lt;- "&amp;IFERROR(INDEX($B:$B,MATCH(AE203,$A:$A,0)),AE203)&amp;IF(AF203="",""," &lt;- "&amp;IFERROR(INDEX($B:$B,MATCH(AF203,$A:$A,0)),AF203)&amp;IF(AG203="",""," &lt;- "&amp;IFERROR(INDEX($B:$B,MATCH(AG203,$A:$A,0)),AG203)))))&amp;IF(ISNUMBER(FIND(",",G203))," (+ other parents)",""))</f>
        <v/>
      </c>
      <c r="Q203" s="21" t="str">
        <f aca="false">IF(A203="","",IF(AD203="",E203&amp;"",IF(AE203="",IF(IFERROR(INDEX($E:$E,MATCH(AD203,$A:$A,0)),"")="","",INDEX($E:$E,MATCH(AD203,$A:$A,0))),IF(AF203="",IF(IFERROR(INDEX($E:$E,MATCH(AE203,$A:$A,0)),"")="","",INDEX($E:$E,MATCH(AE203,$A:$A,0))),IF(AG203="",IF(IFERROR(INDEX($E:$E,MATCH(AF203,$A:$A,0)),"")="","",INDEX($E:$E,MATCH(AF203,$A:$A,0))),IF(IFERROR(INDEX($E:$E,MATCH(AG203,$A:$A,0)),"")="","",INDEX($E:$E,MATCH(AG203,$A:$A,0))))))))</f>
        <v/>
      </c>
      <c r="R203" s="21" t="str">
        <f aca="false">IF(A203="","",COUNTIF(Fields!$D:$D,A203))</f>
        <v/>
      </c>
      <c r="S203" s="21" t="str">
        <f aca="false">IF(A203="","",SUMIF(Fields!$D:$D,A203,Fields!$Q:$Q))</f>
        <v/>
      </c>
      <c r="T203" s="21" t="str">
        <f aca="false">IF(A203="","",COUNTIF('Product inputs'!$D:$D,A203))</f>
        <v/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18" t="str">
        <f aca="false">IF(A203="","",IF(IFERROR(INDEX($G:$G,MATCH(A203,$A:$A,0)),"")="","",TRIM(IF(ISNUMBER(FIND(",",IFERROR(INDEX($G:$G,MATCH(A203,$A:$A,0)),""))),LEFT(IFERROR(INDEX($G:$G,MATCH(A203,$A:$A,0)),""),FIND(",",IFERROR(INDEX($G:$G,MATCH(A203,$A:$A,0)),""))-1),IFERROR(INDEX($G:$G,MATCH(A203,$A:$A,0)),"")))))</f>
        <v/>
      </c>
      <c r="AE203" s="18" t="str">
        <f aca="false">IF(AD203="","",IF(IFERROR(INDEX($G:$G,MATCH(AD203,$A:$A,0)),"")="","",TRIM(IF(ISNUMBER(FIND(",",IFERROR(INDEX($G:$G,MATCH(AD203,$A:$A,0)),""))),LEFT(IFERROR(INDEX($G:$G,MATCH(AD203,$A:$A,0)),""),FIND(",",IFERROR(INDEX($G:$G,MATCH(AD203,$A:$A,0)),""))-1),IFERROR(INDEX($G:$G,MATCH(AD203,$A:$A,0)),"")))))</f>
        <v/>
      </c>
      <c r="AF203" s="18" t="str">
        <f aca="false">IF(AE203="","",IF(IFERROR(INDEX($G:$G,MATCH(AE203,$A:$A,0)),"")="","",TRIM(IF(ISNUMBER(FIND(",",IFERROR(INDEX($G:$G,MATCH(AE203,$A:$A,0)),""))),LEFT(IFERROR(INDEX($G:$G,MATCH(AE203,$A:$A,0)),""),FIND(",",IFERROR(INDEX($G:$G,MATCH(AE203,$A:$A,0)),""))-1),IFERROR(INDEX($G:$G,MATCH(AE203,$A:$A,0)),"")))))</f>
        <v/>
      </c>
      <c r="AG203" s="18" t="str">
        <f aca="false">IF(AF203="","",IF(IFERROR(INDEX($G:$G,MATCH(AF203,$A:$A,0)),"")="","",TRIM(IF(ISNUMBER(FIND(",",IFERROR(INDEX($G:$G,MATCH(AF203,$A:$A,0)),""))),LEFT(IFERROR(INDEX($G:$G,MATCH(AF203,$A:$A,0)),""),FIND(",",IFERROR(INDEX($G:$G,MATCH(AF203,$A:$A,0)),""))-1),IFERROR(INDEX($G:$G,MATCH(AF203,$A:$A,0)),"")))))</f>
        <v/>
      </c>
    </row>
    <row r="204" customFormat="false" ht="15" hidden="false" customHeight="false" outlineLevel="0" collapsed="false">
      <c r="A204" s="18"/>
      <c r="B204" s="19"/>
      <c r="C204" s="20"/>
      <c r="D204" s="20"/>
      <c r="E204" s="20"/>
      <c r="F204" s="20"/>
      <c r="G204" s="18"/>
      <c r="H204" s="20"/>
      <c r="I204" s="18"/>
      <c r="J204" s="20"/>
      <c r="K204" s="20"/>
      <c r="L204" s="20"/>
      <c r="M204" s="20"/>
      <c r="N204" s="20"/>
      <c r="O204" s="21" t="str">
        <f aca="false">IF(A204="","",IF(AD204="",0,IF(AE204="",1,IF(AF204="",2,IF(AG204="",3,"4+")))))</f>
        <v/>
      </c>
      <c r="P204" s="21" t="str">
        <f aca="false">IF(A204="","",B204&amp;IF(AD204="",""," &lt;- "&amp;IFERROR(INDEX($B:$B,MATCH(AD204,$A:$A,0)),AD204)&amp;IF(AE204="",""," &lt;- "&amp;IFERROR(INDEX($B:$B,MATCH(AE204,$A:$A,0)),AE204)&amp;IF(AF204="",""," &lt;- "&amp;IFERROR(INDEX($B:$B,MATCH(AF204,$A:$A,0)),AF204)&amp;IF(AG204="",""," &lt;- "&amp;IFERROR(INDEX($B:$B,MATCH(AG204,$A:$A,0)),AG204)))))&amp;IF(ISNUMBER(FIND(",",G204))," (+ other parents)",""))</f>
        <v/>
      </c>
      <c r="Q204" s="21" t="str">
        <f aca="false">IF(A204="","",IF(AD204="",E204&amp;"",IF(AE204="",IF(IFERROR(INDEX($E:$E,MATCH(AD204,$A:$A,0)),"")="","",INDEX($E:$E,MATCH(AD204,$A:$A,0))),IF(AF204="",IF(IFERROR(INDEX($E:$E,MATCH(AE204,$A:$A,0)),"")="","",INDEX($E:$E,MATCH(AE204,$A:$A,0))),IF(AG204="",IF(IFERROR(INDEX($E:$E,MATCH(AF204,$A:$A,0)),"")="","",INDEX($E:$E,MATCH(AF204,$A:$A,0))),IF(IFERROR(INDEX($E:$E,MATCH(AG204,$A:$A,0)),"")="","",INDEX($E:$E,MATCH(AG204,$A:$A,0))))))))</f>
        <v/>
      </c>
      <c r="R204" s="21" t="str">
        <f aca="false">IF(A204="","",COUNTIF(Fields!$D:$D,A204))</f>
        <v/>
      </c>
      <c r="S204" s="21" t="str">
        <f aca="false">IF(A204="","",SUMIF(Fields!$D:$D,A204,Fields!$Q:$Q))</f>
        <v/>
      </c>
      <c r="T204" s="21" t="str">
        <f aca="false">IF(A204="","",COUNTIF('Product inputs'!$D:$D,A204))</f>
        <v/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18" t="str">
        <f aca="false">IF(A204="","",IF(IFERROR(INDEX($G:$G,MATCH(A204,$A:$A,0)),"")="","",TRIM(IF(ISNUMBER(FIND(",",IFERROR(INDEX($G:$G,MATCH(A204,$A:$A,0)),""))),LEFT(IFERROR(INDEX($G:$G,MATCH(A204,$A:$A,0)),""),FIND(",",IFERROR(INDEX($G:$G,MATCH(A204,$A:$A,0)),""))-1),IFERROR(INDEX($G:$G,MATCH(A204,$A:$A,0)),"")))))</f>
        <v/>
      </c>
      <c r="AE204" s="18" t="str">
        <f aca="false">IF(AD204="","",IF(IFERROR(INDEX($G:$G,MATCH(AD204,$A:$A,0)),"")="","",TRIM(IF(ISNUMBER(FIND(",",IFERROR(INDEX($G:$G,MATCH(AD204,$A:$A,0)),""))),LEFT(IFERROR(INDEX($G:$G,MATCH(AD204,$A:$A,0)),""),FIND(",",IFERROR(INDEX($G:$G,MATCH(AD204,$A:$A,0)),""))-1),IFERROR(INDEX($G:$G,MATCH(AD204,$A:$A,0)),"")))))</f>
        <v/>
      </c>
      <c r="AF204" s="18" t="str">
        <f aca="false">IF(AE204="","",IF(IFERROR(INDEX($G:$G,MATCH(AE204,$A:$A,0)),"")="","",TRIM(IF(ISNUMBER(FIND(",",IFERROR(INDEX($G:$G,MATCH(AE204,$A:$A,0)),""))),LEFT(IFERROR(INDEX($G:$G,MATCH(AE204,$A:$A,0)),""),FIND(",",IFERROR(INDEX($G:$G,MATCH(AE204,$A:$A,0)),""))-1),IFERROR(INDEX($G:$G,MATCH(AE204,$A:$A,0)),"")))))</f>
        <v/>
      </c>
      <c r="AG204" s="18" t="str">
        <f aca="false">IF(AF204="","",IF(IFERROR(INDEX($G:$G,MATCH(AF204,$A:$A,0)),"")="","",TRIM(IF(ISNUMBER(FIND(",",IFERROR(INDEX($G:$G,MATCH(AF204,$A:$A,0)),""))),LEFT(IFERROR(INDEX($G:$G,MATCH(AF204,$A:$A,0)),""),FIND(",",IFERROR(INDEX($G:$G,MATCH(AF204,$A:$A,0)),""))-1),IFERROR(INDEX($G:$G,MATCH(AF204,$A:$A,0)),"")))))</f>
        <v/>
      </c>
    </row>
    <row r="205" customFormat="false" ht="15" hidden="false" customHeight="false" outlineLevel="0" collapsed="false">
      <c r="A205" s="18"/>
      <c r="B205" s="19"/>
      <c r="C205" s="20"/>
      <c r="D205" s="20"/>
      <c r="E205" s="20"/>
      <c r="F205" s="20"/>
      <c r="G205" s="18"/>
      <c r="H205" s="20"/>
      <c r="I205" s="18"/>
      <c r="J205" s="20"/>
      <c r="K205" s="20"/>
      <c r="L205" s="20"/>
      <c r="M205" s="20"/>
      <c r="N205" s="20"/>
      <c r="O205" s="21" t="str">
        <f aca="false">IF(A205="","",IF(AD205="",0,IF(AE205="",1,IF(AF205="",2,IF(AG205="",3,"4+")))))</f>
        <v/>
      </c>
      <c r="P205" s="21" t="str">
        <f aca="false">IF(A205="","",B205&amp;IF(AD205="",""," &lt;- "&amp;IFERROR(INDEX($B:$B,MATCH(AD205,$A:$A,0)),AD205)&amp;IF(AE205="",""," &lt;- "&amp;IFERROR(INDEX($B:$B,MATCH(AE205,$A:$A,0)),AE205)&amp;IF(AF205="",""," &lt;- "&amp;IFERROR(INDEX($B:$B,MATCH(AF205,$A:$A,0)),AF205)&amp;IF(AG205="",""," &lt;- "&amp;IFERROR(INDEX($B:$B,MATCH(AG205,$A:$A,0)),AG205)))))&amp;IF(ISNUMBER(FIND(",",G205))," (+ other parents)",""))</f>
        <v/>
      </c>
      <c r="Q205" s="21" t="str">
        <f aca="false">IF(A205="","",IF(AD205="",E205&amp;"",IF(AE205="",IF(IFERROR(INDEX($E:$E,MATCH(AD205,$A:$A,0)),"")="","",INDEX($E:$E,MATCH(AD205,$A:$A,0))),IF(AF205="",IF(IFERROR(INDEX($E:$E,MATCH(AE205,$A:$A,0)),"")="","",INDEX($E:$E,MATCH(AE205,$A:$A,0))),IF(AG205="",IF(IFERROR(INDEX($E:$E,MATCH(AF205,$A:$A,0)),"")="","",INDEX($E:$E,MATCH(AF205,$A:$A,0))),IF(IFERROR(INDEX($E:$E,MATCH(AG205,$A:$A,0)),"")="","",INDEX($E:$E,MATCH(AG205,$A:$A,0))))))))</f>
        <v/>
      </c>
      <c r="R205" s="21" t="str">
        <f aca="false">IF(A205="","",COUNTIF(Fields!$D:$D,A205))</f>
        <v/>
      </c>
      <c r="S205" s="21" t="str">
        <f aca="false">IF(A205="","",SUMIF(Fields!$D:$D,A205,Fields!$Q:$Q))</f>
        <v/>
      </c>
      <c r="T205" s="21" t="str">
        <f aca="false">IF(A205="","",COUNTIF('Product inputs'!$D:$D,A205))</f>
        <v/>
      </c>
      <c r="U205" s="20"/>
      <c r="V205" s="20"/>
      <c r="W205" s="20"/>
      <c r="X205" s="20"/>
      <c r="Y205" s="20"/>
      <c r="Z205" s="20"/>
      <c r="AA205" s="20"/>
      <c r="AB205" s="20"/>
      <c r="AC205" s="20"/>
      <c r="AD205" s="18" t="str">
        <f aca="false">IF(A205="","",IF(IFERROR(INDEX($G:$G,MATCH(A205,$A:$A,0)),"")="","",TRIM(IF(ISNUMBER(FIND(",",IFERROR(INDEX($G:$G,MATCH(A205,$A:$A,0)),""))),LEFT(IFERROR(INDEX($G:$G,MATCH(A205,$A:$A,0)),""),FIND(",",IFERROR(INDEX($G:$G,MATCH(A205,$A:$A,0)),""))-1),IFERROR(INDEX($G:$G,MATCH(A205,$A:$A,0)),"")))))</f>
        <v/>
      </c>
      <c r="AE205" s="18" t="str">
        <f aca="false">IF(AD205="","",IF(IFERROR(INDEX($G:$G,MATCH(AD205,$A:$A,0)),"")="","",TRIM(IF(ISNUMBER(FIND(",",IFERROR(INDEX($G:$G,MATCH(AD205,$A:$A,0)),""))),LEFT(IFERROR(INDEX($G:$G,MATCH(AD205,$A:$A,0)),""),FIND(",",IFERROR(INDEX($G:$G,MATCH(AD205,$A:$A,0)),""))-1),IFERROR(INDEX($G:$G,MATCH(AD205,$A:$A,0)),"")))))</f>
        <v/>
      </c>
      <c r="AF205" s="18" t="str">
        <f aca="false">IF(AE205="","",IF(IFERROR(INDEX($G:$G,MATCH(AE205,$A:$A,0)),"")="","",TRIM(IF(ISNUMBER(FIND(",",IFERROR(INDEX($G:$G,MATCH(AE205,$A:$A,0)),""))),LEFT(IFERROR(INDEX($G:$G,MATCH(AE205,$A:$A,0)),""),FIND(",",IFERROR(INDEX($G:$G,MATCH(AE205,$A:$A,0)),""))-1),IFERROR(INDEX($G:$G,MATCH(AE205,$A:$A,0)),"")))))</f>
        <v/>
      </c>
      <c r="AG205" s="18" t="str">
        <f aca="false">IF(AF205="","",IF(IFERROR(INDEX($G:$G,MATCH(AF205,$A:$A,0)),"")="","",TRIM(IF(ISNUMBER(FIND(",",IFERROR(INDEX($G:$G,MATCH(AF205,$A:$A,0)),""))),LEFT(IFERROR(INDEX($G:$G,MATCH(AF205,$A:$A,0)),""),FIND(",",IFERROR(INDEX($G:$G,MATCH(AF205,$A:$A,0)),""))-1),IFERROR(INDEX($G:$G,MATCH(AF205,$A:$A,0)),"")))))</f>
        <v/>
      </c>
    </row>
    <row r="206" customFormat="false" ht="15" hidden="false" customHeight="false" outlineLevel="0" collapsed="false">
      <c r="A206" s="18"/>
      <c r="B206" s="19"/>
      <c r="C206" s="20"/>
      <c r="D206" s="20"/>
      <c r="E206" s="20"/>
      <c r="F206" s="20"/>
      <c r="G206" s="18"/>
      <c r="H206" s="20"/>
      <c r="I206" s="18"/>
      <c r="J206" s="20"/>
      <c r="K206" s="20"/>
      <c r="L206" s="20"/>
      <c r="M206" s="20"/>
      <c r="N206" s="20"/>
      <c r="O206" s="21" t="str">
        <f aca="false">IF(A206="","",IF(AD206="",0,IF(AE206="",1,IF(AF206="",2,IF(AG206="",3,"4+")))))</f>
        <v/>
      </c>
      <c r="P206" s="21" t="str">
        <f aca="false">IF(A206="","",B206&amp;IF(AD206="",""," &lt;- "&amp;IFERROR(INDEX($B:$B,MATCH(AD206,$A:$A,0)),AD206)&amp;IF(AE206="",""," &lt;- "&amp;IFERROR(INDEX($B:$B,MATCH(AE206,$A:$A,0)),AE206)&amp;IF(AF206="",""," &lt;- "&amp;IFERROR(INDEX($B:$B,MATCH(AF206,$A:$A,0)),AF206)&amp;IF(AG206="",""," &lt;- "&amp;IFERROR(INDEX($B:$B,MATCH(AG206,$A:$A,0)),AG206)))))&amp;IF(ISNUMBER(FIND(",",G206))," (+ other parents)",""))</f>
        <v/>
      </c>
      <c r="Q206" s="21" t="str">
        <f aca="false">IF(A206="","",IF(AD206="",E206&amp;"",IF(AE206="",IF(IFERROR(INDEX($E:$E,MATCH(AD206,$A:$A,0)),"")="","",INDEX($E:$E,MATCH(AD206,$A:$A,0))),IF(AF206="",IF(IFERROR(INDEX($E:$E,MATCH(AE206,$A:$A,0)),"")="","",INDEX($E:$E,MATCH(AE206,$A:$A,0))),IF(AG206="",IF(IFERROR(INDEX($E:$E,MATCH(AF206,$A:$A,0)),"")="","",INDEX($E:$E,MATCH(AF206,$A:$A,0))),IF(IFERROR(INDEX($E:$E,MATCH(AG206,$A:$A,0)),"")="","",INDEX($E:$E,MATCH(AG206,$A:$A,0))))))))</f>
        <v/>
      </c>
      <c r="R206" s="21" t="str">
        <f aca="false">IF(A206="","",COUNTIF(Fields!$D:$D,A206))</f>
        <v/>
      </c>
      <c r="S206" s="21" t="str">
        <f aca="false">IF(A206="","",SUMIF(Fields!$D:$D,A206,Fields!$Q:$Q))</f>
        <v/>
      </c>
      <c r="T206" s="21" t="str">
        <f aca="false">IF(A206="","",COUNTIF('Product inputs'!$D:$D,A206))</f>
        <v/>
      </c>
      <c r="U206" s="20"/>
      <c r="V206" s="20"/>
      <c r="W206" s="20"/>
      <c r="X206" s="20"/>
      <c r="Y206" s="20"/>
      <c r="Z206" s="20"/>
      <c r="AA206" s="20"/>
      <c r="AB206" s="20"/>
      <c r="AC206" s="20"/>
      <c r="AD206" s="18" t="str">
        <f aca="false">IF(A206="","",IF(IFERROR(INDEX($G:$G,MATCH(A206,$A:$A,0)),"")="","",TRIM(IF(ISNUMBER(FIND(",",IFERROR(INDEX($G:$G,MATCH(A206,$A:$A,0)),""))),LEFT(IFERROR(INDEX($G:$G,MATCH(A206,$A:$A,0)),""),FIND(",",IFERROR(INDEX($G:$G,MATCH(A206,$A:$A,0)),""))-1),IFERROR(INDEX($G:$G,MATCH(A206,$A:$A,0)),"")))))</f>
        <v/>
      </c>
      <c r="AE206" s="18" t="str">
        <f aca="false">IF(AD206="","",IF(IFERROR(INDEX($G:$G,MATCH(AD206,$A:$A,0)),"")="","",TRIM(IF(ISNUMBER(FIND(",",IFERROR(INDEX($G:$G,MATCH(AD206,$A:$A,0)),""))),LEFT(IFERROR(INDEX($G:$G,MATCH(AD206,$A:$A,0)),""),FIND(",",IFERROR(INDEX($G:$G,MATCH(AD206,$A:$A,0)),""))-1),IFERROR(INDEX($G:$G,MATCH(AD206,$A:$A,0)),"")))))</f>
        <v/>
      </c>
      <c r="AF206" s="18" t="str">
        <f aca="false">IF(AE206="","",IF(IFERROR(INDEX($G:$G,MATCH(AE206,$A:$A,0)),"")="","",TRIM(IF(ISNUMBER(FIND(",",IFERROR(INDEX($G:$G,MATCH(AE206,$A:$A,0)),""))),LEFT(IFERROR(INDEX($G:$G,MATCH(AE206,$A:$A,0)),""),FIND(",",IFERROR(INDEX($G:$G,MATCH(AE206,$A:$A,0)),""))-1),IFERROR(INDEX($G:$G,MATCH(AE206,$A:$A,0)),"")))))</f>
        <v/>
      </c>
      <c r="AG206" s="18" t="str">
        <f aca="false">IF(AF206="","",IF(IFERROR(INDEX($G:$G,MATCH(AF206,$A:$A,0)),"")="","",TRIM(IF(ISNUMBER(FIND(",",IFERROR(INDEX($G:$G,MATCH(AF206,$A:$A,0)),""))),LEFT(IFERROR(INDEX($G:$G,MATCH(AF206,$A:$A,0)),""),FIND(",",IFERROR(INDEX($G:$G,MATCH(AF206,$A:$A,0)),""))-1),IFERROR(INDEX($G:$G,MATCH(AF206,$A:$A,0)),"")))))</f>
        <v/>
      </c>
    </row>
    <row r="207" customFormat="false" ht="15" hidden="false" customHeight="false" outlineLevel="0" collapsed="false">
      <c r="A207" s="18"/>
      <c r="B207" s="19"/>
      <c r="C207" s="20"/>
      <c r="D207" s="20"/>
      <c r="E207" s="20"/>
      <c r="F207" s="20"/>
      <c r="G207" s="18"/>
      <c r="H207" s="20"/>
      <c r="I207" s="18"/>
      <c r="J207" s="20"/>
      <c r="K207" s="20"/>
      <c r="L207" s="20"/>
      <c r="M207" s="20"/>
      <c r="N207" s="20"/>
      <c r="O207" s="21" t="str">
        <f aca="false">IF(A207="","",IF(AD207="",0,IF(AE207="",1,IF(AF207="",2,IF(AG207="",3,"4+")))))</f>
        <v/>
      </c>
      <c r="P207" s="21" t="str">
        <f aca="false">IF(A207="","",B207&amp;IF(AD207="",""," &lt;- "&amp;IFERROR(INDEX($B:$B,MATCH(AD207,$A:$A,0)),AD207)&amp;IF(AE207="",""," &lt;- "&amp;IFERROR(INDEX($B:$B,MATCH(AE207,$A:$A,0)),AE207)&amp;IF(AF207="",""," &lt;- "&amp;IFERROR(INDEX($B:$B,MATCH(AF207,$A:$A,0)),AF207)&amp;IF(AG207="",""," &lt;- "&amp;IFERROR(INDEX($B:$B,MATCH(AG207,$A:$A,0)),AG207)))))&amp;IF(ISNUMBER(FIND(",",G207))," (+ other parents)",""))</f>
        <v/>
      </c>
      <c r="Q207" s="21" t="str">
        <f aca="false">IF(A207="","",IF(AD207="",E207&amp;"",IF(AE207="",IF(IFERROR(INDEX($E:$E,MATCH(AD207,$A:$A,0)),"")="","",INDEX($E:$E,MATCH(AD207,$A:$A,0))),IF(AF207="",IF(IFERROR(INDEX($E:$E,MATCH(AE207,$A:$A,0)),"")="","",INDEX($E:$E,MATCH(AE207,$A:$A,0))),IF(AG207="",IF(IFERROR(INDEX($E:$E,MATCH(AF207,$A:$A,0)),"")="","",INDEX($E:$E,MATCH(AF207,$A:$A,0))),IF(IFERROR(INDEX($E:$E,MATCH(AG207,$A:$A,0)),"")="","",INDEX($E:$E,MATCH(AG207,$A:$A,0))))))))</f>
        <v/>
      </c>
      <c r="R207" s="21" t="str">
        <f aca="false">IF(A207="","",COUNTIF(Fields!$D:$D,A207))</f>
        <v/>
      </c>
      <c r="S207" s="21" t="str">
        <f aca="false">IF(A207="","",SUMIF(Fields!$D:$D,A207,Fields!$Q:$Q))</f>
        <v/>
      </c>
      <c r="T207" s="21" t="str">
        <f aca="false">IF(A207="","",COUNTIF('Product inputs'!$D:$D,A207))</f>
        <v/>
      </c>
      <c r="U207" s="20"/>
      <c r="V207" s="20"/>
      <c r="W207" s="20"/>
      <c r="X207" s="20"/>
      <c r="Y207" s="20"/>
      <c r="Z207" s="20"/>
      <c r="AA207" s="20"/>
      <c r="AB207" s="20"/>
      <c r="AC207" s="20"/>
      <c r="AD207" s="18" t="str">
        <f aca="false">IF(A207="","",IF(IFERROR(INDEX($G:$G,MATCH(A207,$A:$A,0)),"")="","",TRIM(IF(ISNUMBER(FIND(",",IFERROR(INDEX($G:$G,MATCH(A207,$A:$A,0)),""))),LEFT(IFERROR(INDEX($G:$G,MATCH(A207,$A:$A,0)),""),FIND(",",IFERROR(INDEX($G:$G,MATCH(A207,$A:$A,0)),""))-1),IFERROR(INDEX($G:$G,MATCH(A207,$A:$A,0)),"")))))</f>
        <v/>
      </c>
      <c r="AE207" s="18" t="str">
        <f aca="false">IF(AD207="","",IF(IFERROR(INDEX($G:$G,MATCH(AD207,$A:$A,0)),"")="","",TRIM(IF(ISNUMBER(FIND(",",IFERROR(INDEX($G:$G,MATCH(AD207,$A:$A,0)),""))),LEFT(IFERROR(INDEX($G:$G,MATCH(AD207,$A:$A,0)),""),FIND(",",IFERROR(INDEX($G:$G,MATCH(AD207,$A:$A,0)),""))-1),IFERROR(INDEX($G:$G,MATCH(AD207,$A:$A,0)),"")))))</f>
        <v/>
      </c>
      <c r="AF207" s="18" t="str">
        <f aca="false">IF(AE207="","",IF(IFERROR(INDEX($G:$G,MATCH(AE207,$A:$A,0)),"")="","",TRIM(IF(ISNUMBER(FIND(",",IFERROR(INDEX($G:$G,MATCH(AE207,$A:$A,0)),""))),LEFT(IFERROR(INDEX($G:$G,MATCH(AE207,$A:$A,0)),""),FIND(",",IFERROR(INDEX($G:$G,MATCH(AE207,$A:$A,0)),""))-1),IFERROR(INDEX($G:$G,MATCH(AE207,$A:$A,0)),"")))))</f>
        <v/>
      </c>
      <c r="AG207" s="18" t="str">
        <f aca="false">IF(AF207="","",IF(IFERROR(INDEX($G:$G,MATCH(AF207,$A:$A,0)),"")="","",TRIM(IF(ISNUMBER(FIND(",",IFERROR(INDEX($G:$G,MATCH(AF207,$A:$A,0)),""))),LEFT(IFERROR(INDEX($G:$G,MATCH(AF207,$A:$A,0)),""),FIND(",",IFERROR(INDEX($G:$G,MATCH(AF207,$A:$A,0)),""))-1),IFERROR(INDEX($G:$G,MATCH(AF207,$A:$A,0)),"")))))</f>
        <v/>
      </c>
    </row>
    <row r="208" customFormat="false" ht="15" hidden="false" customHeight="false" outlineLevel="0" collapsed="false">
      <c r="A208" s="18"/>
      <c r="B208" s="19"/>
      <c r="C208" s="20"/>
      <c r="D208" s="20"/>
      <c r="E208" s="20"/>
      <c r="F208" s="20"/>
      <c r="G208" s="18"/>
      <c r="H208" s="20"/>
      <c r="I208" s="18"/>
      <c r="J208" s="20"/>
      <c r="K208" s="20"/>
      <c r="L208" s="20"/>
      <c r="M208" s="20"/>
      <c r="N208" s="20"/>
      <c r="O208" s="21" t="str">
        <f aca="false">IF(A208="","",IF(AD208="",0,IF(AE208="",1,IF(AF208="",2,IF(AG208="",3,"4+")))))</f>
        <v/>
      </c>
      <c r="P208" s="21" t="str">
        <f aca="false">IF(A208="","",B208&amp;IF(AD208="",""," &lt;- "&amp;IFERROR(INDEX($B:$B,MATCH(AD208,$A:$A,0)),AD208)&amp;IF(AE208="",""," &lt;- "&amp;IFERROR(INDEX($B:$B,MATCH(AE208,$A:$A,0)),AE208)&amp;IF(AF208="",""," &lt;- "&amp;IFERROR(INDEX($B:$B,MATCH(AF208,$A:$A,0)),AF208)&amp;IF(AG208="",""," &lt;- "&amp;IFERROR(INDEX($B:$B,MATCH(AG208,$A:$A,0)),AG208)))))&amp;IF(ISNUMBER(FIND(",",G208))," (+ other parents)",""))</f>
        <v/>
      </c>
      <c r="Q208" s="21" t="str">
        <f aca="false">IF(A208="","",IF(AD208="",E208&amp;"",IF(AE208="",IF(IFERROR(INDEX($E:$E,MATCH(AD208,$A:$A,0)),"")="","",INDEX($E:$E,MATCH(AD208,$A:$A,0))),IF(AF208="",IF(IFERROR(INDEX($E:$E,MATCH(AE208,$A:$A,0)),"")="","",INDEX($E:$E,MATCH(AE208,$A:$A,0))),IF(AG208="",IF(IFERROR(INDEX($E:$E,MATCH(AF208,$A:$A,0)),"")="","",INDEX($E:$E,MATCH(AF208,$A:$A,0))),IF(IFERROR(INDEX($E:$E,MATCH(AG208,$A:$A,0)),"")="","",INDEX($E:$E,MATCH(AG208,$A:$A,0))))))))</f>
        <v/>
      </c>
      <c r="R208" s="21" t="str">
        <f aca="false">IF(A208="","",COUNTIF(Fields!$D:$D,A208))</f>
        <v/>
      </c>
      <c r="S208" s="21" t="str">
        <f aca="false">IF(A208="","",SUMIF(Fields!$D:$D,A208,Fields!$Q:$Q))</f>
        <v/>
      </c>
      <c r="T208" s="21" t="str">
        <f aca="false">IF(A208="","",COUNTIF('Product inputs'!$D:$D,A208))</f>
        <v/>
      </c>
      <c r="U208" s="20"/>
      <c r="V208" s="20"/>
      <c r="W208" s="20"/>
      <c r="X208" s="20"/>
      <c r="Y208" s="20"/>
      <c r="Z208" s="20"/>
      <c r="AA208" s="20"/>
      <c r="AB208" s="20"/>
      <c r="AC208" s="20"/>
      <c r="AD208" s="18" t="str">
        <f aca="false">IF(A208="","",IF(IFERROR(INDEX($G:$G,MATCH(A208,$A:$A,0)),"")="","",TRIM(IF(ISNUMBER(FIND(",",IFERROR(INDEX($G:$G,MATCH(A208,$A:$A,0)),""))),LEFT(IFERROR(INDEX($G:$G,MATCH(A208,$A:$A,0)),""),FIND(",",IFERROR(INDEX($G:$G,MATCH(A208,$A:$A,0)),""))-1),IFERROR(INDEX($G:$G,MATCH(A208,$A:$A,0)),"")))))</f>
        <v/>
      </c>
      <c r="AE208" s="18" t="str">
        <f aca="false">IF(AD208="","",IF(IFERROR(INDEX($G:$G,MATCH(AD208,$A:$A,0)),"")="","",TRIM(IF(ISNUMBER(FIND(",",IFERROR(INDEX($G:$G,MATCH(AD208,$A:$A,0)),""))),LEFT(IFERROR(INDEX($G:$G,MATCH(AD208,$A:$A,0)),""),FIND(",",IFERROR(INDEX($G:$G,MATCH(AD208,$A:$A,0)),""))-1),IFERROR(INDEX($G:$G,MATCH(AD208,$A:$A,0)),"")))))</f>
        <v/>
      </c>
      <c r="AF208" s="18" t="str">
        <f aca="false">IF(AE208="","",IF(IFERROR(INDEX($G:$G,MATCH(AE208,$A:$A,0)),"")="","",TRIM(IF(ISNUMBER(FIND(",",IFERROR(INDEX($G:$G,MATCH(AE208,$A:$A,0)),""))),LEFT(IFERROR(INDEX($G:$G,MATCH(AE208,$A:$A,0)),""),FIND(",",IFERROR(INDEX($G:$G,MATCH(AE208,$A:$A,0)),""))-1),IFERROR(INDEX($G:$G,MATCH(AE208,$A:$A,0)),"")))))</f>
        <v/>
      </c>
      <c r="AG208" s="18" t="str">
        <f aca="false">IF(AF208="","",IF(IFERROR(INDEX($G:$G,MATCH(AF208,$A:$A,0)),"")="","",TRIM(IF(ISNUMBER(FIND(",",IFERROR(INDEX($G:$G,MATCH(AF208,$A:$A,0)),""))),LEFT(IFERROR(INDEX($G:$G,MATCH(AF208,$A:$A,0)),""),FIND(",",IFERROR(INDEX($G:$G,MATCH(AF208,$A:$A,0)),""))-1),IFERROR(INDEX($G:$G,MATCH(AF208,$A:$A,0)),"")))))</f>
        <v/>
      </c>
    </row>
    <row r="209" customFormat="false" ht="15" hidden="false" customHeight="false" outlineLevel="0" collapsed="false">
      <c r="A209" s="18"/>
      <c r="B209" s="19"/>
      <c r="C209" s="20"/>
      <c r="D209" s="20"/>
      <c r="E209" s="20"/>
      <c r="F209" s="20"/>
      <c r="G209" s="18"/>
      <c r="H209" s="20"/>
      <c r="I209" s="18"/>
      <c r="J209" s="20"/>
      <c r="K209" s="20"/>
      <c r="L209" s="20"/>
      <c r="M209" s="20"/>
      <c r="N209" s="20"/>
      <c r="O209" s="21" t="str">
        <f aca="false">IF(A209="","",IF(AD209="",0,IF(AE209="",1,IF(AF209="",2,IF(AG209="",3,"4+")))))</f>
        <v/>
      </c>
      <c r="P209" s="21" t="str">
        <f aca="false">IF(A209="","",B209&amp;IF(AD209="",""," &lt;- "&amp;IFERROR(INDEX($B:$B,MATCH(AD209,$A:$A,0)),AD209)&amp;IF(AE209="",""," &lt;- "&amp;IFERROR(INDEX($B:$B,MATCH(AE209,$A:$A,0)),AE209)&amp;IF(AF209="",""," &lt;- "&amp;IFERROR(INDEX($B:$B,MATCH(AF209,$A:$A,0)),AF209)&amp;IF(AG209="",""," &lt;- "&amp;IFERROR(INDEX($B:$B,MATCH(AG209,$A:$A,0)),AG209)))))&amp;IF(ISNUMBER(FIND(",",G209))," (+ other parents)",""))</f>
        <v/>
      </c>
      <c r="Q209" s="21" t="str">
        <f aca="false">IF(A209="","",IF(AD209="",E209&amp;"",IF(AE209="",IF(IFERROR(INDEX($E:$E,MATCH(AD209,$A:$A,0)),"")="","",INDEX($E:$E,MATCH(AD209,$A:$A,0))),IF(AF209="",IF(IFERROR(INDEX($E:$E,MATCH(AE209,$A:$A,0)),"")="","",INDEX($E:$E,MATCH(AE209,$A:$A,0))),IF(AG209="",IF(IFERROR(INDEX($E:$E,MATCH(AF209,$A:$A,0)),"")="","",INDEX($E:$E,MATCH(AF209,$A:$A,0))),IF(IFERROR(INDEX($E:$E,MATCH(AG209,$A:$A,0)),"")="","",INDEX($E:$E,MATCH(AG209,$A:$A,0))))))))</f>
        <v/>
      </c>
      <c r="R209" s="21" t="str">
        <f aca="false">IF(A209="","",COUNTIF(Fields!$D:$D,A209))</f>
        <v/>
      </c>
      <c r="S209" s="21" t="str">
        <f aca="false">IF(A209="","",SUMIF(Fields!$D:$D,A209,Fields!$Q:$Q))</f>
        <v/>
      </c>
      <c r="T209" s="21" t="str">
        <f aca="false">IF(A209="","",COUNTIF('Product inputs'!$D:$D,A209))</f>
        <v/>
      </c>
      <c r="U209" s="20"/>
      <c r="V209" s="20"/>
      <c r="W209" s="20"/>
      <c r="X209" s="20"/>
      <c r="Y209" s="20"/>
      <c r="Z209" s="20"/>
      <c r="AA209" s="20"/>
      <c r="AB209" s="20"/>
      <c r="AC209" s="20"/>
      <c r="AD209" s="18" t="str">
        <f aca="false">IF(A209="","",IF(IFERROR(INDEX($G:$G,MATCH(A209,$A:$A,0)),"")="","",TRIM(IF(ISNUMBER(FIND(",",IFERROR(INDEX($G:$G,MATCH(A209,$A:$A,0)),""))),LEFT(IFERROR(INDEX($G:$G,MATCH(A209,$A:$A,0)),""),FIND(",",IFERROR(INDEX($G:$G,MATCH(A209,$A:$A,0)),""))-1),IFERROR(INDEX($G:$G,MATCH(A209,$A:$A,0)),"")))))</f>
        <v/>
      </c>
      <c r="AE209" s="18" t="str">
        <f aca="false">IF(AD209="","",IF(IFERROR(INDEX($G:$G,MATCH(AD209,$A:$A,0)),"")="","",TRIM(IF(ISNUMBER(FIND(",",IFERROR(INDEX($G:$G,MATCH(AD209,$A:$A,0)),""))),LEFT(IFERROR(INDEX($G:$G,MATCH(AD209,$A:$A,0)),""),FIND(",",IFERROR(INDEX($G:$G,MATCH(AD209,$A:$A,0)),""))-1),IFERROR(INDEX($G:$G,MATCH(AD209,$A:$A,0)),"")))))</f>
        <v/>
      </c>
      <c r="AF209" s="18" t="str">
        <f aca="false">IF(AE209="","",IF(IFERROR(INDEX($G:$G,MATCH(AE209,$A:$A,0)),"")="","",TRIM(IF(ISNUMBER(FIND(",",IFERROR(INDEX($G:$G,MATCH(AE209,$A:$A,0)),""))),LEFT(IFERROR(INDEX($G:$G,MATCH(AE209,$A:$A,0)),""),FIND(",",IFERROR(INDEX($G:$G,MATCH(AE209,$A:$A,0)),""))-1),IFERROR(INDEX($G:$G,MATCH(AE209,$A:$A,0)),"")))))</f>
        <v/>
      </c>
      <c r="AG209" s="18" t="str">
        <f aca="false">IF(AF209="","",IF(IFERROR(INDEX($G:$G,MATCH(AF209,$A:$A,0)),"")="","",TRIM(IF(ISNUMBER(FIND(",",IFERROR(INDEX($G:$G,MATCH(AF209,$A:$A,0)),""))),LEFT(IFERROR(INDEX($G:$G,MATCH(AF209,$A:$A,0)),""),FIND(",",IFERROR(INDEX($G:$G,MATCH(AF209,$A:$A,0)),""))-1),IFERROR(INDEX($G:$G,MATCH(AF209,$A:$A,0)),"")))))</f>
        <v/>
      </c>
    </row>
    <row r="210" customFormat="false" ht="15" hidden="false" customHeight="false" outlineLevel="0" collapsed="false">
      <c r="A210" s="18"/>
      <c r="B210" s="19"/>
      <c r="C210" s="20"/>
      <c r="D210" s="20"/>
      <c r="E210" s="20"/>
      <c r="F210" s="20"/>
      <c r="G210" s="18"/>
      <c r="H210" s="20"/>
      <c r="I210" s="18"/>
      <c r="J210" s="20"/>
      <c r="K210" s="20"/>
      <c r="L210" s="20"/>
      <c r="M210" s="20"/>
      <c r="N210" s="20"/>
      <c r="O210" s="21" t="str">
        <f aca="false">IF(A210="","",IF(AD210="",0,IF(AE210="",1,IF(AF210="",2,IF(AG210="",3,"4+")))))</f>
        <v/>
      </c>
      <c r="P210" s="21" t="str">
        <f aca="false">IF(A210="","",B210&amp;IF(AD210="",""," &lt;- "&amp;IFERROR(INDEX($B:$B,MATCH(AD210,$A:$A,0)),AD210)&amp;IF(AE210="",""," &lt;- "&amp;IFERROR(INDEX($B:$B,MATCH(AE210,$A:$A,0)),AE210)&amp;IF(AF210="",""," &lt;- "&amp;IFERROR(INDEX($B:$B,MATCH(AF210,$A:$A,0)),AF210)&amp;IF(AG210="",""," &lt;- "&amp;IFERROR(INDEX($B:$B,MATCH(AG210,$A:$A,0)),AG210)))))&amp;IF(ISNUMBER(FIND(",",G210))," (+ other parents)",""))</f>
        <v/>
      </c>
      <c r="Q210" s="21" t="str">
        <f aca="false">IF(A210="","",IF(AD210="",E210&amp;"",IF(AE210="",IF(IFERROR(INDEX($E:$E,MATCH(AD210,$A:$A,0)),"")="","",INDEX($E:$E,MATCH(AD210,$A:$A,0))),IF(AF210="",IF(IFERROR(INDEX($E:$E,MATCH(AE210,$A:$A,0)),"")="","",INDEX($E:$E,MATCH(AE210,$A:$A,0))),IF(AG210="",IF(IFERROR(INDEX($E:$E,MATCH(AF210,$A:$A,0)),"")="","",INDEX($E:$E,MATCH(AF210,$A:$A,0))),IF(IFERROR(INDEX($E:$E,MATCH(AG210,$A:$A,0)),"")="","",INDEX($E:$E,MATCH(AG210,$A:$A,0))))))))</f>
        <v/>
      </c>
      <c r="R210" s="21" t="str">
        <f aca="false">IF(A210="","",COUNTIF(Fields!$D:$D,A210))</f>
        <v/>
      </c>
      <c r="S210" s="21" t="str">
        <f aca="false">IF(A210="","",SUMIF(Fields!$D:$D,A210,Fields!$Q:$Q))</f>
        <v/>
      </c>
      <c r="T210" s="21" t="str">
        <f aca="false">IF(A210="","",COUNTIF('Product inputs'!$D:$D,A210))</f>
        <v/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18" t="str">
        <f aca="false">IF(A210="","",IF(IFERROR(INDEX($G:$G,MATCH(A210,$A:$A,0)),"")="","",TRIM(IF(ISNUMBER(FIND(",",IFERROR(INDEX($G:$G,MATCH(A210,$A:$A,0)),""))),LEFT(IFERROR(INDEX($G:$G,MATCH(A210,$A:$A,0)),""),FIND(",",IFERROR(INDEX($G:$G,MATCH(A210,$A:$A,0)),""))-1),IFERROR(INDEX($G:$G,MATCH(A210,$A:$A,0)),"")))))</f>
        <v/>
      </c>
      <c r="AE210" s="18" t="str">
        <f aca="false">IF(AD210="","",IF(IFERROR(INDEX($G:$G,MATCH(AD210,$A:$A,0)),"")="","",TRIM(IF(ISNUMBER(FIND(",",IFERROR(INDEX($G:$G,MATCH(AD210,$A:$A,0)),""))),LEFT(IFERROR(INDEX($G:$G,MATCH(AD210,$A:$A,0)),""),FIND(",",IFERROR(INDEX($G:$G,MATCH(AD210,$A:$A,0)),""))-1),IFERROR(INDEX($G:$G,MATCH(AD210,$A:$A,0)),"")))))</f>
        <v/>
      </c>
      <c r="AF210" s="18" t="str">
        <f aca="false">IF(AE210="","",IF(IFERROR(INDEX($G:$G,MATCH(AE210,$A:$A,0)),"")="","",TRIM(IF(ISNUMBER(FIND(",",IFERROR(INDEX($G:$G,MATCH(AE210,$A:$A,0)),""))),LEFT(IFERROR(INDEX($G:$G,MATCH(AE210,$A:$A,0)),""),FIND(",",IFERROR(INDEX($G:$G,MATCH(AE210,$A:$A,0)),""))-1),IFERROR(INDEX($G:$G,MATCH(AE210,$A:$A,0)),"")))))</f>
        <v/>
      </c>
      <c r="AG210" s="18" t="str">
        <f aca="false">IF(AF210="","",IF(IFERROR(INDEX($G:$G,MATCH(AF210,$A:$A,0)),"")="","",TRIM(IF(ISNUMBER(FIND(",",IFERROR(INDEX($G:$G,MATCH(AF210,$A:$A,0)),""))),LEFT(IFERROR(INDEX($G:$G,MATCH(AF210,$A:$A,0)),""),FIND(",",IFERROR(INDEX($G:$G,MATCH(AF210,$A:$A,0)),""))-1),IFERROR(INDEX($G:$G,MATCH(AF210,$A:$A,0)),"")))))</f>
        <v/>
      </c>
    </row>
    <row r="211" customFormat="false" ht="15" hidden="false" customHeight="false" outlineLevel="0" collapsed="false">
      <c r="A211" s="18"/>
      <c r="B211" s="19"/>
      <c r="C211" s="20"/>
      <c r="D211" s="20"/>
      <c r="E211" s="20"/>
      <c r="F211" s="20"/>
      <c r="G211" s="18"/>
      <c r="H211" s="20"/>
      <c r="I211" s="18"/>
      <c r="J211" s="20"/>
      <c r="K211" s="20"/>
      <c r="L211" s="20"/>
      <c r="M211" s="20"/>
      <c r="N211" s="20"/>
      <c r="O211" s="21" t="str">
        <f aca="false">IF(A211="","",IF(AD211="",0,IF(AE211="",1,IF(AF211="",2,IF(AG211="",3,"4+")))))</f>
        <v/>
      </c>
      <c r="P211" s="21" t="str">
        <f aca="false">IF(A211="","",B211&amp;IF(AD211="",""," &lt;- "&amp;IFERROR(INDEX($B:$B,MATCH(AD211,$A:$A,0)),AD211)&amp;IF(AE211="",""," &lt;- "&amp;IFERROR(INDEX($B:$B,MATCH(AE211,$A:$A,0)),AE211)&amp;IF(AF211="",""," &lt;- "&amp;IFERROR(INDEX($B:$B,MATCH(AF211,$A:$A,0)),AF211)&amp;IF(AG211="",""," &lt;- "&amp;IFERROR(INDEX($B:$B,MATCH(AG211,$A:$A,0)),AG211)))))&amp;IF(ISNUMBER(FIND(",",G211))," (+ other parents)",""))</f>
        <v/>
      </c>
      <c r="Q211" s="21" t="str">
        <f aca="false">IF(A211="","",IF(AD211="",E211&amp;"",IF(AE211="",IF(IFERROR(INDEX($E:$E,MATCH(AD211,$A:$A,0)),"")="","",INDEX($E:$E,MATCH(AD211,$A:$A,0))),IF(AF211="",IF(IFERROR(INDEX($E:$E,MATCH(AE211,$A:$A,0)),"")="","",INDEX($E:$E,MATCH(AE211,$A:$A,0))),IF(AG211="",IF(IFERROR(INDEX($E:$E,MATCH(AF211,$A:$A,0)),"")="","",INDEX($E:$E,MATCH(AF211,$A:$A,0))),IF(IFERROR(INDEX($E:$E,MATCH(AG211,$A:$A,0)),"")="","",INDEX($E:$E,MATCH(AG211,$A:$A,0))))))))</f>
        <v/>
      </c>
      <c r="R211" s="21" t="str">
        <f aca="false">IF(A211="","",COUNTIF(Fields!$D:$D,A211))</f>
        <v/>
      </c>
      <c r="S211" s="21" t="str">
        <f aca="false">IF(A211="","",SUMIF(Fields!$D:$D,A211,Fields!$Q:$Q))</f>
        <v/>
      </c>
      <c r="T211" s="21" t="str">
        <f aca="false">IF(A211="","",COUNTIF('Product inputs'!$D:$D,A211))</f>
        <v/>
      </c>
      <c r="U211" s="20"/>
      <c r="V211" s="20"/>
      <c r="W211" s="20"/>
      <c r="X211" s="20"/>
      <c r="Y211" s="20"/>
      <c r="Z211" s="20"/>
      <c r="AA211" s="20"/>
      <c r="AB211" s="20"/>
      <c r="AC211" s="20"/>
      <c r="AD211" s="18" t="str">
        <f aca="false">IF(A211="","",IF(IFERROR(INDEX($G:$G,MATCH(A211,$A:$A,0)),"")="","",TRIM(IF(ISNUMBER(FIND(",",IFERROR(INDEX($G:$G,MATCH(A211,$A:$A,0)),""))),LEFT(IFERROR(INDEX($G:$G,MATCH(A211,$A:$A,0)),""),FIND(",",IFERROR(INDEX($G:$G,MATCH(A211,$A:$A,0)),""))-1),IFERROR(INDEX($G:$G,MATCH(A211,$A:$A,0)),"")))))</f>
        <v/>
      </c>
      <c r="AE211" s="18" t="str">
        <f aca="false">IF(AD211="","",IF(IFERROR(INDEX($G:$G,MATCH(AD211,$A:$A,0)),"")="","",TRIM(IF(ISNUMBER(FIND(",",IFERROR(INDEX($G:$G,MATCH(AD211,$A:$A,0)),""))),LEFT(IFERROR(INDEX($G:$G,MATCH(AD211,$A:$A,0)),""),FIND(",",IFERROR(INDEX($G:$G,MATCH(AD211,$A:$A,0)),""))-1),IFERROR(INDEX($G:$G,MATCH(AD211,$A:$A,0)),"")))))</f>
        <v/>
      </c>
      <c r="AF211" s="18" t="str">
        <f aca="false">IF(AE211="","",IF(IFERROR(INDEX($G:$G,MATCH(AE211,$A:$A,0)),"")="","",TRIM(IF(ISNUMBER(FIND(",",IFERROR(INDEX($G:$G,MATCH(AE211,$A:$A,0)),""))),LEFT(IFERROR(INDEX($G:$G,MATCH(AE211,$A:$A,0)),""),FIND(",",IFERROR(INDEX($G:$G,MATCH(AE211,$A:$A,0)),""))-1),IFERROR(INDEX($G:$G,MATCH(AE211,$A:$A,0)),"")))))</f>
        <v/>
      </c>
      <c r="AG211" s="18" t="str">
        <f aca="false">IF(AF211="","",IF(IFERROR(INDEX($G:$G,MATCH(AF211,$A:$A,0)),"")="","",TRIM(IF(ISNUMBER(FIND(",",IFERROR(INDEX($G:$G,MATCH(AF211,$A:$A,0)),""))),LEFT(IFERROR(INDEX($G:$G,MATCH(AF211,$A:$A,0)),""),FIND(",",IFERROR(INDEX($G:$G,MATCH(AF211,$A:$A,0)),""))-1),IFERROR(INDEX($G:$G,MATCH(AF211,$A:$A,0)),"")))))</f>
        <v/>
      </c>
    </row>
    <row r="212" customFormat="false" ht="15" hidden="false" customHeight="false" outlineLevel="0" collapsed="false">
      <c r="A212" s="18"/>
      <c r="B212" s="19"/>
      <c r="C212" s="20"/>
      <c r="D212" s="20"/>
      <c r="E212" s="20"/>
      <c r="F212" s="20"/>
      <c r="G212" s="18"/>
      <c r="H212" s="20"/>
      <c r="I212" s="18"/>
      <c r="J212" s="20"/>
      <c r="K212" s="20"/>
      <c r="L212" s="20"/>
      <c r="M212" s="20"/>
      <c r="N212" s="20"/>
      <c r="O212" s="21" t="str">
        <f aca="false">IF(A212="","",IF(AD212="",0,IF(AE212="",1,IF(AF212="",2,IF(AG212="",3,"4+")))))</f>
        <v/>
      </c>
      <c r="P212" s="21" t="str">
        <f aca="false">IF(A212="","",B212&amp;IF(AD212="",""," &lt;- "&amp;IFERROR(INDEX($B:$B,MATCH(AD212,$A:$A,0)),AD212)&amp;IF(AE212="",""," &lt;- "&amp;IFERROR(INDEX($B:$B,MATCH(AE212,$A:$A,0)),AE212)&amp;IF(AF212="",""," &lt;- "&amp;IFERROR(INDEX($B:$B,MATCH(AF212,$A:$A,0)),AF212)&amp;IF(AG212="",""," &lt;- "&amp;IFERROR(INDEX($B:$B,MATCH(AG212,$A:$A,0)),AG212)))))&amp;IF(ISNUMBER(FIND(",",G212))," (+ other parents)",""))</f>
        <v/>
      </c>
      <c r="Q212" s="21" t="str">
        <f aca="false">IF(A212="","",IF(AD212="",E212&amp;"",IF(AE212="",IF(IFERROR(INDEX($E:$E,MATCH(AD212,$A:$A,0)),"")="","",INDEX($E:$E,MATCH(AD212,$A:$A,0))),IF(AF212="",IF(IFERROR(INDEX($E:$E,MATCH(AE212,$A:$A,0)),"")="","",INDEX($E:$E,MATCH(AE212,$A:$A,0))),IF(AG212="",IF(IFERROR(INDEX($E:$E,MATCH(AF212,$A:$A,0)),"")="","",INDEX($E:$E,MATCH(AF212,$A:$A,0))),IF(IFERROR(INDEX($E:$E,MATCH(AG212,$A:$A,0)),"")="","",INDEX($E:$E,MATCH(AG212,$A:$A,0))))))))</f>
        <v/>
      </c>
      <c r="R212" s="21" t="str">
        <f aca="false">IF(A212="","",COUNTIF(Fields!$D:$D,A212))</f>
        <v/>
      </c>
      <c r="S212" s="21" t="str">
        <f aca="false">IF(A212="","",SUMIF(Fields!$D:$D,A212,Fields!$Q:$Q))</f>
        <v/>
      </c>
      <c r="T212" s="21" t="str">
        <f aca="false">IF(A212="","",COUNTIF('Product inputs'!$D:$D,A212))</f>
        <v/>
      </c>
      <c r="U212" s="20"/>
      <c r="V212" s="20"/>
      <c r="W212" s="20"/>
      <c r="X212" s="20"/>
      <c r="Y212" s="20"/>
      <c r="Z212" s="20"/>
      <c r="AA212" s="20"/>
      <c r="AB212" s="20"/>
      <c r="AC212" s="20"/>
      <c r="AD212" s="18" t="str">
        <f aca="false">IF(A212="","",IF(IFERROR(INDEX($G:$G,MATCH(A212,$A:$A,0)),"")="","",TRIM(IF(ISNUMBER(FIND(",",IFERROR(INDEX($G:$G,MATCH(A212,$A:$A,0)),""))),LEFT(IFERROR(INDEX($G:$G,MATCH(A212,$A:$A,0)),""),FIND(",",IFERROR(INDEX($G:$G,MATCH(A212,$A:$A,0)),""))-1),IFERROR(INDEX($G:$G,MATCH(A212,$A:$A,0)),"")))))</f>
        <v/>
      </c>
      <c r="AE212" s="18" t="str">
        <f aca="false">IF(AD212="","",IF(IFERROR(INDEX($G:$G,MATCH(AD212,$A:$A,0)),"")="","",TRIM(IF(ISNUMBER(FIND(",",IFERROR(INDEX($G:$G,MATCH(AD212,$A:$A,0)),""))),LEFT(IFERROR(INDEX($G:$G,MATCH(AD212,$A:$A,0)),""),FIND(",",IFERROR(INDEX($G:$G,MATCH(AD212,$A:$A,0)),""))-1),IFERROR(INDEX($G:$G,MATCH(AD212,$A:$A,0)),"")))))</f>
        <v/>
      </c>
      <c r="AF212" s="18" t="str">
        <f aca="false">IF(AE212="","",IF(IFERROR(INDEX($G:$G,MATCH(AE212,$A:$A,0)),"")="","",TRIM(IF(ISNUMBER(FIND(",",IFERROR(INDEX($G:$G,MATCH(AE212,$A:$A,0)),""))),LEFT(IFERROR(INDEX($G:$G,MATCH(AE212,$A:$A,0)),""),FIND(",",IFERROR(INDEX($G:$G,MATCH(AE212,$A:$A,0)),""))-1),IFERROR(INDEX($G:$G,MATCH(AE212,$A:$A,0)),"")))))</f>
        <v/>
      </c>
      <c r="AG212" s="18" t="str">
        <f aca="false">IF(AF212="","",IF(IFERROR(INDEX($G:$G,MATCH(AF212,$A:$A,0)),"")="","",TRIM(IF(ISNUMBER(FIND(",",IFERROR(INDEX($G:$G,MATCH(AF212,$A:$A,0)),""))),LEFT(IFERROR(INDEX($G:$G,MATCH(AF212,$A:$A,0)),""),FIND(",",IFERROR(INDEX($G:$G,MATCH(AF212,$A:$A,0)),""))-1),IFERROR(INDEX($G:$G,MATCH(AF212,$A:$A,0)),"")))))</f>
        <v/>
      </c>
    </row>
    <row r="213" customFormat="false" ht="15" hidden="false" customHeight="false" outlineLevel="0" collapsed="false">
      <c r="A213" s="18"/>
      <c r="B213" s="19"/>
      <c r="C213" s="20"/>
      <c r="D213" s="20"/>
      <c r="E213" s="20"/>
      <c r="F213" s="20"/>
      <c r="G213" s="18"/>
      <c r="H213" s="20"/>
      <c r="I213" s="18"/>
      <c r="J213" s="20"/>
      <c r="K213" s="20"/>
      <c r="L213" s="20"/>
      <c r="M213" s="20"/>
      <c r="N213" s="20"/>
      <c r="O213" s="21" t="str">
        <f aca="false">IF(A213="","",IF(AD213="",0,IF(AE213="",1,IF(AF213="",2,IF(AG213="",3,"4+")))))</f>
        <v/>
      </c>
      <c r="P213" s="21" t="str">
        <f aca="false">IF(A213="","",B213&amp;IF(AD213="",""," &lt;- "&amp;IFERROR(INDEX($B:$B,MATCH(AD213,$A:$A,0)),AD213)&amp;IF(AE213="",""," &lt;- "&amp;IFERROR(INDEX($B:$B,MATCH(AE213,$A:$A,0)),AE213)&amp;IF(AF213="",""," &lt;- "&amp;IFERROR(INDEX($B:$B,MATCH(AF213,$A:$A,0)),AF213)&amp;IF(AG213="",""," &lt;- "&amp;IFERROR(INDEX($B:$B,MATCH(AG213,$A:$A,0)),AG213)))))&amp;IF(ISNUMBER(FIND(",",G213))," (+ other parents)",""))</f>
        <v/>
      </c>
      <c r="Q213" s="21" t="str">
        <f aca="false">IF(A213="","",IF(AD213="",E213&amp;"",IF(AE213="",IF(IFERROR(INDEX($E:$E,MATCH(AD213,$A:$A,0)),"")="","",INDEX($E:$E,MATCH(AD213,$A:$A,0))),IF(AF213="",IF(IFERROR(INDEX($E:$E,MATCH(AE213,$A:$A,0)),"")="","",INDEX($E:$E,MATCH(AE213,$A:$A,0))),IF(AG213="",IF(IFERROR(INDEX($E:$E,MATCH(AF213,$A:$A,0)),"")="","",INDEX($E:$E,MATCH(AF213,$A:$A,0))),IF(IFERROR(INDEX($E:$E,MATCH(AG213,$A:$A,0)),"")="","",INDEX($E:$E,MATCH(AG213,$A:$A,0))))))))</f>
        <v/>
      </c>
      <c r="R213" s="21" t="str">
        <f aca="false">IF(A213="","",COUNTIF(Fields!$D:$D,A213))</f>
        <v/>
      </c>
      <c r="S213" s="21" t="str">
        <f aca="false">IF(A213="","",SUMIF(Fields!$D:$D,A213,Fields!$Q:$Q))</f>
        <v/>
      </c>
      <c r="T213" s="21" t="str">
        <f aca="false">IF(A213="","",COUNTIF('Product inputs'!$D:$D,A213))</f>
        <v/>
      </c>
      <c r="U213" s="20"/>
      <c r="V213" s="20"/>
      <c r="W213" s="20"/>
      <c r="X213" s="20"/>
      <c r="Y213" s="20"/>
      <c r="Z213" s="20"/>
      <c r="AA213" s="20"/>
      <c r="AB213" s="20"/>
      <c r="AC213" s="20"/>
      <c r="AD213" s="18" t="str">
        <f aca="false">IF(A213="","",IF(IFERROR(INDEX($G:$G,MATCH(A213,$A:$A,0)),"")="","",TRIM(IF(ISNUMBER(FIND(",",IFERROR(INDEX($G:$G,MATCH(A213,$A:$A,0)),""))),LEFT(IFERROR(INDEX($G:$G,MATCH(A213,$A:$A,0)),""),FIND(",",IFERROR(INDEX($G:$G,MATCH(A213,$A:$A,0)),""))-1),IFERROR(INDEX($G:$G,MATCH(A213,$A:$A,0)),"")))))</f>
        <v/>
      </c>
      <c r="AE213" s="18" t="str">
        <f aca="false">IF(AD213="","",IF(IFERROR(INDEX($G:$G,MATCH(AD213,$A:$A,0)),"")="","",TRIM(IF(ISNUMBER(FIND(",",IFERROR(INDEX($G:$G,MATCH(AD213,$A:$A,0)),""))),LEFT(IFERROR(INDEX($G:$G,MATCH(AD213,$A:$A,0)),""),FIND(",",IFERROR(INDEX($G:$G,MATCH(AD213,$A:$A,0)),""))-1),IFERROR(INDEX($G:$G,MATCH(AD213,$A:$A,0)),"")))))</f>
        <v/>
      </c>
      <c r="AF213" s="18" t="str">
        <f aca="false">IF(AE213="","",IF(IFERROR(INDEX($G:$G,MATCH(AE213,$A:$A,0)),"")="","",TRIM(IF(ISNUMBER(FIND(",",IFERROR(INDEX($G:$G,MATCH(AE213,$A:$A,0)),""))),LEFT(IFERROR(INDEX($G:$G,MATCH(AE213,$A:$A,0)),""),FIND(",",IFERROR(INDEX($G:$G,MATCH(AE213,$A:$A,0)),""))-1),IFERROR(INDEX($G:$G,MATCH(AE213,$A:$A,0)),"")))))</f>
        <v/>
      </c>
      <c r="AG213" s="18" t="str">
        <f aca="false">IF(AF213="","",IF(IFERROR(INDEX($G:$G,MATCH(AF213,$A:$A,0)),"")="","",TRIM(IF(ISNUMBER(FIND(",",IFERROR(INDEX($G:$G,MATCH(AF213,$A:$A,0)),""))),LEFT(IFERROR(INDEX($G:$G,MATCH(AF213,$A:$A,0)),""),FIND(",",IFERROR(INDEX($G:$G,MATCH(AF213,$A:$A,0)),""))-1),IFERROR(INDEX($G:$G,MATCH(AF213,$A:$A,0)),"")))))</f>
        <v/>
      </c>
    </row>
    <row r="214" customFormat="false" ht="15" hidden="false" customHeight="false" outlineLevel="0" collapsed="false">
      <c r="A214" s="18"/>
      <c r="B214" s="19"/>
      <c r="C214" s="20"/>
      <c r="D214" s="20"/>
      <c r="E214" s="20"/>
      <c r="F214" s="20"/>
      <c r="G214" s="18"/>
      <c r="H214" s="20"/>
      <c r="I214" s="18"/>
      <c r="J214" s="20"/>
      <c r="K214" s="20"/>
      <c r="L214" s="20"/>
      <c r="M214" s="20"/>
      <c r="N214" s="20"/>
      <c r="O214" s="21" t="str">
        <f aca="false">IF(A214="","",IF(AD214="",0,IF(AE214="",1,IF(AF214="",2,IF(AG214="",3,"4+")))))</f>
        <v/>
      </c>
      <c r="P214" s="21" t="str">
        <f aca="false">IF(A214="","",B214&amp;IF(AD214="",""," &lt;- "&amp;IFERROR(INDEX($B:$B,MATCH(AD214,$A:$A,0)),AD214)&amp;IF(AE214="",""," &lt;- "&amp;IFERROR(INDEX($B:$B,MATCH(AE214,$A:$A,0)),AE214)&amp;IF(AF214="",""," &lt;- "&amp;IFERROR(INDEX($B:$B,MATCH(AF214,$A:$A,0)),AF214)&amp;IF(AG214="",""," &lt;- "&amp;IFERROR(INDEX($B:$B,MATCH(AG214,$A:$A,0)),AG214)))))&amp;IF(ISNUMBER(FIND(",",G214))," (+ other parents)",""))</f>
        <v/>
      </c>
      <c r="Q214" s="21" t="str">
        <f aca="false">IF(A214="","",IF(AD214="",E214&amp;"",IF(AE214="",IF(IFERROR(INDEX($E:$E,MATCH(AD214,$A:$A,0)),"")="","",INDEX($E:$E,MATCH(AD214,$A:$A,0))),IF(AF214="",IF(IFERROR(INDEX($E:$E,MATCH(AE214,$A:$A,0)),"")="","",INDEX($E:$E,MATCH(AE214,$A:$A,0))),IF(AG214="",IF(IFERROR(INDEX($E:$E,MATCH(AF214,$A:$A,0)),"")="","",INDEX($E:$E,MATCH(AF214,$A:$A,0))),IF(IFERROR(INDEX($E:$E,MATCH(AG214,$A:$A,0)),"")="","",INDEX($E:$E,MATCH(AG214,$A:$A,0))))))))</f>
        <v/>
      </c>
      <c r="R214" s="21" t="str">
        <f aca="false">IF(A214="","",COUNTIF(Fields!$D:$D,A214))</f>
        <v/>
      </c>
      <c r="S214" s="21" t="str">
        <f aca="false">IF(A214="","",SUMIF(Fields!$D:$D,A214,Fields!$Q:$Q))</f>
        <v/>
      </c>
      <c r="T214" s="21" t="str">
        <f aca="false">IF(A214="","",COUNTIF('Product inputs'!$D:$D,A214))</f>
        <v/>
      </c>
      <c r="U214" s="20"/>
      <c r="V214" s="20"/>
      <c r="W214" s="20"/>
      <c r="X214" s="20"/>
      <c r="Y214" s="20"/>
      <c r="Z214" s="20"/>
      <c r="AA214" s="20"/>
      <c r="AB214" s="20"/>
      <c r="AC214" s="20"/>
      <c r="AD214" s="18" t="str">
        <f aca="false">IF(A214="","",IF(IFERROR(INDEX($G:$G,MATCH(A214,$A:$A,0)),"")="","",TRIM(IF(ISNUMBER(FIND(",",IFERROR(INDEX($G:$G,MATCH(A214,$A:$A,0)),""))),LEFT(IFERROR(INDEX($G:$G,MATCH(A214,$A:$A,0)),""),FIND(",",IFERROR(INDEX($G:$G,MATCH(A214,$A:$A,0)),""))-1),IFERROR(INDEX($G:$G,MATCH(A214,$A:$A,0)),"")))))</f>
        <v/>
      </c>
      <c r="AE214" s="18" t="str">
        <f aca="false">IF(AD214="","",IF(IFERROR(INDEX($G:$G,MATCH(AD214,$A:$A,0)),"")="","",TRIM(IF(ISNUMBER(FIND(",",IFERROR(INDEX($G:$G,MATCH(AD214,$A:$A,0)),""))),LEFT(IFERROR(INDEX($G:$G,MATCH(AD214,$A:$A,0)),""),FIND(",",IFERROR(INDEX($G:$G,MATCH(AD214,$A:$A,0)),""))-1),IFERROR(INDEX($G:$G,MATCH(AD214,$A:$A,0)),"")))))</f>
        <v/>
      </c>
      <c r="AF214" s="18" t="str">
        <f aca="false">IF(AE214="","",IF(IFERROR(INDEX($G:$G,MATCH(AE214,$A:$A,0)),"")="","",TRIM(IF(ISNUMBER(FIND(",",IFERROR(INDEX($G:$G,MATCH(AE214,$A:$A,0)),""))),LEFT(IFERROR(INDEX($G:$G,MATCH(AE214,$A:$A,0)),""),FIND(",",IFERROR(INDEX($G:$G,MATCH(AE214,$A:$A,0)),""))-1),IFERROR(INDEX($G:$G,MATCH(AE214,$A:$A,0)),"")))))</f>
        <v/>
      </c>
      <c r="AG214" s="18" t="str">
        <f aca="false">IF(AF214="","",IF(IFERROR(INDEX($G:$G,MATCH(AF214,$A:$A,0)),"")="","",TRIM(IF(ISNUMBER(FIND(",",IFERROR(INDEX($G:$G,MATCH(AF214,$A:$A,0)),""))),LEFT(IFERROR(INDEX($G:$G,MATCH(AF214,$A:$A,0)),""),FIND(",",IFERROR(INDEX($G:$G,MATCH(AF214,$A:$A,0)),""))-1),IFERROR(INDEX($G:$G,MATCH(AF214,$A:$A,0)),"")))))</f>
        <v/>
      </c>
    </row>
    <row r="215" customFormat="false" ht="15" hidden="false" customHeight="false" outlineLevel="0" collapsed="false">
      <c r="A215" s="18"/>
      <c r="B215" s="19"/>
      <c r="C215" s="20"/>
      <c r="D215" s="20"/>
      <c r="E215" s="20"/>
      <c r="F215" s="20"/>
      <c r="G215" s="18"/>
      <c r="H215" s="20"/>
      <c r="I215" s="18"/>
      <c r="J215" s="20"/>
      <c r="K215" s="20"/>
      <c r="L215" s="20"/>
      <c r="M215" s="20"/>
      <c r="N215" s="20"/>
      <c r="O215" s="21" t="str">
        <f aca="false">IF(A215="","",IF(AD215="",0,IF(AE215="",1,IF(AF215="",2,IF(AG215="",3,"4+")))))</f>
        <v/>
      </c>
      <c r="P215" s="21" t="str">
        <f aca="false">IF(A215="","",B215&amp;IF(AD215="",""," &lt;- "&amp;IFERROR(INDEX($B:$B,MATCH(AD215,$A:$A,0)),AD215)&amp;IF(AE215="",""," &lt;- "&amp;IFERROR(INDEX($B:$B,MATCH(AE215,$A:$A,0)),AE215)&amp;IF(AF215="",""," &lt;- "&amp;IFERROR(INDEX($B:$B,MATCH(AF215,$A:$A,0)),AF215)&amp;IF(AG215="",""," &lt;- "&amp;IFERROR(INDEX($B:$B,MATCH(AG215,$A:$A,0)),AG215)))))&amp;IF(ISNUMBER(FIND(",",G215))," (+ other parents)",""))</f>
        <v/>
      </c>
      <c r="Q215" s="21" t="str">
        <f aca="false">IF(A215="","",IF(AD215="",E215&amp;"",IF(AE215="",IF(IFERROR(INDEX($E:$E,MATCH(AD215,$A:$A,0)),"")="","",INDEX($E:$E,MATCH(AD215,$A:$A,0))),IF(AF215="",IF(IFERROR(INDEX($E:$E,MATCH(AE215,$A:$A,0)),"")="","",INDEX($E:$E,MATCH(AE215,$A:$A,0))),IF(AG215="",IF(IFERROR(INDEX($E:$E,MATCH(AF215,$A:$A,0)),"")="","",INDEX($E:$E,MATCH(AF215,$A:$A,0))),IF(IFERROR(INDEX($E:$E,MATCH(AG215,$A:$A,0)),"")="","",INDEX($E:$E,MATCH(AG215,$A:$A,0))))))))</f>
        <v/>
      </c>
      <c r="R215" s="21" t="str">
        <f aca="false">IF(A215="","",COUNTIF(Fields!$D:$D,A215))</f>
        <v/>
      </c>
      <c r="S215" s="21" t="str">
        <f aca="false">IF(A215="","",SUMIF(Fields!$D:$D,A215,Fields!$Q:$Q))</f>
        <v/>
      </c>
      <c r="T215" s="21" t="str">
        <f aca="false">IF(A215="","",COUNTIF('Product inputs'!$D:$D,A215))</f>
        <v/>
      </c>
      <c r="U215" s="20"/>
      <c r="V215" s="20"/>
      <c r="W215" s="20"/>
      <c r="X215" s="20"/>
      <c r="Y215" s="20"/>
      <c r="Z215" s="20"/>
      <c r="AA215" s="20"/>
      <c r="AB215" s="20"/>
      <c r="AC215" s="20"/>
      <c r="AD215" s="18" t="str">
        <f aca="false">IF(A215="","",IF(IFERROR(INDEX($G:$G,MATCH(A215,$A:$A,0)),"")="","",TRIM(IF(ISNUMBER(FIND(",",IFERROR(INDEX($G:$G,MATCH(A215,$A:$A,0)),""))),LEFT(IFERROR(INDEX($G:$G,MATCH(A215,$A:$A,0)),""),FIND(",",IFERROR(INDEX($G:$G,MATCH(A215,$A:$A,0)),""))-1),IFERROR(INDEX($G:$G,MATCH(A215,$A:$A,0)),"")))))</f>
        <v/>
      </c>
      <c r="AE215" s="18" t="str">
        <f aca="false">IF(AD215="","",IF(IFERROR(INDEX($G:$G,MATCH(AD215,$A:$A,0)),"")="","",TRIM(IF(ISNUMBER(FIND(",",IFERROR(INDEX($G:$G,MATCH(AD215,$A:$A,0)),""))),LEFT(IFERROR(INDEX($G:$G,MATCH(AD215,$A:$A,0)),""),FIND(",",IFERROR(INDEX($G:$G,MATCH(AD215,$A:$A,0)),""))-1),IFERROR(INDEX($G:$G,MATCH(AD215,$A:$A,0)),"")))))</f>
        <v/>
      </c>
      <c r="AF215" s="18" t="str">
        <f aca="false">IF(AE215="","",IF(IFERROR(INDEX($G:$G,MATCH(AE215,$A:$A,0)),"")="","",TRIM(IF(ISNUMBER(FIND(",",IFERROR(INDEX($G:$G,MATCH(AE215,$A:$A,0)),""))),LEFT(IFERROR(INDEX($G:$G,MATCH(AE215,$A:$A,0)),""),FIND(",",IFERROR(INDEX($G:$G,MATCH(AE215,$A:$A,0)),""))-1),IFERROR(INDEX($G:$G,MATCH(AE215,$A:$A,0)),"")))))</f>
        <v/>
      </c>
      <c r="AG215" s="18" t="str">
        <f aca="false">IF(AF215="","",IF(IFERROR(INDEX($G:$G,MATCH(AF215,$A:$A,0)),"")="","",TRIM(IF(ISNUMBER(FIND(",",IFERROR(INDEX($G:$G,MATCH(AF215,$A:$A,0)),""))),LEFT(IFERROR(INDEX($G:$G,MATCH(AF215,$A:$A,0)),""),FIND(",",IFERROR(INDEX($G:$G,MATCH(AF215,$A:$A,0)),""))-1),IFERROR(INDEX($G:$G,MATCH(AF215,$A:$A,0)),"")))))</f>
        <v/>
      </c>
    </row>
    <row r="216" customFormat="false" ht="15" hidden="false" customHeight="false" outlineLevel="0" collapsed="false">
      <c r="A216" s="18"/>
      <c r="B216" s="19"/>
      <c r="C216" s="20"/>
      <c r="D216" s="20"/>
      <c r="E216" s="20"/>
      <c r="F216" s="20"/>
      <c r="G216" s="18"/>
      <c r="H216" s="20"/>
      <c r="I216" s="18"/>
      <c r="J216" s="20"/>
      <c r="K216" s="20"/>
      <c r="L216" s="20"/>
      <c r="M216" s="20"/>
      <c r="N216" s="20"/>
      <c r="O216" s="21" t="str">
        <f aca="false">IF(A216="","",IF(AD216="",0,IF(AE216="",1,IF(AF216="",2,IF(AG216="",3,"4+")))))</f>
        <v/>
      </c>
      <c r="P216" s="21" t="str">
        <f aca="false">IF(A216="","",B216&amp;IF(AD216="",""," &lt;- "&amp;IFERROR(INDEX($B:$B,MATCH(AD216,$A:$A,0)),AD216)&amp;IF(AE216="",""," &lt;- "&amp;IFERROR(INDEX($B:$B,MATCH(AE216,$A:$A,0)),AE216)&amp;IF(AF216="",""," &lt;- "&amp;IFERROR(INDEX($B:$B,MATCH(AF216,$A:$A,0)),AF216)&amp;IF(AG216="",""," &lt;- "&amp;IFERROR(INDEX($B:$B,MATCH(AG216,$A:$A,0)),AG216)))))&amp;IF(ISNUMBER(FIND(",",G216))," (+ other parents)",""))</f>
        <v/>
      </c>
      <c r="Q216" s="21" t="str">
        <f aca="false">IF(A216="","",IF(AD216="",E216&amp;"",IF(AE216="",IF(IFERROR(INDEX($E:$E,MATCH(AD216,$A:$A,0)),"")="","",INDEX($E:$E,MATCH(AD216,$A:$A,0))),IF(AF216="",IF(IFERROR(INDEX($E:$E,MATCH(AE216,$A:$A,0)),"")="","",INDEX($E:$E,MATCH(AE216,$A:$A,0))),IF(AG216="",IF(IFERROR(INDEX($E:$E,MATCH(AF216,$A:$A,0)),"")="","",INDEX($E:$E,MATCH(AF216,$A:$A,0))),IF(IFERROR(INDEX($E:$E,MATCH(AG216,$A:$A,0)),"")="","",INDEX($E:$E,MATCH(AG216,$A:$A,0))))))))</f>
        <v/>
      </c>
      <c r="R216" s="21" t="str">
        <f aca="false">IF(A216="","",COUNTIF(Fields!$D:$D,A216))</f>
        <v/>
      </c>
      <c r="S216" s="21" t="str">
        <f aca="false">IF(A216="","",SUMIF(Fields!$D:$D,A216,Fields!$Q:$Q))</f>
        <v/>
      </c>
      <c r="T216" s="21" t="str">
        <f aca="false">IF(A216="","",COUNTIF('Product inputs'!$D:$D,A216))</f>
        <v/>
      </c>
      <c r="U216" s="20"/>
      <c r="V216" s="20"/>
      <c r="W216" s="20"/>
      <c r="X216" s="20"/>
      <c r="Y216" s="20"/>
      <c r="Z216" s="20"/>
      <c r="AA216" s="20"/>
      <c r="AB216" s="20"/>
      <c r="AC216" s="20"/>
      <c r="AD216" s="18" t="str">
        <f aca="false">IF(A216="","",IF(IFERROR(INDEX($G:$G,MATCH(A216,$A:$A,0)),"")="","",TRIM(IF(ISNUMBER(FIND(",",IFERROR(INDEX($G:$G,MATCH(A216,$A:$A,0)),""))),LEFT(IFERROR(INDEX($G:$G,MATCH(A216,$A:$A,0)),""),FIND(",",IFERROR(INDEX($G:$G,MATCH(A216,$A:$A,0)),""))-1),IFERROR(INDEX($G:$G,MATCH(A216,$A:$A,0)),"")))))</f>
        <v/>
      </c>
      <c r="AE216" s="18" t="str">
        <f aca="false">IF(AD216="","",IF(IFERROR(INDEX($G:$G,MATCH(AD216,$A:$A,0)),"")="","",TRIM(IF(ISNUMBER(FIND(",",IFERROR(INDEX($G:$G,MATCH(AD216,$A:$A,0)),""))),LEFT(IFERROR(INDEX($G:$G,MATCH(AD216,$A:$A,0)),""),FIND(",",IFERROR(INDEX($G:$G,MATCH(AD216,$A:$A,0)),""))-1),IFERROR(INDEX($G:$G,MATCH(AD216,$A:$A,0)),"")))))</f>
        <v/>
      </c>
      <c r="AF216" s="18" t="str">
        <f aca="false">IF(AE216="","",IF(IFERROR(INDEX($G:$G,MATCH(AE216,$A:$A,0)),"")="","",TRIM(IF(ISNUMBER(FIND(",",IFERROR(INDEX($G:$G,MATCH(AE216,$A:$A,0)),""))),LEFT(IFERROR(INDEX($G:$G,MATCH(AE216,$A:$A,0)),""),FIND(",",IFERROR(INDEX($G:$G,MATCH(AE216,$A:$A,0)),""))-1),IFERROR(INDEX($G:$G,MATCH(AE216,$A:$A,0)),"")))))</f>
        <v/>
      </c>
      <c r="AG216" s="18" t="str">
        <f aca="false">IF(AF216="","",IF(IFERROR(INDEX($G:$G,MATCH(AF216,$A:$A,0)),"")="","",TRIM(IF(ISNUMBER(FIND(",",IFERROR(INDEX($G:$G,MATCH(AF216,$A:$A,0)),""))),LEFT(IFERROR(INDEX($G:$G,MATCH(AF216,$A:$A,0)),""),FIND(",",IFERROR(INDEX($G:$G,MATCH(AF216,$A:$A,0)),""))-1),IFERROR(INDEX($G:$G,MATCH(AF216,$A:$A,0)),"")))))</f>
        <v/>
      </c>
    </row>
    <row r="217" customFormat="false" ht="15" hidden="false" customHeight="false" outlineLevel="0" collapsed="false">
      <c r="A217" s="18"/>
      <c r="B217" s="19"/>
      <c r="C217" s="20"/>
      <c r="D217" s="20"/>
      <c r="E217" s="20"/>
      <c r="F217" s="20"/>
      <c r="G217" s="18"/>
      <c r="H217" s="20"/>
      <c r="I217" s="18"/>
      <c r="J217" s="20"/>
      <c r="K217" s="20"/>
      <c r="L217" s="20"/>
      <c r="M217" s="20"/>
      <c r="N217" s="20"/>
      <c r="O217" s="21" t="str">
        <f aca="false">IF(A217="","",IF(AD217="",0,IF(AE217="",1,IF(AF217="",2,IF(AG217="",3,"4+")))))</f>
        <v/>
      </c>
      <c r="P217" s="21" t="str">
        <f aca="false">IF(A217="","",B217&amp;IF(AD217="",""," &lt;- "&amp;IFERROR(INDEX($B:$B,MATCH(AD217,$A:$A,0)),AD217)&amp;IF(AE217="",""," &lt;- "&amp;IFERROR(INDEX($B:$B,MATCH(AE217,$A:$A,0)),AE217)&amp;IF(AF217="",""," &lt;- "&amp;IFERROR(INDEX($B:$B,MATCH(AF217,$A:$A,0)),AF217)&amp;IF(AG217="",""," &lt;- "&amp;IFERROR(INDEX($B:$B,MATCH(AG217,$A:$A,0)),AG217)))))&amp;IF(ISNUMBER(FIND(",",G217))," (+ other parents)",""))</f>
        <v/>
      </c>
      <c r="Q217" s="21" t="str">
        <f aca="false">IF(A217="","",IF(AD217="",E217&amp;"",IF(AE217="",IF(IFERROR(INDEX($E:$E,MATCH(AD217,$A:$A,0)),"")="","",INDEX($E:$E,MATCH(AD217,$A:$A,0))),IF(AF217="",IF(IFERROR(INDEX($E:$E,MATCH(AE217,$A:$A,0)),"")="","",INDEX($E:$E,MATCH(AE217,$A:$A,0))),IF(AG217="",IF(IFERROR(INDEX($E:$E,MATCH(AF217,$A:$A,0)),"")="","",INDEX($E:$E,MATCH(AF217,$A:$A,0))),IF(IFERROR(INDEX($E:$E,MATCH(AG217,$A:$A,0)),"")="","",INDEX($E:$E,MATCH(AG217,$A:$A,0))))))))</f>
        <v/>
      </c>
      <c r="R217" s="21" t="str">
        <f aca="false">IF(A217="","",COUNTIF(Fields!$D:$D,A217))</f>
        <v/>
      </c>
      <c r="S217" s="21" t="str">
        <f aca="false">IF(A217="","",SUMIF(Fields!$D:$D,A217,Fields!$Q:$Q))</f>
        <v/>
      </c>
      <c r="T217" s="21" t="str">
        <f aca="false">IF(A217="","",COUNTIF('Product inputs'!$D:$D,A217))</f>
        <v/>
      </c>
      <c r="U217" s="20"/>
      <c r="V217" s="20"/>
      <c r="W217" s="20"/>
      <c r="X217" s="20"/>
      <c r="Y217" s="20"/>
      <c r="Z217" s="20"/>
      <c r="AA217" s="20"/>
      <c r="AB217" s="20"/>
      <c r="AC217" s="20"/>
      <c r="AD217" s="18" t="str">
        <f aca="false">IF(A217="","",IF(IFERROR(INDEX($G:$G,MATCH(A217,$A:$A,0)),"")="","",TRIM(IF(ISNUMBER(FIND(",",IFERROR(INDEX($G:$G,MATCH(A217,$A:$A,0)),""))),LEFT(IFERROR(INDEX($G:$G,MATCH(A217,$A:$A,0)),""),FIND(",",IFERROR(INDEX($G:$G,MATCH(A217,$A:$A,0)),""))-1),IFERROR(INDEX($G:$G,MATCH(A217,$A:$A,0)),"")))))</f>
        <v/>
      </c>
      <c r="AE217" s="18" t="str">
        <f aca="false">IF(AD217="","",IF(IFERROR(INDEX($G:$G,MATCH(AD217,$A:$A,0)),"")="","",TRIM(IF(ISNUMBER(FIND(",",IFERROR(INDEX($G:$G,MATCH(AD217,$A:$A,0)),""))),LEFT(IFERROR(INDEX($G:$G,MATCH(AD217,$A:$A,0)),""),FIND(",",IFERROR(INDEX($G:$G,MATCH(AD217,$A:$A,0)),""))-1),IFERROR(INDEX($G:$G,MATCH(AD217,$A:$A,0)),"")))))</f>
        <v/>
      </c>
      <c r="AF217" s="18" t="str">
        <f aca="false">IF(AE217="","",IF(IFERROR(INDEX($G:$G,MATCH(AE217,$A:$A,0)),"")="","",TRIM(IF(ISNUMBER(FIND(",",IFERROR(INDEX($G:$G,MATCH(AE217,$A:$A,0)),""))),LEFT(IFERROR(INDEX($G:$G,MATCH(AE217,$A:$A,0)),""),FIND(",",IFERROR(INDEX($G:$G,MATCH(AE217,$A:$A,0)),""))-1),IFERROR(INDEX($G:$G,MATCH(AE217,$A:$A,0)),"")))))</f>
        <v/>
      </c>
      <c r="AG217" s="18" t="str">
        <f aca="false">IF(AF217="","",IF(IFERROR(INDEX($G:$G,MATCH(AF217,$A:$A,0)),"")="","",TRIM(IF(ISNUMBER(FIND(",",IFERROR(INDEX($G:$G,MATCH(AF217,$A:$A,0)),""))),LEFT(IFERROR(INDEX($G:$G,MATCH(AF217,$A:$A,0)),""),FIND(",",IFERROR(INDEX($G:$G,MATCH(AF217,$A:$A,0)),""))-1),IFERROR(INDEX($G:$G,MATCH(AF217,$A:$A,0)),"")))))</f>
        <v/>
      </c>
    </row>
    <row r="218" customFormat="false" ht="15" hidden="false" customHeight="false" outlineLevel="0" collapsed="false">
      <c r="A218" s="18"/>
      <c r="B218" s="19"/>
      <c r="C218" s="20"/>
      <c r="D218" s="20"/>
      <c r="E218" s="20"/>
      <c r="F218" s="20"/>
      <c r="G218" s="18"/>
      <c r="H218" s="20"/>
      <c r="I218" s="18"/>
      <c r="J218" s="20"/>
      <c r="K218" s="20"/>
      <c r="L218" s="20"/>
      <c r="M218" s="20"/>
      <c r="N218" s="20"/>
      <c r="O218" s="21" t="str">
        <f aca="false">IF(A218="","",IF(AD218="",0,IF(AE218="",1,IF(AF218="",2,IF(AG218="",3,"4+")))))</f>
        <v/>
      </c>
      <c r="P218" s="21" t="str">
        <f aca="false">IF(A218="","",B218&amp;IF(AD218="",""," &lt;- "&amp;IFERROR(INDEX($B:$B,MATCH(AD218,$A:$A,0)),AD218)&amp;IF(AE218="",""," &lt;- "&amp;IFERROR(INDEX($B:$B,MATCH(AE218,$A:$A,0)),AE218)&amp;IF(AF218="",""," &lt;- "&amp;IFERROR(INDEX($B:$B,MATCH(AF218,$A:$A,0)),AF218)&amp;IF(AG218="",""," &lt;- "&amp;IFERROR(INDEX($B:$B,MATCH(AG218,$A:$A,0)),AG218)))))&amp;IF(ISNUMBER(FIND(",",G218))," (+ other parents)",""))</f>
        <v/>
      </c>
      <c r="Q218" s="21" t="str">
        <f aca="false">IF(A218="","",IF(AD218="",E218&amp;"",IF(AE218="",IF(IFERROR(INDEX($E:$E,MATCH(AD218,$A:$A,0)),"")="","",INDEX($E:$E,MATCH(AD218,$A:$A,0))),IF(AF218="",IF(IFERROR(INDEX($E:$E,MATCH(AE218,$A:$A,0)),"")="","",INDEX($E:$E,MATCH(AE218,$A:$A,0))),IF(AG218="",IF(IFERROR(INDEX($E:$E,MATCH(AF218,$A:$A,0)),"")="","",INDEX($E:$E,MATCH(AF218,$A:$A,0))),IF(IFERROR(INDEX($E:$E,MATCH(AG218,$A:$A,0)),"")="","",INDEX($E:$E,MATCH(AG218,$A:$A,0))))))))</f>
        <v/>
      </c>
      <c r="R218" s="21" t="str">
        <f aca="false">IF(A218="","",COUNTIF(Fields!$D:$D,A218))</f>
        <v/>
      </c>
      <c r="S218" s="21" t="str">
        <f aca="false">IF(A218="","",SUMIF(Fields!$D:$D,A218,Fields!$Q:$Q))</f>
        <v/>
      </c>
      <c r="T218" s="21" t="str">
        <f aca="false">IF(A218="","",COUNTIF('Product inputs'!$D:$D,A218))</f>
        <v/>
      </c>
      <c r="U218" s="20"/>
      <c r="V218" s="20"/>
      <c r="W218" s="20"/>
      <c r="X218" s="20"/>
      <c r="Y218" s="20"/>
      <c r="Z218" s="20"/>
      <c r="AA218" s="20"/>
      <c r="AB218" s="20"/>
      <c r="AC218" s="20"/>
      <c r="AD218" s="18" t="str">
        <f aca="false">IF(A218="","",IF(IFERROR(INDEX($G:$G,MATCH(A218,$A:$A,0)),"")="","",TRIM(IF(ISNUMBER(FIND(",",IFERROR(INDEX($G:$G,MATCH(A218,$A:$A,0)),""))),LEFT(IFERROR(INDEX($G:$G,MATCH(A218,$A:$A,0)),""),FIND(",",IFERROR(INDEX($G:$G,MATCH(A218,$A:$A,0)),""))-1),IFERROR(INDEX($G:$G,MATCH(A218,$A:$A,0)),"")))))</f>
        <v/>
      </c>
      <c r="AE218" s="18" t="str">
        <f aca="false">IF(AD218="","",IF(IFERROR(INDEX($G:$G,MATCH(AD218,$A:$A,0)),"")="","",TRIM(IF(ISNUMBER(FIND(",",IFERROR(INDEX($G:$G,MATCH(AD218,$A:$A,0)),""))),LEFT(IFERROR(INDEX($G:$G,MATCH(AD218,$A:$A,0)),""),FIND(",",IFERROR(INDEX($G:$G,MATCH(AD218,$A:$A,0)),""))-1),IFERROR(INDEX($G:$G,MATCH(AD218,$A:$A,0)),"")))))</f>
        <v/>
      </c>
      <c r="AF218" s="18" t="str">
        <f aca="false">IF(AE218="","",IF(IFERROR(INDEX($G:$G,MATCH(AE218,$A:$A,0)),"")="","",TRIM(IF(ISNUMBER(FIND(",",IFERROR(INDEX($G:$G,MATCH(AE218,$A:$A,0)),""))),LEFT(IFERROR(INDEX($G:$G,MATCH(AE218,$A:$A,0)),""),FIND(",",IFERROR(INDEX($G:$G,MATCH(AE218,$A:$A,0)),""))-1),IFERROR(INDEX($G:$G,MATCH(AE218,$A:$A,0)),"")))))</f>
        <v/>
      </c>
      <c r="AG218" s="18" t="str">
        <f aca="false">IF(AF218="","",IF(IFERROR(INDEX($G:$G,MATCH(AF218,$A:$A,0)),"")="","",TRIM(IF(ISNUMBER(FIND(",",IFERROR(INDEX($G:$G,MATCH(AF218,$A:$A,0)),""))),LEFT(IFERROR(INDEX($G:$G,MATCH(AF218,$A:$A,0)),""),FIND(",",IFERROR(INDEX($G:$G,MATCH(AF218,$A:$A,0)),""))-1),IFERROR(INDEX($G:$G,MATCH(AF218,$A:$A,0)),"")))))</f>
        <v/>
      </c>
    </row>
    <row r="219" customFormat="false" ht="15" hidden="false" customHeight="false" outlineLevel="0" collapsed="false">
      <c r="A219" s="18"/>
      <c r="B219" s="19"/>
      <c r="C219" s="20"/>
      <c r="D219" s="20"/>
      <c r="E219" s="20"/>
      <c r="F219" s="20"/>
      <c r="G219" s="18"/>
      <c r="H219" s="20"/>
      <c r="I219" s="18"/>
      <c r="J219" s="20"/>
      <c r="K219" s="20"/>
      <c r="L219" s="20"/>
      <c r="M219" s="20"/>
      <c r="N219" s="20"/>
      <c r="O219" s="21" t="str">
        <f aca="false">IF(A219="","",IF(AD219="",0,IF(AE219="",1,IF(AF219="",2,IF(AG219="",3,"4+")))))</f>
        <v/>
      </c>
      <c r="P219" s="21" t="str">
        <f aca="false">IF(A219="","",B219&amp;IF(AD219="",""," &lt;- "&amp;IFERROR(INDEX($B:$B,MATCH(AD219,$A:$A,0)),AD219)&amp;IF(AE219="",""," &lt;- "&amp;IFERROR(INDEX($B:$B,MATCH(AE219,$A:$A,0)),AE219)&amp;IF(AF219="",""," &lt;- "&amp;IFERROR(INDEX($B:$B,MATCH(AF219,$A:$A,0)),AF219)&amp;IF(AG219="",""," &lt;- "&amp;IFERROR(INDEX($B:$B,MATCH(AG219,$A:$A,0)),AG219)))))&amp;IF(ISNUMBER(FIND(",",G219))," (+ other parents)",""))</f>
        <v/>
      </c>
      <c r="Q219" s="21" t="str">
        <f aca="false">IF(A219="","",IF(AD219="",E219&amp;"",IF(AE219="",IF(IFERROR(INDEX($E:$E,MATCH(AD219,$A:$A,0)),"")="","",INDEX($E:$E,MATCH(AD219,$A:$A,0))),IF(AF219="",IF(IFERROR(INDEX($E:$E,MATCH(AE219,$A:$A,0)),"")="","",INDEX($E:$E,MATCH(AE219,$A:$A,0))),IF(AG219="",IF(IFERROR(INDEX($E:$E,MATCH(AF219,$A:$A,0)),"")="","",INDEX($E:$E,MATCH(AF219,$A:$A,0))),IF(IFERROR(INDEX($E:$E,MATCH(AG219,$A:$A,0)),"")="","",INDEX($E:$E,MATCH(AG219,$A:$A,0))))))))</f>
        <v/>
      </c>
      <c r="R219" s="21" t="str">
        <f aca="false">IF(A219="","",COUNTIF(Fields!$D:$D,A219))</f>
        <v/>
      </c>
      <c r="S219" s="21" t="str">
        <f aca="false">IF(A219="","",SUMIF(Fields!$D:$D,A219,Fields!$Q:$Q))</f>
        <v/>
      </c>
      <c r="T219" s="21" t="str">
        <f aca="false">IF(A219="","",COUNTIF('Product inputs'!$D:$D,A219))</f>
        <v/>
      </c>
      <c r="U219" s="20"/>
      <c r="V219" s="20"/>
      <c r="W219" s="20"/>
      <c r="X219" s="20"/>
      <c r="Y219" s="20"/>
      <c r="Z219" s="20"/>
      <c r="AA219" s="20"/>
      <c r="AB219" s="20"/>
      <c r="AC219" s="20"/>
      <c r="AD219" s="18" t="str">
        <f aca="false">IF(A219="","",IF(IFERROR(INDEX($G:$G,MATCH(A219,$A:$A,0)),"")="","",TRIM(IF(ISNUMBER(FIND(",",IFERROR(INDEX($G:$G,MATCH(A219,$A:$A,0)),""))),LEFT(IFERROR(INDEX($G:$G,MATCH(A219,$A:$A,0)),""),FIND(",",IFERROR(INDEX($G:$G,MATCH(A219,$A:$A,0)),""))-1),IFERROR(INDEX($G:$G,MATCH(A219,$A:$A,0)),"")))))</f>
        <v/>
      </c>
      <c r="AE219" s="18" t="str">
        <f aca="false">IF(AD219="","",IF(IFERROR(INDEX($G:$G,MATCH(AD219,$A:$A,0)),"")="","",TRIM(IF(ISNUMBER(FIND(",",IFERROR(INDEX($G:$G,MATCH(AD219,$A:$A,0)),""))),LEFT(IFERROR(INDEX($G:$G,MATCH(AD219,$A:$A,0)),""),FIND(",",IFERROR(INDEX($G:$G,MATCH(AD219,$A:$A,0)),""))-1),IFERROR(INDEX($G:$G,MATCH(AD219,$A:$A,0)),"")))))</f>
        <v/>
      </c>
      <c r="AF219" s="18" t="str">
        <f aca="false">IF(AE219="","",IF(IFERROR(INDEX($G:$G,MATCH(AE219,$A:$A,0)),"")="","",TRIM(IF(ISNUMBER(FIND(",",IFERROR(INDEX($G:$G,MATCH(AE219,$A:$A,0)),""))),LEFT(IFERROR(INDEX($G:$G,MATCH(AE219,$A:$A,0)),""),FIND(",",IFERROR(INDEX($G:$G,MATCH(AE219,$A:$A,0)),""))-1),IFERROR(INDEX($G:$G,MATCH(AE219,$A:$A,0)),"")))))</f>
        <v/>
      </c>
      <c r="AG219" s="18" t="str">
        <f aca="false">IF(AF219="","",IF(IFERROR(INDEX($G:$G,MATCH(AF219,$A:$A,0)),"")="","",TRIM(IF(ISNUMBER(FIND(",",IFERROR(INDEX($G:$G,MATCH(AF219,$A:$A,0)),""))),LEFT(IFERROR(INDEX($G:$G,MATCH(AF219,$A:$A,0)),""),FIND(",",IFERROR(INDEX($G:$G,MATCH(AF219,$A:$A,0)),""))-1),IFERROR(INDEX($G:$G,MATCH(AF219,$A:$A,0)),"")))))</f>
        <v/>
      </c>
    </row>
    <row r="220" customFormat="false" ht="15" hidden="false" customHeight="false" outlineLevel="0" collapsed="false">
      <c r="A220" s="18"/>
      <c r="B220" s="19"/>
      <c r="C220" s="20"/>
      <c r="D220" s="20"/>
      <c r="E220" s="20"/>
      <c r="F220" s="20"/>
      <c r="G220" s="18"/>
      <c r="H220" s="20"/>
      <c r="I220" s="18"/>
      <c r="J220" s="20"/>
      <c r="K220" s="20"/>
      <c r="L220" s="20"/>
      <c r="M220" s="20"/>
      <c r="N220" s="20"/>
      <c r="O220" s="21" t="str">
        <f aca="false">IF(A220="","",IF(AD220="",0,IF(AE220="",1,IF(AF220="",2,IF(AG220="",3,"4+")))))</f>
        <v/>
      </c>
      <c r="P220" s="21" t="str">
        <f aca="false">IF(A220="","",B220&amp;IF(AD220="",""," &lt;- "&amp;IFERROR(INDEX($B:$B,MATCH(AD220,$A:$A,0)),AD220)&amp;IF(AE220="",""," &lt;- "&amp;IFERROR(INDEX($B:$B,MATCH(AE220,$A:$A,0)),AE220)&amp;IF(AF220="",""," &lt;- "&amp;IFERROR(INDEX($B:$B,MATCH(AF220,$A:$A,0)),AF220)&amp;IF(AG220="",""," &lt;- "&amp;IFERROR(INDEX($B:$B,MATCH(AG220,$A:$A,0)),AG220)))))&amp;IF(ISNUMBER(FIND(",",G220))," (+ other parents)",""))</f>
        <v/>
      </c>
      <c r="Q220" s="21" t="str">
        <f aca="false">IF(A220="","",IF(AD220="",E220&amp;"",IF(AE220="",IF(IFERROR(INDEX($E:$E,MATCH(AD220,$A:$A,0)),"")="","",INDEX($E:$E,MATCH(AD220,$A:$A,0))),IF(AF220="",IF(IFERROR(INDEX($E:$E,MATCH(AE220,$A:$A,0)),"")="","",INDEX($E:$E,MATCH(AE220,$A:$A,0))),IF(AG220="",IF(IFERROR(INDEX($E:$E,MATCH(AF220,$A:$A,0)),"")="","",INDEX($E:$E,MATCH(AF220,$A:$A,0))),IF(IFERROR(INDEX($E:$E,MATCH(AG220,$A:$A,0)),"")="","",INDEX($E:$E,MATCH(AG220,$A:$A,0))))))))</f>
        <v/>
      </c>
      <c r="R220" s="21" t="str">
        <f aca="false">IF(A220="","",COUNTIF(Fields!$D:$D,A220))</f>
        <v/>
      </c>
      <c r="S220" s="21" t="str">
        <f aca="false">IF(A220="","",SUMIF(Fields!$D:$D,A220,Fields!$Q:$Q))</f>
        <v/>
      </c>
      <c r="T220" s="21" t="str">
        <f aca="false">IF(A220="","",COUNTIF('Product inputs'!$D:$D,A220))</f>
        <v/>
      </c>
      <c r="U220" s="20"/>
      <c r="V220" s="20"/>
      <c r="W220" s="20"/>
      <c r="X220" s="20"/>
      <c r="Y220" s="20"/>
      <c r="Z220" s="20"/>
      <c r="AA220" s="20"/>
      <c r="AB220" s="20"/>
      <c r="AC220" s="20"/>
      <c r="AD220" s="18" t="str">
        <f aca="false">IF(A220="","",IF(IFERROR(INDEX($G:$G,MATCH(A220,$A:$A,0)),"")="","",TRIM(IF(ISNUMBER(FIND(",",IFERROR(INDEX($G:$G,MATCH(A220,$A:$A,0)),""))),LEFT(IFERROR(INDEX($G:$G,MATCH(A220,$A:$A,0)),""),FIND(",",IFERROR(INDEX($G:$G,MATCH(A220,$A:$A,0)),""))-1),IFERROR(INDEX($G:$G,MATCH(A220,$A:$A,0)),"")))))</f>
        <v/>
      </c>
      <c r="AE220" s="18" t="str">
        <f aca="false">IF(AD220="","",IF(IFERROR(INDEX($G:$G,MATCH(AD220,$A:$A,0)),"")="","",TRIM(IF(ISNUMBER(FIND(",",IFERROR(INDEX($G:$G,MATCH(AD220,$A:$A,0)),""))),LEFT(IFERROR(INDEX($G:$G,MATCH(AD220,$A:$A,0)),""),FIND(",",IFERROR(INDEX($G:$G,MATCH(AD220,$A:$A,0)),""))-1),IFERROR(INDEX($G:$G,MATCH(AD220,$A:$A,0)),"")))))</f>
        <v/>
      </c>
      <c r="AF220" s="18" t="str">
        <f aca="false">IF(AE220="","",IF(IFERROR(INDEX($G:$G,MATCH(AE220,$A:$A,0)),"")="","",TRIM(IF(ISNUMBER(FIND(",",IFERROR(INDEX($G:$G,MATCH(AE220,$A:$A,0)),""))),LEFT(IFERROR(INDEX($G:$G,MATCH(AE220,$A:$A,0)),""),FIND(",",IFERROR(INDEX($G:$G,MATCH(AE220,$A:$A,0)),""))-1),IFERROR(INDEX($G:$G,MATCH(AE220,$A:$A,0)),"")))))</f>
        <v/>
      </c>
      <c r="AG220" s="18" t="str">
        <f aca="false">IF(AF220="","",IF(IFERROR(INDEX($G:$G,MATCH(AF220,$A:$A,0)),"")="","",TRIM(IF(ISNUMBER(FIND(",",IFERROR(INDEX($G:$G,MATCH(AF220,$A:$A,0)),""))),LEFT(IFERROR(INDEX($G:$G,MATCH(AF220,$A:$A,0)),""),FIND(",",IFERROR(INDEX($G:$G,MATCH(AF220,$A:$A,0)),""))-1),IFERROR(INDEX($G:$G,MATCH(AF220,$A:$A,0)),"")))))</f>
        <v/>
      </c>
    </row>
    <row r="221" customFormat="false" ht="15" hidden="false" customHeight="false" outlineLevel="0" collapsed="false">
      <c r="A221" s="18"/>
      <c r="B221" s="19"/>
      <c r="C221" s="20"/>
      <c r="D221" s="20"/>
      <c r="E221" s="20"/>
      <c r="F221" s="20"/>
      <c r="G221" s="18"/>
      <c r="H221" s="20"/>
      <c r="I221" s="18"/>
      <c r="J221" s="20"/>
      <c r="K221" s="20"/>
      <c r="L221" s="20"/>
      <c r="M221" s="20"/>
      <c r="N221" s="20"/>
      <c r="O221" s="21" t="str">
        <f aca="false">IF(A221="","",IF(AD221="",0,IF(AE221="",1,IF(AF221="",2,IF(AG221="",3,"4+")))))</f>
        <v/>
      </c>
      <c r="P221" s="21" t="str">
        <f aca="false">IF(A221="","",B221&amp;IF(AD221="",""," &lt;- "&amp;IFERROR(INDEX($B:$B,MATCH(AD221,$A:$A,0)),AD221)&amp;IF(AE221="",""," &lt;- "&amp;IFERROR(INDEX($B:$B,MATCH(AE221,$A:$A,0)),AE221)&amp;IF(AF221="",""," &lt;- "&amp;IFERROR(INDEX($B:$B,MATCH(AF221,$A:$A,0)),AF221)&amp;IF(AG221="",""," &lt;- "&amp;IFERROR(INDEX($B:$B,MATCH(AG221,$A:$A,0)),AG221)))))&amp;IF(ISNUMBER(FIND(",",G221))," (+ other parents)",""))</f>
        <v/>
      </c>
      <c r="Q221" s="21" t="str">
        <f aca="false">IF(A221="","",IF(AD221="",E221&amp;"",IF(AE221="",IF(IFERROR(INDEX($E:$E,MATCH(AD221,$A:$A,0)),"")="","",INDEX($E:$E,MATCH(AD221,$A:$A,0))),IF(AF221="",IF(IFERROR(INDEX($E:$E,MATCH(AE221,$A:$A,0)),"")="","",INDEX($E:$E,MATCH(AE221,$A:$A,0))),IF(AG221="",IF(IFERROR(INDEX($E:$E,MATCH(AF221,$A:$A,0)),"")="","",INDEX($E:$E,MATCH(AF221,$A:$A,0))),IF(IFERROR(INDEX($E:$E,MATCH(AG221,$A:$A,0)),"")="","",INDEX($E:$E,MATCH(AG221,$A:$A,0))))))))</f>
        <v/>
      </c>
      <c r="R221" s="21" t="str">
        <f aca="false">IF(A221="","",COUNTIF(Fields!$D:$D,A221))</f>
        <v/>
      </c>
      <c r="S221" s="21" t="str">
        <f aca="false">IF(A221="","",SUMIF(Fields!$D:$D,A221,Fields!$Q:$Q))</f>
        <v/>
      </c>
      <c r="T221" s="21" t="str">
        <f aca="false">IF(A221="","",COUNTIF('Product inputs'!$D:$D,A221))</f>
        <v/>
      </c>
      <c r="U221" s="20"/>
      <c r="V221" s="20"/>
      <c r="W221" s="20"/>
      <c r="X221" s="20"/>
      <c r="Y221" s="20"/>
      <c r="Z221" s="20"/>
      <c r="AA221" s="20"/>
      <c r="AB221" s="20"/>
      <c r="AC221" s="20"/>
      <c r="AD221" s="18" t="str">
        <f aca="false">IF(A221="","",IF(IFERROR(INDEX($G:$G,MATCH(A221,$A:$A,0)),"")="","",TRIM(IF(ISNUMBER(FIND(",",IFERROR(INDEX($G:$G,MATCH(A221,$A:$A,0)),""))),LEFT(IFERROR(INDEX($G:$G,MATCH(A221,$A:$A,0)),""),FIND(",",IFERROR(INDEX($G:$G,MATCH(A221,$A:$A,0)),""))-1),IFERROR(INDEX($G:$G,MATCH(A221,$A:$A,0)),"")))))</f>
        <v/>
      </c>
      <c r="AE221" s="18" t="str">
        <f aca="false">IF(AD221="","",IF(IFERROR(INDEX($G:$G,MATCH(AD221,$A:$A,0)),"")="","",TRIM(IF(ISNUMBER(FIND(",",IFERROR(INDEX($G:$G,MATCH(AD221,$A:$A,0)),""))),LEFT(IFERROR(INDEX($G:$G,MATCH(AD221,$A:$A,0)),""),FIND(",",IFERROR(INDEX($G:$G,MATCH(AD221,$A:$A,0)),""))-1),IFERROR(INDEX($G:$G,MATCH(AD221,$A:$A,0)),"")))))</f>
        <v/>
      </c>
      <c r="AF221" s="18" t="str">
        <f aca="false">IF(AE221="","",IF(IFERROR(INDEX($G:$G,MATCH(AE221,$A:$A,0)),"")="","",TRIM(IF(ISNUMBER(FIND(",",IFERROR(INDEX($G:$G,MATCH(AE221,$A:$A,0)),""))),LEFT(IFERROR(INDEX($G:$G,MATCH(AE221,$A:$A,0)),""),FIND(",",IFERROR(INDEX($G:$G,MATCH(AE221,$A:$A,0)),""))-1),IFERROR(INDEX($G:$G,MATCH(AE221,$A:$A,0)),"")))))</f>
        <v/>
      </c>
      <c r="AG221" s="18" t="str">
        <f aca="false">IF(AF221="","",IF(IFERROR(INDEX($G:$G,MATCH(AF221,$A:$A,0)),"")="","",TRIM(IF(ISNUMBER(FIND(",",IFERROR(INDEX($G:$G,MATCH(AF221,$A:$A,0)),""))),LEFT(IFERROR(INDEX($G:$G,MATCH(AF221,$A:$A,0)),""),FIND(",",IFERROR(INDEX($G:$G,MATCH(AF221,$A:$A,0)),""))-1),IFERROR(INDEX($G:$G,MATCH(AF221,$A:$A,0)),"")))))</f>
        <v/>
      </c>
    </row>
    <row r="222" customFormat="false" ht="15" hidden="false" customHeight="false" outlineLevel="0" collapsed="false">
      <c r="A222" s="18"/>
      <c r="B222" s="19"/>
      <c r="C222" s="20"/>
      <c r="D222" s="20"/>
      <c r="E222" s="20"/>
      <c r="F222" s="20"/>
      <c r="G222" s="18"/>
      <c r="H222" s="20"/>
      <c r="I222" s="18"/>
      <c r="J222" s="20"/>
      <c r="K222" s="20"/>
      <c r="L222" s="20"/>
      <c r="M222" s="20"/>
      <c r="N222" s="20"/>
      <c r="O222" s="21" t="str">
        <f aca="false">IF(A222="","",IF(AD222="",0,IF(AE222="",1,IF(AF222="",2,IF(AG222="",3,"4+")))))</f>
        <v/>
      </c>
      <c r="P222" s="21" t="str">
        <f aca="false">IF(A222="","",B222&amp;IF(AD222="",""," &lt;- "&amp;IFERROR(INDEX($B:$B,MATCH(AD222,$A:$A,0)),AD222)&amp;IF(AE222="",""," &lt;- "&amp;IFERROR(INDEX($B:$B,MATCH(AE222,$A:$A,0)),AE222)&amp;IF(AF222="",""," &lt;- "&amp;IFERROR(INDEX($B:$B,MATCH(AF222,$A:$A,0)),AF222)&amp;IF(AG222="",""," &lt;- "&amp;IFERROR(INDEX($B:$B,MATCH(AG222,$A:$A,0)),AG222)))))&amp;IF(ISNUMBER(FIND(",",G222))," (+ other parents)",""))</f>
        <v/>
      </c>
      <c r="Q222" s="21" t="str">
        <f aca="false">IF(A222="","",IF(AD222="",E222&amp;"",IF(AE222="",IF(IFERROR(INDEX($E:$E,MATCH(AD222,$A:$A,0)),"")="","",INDEX($E:$E,MATCH(AD222,$A:$A,0))),IF(AF222="",IF(IFERROR(INDEX($E:$E,MATCH(AE222,$A:$A,0)),"")="","",INDEX($E:$E,MATCH(AE222,$A:$A,0))),IF(AG222="",IF(IFERROR(INDEX($E:$E,MATCH(AF222,$A:$A,0)),"")="","",INDEX($E:$E,MATCH(AF222,$A:$A,0))),IF(IFERROR(INDEX($E:$E,MATCH(AG222,$A:$A,0)),"")="","",INDEX($E:$E,MATCH(AG222,$A:$A,0))))))))</f>
        <v/>
      </c>
      <c r="R222" s="21" t="str">
        <f aca="false">IF(A222="","",COUNTIF(Fields!$D:$D,A222))</f>
        <v/>
      </c>
      <c r="S222" s="21" t="str">
        <f aca="false">IF(A222="","",SUMIF(Fields!$D:$D,A222,Fields!$Q:$Q))</f>
        <v/>
      </c>
      <c r="T222" s="21" t="str">
        <f aca="false">IF(A222="","",COUNTIF('Product inputs'!$D:$D,A222))</f>
        <v/>
      </c>
      <c r="U222" s="20"/>
      <c r="V222" s="20"/>
      <c r="W222" s="20"/>
      <c r="X222" s="20"/>
      <c r="Y222" s="20"/>
      <c r="Z222" s="20"/>
      <c r="AA222" s="20"/>
      <c r="AB222" s="20"/>
      <c r="AC222" s="20"/>
      <c r="AD222" s="18" t="str">
        <f aca="false">IF(A222="","",IF(IFERROR(INDEX($G:$G,MATCH(A222,$A:$A,0)),"")="","",TRIM(IF(ISNUMBER(FIND(",",IFERROR(INDEX($G:$G,MATCH(A222,$A:$A,0)),""))),LEFT(IFERROR(INDEX($G:$G,MATCH(A222,$A:$A,0)),""),FIND(",",IFERROR(INDEX($G:$G,MATCH(A222,$A:$A,0)),""))-1),IFERROR(INDEX($G:$G,MATCH(A222,$A:$A,0)),"")))))</f>
        <v/>
      </c>
      <c r="AE222" s="18" t="str">
        <f aca="false">IF(AD222="","",IF(IFERROR(INDEX($G:$G,MATCH(AD222,$A:$A,0)),"")="","",TRIM(IF(ISNUMBER(FIND(",",IFERROR(INDEX($G:$G,MATCH(AD222,$A:$A,0)),""))),LEFT(IFERROR(INDEX($G:$G,MATCH(AD222,$A:$A,0)),""),FIND(",",IFERROR(INDEX($G:$G,MATCH(AD222,$A:$A,0)),""))-1),IFERROR(INDEX($G:$G,MATCH(AD222,$A:$A,0)),"")))))</f>
        <v/>
      </c>
      <c r="AF222" s="18" t="str">
        <f aca="false">IF(AE222="","",IF(IFERROR(INDEX($G:$G,MATCH(AE222,$A:$A,0)),"")="","",TRIM(IF(ISNUMBER(FIND(",",IFERROR(INDEX($G:$G,MATCH(AE222,$A:$A,0)),""))),LEFT(IFERROR(INDEX($G:$G,MATCH(AE222,$A:$A,0)),""),FIND(",",IFERROR(INDEX($G:$G,MATCH(AE222,$A:$A,0)),""))-1),IFERROR(INDEX($G:$G,MATCH(AE222,$A:$A,0)),"")))))</f>
        <v/>
      </c>
      <c r="AG222" s="18" t="str">
        <f aca="false">IF(AF222="","",IF(IFERROR(INDEX($G:$G,MATCH(AF222,$A:$A,0)),"")="","",TRIM(IF(ISNUMBER(FIND(",",IFERROR(INDEX($G:$G,MATCH(AF222,$A:$A,0)),""))),LEFT(IFERROR(INDEX($G:$G,MATCH(AF222,$A:$A,0)),""),FIND(",",IFERROR(INDEX($G:$G,MATCH(AF222,$A:$A,0)),""))-1),IFERROR(INDEX($G:$G,MATCH(AF222,$A:$A,0)),"")))))</f>
        <v/>
      </c>
    </row>
    <row r="223" customFormat="false" ht="15" hidden="false" customHeight="false" outlineLevel="0" collapsed="false">
      <c r="A223" s="18"/>
      <c r="B223" s="19"/>
      <c r="C223" s="20"/>
      <c r="D223" s="20"/>
      <c r="E223" s="20"/>
      <c r="F223" s="20"/>
      <c r="G223" s="18"/>
      <c r="H223" s="20"/>
      <c r="I223" s="18"/>
      <c r="J223" s="20"/>
      <c r="K223" s="20"/>
      <c r="L223" s="20"/>
      <c r="M223" s="20"/>
      <c r="N223" s="20"/>
      <c r="O223" s="21" t="str">
        <f aca="false">IF(A223="","",IF(AD223="",0,IF(AE223="",1,IF(AF223="",2,IF(AG223="",3,"4+")))))</f>
        <v/>
      </c>
      <c r="P223" s="21" t="str">
        <f aca="false">IF(A223="","",B223&amp;IF(AD223="",""," &lt;- "&amp;IFERROR(INDEX($B:$B,MATCH(AD223,$A:$A,0)),AD223)&amp;IF(AE223="",""," &lt;- "&amp;IFERROR(INDEX($B:$B,MATCH(AE223,$A:$A,0)),AE223)&amp;IF(AF223="",""," &lt;- "&amp;IFERROR(INDEX($B:$B,MATCH(AF223,$A:$A,0)),AF223)&amp;IF(AG223="",""," &lt;- "&amp;IFERROR(INDEX($B:$B,MATCH(AG223,$A:$A,0)),AG223)))))&amp;IF(ISNUMBER(FIND(",",G223))," (+ other parents)",""))</f>
        <v/>
      </c>
      <c r="Q223" s="21" t="str">
        <f aca="false">IF(A223="","",IF(AD223="",E223&amp;"",IF(AE223="",IF(IFERROR(INDEX($E:$E,MATCH(AD223,$A:$A,0)),"")="","",INDEX($E:$E,MATCH(AD223,$A:$A,0))),IF(AF223="",IF(IFERROR(INDEX($E:$E,MATCH(AE223,$A:$A,0)),"")="","",INDEX($E:$E,MATCH(AE223,$A:$A,0))),IF(AG223="",IF(IFERROR(INDEX($E:$E,MATCH(AF223,$A:$A,0)),"")="","",INDEX($E:$E,MATCH(AF223,$A:$A,0))),IF(IFERROR(INDEX($E:$E,MATCH(AG223,$A:$A,0)),"")="","",INDEX($E:$E,MATCH(AG223,$A:$A,0))))))))</f>
        <v/>
      </c>
      <c r="R223" s="21" t="str">
        <f aca="false">IF(A223="","",COUNTIF(Fields!$D:$D,A223))</f>
        <v/>
      </c>
      <c r="S223" s="21" t="str">
        <f aca="false">IF(A223="","",SUMIF(Fields!$D:$D,A223,Fields!$Q:$Q))</f>
        <v/>
      </c>
      <c r="T223" s="21" t="str">
        <f aca="false">IF(A223="","",COUNTIF('Product inputs'!$D:$D,A223))</f>
        <v/>
      </c>
      <c r="U223" s="20"/>
      <c r="V223" s="20"/>
      <c r="W223" s="20"/>
      <c r="X223" s="20"/>
      <c r="Y223" s="20"/>
      <c r="Z223" s="20"/>
      <c r="AA223" s="20"/>
      <c r="AB223" s="20"/>
      <c r="AC223" s="20"/>
      <c r="AD223" s="18" t="str">
        <f aca="false">IF(A223="","",IF(IFERROR(INDEX($G:$G,MATCH(A223,$A:$A,0)),"")="","",TRIM(IF(ISNUMBER(FIND(",",IFERROR(INDEX($G:$G,MATCH(A223,$A:$A,0)),""))),LEFT(IFERROR(INDEX($G:$G,MATCH(A223,$A:$A,0)),""),FIND(",",IFERROR(INDEX($G:$G,MATCH(A223,$A:$A,0)),""))-1),IFERROR(INDEX($G:$G,MATCH(A223,$A:$A,0)),"")))))</f>
        <v/>
      </c>
      <c r="AE223" s="18" t="str">
        <f aca="false">IF(AD223="","",IF(IFERROR(INDEX($G:$G,MATCH(AD223,$A:$A,0)),"")="","",TRIM(IF(ISNUMBER(FIND(",",IFERROR(INDEX($G:$G,MATCH(AD223,$A:$A,0)),""))),LEFT(IFERROR(INDEX($G:$G,MATCH(AD223,$A:$A,0)),""),FIND(",",IFERROR(INDEX($G:$G,MATCH(AD223,$A:$A,0)),""))-1),IFERROR(INDEX($G:$G,MATCH(AD223,$A:$A,0)),"")))))</f>
        <v/>
      </c>
      <c r="AF223" s="18" t="str">
        <f aca="false">IF(AE223="","",IF(IFERROR(INDEX($G:$G,MATCH(AE223,$A:$A,0)),"")="","",TRIM(IF(ISNUMBER(FIND(",",IFERROR(INDEX($G:$G,MATCH(AE223,$A:$A,0)),""))),LEFT(IFERROR(INDEX($G:$G,MATCH(AE223,$A:$A,0)),""),FIND(",",IFERROR(INDEX($G:$G,MATCH(AE223,$A:$A,0)),""))-1),IFERROR(INDEX($G:$G,MATCH(AE223,$A:$A,0)),"")))))</f>
        <v/>
      </c>
      <c r="AG223" s="18" t="str">
        <f aca="false">IF(AF223="","",IF(IFERROR(INDEX($G:$G,MATCH(AF223,$A:$A,0)),"")="","",TRIM(IF(ISNUMBER(FIND(",",IFERROR(INDEX($G:$G,MATCH(AF223,$A:$A,0)),""))),LEFT(IFERROR(INDEX($G:$G,MATCH(AF223,$A:$A,0)),""),FIND(",",IFERROR(INDEX($G:$G,MATCH(AF223,$A:$A,0)),""))-1),IFERROR(INDEX($G:$G,MATCH(AF223,$A:$A,0)),"")))))</f>
        <v/>
      </c>
    </row>
    <row r="224" customFormat="false" ht="15" hidden="false" customHeight="false" outlineLevel="0" collapsed="false">
      <c r="A224" s="18"/>
      <c r="B224" s="19"/>
      <c r="C224" s="20"/>
      <c r="D224" s="20"/>
      <c r="E224" s="20"/>
      <c r="F224" s="20"/>
      <c r="G224" s="18"/>
      <c r="H224" s="20"/>
      <c r="I224" s="18"/>
      <c r="J224" s="20"/>
      <c r="K224" s="20"/>
      <c r="L224" s="20"/>
      <c r="M224" s="20"/>
      <c r="N224" s="20"/>
      <c r="O224" s="21" t="str">
        <f aca="false">IF(A224="","",IF(AD224="",0,IF(AE224="",1,IF(AF224="",2,IF(AG224="",3,"4+")))))</f>
        <v/>
      </c>
      <c r="P224" s="21" t="str">
        <f aca="false">IF(A224="","",B224&amp;IF(AD224="",""," &lt;- "&amp;IFERROR(INDEX($B:$B,MATCH(AD224,$A:$A,0)),AD224)&amp;IF(AE224="",""," &lt;- "&amp;IFERROR(INDEX($B:$B,MATCH(AE224,$A:$A,0)),AE224)&amp;IF(AF224="",""," &lt;- "&amp;IFERROR(INDEX($B:$B,MATCH(AF224,$A:$A,0)),AF224)&amp;IF(AG224="",""," &lt;- "&amp;IFERROR(INDEX($B:$B,MATCH(AG224,$A:$A,0)),AG224)))))&amp;IF(ISNUMBER(FIND(",",G224))," (+ other parents)",""))</f>
        <v/>
      </c>
      <c r="Q224" s="21" t="str">
        <f aca="false">IF(A224="","",IF(AD224="",E224&amp;"",IF(AE224="",IF(IFERROR(INDEX($E:$E,MATCH(AD224,$A:$A,0)),"")="","",INDEX($E:$E,MATCH(AD224,$A:$A,0))),IF(AF224="",IF(IFERROR(INDEX($E:$E,MATCH(AE224,$A:$A,0)),"")="","",INDEX($E:$E,MATCH(AE224,$A:$A,0))),IF(AG224="",IF(IFERROR(INDEX($E:$E,MATCH(AF224,$A:$A,0)),"")="","",INDEX($E:$E,MATCH(AF224,$A:$A,0))),IF(IFERROR(INDEX($E:$E,MATCH(AG224,$A:$A,0)),"")="","",INDEX($E:$E,MATCH(AG224,$A:$A,0))))))))</f>
        <v/>
      </c>
      <c r="R224" s="21" t="str">
        <f aca="false">IF(A224="","",COUNTIF(Fields!$D:$D,A224))</f>
        <v/>
      </c>
      <c r="S224" s="21" t="str">
        <f aca="false">IF(A224="","",SUMIF(Fields!$D:$D,A224,Fields!$Q:$Q))</f>
        <v/>
      </c>
      <c r="T224" s="21" t="str">
        <f aca="false">IF(A224="","",COUNTIF('Product inputs'!$D:$D,A224))</f>
        <v/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18" t="str">
        <f aca="false">IF(A224="","",IF(IFERROR(INDEX($G:$G,MATCH(A224,$A:$A,0)),"")="","",TRIM(IF(ISNUMBER(FIND(",",IFERROR(INDEX($G:$G,MATCH(A224,$A:$A,0)),""))),LEFT(IFERROR(INDEX($G:$G,MATCH(A224,$A:$A,0)),""),FIND(",",IFERROR(INDEX($G:$G,MATCH(A224,$A:$A,0)),""))-1),IFERROR(INDEX($G:$G,MATCH(A224,$A:$A,0)),"")))))</f>
        <v/>
      </c>
      <c r="AE224" s="18" t="str">
        <f aca="false">IF(AD224="","",IF(IFERROR(INDEX($G:$G,MATCH(AD224,$A:$A,0)),"")="","",TRIM(IF(ISNUMBER(FIND(",",IFERROR(INDEX($G:$G,MATCH(AD224,$A:$A,0)),""))),LEFT(IFERROR(INDEX($G:$G,MATCH(AD224,$A:$A,0)),""),FIND(",",IFERROR(INDEX($G:$G,MATCH(AD224,$A:$A,0)),""))-1),IFERROR(INDEX($G:$G,MATCH(AD224,$A:$A,0)),"")))))</f>
        <v/>
      </c>
      <c r="AF224" s="18" t="str">
        <f aca="false">IF(AE224="","",IF(IFERROR(INDEX($G:$G,MATCH(AE224,$A:$A,0)),"")="","",TRIM(IF(ISNUMBER(FIND(",",IFERROR(INDEX($G:$G,MATCH(AE224,$A:$A,0)),""))),LEFT(IFERROR(INDEX($G:$G,MATCH(AE224,$A:$A,0)),""),FIND(",",IFERROR(INDEX($G:$G,MATCH(AE224,$A:$A,0)),""))-1),IFERROR(INDEX($G:$G,MATCH(AE224,$A:$A,0)),"")))))</f>
        <v/>
      </c>
      <c r="AG224" s="18" t="str">
        <f aca="false">IF(AF224="","",IF(IFERROR(INDEX($G:$G,MATCH(AF224,$A:$A,0)),"")="","",TRIM(IF(ISNUMBER(FIND(",",IFERROR(INDEX($G:$G,MATCH(AF224,$A:$A,0)),""))),LEFT(IFERROR(INDEX($G:$G,MATCH(AF224,$A:$A,0)),""),FIND(",",IFERROR(INDEX($G:$G,MATCH(AF224,$A:$A,0)),""))-1),IFERROR(INDEX($G:$G,MATCH(AF224,$A:$A,0)),"")))))</f>
        <v/>
      </c>
    </row>
    <row r="225" customFormat="false" ht="15" hidden="false" customHeight="false" outlineLevel="0" collapsed="false">
      <c r="A225" s="18"/>
      <c r="B225" s="19"/>
      <c r="C225" s="20"/>
      <c r="D225" s="20"/>
      <c r="E225" s="20"/>
      <c r="F225" s="20"/>
      <c r="G225" s="18"/>
      <c r="H225" s="20"/>
      <c r="I225" s="18"/>
      <c r="J225" s="20"/>
      <c r="K225" s="20"/>
      <c r="L225" s="20"/>
      <c r="M225" s="20"/>
      <c r="N225" s="20"/>
      <c r="O225" s="21" t="str">
        <f aca="false">IF(A225="","",IF(AD225="",0,IF(AE225="",1,IF(AF225="",2,IF(AG225="",3,"4+")))))</f>
        <v/>
      </c>
      <c r="P225" s="21" t="str">
        <f aca="false">IF(A225="","",B225&amp;IF(AD225="",""," &lt;- "&amp;IFERROR(INDEX($B:$B,MATCH(AD225,$A:$A,0)),AD225)&amp;IF(AE225="",""," &lt;- "&amp;IFERROR(INDEX($B:$B,MATCH(AE225,$A:$A,0)),AE225)&amp;IF(AF225="",""," &lt;- "&amp;IFERROR(INDEX($B:$B,MATCH(AF225,$A:$A,0)),AF225)&amp;IF(AG225="",""," &lt;- "&amp;IFERROR(INDEX($B:$B,MATCH(AG225,$A:$A,0)),AG225)))))&amp;IF(ISNUMBER(FIND(",",G225))," (+ other parents)",""))</f>
        <v/>
      </c>
      <c r="Q225" s="21" t="str">
        <f aca="false">IF(A225="","",IF(AD225="",E225&amp;"",IF(AE225="",IF(IFERROR(INDEX($E:$E,MATCH(AD225,$A:$A,0)),"")="","",INDEX($E:$E,MATCH(AD225,$A:$A,0))),IF(AF225="",IF(IFERROR(INDEX($E:$E,MATCH(AE225,$A:$A,0)),"")="","",INDEX($E:$E,MATCH(AE225,$A:$A,0))),IF(AG225="",IF(IFERROR(INDEX($E:$E,MATCH(AF225,$A:$A,0)),"")="","",INDEX($E:$E,MATCH(AF225,$A:$A,0))),IF(IFERROR(INDEX($E:$E,MATCH(AG225,$A:$A,0)),"")="","",INDEX($E:$E,MATCH(AG225,$A:$A,0))))))))</f>
        <v/>
      </c>
      <c r="R225" s="21" t="str">
        <f aca="false">IF(A225="","",COUNTIF(Fields!$D:$D,A225))</f>
        <v/>
      </c>
      <c r="S225" s="21" t="str">
        <f aca="false">IF(A225="","",SUMIF(Fields!$D:$D,A225,Fields!$Q:$Q))</f>
        <v/>
      </c>
      <c r="T225" s="21" t="str">
        <f aca="false">IF(A225="","",COUNTIF('Product inputs'!$D:$D,A225))</f>
        <v/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18" t="str">
        <f aca="false">IF(A225="","",IF(IFERROR(INDEX($G:$G,MATCH(A225,$A:$A,0)),"")="","",TRIM(IF(ISNUMBER(FIND(",",IFERROR(INDEX($G:$G,MATCH(A225,$A:$A,0)),""))),LEFT(IFERROR(INDEX($G:$G,MATCH(A225,$A:$A,0)),""),FIND(",",IFERROR(INDEX($G:$G,MATCH(A225,$A:$A,0)),""))-1),IFERROR(INDEX($G:$G,MATCH(A225,$A:$A,0)),"")))))</f>
        <v/>
      </c>
      <c r="AE225" s="18" t="str">
        <f aca="false">IF(AD225="","",IF(IFERROR(INDEX($G:$G,MATCH(AD225,$A:$A,0)),"")="","",TRIM(IF(ISNUMBER(FIND(",",IFERROR(INDEX($G:$G,MATCH(AD225,$A:$A,0)),""))),LEFT(IFERROR(INDEX($G:$G,MATCH(AD225,$A:$A,0)),""),FIND(",",IFERROR(INDEX($G:$G,MATCH(AD225,$A:$A,0)),""))-1),IFERROR(INDEX($G:$G,MATCH(AD225,$A:$A,0)),"")))))</f>
        <v/>
      </c>
      <c r="AF225" s="18" t="str">
        <f aca="false">IF(AE225="","",IF(IFERROR(INDEX($G:$G,MATCH(AE225,$A:$A,0)),"")="","",TRIM(IF(ISNUMBER(FIND(",",IFERROR(INDEX($G:$G,MATCH(AE225,$A:$A,0)),""))),LEFT(IFERROR(INDEX($G:$G,MATCH(AE225,$A:$A,0)),""),FIND(",",IFERROR(INDEX($G:$G,MATCH(AE225,$A:$A,0)),""))-1),IFERROR(INDEX($G:$G,MATCH(AE225,$A:$A,0)),"")))))</f>
        <v/>
      </c>
      <c r="AG225" s="18" t="str">
        <f aca="false">IF(AF225="","",IF(IFERROR(INDEX($G:$G,MATCH(AF225,$A:$A,0)),"")="","",TRIM(IF(ISNUMBER(FIND(",",IFERROR(INDEX($G:$G,MATCH(AF225,$A:$A,0)),""))),LEFT(IFERROR(INDEX($G:$G,MATCH(AF225,$A:$A,0)),""),FIND(",",IFERROR(INDEX($G:$G,MATCH(AF225,$A:$A,0)),""))-1),IFERROR(INDEX($G:$G,MATCH(AF225,$A:$A,0)),"")))))</f>
        <v/>
      </c>
    </row>
    <row r="226" customFormat="false" ht="15" hidden="false" customHeight="false" outlineLevel="0" collapsed="false">
      <c r="A226" s="18"/>
      <c r="B226" s="19"/>
      <c r="C226" s="20"/>
      <c r="D226" s="20"/>
      <c r="E226" s="20"/>
      <c r="F226" s="20"/>
      <c r="G226" s="18"/>
      <c r="H226" s="20"/>
      <c r="I226" s="18"/>
      <c r="J226" s="20"/>
      <c r="K226" s="20"/>
      <c r="L226" s="20"/>
      <c r="M226" s="20"/>
      <c r="N226" s="20"/>
      <c r="O226" s="21" t="str">
        <f aca="false">IF(A226="","",IF(AD226="",0,IF(AE226="",1,IF(AF226="",2,IF(AG226="",3,"4+")))))</f>
        <v/>
      </c>
      <c r="P226" s="21" t="str">
        <f aca="false">IF(A226="","",B226&amp;IF(AD226="",""," &lt;- "&amp;IFERROR(INDEX($B:$B,MATCH(AD226,$A:$A,0)),AD226)&amp;IF(AE226="",""," &lt;- "&amp;IFERROR(INDEX($B:$B,MATCH(AE226,$A:$A,0)),AE226)&amp;IF(AF226="",""," &lt;- "&amp;IFERROR(INDEX($B:$B,MATCH(AF226,$A:$A,0)),AF226)&amp;IF(AG226="",""," &lt;- "&amp;IFERROR(INDEX($B:$B,MATCH(AG226,$A:$A,0)),AG226)))))&amp;IF(ISNUMBER(FIND(",",G226))," (+ other parents)",""))</f>
        <v/>
      </c>
      <c r="Q226" s="21" t="str">
        <f aca="false">IF(A226="","",IF(AD226="",E226&amp;"",IF(AE226="",IF(IFERROR(INDEX($E:$E,MATCH(AD226,$A:$A,0)),"")="","",INDEX($E:$E,MATCH(AD226,$A:$A,0))),IF(AF226="",IF(IFERROR(INDEX($E:$E,MATCH(AE226,$A:$A,0)),"")="","",INDEX($E:$E,MATCH(AE226,$A:$A,0))),IF(AG226="",IF(IFERROR(INDEX($E:$E,MATCH(AF226,$A:$A,0)),"")="","",INDEX($E:$E,MATCH(AF226,$A:$A,0))),IF(IFERROR(INDEX($E:$E,MATCH(AG226,$A:$A,0)),"")="","",INDEX($E:$E,MATCH(AG226,$A:$A,0))))))))</f>
        <v/>
      </c>
      <c r="R226" s="21" t="str">
        <f aca="false">IF(A226="","",COUNTIF(Fields!$D:$D,A226))</f>
        <v/>
      </c>
      <c r="S226" s="21" t="str">
        <f aca="false">IF(A226="","",SUMIF(Fields!$D:$D,A226,Fields!$Q:$Q))</f>
        <v/>
      </c>
      <c r="T226" s="21" t="str">
        <f aca="false">IF(A226="","",COUNTIF('Product inputs'!$D:$D,A226))</f>
        <v/>
      </c>
      <c r="U226" s="20"/>
      <c r="V226" s="20"/>
      <c r="W226" s="20"/>
      <c r="X226" s="20"/>
      <c r="Y226" s="20"/>
      <c r="Z226" s="20"/>
      <c r="AA226" s="20"/>
      <c r="AB226" s="20"/>
      <c r="AC226" s="20"/>
      <c r="AD226" s="18" t="str">
        <f aca="false">IF(A226="","",IF(IFERROR(INDEX($G:$G,MATCH(A226,$A:$A,0)),"")="","",TRIM(IF(ISNUMBER(FIND(",",IFERROR(INDEX($G:$G,MATCH(A226,$A:$A,0)),""))),LEFT(IFERROR(INDEX($G:$G,MATCH(A226,$A:$A,0)),""),FIND(",",IFERROR(INDEX($G:$G,MATCH(A226,$A:$A,0)),""))-1),IFERROR(INDEX($G:$G,MATCH(A226,$A:$A,0)),"")))))</f>
        <v/>
      </c>
      <c r="AE226" s="18" t="str">
        <f aca="false">IF(AD226="","",IF(IFERROR(INDEX($G:$G,MATCH(AD226,$A:$A,0)),"")="","",TRIM(IF(ISNUMBER(FIND(",",IFERROR(INDEX($G:$G,MATCH(AD226,$A:$A,0)),""))),LEFT(IFERROR(INDEX($G:$G,MATCH(AD226,$A:$A,0)),""),FIND(",",IFERROR(INDEX($G:$G,MATCH(AD226,$A:$A,0)),""))-1),IFERROR(INDEX($G:$G,MATCH(AD226,$A:$A,0)),"")))))</f>
        <v/>
      </c>
      <c r="AF226" s="18" t="str">
        <f aca="false">IF(AE226="","",IF(IFERROR(INDEX($G:$G,MATCH(AE226,$A:$A,0)),"")="","",TRIM(IF(ISNUMBER(FIND(",",IFERROR(INDEX($G:$G,MATCH(AE226,$A:$A,0)),""))),LEFT(IFERROR(INDEX($G:$G,MATCH(AE226,$A:$A,0)),""),FIND(",",IFERROR(INDEX($G:$G,MATCH(AE226,$A:$A,0)),""))-1),IFERROR(INDEX($G:$G,MATCH(AE226,$A:$A,0)),"")))))</f>
        <v/>
      </c>
      <c r="AG226" s="18" t="str">
        <f aca="false">IF(AF226="","",IF(IFERROR(INDEX($G:$G,MATCH(AF226,$A:$A,0)),"")="","",TRIM(IF(ISNUMBER(FIND(",",IFERROR(INDEX($G:$G,MATCH(AF226,$A:$A,0)),""))),LEFT(IFERROR(INDEX($G:$G,MATCH(AF226,$A:$A,0)),""),FIND(",",IFERROR(INDEX($G:$G,MATCH(AF226,$A:$A,0)),""))-1),IFERROR(INDEX($G:$G,MATCH(AF226,$A:$A,0)),"")))))</f>
        <v/>
      </c>
    </row>
    <row r="227" customFormat="false" ht="15" hidden="false" customHeight="false" outlineLevel="0" collapsed="false">
      <c r="A227" s="18"/>
      <c r="B227" s="19"/>
      <c r="C227" s="20"/>
      <c r="D227" s="20"/>
      <c r="E227" s="20"/>
      <c r="F227" s="20"/>
      <c r="G227" s="18"/>
      <c r="H227" s="20"/>
      <c r="I227" s="18"/>
      <c r="J227" s="20"/>
      <c r="K227" s="20"/>
      <c r="L227" s="20"/>
      <c r="M227" s="20"/>
      <c r="N227" s="20"/>
      <c r="O227" s="21" t="str">
        <f aca="false">IF(A227="","",IF(AD227="",0,IF(AE227="",1,IF(AF227="",2,IF(AG227="",3,"4+")))))</f>
        <v/>
      </c>
      <c r="P227" s="21" t="str">
        <f aca="false">IF(A227="","",B227&amp;IF(AD227="",""," &lt;- "&amp;IFERROR(INDEX($B:$B,MATCH(AD227,$A:$A,0)),AD227)&amp;IF(AE227="",""," &lt;- "&amp;IFERROR(INDEX($B:$B,MATCH(AE227,$A:$A,0)),AE227)&amp;IF(AF227="",""," &lt;- "&amp;IFERROR(INDEX($B:$B,MATCH(AF227,$A:$A,0)),AF227)&amp;IF(AG227="",""," &lt;- "&amp;IFERROR(INDEX($B:$B,MATCH(AG227,$A:$A,0)),AG227)))))&amp;IF(ISNUMBER(FIND(",",G227))," (+ other parents)",""))</f>
        <v/>
      </c>
      <c r="Q227" s="21" t="str">
        <f aca="false">IF(A227="","",IF(AD227="",E227&amp;"",IF(AE227="",IF(IFERROR(INDEX($E:$E,MATCH(AD227,$A:$A,0)),"")="","",INDEX($E:$E,MATCH(AD227,$A:$A,0))),IF(AF227="",IF(IFERROR(INDEX($E:$E,MATCH(AE227,$A:$A,0)),"")="","",INDEX($E:$E,MATCH(AE227,$A:$A,0))),IF(AG227="",IF(IFERROR(INDEX($E:$E,MATCH(AF227,$A:$A,0)),"")="","",INDEX($E:$E,MATCH(AF227,$A:$A,0))),IF(IFERROR(INDEX($E:$E,MATCH(AG227,$A:$A,0)),"")="","",INDEX($E:$E,MATCH(AG227,$A:$A,0))))))))</f>
        <v/>
      </c>
      <c r="R227" s="21" t="str">
        <f aca="false">IF(A227="","",COUNTIF(Fields!$D:$D,A227))</f>
        <v/>
      </c>
      <c r="S227" s="21" t="str">
        <f aca="false">IF(A227="","",SUMIF(Fields!$D:$D,A227,Fields!$Q:$Q))</f>
        <v/>
      </c>
      <c r="T227" s="21" t="str">
        <f aca="false">IF(A227="","",COUNTIF('Product inputs'!$D:$D,A227))</f>
        <v/>
      </c>
      <c r="U227" s="20"/>
      <c r="V227" s="20"/>
      <c r="W227" s="20"/>
      <c r="X227" s="20"/>
      <c r="Y227" s="20"/>
      <c r="Z227" s="20"/>
      <c r="AA227" s="20"/>
      <c r="AB227" s="20"/>
      <c r="AC227" s="20"/>
      <c r="AD227" s="18" t="str">
        <f aca="false">IF(A227="","",IF(IFERROR(INDEX($G:$G,MATCH(A227,$A:$A,0)),"")="","",TRIM(IF(ISNUMBER(FIND(",",IFERROR(INDEX($G:$G,MATCH(A227,$A:$A,0)),""))),LEFT(IFERROR(INDEX($G:$G,MATCH(A227,$A:$A,0)),""),FIND(",",IFERROR(INDEX($G:$G,MATCH(A227,$A:$A,0)),""))-1),IFERROR(INDEX($G:$G,MATCH(A227,$A:$A,0)),"")))))</f>
        <v/>
      </c>
      <c r="AE227" s="18" t="str">
        <f aca="false">IF(AD227="","",IF(IFERROR(INDEX($G:$G,MATCH(AD227,$A:$A,0)),"")="","",TRIM(IF(ISNUMBER(FIND(",",IFERROR(INDEX($G:$G,MATCH(AD227,$A:$A,0)),""))),LEFT(IFERROR(INDEX($G:$G,MATCH(AD227,$A:$A,0)),""),FIND(",",IFERROR(INDEX($G:$G,MATCH(AD227,$A:$A,0)),""))-1),IFERROR(INDEX($G:$G,MATCH(AD227,$A:$A,0)),"")))))</f>
        <v/>
      </c>
      <c r="AF227" s="18" t="str">
        <f aca="false">IF(AE227="","",IF(IFERROR(INDEX($G:$G,MATCH(AE227,$A:$A,0)),"")="","",TRIM(IF(ISNUMBER(FIND(",",IFERROR(INDEX($G:$G,MATCH(AE227,$A:$A,0)),""))),LEFT(IFERROR(INDEX($G:$G,MATCH(AE227,$A:$A,0)),""),FIND(",",IFERROR(INDEX($G:$G,MATCH(AE227,$A:$A,0)),""))-1),IFERROR(INDEX($G:$G,MATCH(AE227,$A:$A,0)),"")))))</f>
        <v/>
      </c>
      <c r="AG227" s="18" t="str">
        <f aca="false">IF(AF227="","",IF(IFERROR(INDEX($G:$G,MATCH(AF227,$A:$A,0)),"")="","",TRIM(IF(ISNUMBER(FIND(",",IFERROR(INDEX($G:$G,MATCH(AF227,$A:$A,0)),""))),LEFT(IFERROR(INDEX($G:$G,MATCH(AF227,$A:$A,0)),""),FIND(",",IFERROR(INDEX($G:$G,MATCH(AF227,$A:$A,0)),""))-1),IFERROR(INDEX($G:$G,MATCH(AF227,$A:$A,0)),"")))))</f>
        <v/>
      </c>
    </row>
    <row r="228" customFormat="false" ht="15" hidden="false" customHeight="false" outlineLevel="0" collapsed="false">
      <c r="A228" s="18"/>
      <c r="B228" s="19"/>
      <c r="C228" s="20"/>
      <c r="D228" s="20"/>
      <c r="E228" s="20"/>
      <c r="F228" s="20"/>
      <c r="G228" s="18"/>
      <c r="H228" s="20"/>
      <c r="I228" s="18"/>
      <c r="J228" s="20"/>
      <c r="K228" s="20"/>
      <c r="L228" s="20"/>
      <c r="M228" s="20"/>
      <c r="N228" s="20"/>
      <c r="O228" s="21" t="str">
        <f aca="false">IF(A228="","",IF(AD228="",0,IF(AE228="",1,IF(AF228="",2,IF(AG228="",3,"4+")))))</f>
        <v/>
      </c>
      <c r="P228" s="21" t="str">
        <f aca="false">IF(A228="","",B228&amp;IF(AD228="",""," &lt;- "&amp;IFERROR(INDEX($B:$B,MATCH(AD228,$A:$A,0)),AD228)&amp;IF(AE228="",""," &lt;- "&amp;IFERROR(INDEX($B:$B,MATCH(AE228,$A:$A,0)),AE228)&amp;IF(AF228="",""," &lt;- "&amp;IFERROR(INDEX($B:$B,MATCH(AF228,$A:$A,0)),AF228)&amp;IF(AG228="",""," &lt;- "&amp;IFERROR(INDEX($B:$B,MATCH(AG228,$A:$A,0)),AG228)))))&amp;IF(ISNUMBER(FIND(",",G228))," (+ other parents)",""))</f>
        <v/>
      </c>
      <c r="Q228" s="21" t="str">
        <f aca="false">IF(A228="","",IF(AD228="",E228&amp;"",IF(AE228="",IF(IFERROR(INDEX($E:$E,MATCH(AD228,$A:$A,0)),"")="","",INDEX($E:$E,MATCH(AD228,$A:$A,0))),IF(AF228="",IF(IFERROR(INDEX($E:$E,MATCH(AE228,$A:$A,0)),"")="","",INDEX($E:$E,MATCH(AE228,$A:$A,0))),IF(AG228="",IF(IFERROR(INDEX($E:$E,MATCH(AF228,$A:$A,0)),"")="","",INDEX($E:$E,MATCH(AF228,$A:$A,0))),IF(IFERROR(INDEX($E:$E,MATCH(AG228,$A:$A,0)),"")="","",INDEX($E:$E,MATCH(AG228,$A:$A,0))))))))</f>
        <v/>
      </c>
      <c r="R228" s="21" t="str">
        <f aca="false">IF(A228="","",COUNTIF(Fields!$D:$D,A228))</f>
        <v/>
      </c>
      <c r="S228" s="21" t="str">
        <f aca="false">IF(A228="","",SUMIF(Fields!$D:$D,A228,Fields!$Q:$Q))</f>
        <v/>
      </c>
      <c r="T228" s="21" t="str">
        <f aca="false">IF(A228="","",COUNTIF('Product inputs'!$D:$D,A228))</f>
        <v/>
      </c>
      <c r="U228" s="20"/>
      <c r="V228" s="20"/>
      <c r="W228" s="20"/>
      <c r="X228" s="20"/>
      <c r="Y228" s="20"/>
      <c r="Z228" s="20"/>
      <c r="AA228" s="20"/>
      <c r="AB228" s="20"/>
      <c r="AC228" s="20"/>
      <c r="AD228" s="18" t="str">
        <f aca="false">IF(A228="","",IF(IFERROR(INDEX($G:$G,MATCH(A228,$A:$A,0)),"")="","",TRIM(IF(ISNUMBER(FIND(",",IFERROR(INDEX($G:$G,MATCH(A228,$A:$A,0)),""))),LEFT(IFERROR(INDEX($G:$G,MATCH(A228,$A:$A,0)),""),FIND(",",IFERROR(INDEX($G:$G,MATCH(A228,$A:$A,0)),""))-1),IFERROR(INDEX($G:$G,MATCH(A228,$A:$A,0)),"")))))</f>
        <v/>
      </c>
      <c r="AE228" s="18" t="str">
        <f aca="false">IF(AD228="","",IF(IFERROR(INDEX($G:$G,MATCH(AD228,$A:$A,0)),"")="","",TRIM(IF(ISNUMBER(FIND(",",IFERROR(INDEX($G:$G,MATCH(AD228,$A:$A,0)),""))),LEFT(IFERROR(INDEX($G:$G,MATCH(AD228,$A:$A,0)),""),FIND(",",IFERROR(INDEX($G:$G,MATCH(AD228,$A:$A,0)),""))-1),IFERROR(INDEX($G:$G,MATCH(AD228,$A:$A,0)),"")))))</f>
        <v/>
      </c>
      <c r="AF228" s="18" t="str">
        <f aca="false">IF(AE228="","",IF(IFERROR(INDEX($G:$G,MATCH(AE228,$A:$A,0)),"")="","",TRIM(IF(ISNUMBER(FIND(",",IFERROR(INDEX($G:$G,MATCH(AE228,$A:$A,0)),""))),LEFT(IFERROR(INDEX($G:$G,MATCH(AE228,$A:$A,0)),""),FIND(",",IFERROR(INDEX($G:$G,MATCH(AE228,$A:$A,0)),""))-1),IFERROR(INDEX($G:$G,MATCH(AE228,$A:$A,0)),"")))))</f>
        <v/>
      </c>
      <c r="AG228" s="18" t="str">
        <f aca="false">IF(AF228="","",IF(IFERROR(INDEX($G:$G,MATCH(AF228,$A:$A,0)),"")="","",TRIM(IF(ISNUMBER(FIND(",",IFERROR(INDEX($G:$G,MATCH(AF228,$A:$A,0)),""))),LEFT(IFERROR(INDEX($G:$G,MATCH(AF228,$A:$A,0)),""),FIND(",",IFERROR(INDEX($G:$G,MATCH(AF228,$A:$A,0)),""))-1),IFERROR(INDEX($G:$G,MATCH(AF228,$A:$A,0)),"")))))</f>
        <v/>
      </c>
    </row>
    <row r="229" customFormat="false" ht="15" hidden="false" customHeight="false" outlineLevel="0" collapsed="false">
      <c r="A229" s="18"/>
      <c r="B229" s="19"/>
      <c r="C229" s="20"/>
      <c r="D229" s="20"/>
      <c r="E229" s="20"/>
      <c r="F229" s="20"/>
      <c r="G229" s="18"/>
      <c r="H229" s="20"/>
      <c r="I229" s="18"/>
      <c r="J229" s="20"/>
      <c r="K229" s="20"/>
      <c r="L229" s="20"/>
      <c r="M229" s="20"/>
      <c r="N229" s="20"/>
      <c r="O229" s="21" t="str">
        <f aca="false">IF(A229="","",IF(AD229="",0,IF(AE229="",1,IF(AF229="",2,IF(AG229="",3,"4+")))))</f>
        <v/>
      </c>
      <c r="P229" s="21" t="str">
        <f aca="false">IF(A229="","",B229&amp;IF(AD229="",""," &lt;- "&amp;IFERROR(INDEX($B:$B,MATCH(AD229,$A:$A,0)),AD229)&amp;IF(AE229="",""," &lt;- "&amp;IFERROR(INDEX($B:$B,MATCH(AE229,$A:$A,0)),AE229)&amp;IF(AF229="",""," &lt;- "&amp;IFERROR(INDEX($B:$B,MATCH(AF229,$A:$A,0)),AF229)&amp;IF(AG229="",""," &lt;- "&amp;IFERROR(INDEX($B:$B,MATCH(AG229,$A:$A,0)),AG229)))))&amp;IF(ISNUMBER(FIND(",",G229))," (+ other parents)",""))</f>
        <v/>
      </c>
      <c r="Q229" s="21" t="str">
        <f aca="false">IF(A229="","",IF(AD229="",E229&amp;"",IF(AE229="",IF(IFERROR(INDEX($E:$E,MATCH(AD229,$A:$A,0)),"")="","",INDEX($E:$E,MATCH(AD229,$A:$A,0))),IF(AF229="",IF(IFERROR(INDEX($E:$E,MATCH(AE229,$A:$A,0)),"")="","",INDEX($E:$E,MATCH(AE229,$A:$A,0))),IF(AG229="",IF(IFERROR(INDEX($E:$E,MATCH(AF229,$A:$A,0)),"")="","",INDEX($E:$E,MATCH(AF229,$A:$A,0))),IF(IFERROR(INDEX($E:$E,MATCH(AG229,$A:$A,0)),"")="","",INDEX($E:$E,MATCH(AG229,$A:$A,0))))))))</f>
        <v/>
      </c>
      <c r="R229" s="21" t="str">
        <f aca="false">IF(A229="","",COUNTIF(Fields!$D:$D,A229))</f>
        <v/>
      </c>
      <c r="S229" s="21" t="str">
        <f aca="false">IF(A229="","",SUMIF(Fields!$D:$D,A229,Fields!$Q:$Q))</f>
        <v/>
      </c>
      <c r="T229" s="21" t="str">
        <f aca="false">IF(A229="","",COUNTIF('Product inputs'!$D:$D,A229))</f>
        <v/>
      </c>
      <c r="U229" s="20"/>
      <c r="V229" s="20"/>
      <c r="W229" s="20"/>
      <c r="X229" s="20"/>
      <c r="Y229" s="20"/>
      <c r="Z229" s="20"/>
      <c r="AA229" s="20"/>
      <c r="AB229" s="20"/>
      <c r="AC229" s="20"/>
      <c r="AD229" s="18" t="str">
        <f aca="false">IF(A229="","",IF(IFERROR(INDEX($G:$G,MATCH(A229,$A:$A,0)),"")="","",TRIM(IF(ISNUMBER(FIND(",",IFERROR(INDEX($G:$G,MATCH(A229,$A:$A,0)),""))),LEFT(IFERROR(INDEX($G:$G,MATCH(A229,$A:$A,0)),""),FIND(",",IFERROR(INDEX($G:$G,MATCH(A229,$A:$A,0)),""))-1),IFERROR(INDEX($G:$G,MATCH(A229,$A:$A,0)),"")))))</f>
        <v/>
      </c>
      <c r="AE229" s="18" t="str">
        <f aca="false">IF(AD229="","",IF(IFERROR(INDEX($G:$G,MATCH(AD229,$A:$A,0)),"")="","",TRIM(IF(ISNUMBER(FIND(",",IFERROR(INDEX($G:$G,MATCH(AD229,$A:$A,0)),""))),LEFT(IFERROR(INDEX($G:$G,MATCH(AD229,$A:$A,0)),""),FIND(",",IFERROR(INDEX($G:$G,MATCH(AD229,$A:$A,0)),""))-1),IFERROR(INDEX($G:$G,MATCH(AD229,$A:$A,0)),"")))))</f>
        <v/>
      </c>
      <c r="AF229" s="18" t="str">
        <f aca="false">IF(AE229="","",IF(IFERROR(INDEX($G:$G,MATCH(AE229,$A:$A,0)),"")="","",TRIM(IF(ISNUMBER(FIND(",",IFERROR(INDEX($G:$G,MATCH(AE229,$A:$A,0)),""))),LEFT(IFERROR(INDEX($G:$G,MATCH(AE229,$A:$A,0)),""),FIND(",",IFERROR(INDEX($G:$G,MATCH(AE229,$A:$A,0)),""))-1),IFERROR(INDEX($G:$G,MATCH(AE229,$A:$A,0)),"")))))</f>
        <v/>
      </c>
      <c r="AG229" s="18" t="str">
        <f aca="false">IF(AF229="","",IF(IFERROR(INDEX($G:$G,MATCH(AF229,$A:$A,0)),"")="","",TRIM(IF(ISNUMBER(FIND(",",IFERROR(INDEX($G:$G,MATCH(AF229,$A:$A,0)),""))),LEFT(IFERROR(INDEX($G:$G,MATCH(AF229,$A:$A,0)),""),FIND(",",IFERROR(INDEX($G:$G,MATCH(AF229,$A:$A,0)),""))-1),IFERROR(INDEX($G:$G,MATCH(AF229,$A:$A,0)),"")))))</f>
        <v/>
      </c>
    </row>
    <row r="230" customFormat="false" ht="15" hidden="false" customHeight="false" outlineLevel="0" collapsed="false">
      <c r="A230" s="18"/>
      <c r="B230" s="19"/>
      <c r="C230" s="20"/>
      <c r="D230" s="20"/>
      <c r="E230" s="20"/>
      <c r="F230" s="20"/>
      <c r="G230" s="18"/>
      <c r="H230" s="20"/>
      <c r="I230" s="18"/>
      <c r="J230" s="20"/>
      <c r="K230" s="20"/>
      <c r="L230" s="20"/>
      <c r="M230" s="20"/>
      <c r="N230" s="20"/>
      <c r="O230" s="21" t="str">
        <f aca="false">IF(A230="","",IF(AD230="",0,IF(AE230="",1,IF(AF230="",2,IF(AG230="",3,"4+")))))</f>
        <v/>
      </c>
      <c r="P230" s="21" t="str">
        <f aca="false">IF(A230="","",B230&amp;IF(AD230="",""," &lt;- "&amp;IFERROR(INDEX($B:$B,MATCH(AD230,$A:$A,0)),AD230)&amp;IF(AE230="",""," &lt;- "&amp;IFERROR(INDEX($B:$B,MATCH(AE230,$A:$A,0)),AE230)&amp;IF(AF230="",""," &lt;- "&amp;IFERROR(INDEX($B:$B,MATCH(AF230,$A:$A,0)),AF230)&amp;IF(AG230="",""," &lt;- "&amp;IFERROR(INDEX($B:$B,MATCH(AG230,$A:$A,0)),AG230)))))&amp;IF(ISNUMBER(FIND(",",G230))," (+ other parents)",""))</f>
        <v/>
      </c>
      <c r="Q230" s="21" t="str">
        <f aca="false">IF(A230="","",IF(AD230="",E230&amp;"",IF(AE230="",IF(IFERROR(INDEX($E:$E,MATCH(AD230,$A:$A,0)),"")="","",INDEX($E:$E,MATCH(AD230,$A:$A,0))),IF(AF230="",IF(IFERROR(INDEX($E:$E,MATCH(AE230,$A:$A,0)),"")="","",INDEX($E:$E,MATCH(AE230,$A:$A,0))),IF(AG230="",IF(IFERROR(INDEX($E:$E,MATCH(AF230,$A:$A,0)),"")="","",INDEX($E:$E,MATCH(AF230,$A:$A,0))),IF(IFERROR(INDEX($E:$E,MATCH(AG230,$A:$A,0)),"")="","",INDEX($E:$E,MATCH(AG230,$A:$A,0))))))))</f>
        <v/>
      </c>
      <c r="R230" s="21" t="str">
        <f aca="false">IF(A230="","",COUNTIF(Fields!$D:$D,A230))</f>
        <v/>
      </c>
      <c r="S230" s="21" t="str">
        <f aca="false">IF(A230="","",SUMIF(Fields!$D:$D,A230,Fields!$Q:$Q))</f>
        <v/>
      </c>
      <c r="T230" s="21" t="str">
        <f aca="false">IF(A230="","",COUNTIF('Product inputs'!$D:$D,A230))</f>
        <v/>
      </c>
      <c r="U230" s="20"/>
      <c r="V230" s="20"/>
      <c r="W230" s="20"/>
      <c r="X230" s="20"/>
      <c r="Y230" s="20"/>
      <c r="Z230" s="20"/>
      <c r="AA230" s="20"/>
      <c r="AB230" s="20"/>
      <c r="AC230" s="20"/>
      <c r="AD230" s="18" t="str">
        <f aca="false">IF(A230="","",IF(IFERROR(INDEX($G:$G,MATCH(A230,$A:$A,0)),"")="","",TRIM(IF(ISNUMBER(FIND(",",IFERROR(INDEX($G:$G,MATCH(A230,$A:$A,0)),""))),LEFT(IFERROR(INDEX($G:$G,MATCH(A230,$A:$A,0)),""),FIND(",",IFERROR(INDEX($G:$G,MATCH(A230,$A:$A,0)),""))-1),IFERROR(INDEX($G:$G,MATCH(A230,$A:$A,0)),"")))))</f>
        <v/>
      </c>
      <c r="AE230" s="18" t="str">
        <f aca="false">IF(AD230="","",IF(IFERROR(INDEX($G:$G,MATCH(AD230,$A:$A,0)),"")="","",TRIM(IF(ISNUMBER(FIND(",",IFERROR(INDEX($G:$G,MATCH(AD230,$A:$A,0)),""))),LEFT(IFERROR(INDEX($G:$G,MATCH(AD230,$A:$A,0)),""),FIND(",",IFERROR(INDEX($G:$G,MATCH(AD230,$A:$A,0)),""))-1),IFERROR(INDEX($G:$G,MATCH(AD230,$A:$A,0)),"")))))</f>
        <v/>
      </c>
      <c r="AF230" s="18" t="str">
        <f aca="false">IF(AE230="","",IF(IFERROR(INDEX($G:$G,MATCH(AE230,$A:$A,0)),"")="","",TRIM(IF(ISNUMBER(FIND(",",IFERROR(INDEX($G:$G,MATCH(AE230,$A:$A,0)),""))),LEFT(IFERROR(INDEX($G:$G,MATCH(AE230,$A:$A,0)),""),FIND(",",IFERROR(INDEX($G:$G,MATCH(AE230,$A:$A,0)),""))-1),IFERROR(INDEX($G:$G,MATCH(AE230,$A:$A,0)),"")))))</f>
        <v/>
      </c>
      <c r="AG230" s="18" t="str">
        <f aca="false">IF(AF230="","",IF(IFERROR(INDEX($G:$G,MATCH(AF230,$A:$A,0)),"")="","",TRIM(IF(ISNUMBER(FIND(",",IFERROR(INDEX($G:$G,MATCH(AF230,$A:$A,0)),""))),LEFT(IFERROR(INDEX($G:$G,MATCH(AF230,$A:$A,0)),""),FIND(",",IFERROR(INDEX($G:$G,MATCH(AF230,$A:$A,0)),""))-1),IFERROR(INDEX($G:$G,MATCH(AF230,$A:$A,0)),"")))))</f>
        <v/>
      </c>
    </row>
    <row r="231" customFormat="false" ht="15" hidden="false" customHeight="false" outlineLevel="0" collapsed="false">
      <c r="A231" s="18"/>
      <c r="B231" s="19"/>
      <c r="C231" s="20"/>
      <c r="D231" s="20"/>
      <c r="E231" s="20"/>
      <c r="F231" s="20"/>
      <c r="G231" s="18"/>
      <c r="H231" s="20"/>
      <c r="I231" s="18"/>
      <c r="J231" s="20"/>
      <c r="K231" s="20"/>
      <c r="L231" s="20"/>
      <c r="M231" s="20"/>
      <c r="N231" s="20"/>
      <c r="O231" s="21" t="str">
        <f aca="false">IF(A231="","",IF(AD231="",0,IF(AE231="",1,IF(AF231="",2,IF(AG231="",3,"4+")))))</f>
        <v/>
      </c>
      <c r="P231" s="21" t="str">
        <f aca="false">IF(A231="","",B231&amp;IF(AD231="",""," &lt;- "&amp;IFERROR(INDEX($B:$B,MATCH(AD231,$A:$A,0)),AD231)&amp;IF(AE231="",""," &lt;- "&amp;IFERROR(INDEX($B:$B,MATCH(AE231,$A:$A,0)),AE231)&amp;IF(AF231="",""," &lt;- "&amp;IFERROR(INDEX($B:$B,MATCH(AF231,$A:$A,0)),AF231)&amp;IF(AG231="",""," &lt;- "&amp;IFERROR(INDEX($B:$B,MATCH(AG231,$A:$A,0)),AG231)))))&amp;IF(ISNUMBER(FIND(",",G231))," (+ other parents)",""))</f>
        <v/>
      </c>
      <c r="Q231" s="21" t="str">
        <f aca="false">IF(A231="","",IF(AD231="",E231&amp;"",IF(AE231="",IF(IFERROR(INDEX($E:$E,MATCH(AD231,$A:$A,0)),"")="","",INDEX($E:$E,MATCH(AD231,$A:$A,0))),IF(AF231="",IF(IFERROR(INDEX($E:$E,MATCH(AE231,$A:$A,0)),"")="","",INDEX($E:$E,MATCH(AE231,$A:$A,0))),IF(AG231="",IF(IFERROR(INDEX($E:$E,MATCH(AF231,$A:$A,0)),"")="","",INDEX($E:$E,MATCH(AF231,$A:$A,0))),IF(IFERROR(INDEX($E:$E,MATCH(AG231,$A:$A,0)),"")="","",INDEX($E:$E,MATCH(AG231,$A:$A,0))))))))</f>
        <v/>
      </c>
      <c r="R231" s="21" t="str">
        <f aca="false">IF(A231="","",COUNTIF(Fields!$D:$D,A231))</f>
        <v/>
      </c>
      <c r="S231" s="21" t="str">
        <f aca="false">IF(A231="","",SUMIF(Fields!$D:$D,A231,Fields!$Q:$Q))</f>
        <v/>
      </c>
      <c r="T231" s="21" t="str">
        <f aca="false">IF(A231="","",COUNTIF('Product inputs'!$D:$D,A231))</f>
        <v/>
      </c>
      <c r="U231" s="20"/>
      <c r="V231" s="20"/>
      <c r="W231" s="20"/>
      <c r="X231" s="20"/>
      <c r="Y231" s="20"/>
      <c r="Z231" s="20"/>
      <c r="AA231" s="20"/>
      <c r="AB231" s="20"/>
      <c r="AC231" s="20"/>
      <c r="AD231" s="18" t="str">
        <f aca="false">IF(A231="","",IF(IFERROR(INDEX($G:$G,MATCH(A231,$A:$A,0)),"")="","",TRIM(IF(ISNUMBER(FIND(",",IFERROR(INDEX($G:$G,MATCH(A231,$A:$A,0)),""))),LEFT(IFERROR(INDEX($G:$G,MATCH(A231,$A:$A,0)),""),FIND(",",IFERROR(INDEX($G:$G,MATCH(A231,$A:$A,0)),""))-1),IFERROR(INDEX($G:$G,MATCH(A231,$A:$A,0)),"")))))</f>
        <v/>
      </c>
      <c r="AE231" s="18" t="str">
        <f aca="false">IF(AD231="","",IF(IFERROR(INDEX($G:$G,MATCH(AD231,$A:$A,0)),"")="","",TRIM(IF(ISNUMBER(FIND(",",IFERROR(INDEX($G:$G,MATCH(AD231,$A:$A,0)),""))),LEFT(IFERROR(INDEX($G:$G,MATCH(AD231,$A:$A,0)),""),FIND(",",IFERROR(INDEX($G:$G,MATCH(AD231,$A:$A,0)),""))-1),IFERROR(INDEX($G:$G,MATCH(AD231,$A:$A,0)),"")))))</f>
        <v/>
      </c>
      <c r="AF231" s="18" t="str">
        <f aca="false">IF(AE231="","",IF(IFERROR(INDEX($G:$G,MATCH(AE231,$A:$A,0)),"")="","",TRIM(IF(ISNUMBER(FIND(",",IFERROR(INDEX($G:$G,MATCH(AE231,$A:$A,0)),""))),LEFT(IFERROR(INDEX($G:$G,MATCH(AE231,$A:$A,0)),""),FIND(",",IFERROR(INDEX($G:$G,MATCH(AE231,$A:$A,0)),""))-1),IFERROR(INDEX($G:$G,MATCH(AE231,$A:$A,0)),"")))))</f>
        <v/>
      </c>
      <c r="AG231" s="18" t="str">
        <f aca="false">IF(AF231="","",IF(IFERROR(INDEX($G:$G,MATCH(AF231,$A:$A,0)),"")="","",TRIM(IF(ISNUMBER(FIND(",",IFERROR(INDEX($G:$G,MATCH(AF231,$A:$A,0)),""))),LEFT(IFERROR(INDEX($G:$G,MATCH(AF231,$A:$A,0)),""),FIND(",",IFERROR(INDEX($G:$G,MATCH(AF231,$A:$A,0)),""))-1),IFERROR(INDEX($G:$G,MATCH(AF231,$A:$A,0)),"")))))</f>
        <v/>
      </c>
    </row>
    <row r="232" customFormat="false" ht="15" hidden="false" customHeight="false" outlineLevel="0" collapsed="false">
      <c r="A232" s="18"/>
      <c r="B232" s="19"/>
      <c r="C232" s="20"/>
      <c r="D232" s="20"/>
      <c r="E232" s="20"/>
      <c r="F232" s="20"/>
      <c r="G232" s="18"/>
      <c r="H232" s="20"/>
      <c r="I232" s="18"/>
      <c r="J232" s="20"/>
      <c r="K232" s="20"/>
      <c r="L232" s="20"/>
      <c r="M232" s="20"/>
      <c r="N232" s="20"/>
      <c r="O232" s="21" t="str">
        <f aca="false">IF(A232="","",IF(AD232="",0,IF(AE232="",1,IF(AF232="",2,IF(AG232="",3,"4+")))))</f>
        <v/>
      </c>
      <c r="P232" s="21" t="str">
        <f aca="false">IF(A232="","",B232&amp;IF(AD232="",""," &lt;- "&amp;IFERROR(INDEX($B:$B,MATCH(AD232,$A:$A,0)),AD232)&amp;IF(AE232="",""," &lt;- "&amp;IFERROR(INDEX($B:$B,MATCH(AE232,$A:$A,0)),AE232)&amp;IF(AF232="",""," &lt;- "&amp;IFERROR(INDEX($B:$B,MATCH(AF232,$A:$A,0)),AF232)&amp;IF(AG232="",""," &lt;- "&amp;IFERROR(INDEX($B:$B,MATCH(AG232,$A:$A,0)),AG232)))))&amp;IF(ISNUMBER(FIND(",",G232))," (+ other parents)",""))</f>
        <v/>
      </c>
      <c r="Q232" s="21" t="str">
        <f aca="false">IF(A232="","",IF(AD232="",E232&amp;"",IF(AE232="",IF(IFERROR(INDEX($E:$E,MATCH(AD232,$A:$A,0)),"")="","",INDEX($E:$E,MATCH(AD232,$A:$A,0))),IF(AF232="",IF(IFERROR(INDEX($E:$E,MATCH(AE232,$A:$A,0)),"")="","",INDEX($E:$E,MATCH(AE232,$A:$A,0))),IF(AG232="",IF(IFERROR(INDEX($E:$E,MATCH(AF232,$A:$A,0)),"")="","",INDEX($E:$E,MATCH(AF232,$A:$A,0))),IF(IFERROR(INDEX($E:$E,MATCH(AG232,$A:$A,0)),"")="","",INDEX($E:$E,MATCH(AG232,$A:$A,0))))))))</f>
        <v/>
      </c>
      <c r="R232" s="21" t="str">
        <f aca="false">IF(A232="","",COUNTIF(Fields!$D:$D,A232))</f>
        <v/>
      </c>
      <c r="S232" s="21" t="str">
        <f aca="false">IF(A232="","",SUMIF(Fields!$D:$D,A232,Fields!$Q:$Q))</f>
        <v/>
      </c>
      <c r="T232" s="21" t="str">
        <f aca="false">IF(A232="","",COUNTIF('Product inputs'!$D:$D,A232))</f>
        <v/>
      </c>
      <c r="U232" s="20"/>
      <c r="V232" s="20"/>
      <c r="W232" s="20"/>
      <c r="X232" s="20"/>
      <c r="Y232" s="20"/>
      <c r="Z232" s="20"/>
      <c r="AA232" s="20"/>
      <c r="AB232" s="20"/>
      <c r="AC232" s="20"/>
      <c r="AD232" s="18" t="str">
        <f aca="false">IF(A232="","",IF(IFERROR(INDEX($G:$G,MATCH(A232,$A:$A,0)),"")="","",TRIM(IF(ISNUMBER(FIND(",",IFERROR(INDEX($G:$G,MATCH(A232,$A:$A,0)),""))),LEFT(IFERROR(INDEX($G:$G,MATCH(A232,$A:$A,0)),""),FIND(",",IFERROR(INDEX($G:$G,MATCH(A232,$A:$A,0)),""))-1),IFERROR(INDEX($G:$G,MATCH(A232,$A:$A,0)),"")))))</f>
        <v/>
      </c>
      <c r="AE232" s="18" t="str">
        <f aca="false">IF(AD232="","",IF(IFERROR(INDEX($G:$G,MATCH(AD232,$A:$A,0)),"")="","",TRIM(IF(ISNUMBER(FIND(",",IFERROR(INDEX($G:$G,MATCH(AD232,$A:$A,0)),""))),LEFT(IFERROR(INDEX($G:$G,MATCH(AD232,$A:$A,0)),""),FIND(",",IFERROR(INDEX($G:$G,MATCH(AD232,$A:$A,0)),""))-1),IFERROR(INDEX($G:$G,MATCH(AD232,$A:$A,0)),"")))))</f>
        <v/>
      </c>
      <c r="AF232" s="18" t="str">
        <f aca="false">IF(AE232="","",IF(IFERROR(INDEX($G:$G,MATCH(AE232,$A:$A,0)),"")="","",TRIM(IF(ISNUMBER(FIND(",",IFERROR(INDEX($G:$G,MATCH(AE232,$A:$A,0)),""))),LEFT(IFERROR(INDEX($G:$G,MATCH(AE232,$A:$A,0)),""),FIND(",",IFERROR(INDEX($G:$G,MATCH(AE232,$A:$A,0)),""))-1),IFERROR(INDEX($G:$G,MATCH(AE232,$A:$A,0)),"")))))</f>
        <v/>
      </c>
      <c r="AG232" s="18" t="str">
        <f aca="false">IF(AF232="","",IF(IFERROR(INDEX($G:$G,MATCH(AF232,$A:$A,0)),"")="","",TRIM(IF(ISNUMBER(FIND(",",IFERROR(INDEX($G:$G,MATCH(AF232,$A:$A,0)),""))),LEFT(IFERROR(INDEX($G:$G,MATCH(AF232,$A:$A,0)),""),FIND(",",IFERROR(INDEX($G:$G,MATCH(AF232,$A:$A,0)),""))-1),IFERROR(INDEX($G:$G,MATCH(AF232,$A:$A,0)),"")))))</f>
        <v/>
      </c>
    </row>
    <row r="233" customFormat="false" ht="15" hidden="false" customHeight="false" outlineLevel="0" collapsed="false">
      <c r="A233" s="18"/>
      <c r="B233" s="19"/>
      <c r="C233" s="20"/>
      <c r="D233" s="20"/>
      <c r="E233" s="20"/>
      <c r="F233" s="20"/>
      <c r="G233" s="18"/>
      <c r="H233" s="20"/>
      <c r="I233" s="18"/>
      <c r="J233" s="20"/>
      <c r="K233" s="20"/>
      <c r="L233" s="20"/>
      <c r="M233" s="20"/>
      <c r="N233" s="20"/>
      <c r="O233" s="21" t="str">
        <f aca="false">IF(A233="","",IF(AD233="",0,IF(AE233="",1,IF(AF233="",2,IF(AG233="",3,"4+")))))</f>
        <v/>
      </c>
      <c r="P233" s="21" t="str">
        <f aca="false">IF(A233="","",B233&amp;IF(AD233="",""," &lt;- "&amp;IFERROR(INDEX($B:$B,MATCH(AD233,$A:$A,0)),AD233)&amp;IF(AE233="",""," &lt;- "&amp;IFERROR(INDEX($B:$B,MATCH(AE233,$A:$A,0)),AE233)&amp;IF(AF233="",""," &lt;- "&amp;IFERROR(INDEX($B:$B,MATCH(AF233,$A:$A,0)),AF233)&amp;IF(AG233="",""," &lt;- "&amp;IFERROR(INDEX($B:$B,MATCH(AG233,$A:$A,0)),AG233)))))&amp;IF(ISNUMBER(FIND(",",G233))," (+ other parents)",""))</f>
        <v/>
      </c>
      <c r="Q233" s="21" t="str">
        <f aca="false">IF(A233="","",IF(AD233="",E233&amp;"",IF(AE233="",IF(IFERROR(INDEX($E:$E,MATCH(AD233,$A:$A,0)),"")="","",INDEX($E:$E,MATCH(AD233,$A:$A,0))),IF(AF233="",IF(IFERROR(INDEX($E:$E,MATCH(AE233,$A:$A,0)),"")="","",INDEX($E:$E,MATCH(AE233,$A:$A,0))),IF(AG233="",IF(IFERROR(INDEX($E:$E,MATCH(AF233,$A:$A,0)),"")="","",INDEX($E:$E,MATCH(AF233,$A:$A,0))),IF(IFERROR(INDEX($E:$E,MATCH(AG233,$A:$A,0)),"")="","",INDEX($E:$E,MATCH(AG233,$A:$A,0))))))))</f>
        <v/>
      </c>
      <c r="R233" s="21" t="str">
        <f aca="false">IF(A233="","",COUNTIF(Fields!$D:$D,A233))</f>
        <v/>
      </c>
      <c r="S233" s="21" t="str">
        <f aca="false">IF(A233="","",SUMIF(Fields!$D:$D,A233,Fields!$Q:$Q))</f>
        <v/>
      </c>
      <c r="T233" s="21" t="str">
        <f aca="false">IF(A233="","",COUNTIF('Product inputs'!$D:$D,A233))</f>
        <v/>
      </c>
      <c r="U233" s="20"/>
      <c r="V233" s="20"/>
      <c r="W233" s="20"/>
      <c r="X233" s="20"/>
      <c r="Y233" s="20"/>
      <c r="Z233" s="20"/>
      <c r="AA233" s="20"/>
      <c r="AB233" s="20"/>
      <c r="AC233" s="20"/>
      <c r="AD233" s="18" t="str">
        <f aca="false">IF(A233="","",IF(IFERROR(INDEX($G:$G,MATCH(A233,$A:$A,0)),"")="","",TRIM(IF(ISNUMBER(FIND(",",IFERROR(INDEX($G:$G,MATCH(A233,$A:$A,0)),""))),LEFT(IFERROR(INDEX($G:$G,MATCH(A233,$A:$A,0)),""),FIND(",",IFERROR(INDEX($G:$G,MATCH(A233,$A:$A,0)),""))-1),IFERROR(INDEX($G:$G,MATCH(A233,$A:$A,0)),"")))))</f>
        <v/>
      </c>
      <c r="AE233" s="18" t="str">
        <f aca="false">IF(AD233="","",IF(IFERROR(INDEX($G:$G,MATCH(AD233,$A:$A,0)),"")="","",TRIM(IF(ISNUMBER(FIND(",",IFERROR(INDEX($G:$G,MATCH(AD233,$A:$A,0)),""))),LEFT(IFERROR(INDEX($G:$G,MATCH(AD233,$A:$A,0)),""),FIND(",",IFERROR(INDEX($G:$G,MATCH(AD233,$A:$A,0)),""))-1),IFERROR(INDEX($G:$G,MATCH(AD233,$A:$A,0)),"")))))</f>
        <v/>
      </c>
      <c r="AF233" s="18" t="str">
        <f aca="false">IF(AE233="","",IF(IFERROR(INDEX($G:$G,MATCH(AE233,$A:$A,0)),"")="","",TRIM(IF(ISNUMBER(FIND(",",IFERROR(INDEX($G:$G,MATCH(AE233,$A:$A,0)),""))),LEFT(IFERROR(INDEX($G:$G,MATCH(AE233,$A:$A,0)),""),FIND(",",IFERROR(INDEX($G:$G,MATCH(AE233,$A:$A,0)),""))-1),IFERROR(INDEX($G:$G,MATCH(AE233,$A:$A,0)),"")))))</f>
        <v/>
      </c>
      <c r="AG233" s="18" t="str">
        <f aca="false">IF(AF233="","",IF(IFERROR(INDEX($G:$G,MATCH(AF233,$A:$A,0)),"")="","",TRIM(IF(ISNUMBER(FIND(",",IFERROR(INDEX($G:$G,MATCH(AF233,$A:$A,0)),""))),LEFT(IFERROR(INDEX($G:$G,MATCH(AF233,$A:$A,0)),""),FIND(",",IFERROR(INDEX($G:$G,MATCH(AF233,$A:$A,0)),""))-1),IFERROR(INDEX($G:$G,MATCH(AF233,$A:$A,0)),"")))))</f>
        <v/>
      </c>
    </row>
    <row r="234" customFormat="false" ht="15" hidden="false" customHeight="false" outlineLevel="0" collapsed="false">
      <c r="A234" s="18"/>
      <c r="B234" s="19"/>
      <c r="C234" s="20"/>
      <c r="D234" s="20"/>
      <c r="E234" s="20"/>
      <c r="F234" s="20"/>
      <c r="G234" s="18"/>
      <c r="H234" s="20"/>
      <c r="I234" s="18"/>
      <c r="J234" s="20"/>
      <c r="K234" s="20"/>
      <c r="L234" s="20"/>
      <c r="M234" s="20"/>
      <c r="N234" s="20"/>
      <c r="O234" s="21" t="str">
        <f aca="false">IF(A234="","",IF(AD234="",0,IF(AE234="",1,IF(AF234="",2,IF(AG234="",3,"4+")))))</f>
        <v/>
      </c>
      <c r="P234" s="21" t="str">
        <f aca="false">IF(A234="","",B234&amp;IF(AD234="",""," &lt;- "&amp;IFERROR(INDEX($B:$B,MATCH(AD234,$A:$A,0)),AD234)&amp;IF(AE234="",""," &lt;- "&amp;IFERROR(INDEX($B:$B,MATCH(AE234,$A:$A,0)),AE234)&amp;IF(AF234="",""," &lt;- "&amp;IFERROR(INDEX($B:$B,MATCH(AF234,$A:$A,0)),AF234)&amp;IF(AG234="",""," &lt;- "&amp;IFERROR(INDEX($B:$B,MATCH(AG234,$A:$A,0)),AG234)))))&amp;IF(ISNUMBER(FIND(",",G234))," (+ other parents)",""))</f>
        <v/>
      </c>
      <c r="Q234" s="21" t="str">
        <f aca="false">IF(A234="","",IF(AD234="",E234&amp;"",IF(AE234="",IF(IFERROR(INDEX($E:$E,MATCH(AD234,$A:$A,0)),"")="","",INDEX($E:$E,MATCH(AD234,$A:$A,0))),IF(AF234="",IF(IFERROR(INDEX($E:$E,MATCH(AE234,$A:$A,0)),"")="","",INDEX($E:$E,MATCH(AE234,$A:$A,0))),IF(AG234="",IF(IFERROR(INDEX($E:$E,MATCH(AF234,$A:$A,0)),"")="","",INDEX($E:$E,MATCH(AF234,$A:$A,0))),IF(IFERROR(INDEX($E:$E,MATCH(AG234,$A:$A,0)),"")="","",INDEX($E:$E,MATCH(AG234,$A:$A,0))))))))</f>
        <v/>
      </c>
      <c r="R234" s="21" t="str">
        <f aca="false">IF(A234="","",COUNTIF(Fields!$D:$D,A234))</f>
        <v/>
      </c>
      <c r="S234" s="21" t="str">
        <f aca="false">IF(A234="","",SUMIF(Fields!$D:$D,A234,Fields!$Q:$Q))</f>
        <v/>
      </c>
      <c r="T234" s="21" t="str">
        <f aca="false">IF(A234="","",COUNTIF('Product inputs'!$D:$D,A234))</f>
        <v/>
      </c>
      <c r="U234" s="20"/>
      <c r="V234" s="20"/>
      <c r="W234" s="20"/>
      <c r="X234" s="20"/>
      <c r="Y234" s="20"/>
      <c r="Z234" s="20"/>
      <c r="AA234" s="20"/>
      <c r="AB234" s="20"/>
      <c r="AC234" s="20"/>
      <c r="AD234" s="18" t="str">
        <f aca="false">IF(A234="","",IF(IFERROR(INDEX($G:$G,MATCH(A234,$A:$A,0)),"")="","",TRIM(IF(ISNUMBER(FIND(",",IFERROR(INDEX($G:$G,MATCH(A234,$A:$A,0)),""))),LEFT(IFERROR(INDEX($G:$G,MATCH(A234,$A:$A,0)),""),FIND(",",IFERROR(INDEX($G:$G,MATCH(A234,$A:$A,0)),""))-1),IFERROR(INDEX($G:$G,MATCH(A234,$A:$A,0)),"")))))</f>
        <v/>
      </c>
      <c r="AE234" s="18" t="str">
        <f aca="false">IF(AD234="","",IF(IFERROR(INDEX($G:$G,MATCH(AD234,$A:$A,0)),"")="","",TRIM(IF(ISNUMBER(FIND(",",IFERROR(INDEX($G:$G,MATCH(AD234,$A:$A,0)),""))),LEFT(IFERROR(INDEX($G:$G,MATCH(AD234,$A:$A,0)),""),FIND(",",IFERROR(INDEX($G:$G,MATCH(AD234,$A:$A,0)),""))-1),IFERROR(INDEX($G:$G,MATCH(AD234,$A:$A,0)),"")))))</f>
        <v/>
      </c>
      <c r="AF234" s="18" t="str">
        <f aca="false">IF(AE234="","",IF(IFERROR(INDEX($G:$G,MATCH(AE234,$A:$A,0)),"")="","",TRIM(IF(ISNUMBER(FIND(",",IFERROR(INDEX($G:$G,MATCH(AE234,$A:$A,0)),""))),LEFT(IFERROR(INDEX($G:$G,MATCH(AE234,$A:$A,0)),""),FIND(",",IFERROR(INDEX($G:$G,MATCH(AE234,$A:$A,0)),""))-1),IFERROR(INDEX($G:$G,MATCH(AE234,$A:$A,0)),"")))))</f>
        <v/>
      </c>
      <c r="AG234" s="18" t="str">
        <f aca="false">IF(AF234="","",IF(IFERROR(INDEX($G:$G,MATCH(AF234,$A:$A,0)),"")="","",TRIM(IF(ISNUMBER(FIND(",",IFERROR(INDEX($G:$G,MATCH(AF234,$A:$A,0)),""))),LEFT(IFERROR(INDEX($G:$G,MATCH(AF234,$A:$A,0)),""),FIND(",",IFERROR(INDEX($G:$G,MATCH(AF234,$A:$A,0)),""))-1),IFERROR(INDEX($G:$G,MATCH(AF234,$A:$A,0)),"")))))</f>
        <v/>
      </c>
    </row>
    <row r="235" customFormat="false" ht="15" hidden="false" customHeight="false" outlineLevel="0" collapsed="false">
      <c r="A235" s="18"/>
      <c r="B235" s="19"/>
      <c r="C235" s="20"/>
      <c r="D235" s="20"/>
      <c r="E235" s="20"/>
      <c r="F235" s="20"/>
      <c r="G235" s="18"/>
      <c r="H235" s="20"/>
      <c r="I235" s="18"/>
      <c r="J235" s="20"/>
      <c r="K235" s="20"/>
      <c r="L235" s="20"/>
      <c r="M235" s="20"/>
      <c r="N235" s="20"/>
      <c r="O235" s="21" t="str">
        <f aca="false">IF(A235="","",IF(AD235="",0,IF(AE235="",1,IF(AF235="",2,IF(AG235="",3,"4+")))))</f>
        <v/>
      </c>
      <c r="P235" s="21" t="str">
        <f aca="false">IF(A235="","",B235&amp;IF(AD235="",""," &lt;- "&amp;IFERROR(INDEX($B:$B,MATCH(AD235,$A:$A,0)),AD235)&amp;IF(AE235="",""," &lt;- "&amp;IFERROR(INDEX($B:$B,MATCH(AE235,$A:$A,0)),AE235)&amp;IF(AF235="",""," &lt;- "&amp;IFERROR(INDEX($B:$B,MATCH(AF235,$A:$A,0)),AF235)&amp;IF(AG235="",""," &lt;- "&amp;IFERROR(INDEX($B:$B,MATCH(AG235,$A:$A,0)),AG235)))))&amp;IF(ISNUMBER(FIND(",",G235))," (+ other parents)",""))</f>
        <v/>
      </c>
      <c r="Q235" s="21" t="str">
        <f aca="false">IF(A235="","",IF(AD235="",E235&amp;"",IF(AE235="",IF(IFERROR(INDEX($E:$E,MATCH(AD235,$A:$A,0)),"")="","",INDEX($E:$E,MATCH(AD235,$A:$A,0))),IF(AF235="",IF(IFERROR(INDEX($E:$E,MATCH(AE235,$A:$A,0)),"")="","",INDEX($E:$E,MATCH(AE235,$A:$A,0))),IF(AG235="",IF(IFERROR(INDEX($E:$E,MATCH(AF235,$A:$A,0)),"")="","",INDEX($E:$E,MATCH(AF235,$A:$A,0))),IF(IFERROR(INDEX($E:$E,MATCH(AG235,$A:$A,0)),"")="","",INDEX($E:$E,MATCH(AG235,$A:$A,0))))))))</f>
        <v/>
      </c>
      <c r="R235" s="21" t="str">
        <f aca="false">IF(A235="","",COUNTIF(Fields!$D:$D,A235))</f>
        <v/>
      </c>
      <c r="S235" s="21" t="str">
        <f aca="false">IF(A235="","",SUMIF(Fields!$D:$D,A235,Fields!$Q:$Q))</f>
        <v/>
      </c>
      <c r="T235" s="21" t="str">
        <f aca="false">IF(A235="","",COUNTIF('Product inputs'!$D:$D,A235))</f>
        <v/>
      </c>
      <c r="U235" s="20"/>
      <c r="V235" s="20"/>
      <c r="W235" s="20"/>
      <c r="X235" s="20"/>
      <c r="Y235" s="20"/>
      <c r="Z235" s="20"/>
      <c r="AA235" s="20"/>
      <c r="AB235" s="20"/>
      <c r="AC235" s="20"/>
      <c r="AD235" s="18" t="str">
        <f aca="false">IF(A235="","",IF(IFERROR(INDEX($G:$G,MATCH(A235,$A:$A,0)),"")="","",TRIM(IF(ISNUMBER(FIND(",",IFERROR(INDEX($G:$G,MATCH(A235,$A:$A,0)),""))),LEFT(IFERROR(INDEX($G:$G,MATCH(A235,$A:$A,0)),""),FIND(",",IFERROR(INDEX($G:$G,MATCH(A235,$A:$A,0)),""))-1),IFERROR(INDEX($G:$G,MATCH(A235,$A:$A,0)),"")))))</f>
        <v/>
      </c>
      <c r="AE235" s="18" t="str">
        <f aca="false">IF(AD235="","",IF(IFERROR(INDEX($G:$G,MATCH(AD235,$A:$A,0)),"")="","",TRIM(IF(ISNUMBER(FIND(",",IFERROR(INDEX($G:$G,MATCH(AD235,$A:$A,0)),""))),LEFT(IFERROR(INDEX($G:$G,MATCH(AD235,$A:$A,0)),""),FIND(",",IFERROR(INDEX($G:$G,MATCH(AD235,$A:$A,0)),""))-1),IFERROR(INDEX($G:$G,MATCH(AD235,$A:$A,0)),"")))))</f>
        <v/>
      </c>
      <c r="AF235" s="18" t="str">
        <f aca="false">IF(AE235="","",IF(IFERROR(INDEX($G:$G,MATCH(AE235,$A:$A,0)),"")="","",TRIM(IF(ISNUMBER(FIND(",",IFERROR(INDEX($G:$G,MATCH(AE235,$A:$A,0)),""))),LEFT(IFERROR(INDEX($G:$G,MATCH(AE235,$A:$A,0)),""),FIND(",",IFERROR(INDEX($G:$G,MATCH(AE235,$A:$A,0)),""))-1),IFERROR(INDEX($G:$G,MATCH(AE235,$A:$A,0)),"")))))</f>
        <v/>
      </c>
      <c r="AG235" s="18" t="str">
        <f aca="false">IF(AF235="","",IF(IFERROR(INDEX($G:$G,MATCH(AF235,$A:$A,0)),"")="","",TRIM(IF(ISNUMBER(FIND(",",IFERROR(INDEX($G:$G,MATCH(AF235,$A:$A,0)),""))),LEFT(IFERROR(INDEX($G:$G,MATCH(AF235,$A:$A,0)),""),FIND(",",IFERROR(INDEX($G:$G,MATCH(AF235,$A:$A,0)),""))-1),IFERROR(INDEX($G:$G,MATCH(AF235,$A:$A,0)),"")))))</f>
        <v/>
      </c>
    </row>
    <row r="236" customFormat="false" ht="15" hidden="false" customHeight="false" outlineLevel="0" collapsed="false">
      <c r="A236" s="18"/>
      <c r="B236" s="19"/>
      <c r="C236" s="20"/>
      <c r="D236" s="20"/>
      <c r="E236" s="20"/>
      <c r="F236" s="20"/>
      <c r="G236" s="18"/>
      <c r="H236" s="20"/>
      <c r="I236" s="18"/>
      <c r="J236" s="20"/>
      <c r="K236" s="20"/>
      <c r="L236" s="20"/>
      <c r="M236" s="20"/>
      <c r="N236" s="20"/>
      <c r="O236" s="21" t="str">
        <f aca="false">IF(A236="","",IF(AD236="",0,IF(AE236="",1,IF(AF236="",2,IF(AG236="",3,"4+")))))</f>
        <v/>
      </c>
      <c r="P236" s="21" t="str">
        <f aca="false">IF(A236="","",B236&amp;IF(AD236="",""," &lt;- "&amp;IFERROR(INDEX($B:$B,MATCH(AD236,$A:$A,0)),AD236)&amp;IF(AE236="",""," &lt;- "&amp;IFERROR(INDEX($B:$B,MATCH(AE236,$A:$A,0)),AE236)&amp;IF(AF236="",""," &lt;- "&amp;IFERROR(INDEX($B:$B,MATCH(AF236,$A:$A,0)),AF236)&amp;IF(AG236="",""," &lt;- "&amp;IFERROR(INDEX($B:$B,MATCH(AG236,$A:$A,0)),AG236)))))&amp;IF(ISNUMBER(FIND(",",G236))," (+ other parents)",""))</f>
        <v/>
      </c>
      <c r="Q236" s="21" t="str">
        <f aca="false">IF(A236="","",IF(AD236="",E236&amp;"",IF(AE236="",IF(IFERROR(INDEX($E:$E,MATCH(AD236,$A:$A,0)),"")="","",INDEX($E:$E,MATCH(AD236,$A:$A,0))),IF(AF236="",IF(IFERROR(INDEX($E:$E,MATCH(AE236,$A:$A,0)),"")="","",INDEX($E:$E,MATCH(AE236,$A:$A,0))),IF(AG236="",IF(IFERROR(INDEX($E:$E,MATCH(AF236,$A:$A,0)),"")="","",INDEX($E:$E,MATCH(AF236,$A:$A,0))),IF(IFERROR(INDEX($E:$E,MATCH(AG236,$A:$A,0)),"")="","",INDEX($E:$E,MATCH(AG236,$A:$A,0))))))))</f>
        <v/>
      </c>
      <c r="R236" s="21" t="str">
        <f aca="false">IF(A236="","",COUNTIF(Fields!$D:$D,A236))</f>
        <v/>
      </c>
      <c r="S236" s="21" t="str">
        <f aca="false">IF(A236="","",SUMIF(Fields!$D:$D,A236,Fields!$Q:$Q))</f>
        <v/>
      </c>
      <c r="T236" s="21" t="str">
        <f aca="false">IF(A236="","",COUNTIF('Product inputs'!$D:$D,A236))</f>
        <v/>
      </c>
      <c r="U236" s="20"/>
      <c r="V236" s="20"/>
      <c r="W236" s="20"/>
      <c r="X236" s="20"/>
      <c r="Y236" s="20"/>
      <c r="Z236" s="20"/>
      <c r="AA236" s="20"/>
      <c r="AB236" s="20"/>
      <c r="AC236" s="20"/>
      <c r="AD236" s="18" t="str">
        <f aca="false">IF(A236="","",IF(IFERROR(INDEX($G:$G,MATCH(A236,$A:$A,0)),"")="","",TRIM(IF(ISNUMBER(FIND(",",IFERROR(INDEX($G:$G,MATCH(A236,$A:$A,0)),""))),LEFT(IFERROR(INDEX($G:$G,MATCH(A236,$A:$A,0)),""),FIND(",",IFERROR(INDEX($G:$G,MATCH(A236,$A:$A,0)),""))-1),IFERROR(INDEX($G:$G,MATCH(A236,$A:$A,0)),"")))))</f>
        <v/>
      </c>
      <c r="AE236" s="18" t="str">
        <f aca="false">IF(AD236="","",IF(IFERROR(INDEX($G:$G,MATCH(AD236,$A:$A,0)),"")="","",TRIM(IF(ISNUMBER(FIND(",",IFERROR(INDEX($G:$G,MATCH(AD236,$A:$A,0)),""))),LEFT(IFERROR(INDEX($G:$G,MATCH(AD236,$A:$A,0)),""),FIND(",",IFERROR(INDEX($G:$G,MATCH(AD236,$A:$A,0)),""))-1),IFERROR(INDEX($G:$G,MATCH(AD236,$A:$A,0)),"")))))</f>
        <v/>
      </c>
      <c r="AF236" s="18" t="str">
        <f aca="false">IF(AE236="","",IF(IFERROR(INDEX($G:$G,MATCH(AE236,$A:$A,0)),"")="","",TRIM(IF(ISNUMBER(FIND(",",IFERROR(INDEX($G:$G,MATCH(AE236,$A:$A,0)),""))),LEFT(IFERROR(INDEX($G:$G,MATCH(AE236,$A:$A,0)),""),FIND(",",IFERROR(INDEX($G:$G,MATCH(AE236,$A:$A,0)),""))-1),IFERROR(INDEX($G:$G,MATCH(AE236,$A:$A,0)),"")))))</f>
        <v/>
      </c>
      <c r="AG236" s="18" t="str">
        <f aca="false">IF(AF236="","",IF(IFERROR(INDEX($G:$G,MATCH(AF236,$A:$A,0)),"")="","",TRIM(IF(ISNUMBER(FIND(",",IFERROR(INDEX($G:$G,MATCH(AF236,$A:$A,0)),""))),LEFT(IFERROR(INDEX($G:$G,MATCH(AF236,$A:$A,0)),""),FIND(",",IFERROR(INDEX($G:$G,MATCH(AF236,$A:$A,0)),""))-1),IFERROR(INDEX($G:$G,MATCH(AF236,$A:$A,0)),"")))))</f>
        <v/>
      </c>
    </row>
    <row r="237" customFormat="false" ht="15" hidden="false" customHeight="false" outlineLevel="0" collapsed="false">
      <c r="A237" s="18"/>
      <c r="B237" s="19"/>
      <c r="C237" s="20"/>
      <c r="D237" s="20"/>
      <c r="E237" s="20"/>
      <c r="F237" s="20"/>
      <c r="G237" s="18"/>
      <c r="H237" s="20"/>
      <c r="I237" s="18"/>
      <c r="J237" s="20"/>
      <c r="K237" s="20"/>
      <c r="L237" s="20"/>
      <c r="M237" s="20"/>
      <c r="N237" s="20"/>
      <c r="O237" s="21" t="str">
        <f aca="false">IF(A237="","",IF(AD237="",0,IF(AE237="",1,IF(AF237="",2,IF(AG237="",3,"4+")))))</f>
        <v/>
      </c>
      <c r="P237" s="21" t="str">
        <f aca="false">IF(A237="","",B237&amp;IF(AD237="",""," &lt;- "&amp;IFERROR(INDEX($B:$B,MATCH(AD237,$A:$A,0)),AD237)&amp;IF(AE237="",""," &lt;- "&amp;IFERROR(INDEX($B:$B,MATCH(AE237,$A:$A,0)),AE237)&amp;IF(AF237="",""," &lt;- "&amp;IFERROR(INDEX($B:$B,MATCH(AF237,$A:$A,0)),AF237)&amp;IF(AG237="",""," &lt;- "&amp;IFERROR(INDEX($B:$B,MATCH(AG237,$A:$A,0)),AG237)))))&amp;IF(ISNUMBER(FIND(",",G237))," (+ other parents)",""))</f>
        <v/>
      </c>
      <c r="Q237" s="21" t="str">
        <f aca="false">IF(A237="","",IF(AD237="",E237&amp;"",IF(AE237="",IF(IFERROR(INDEX($E:$E,MATCH(AD237,$A:$A,0)),"")="","",INDEX($E:$E,MATCH(AD237,$A:$A,0))),IF(AF237="",IF(IFERROR(INDEX($E:$E,MATCH(AE237,$A:$A,0)),"")="","",INDEX($E:$E,MATCH(AE237,$A:$A,0))),IF(AG237="",IF(IFERROR(INDEX($E:$E,MATCH(AF237,$A:$A,0)),"")="","",INDEX($E:$E,MATCH(AF237,$A:$A,0))),IF(IFERROR(INDEX($E:$E,MATCH(AG237,$A:$A,0)),"")="","",INDEX($E:$E,MATCH(AG237,$A:$A,0))))))))</f>
        <v/>
      </c>
      <c r="R237" s="21" t="str">
        <f aca="false">IF(A237="","",COUNTIF(Fields!$D:$D,A237))</f>
        <v/>
      </c>
      <c r="S237" s="21" t="str">
        <f aca="false">IF(A237="","",SUMIF(Fields!$D:$D,A237,Fields!$Q:$Q))</f>
        <v/>
      </c>
      <c r="T237" s="21" t="str">
        <f aca="false">IF(A237="","",COUNTIF('Product inputs'!$D:$D,A237))</f>
        <v/>
      </c>
      <c r="U237" s="20"/>
      <c r="V237" s="20"/>
      <c r="W237" s="20"/>
      <c r="X237" s="20"/>
      <c r="Y237" s="20"/>
      <c r="Z237" s="20"/>
      <c r="AA237" s="20"/>
      <c r="AB237" s="20"/>
      <c r="AC237" s="20"/>
      <c r="AD237" s="18" t="str">
        <f aca="false">IF(A237="","",IF(IFERROR(INDEX($G:$G,MATCH(A237,$A:$A,0)),"")="","",TRIM(IF(ISNUMBER(FIND(",",IFERROR(INDEX($G:$G,MATCH(A237,$A:$A,0)),""))),LEFT(IFERROR(INDEX($G:$G,MATCH(A237,$A:$A,0)),""),FIND(",",IFERROR(INDEX($G:$G,MATCH(A237,$A:$A,0)),""))-1),IFERROR(INDEX($G:$G,MATCH(A237,$A:$A,0)),"")))))</f>
        <v/>
      </c>
      <c r="AE237" s="18" t="str">
        <f aca="false">IF(AD237="","",IF(IFERROR(INDEX($G:$G,MATCH(AD237,$A:$A,0)),"")="","",TRIM(IF(ISNUMBER(FIND(",",IFERROR(INDEX($G:$G,MATCH(AD237,$A:$A,0)),""))),LEFT(IFERROR(INDEX($G:$G,MATCH(AD237,$A:$A,0)),""),FIND(",",IFERROR(INDEX($G:$G,MATCH(AD237,$A:$A,0)),""))-1),IFERROR(INDEX($G:$G,MATCH(AD237,$A:$A,0)),"")))))</f>
        <v/>
      </c>
      <c r="AF237" s="18" t="str">
        <f aca="false">IF(AE237="","",IF(IFERROR(INDEX($G:$G,MATCH(AE237,$A:$A,0)),"")="","",TRIM(IF(ISNUMBER(FIND(",",IFERROR(INDEX($G:$G,MATCH(AE237,$A:$A,0)),""))),LEFT(IFERROR(INDEX($G:$G,MATCH(AE237,$A:$A,0)),""),FIND(",",IFERROR(INDEX($G:$G,MATCH(AE237,$A:$A,0)),""))-1),IFERROR(INDEX($G:$G,MATCH(AE237,$A:$A,0)),"")))))</f>
        <v/>
      </c>
      <c r="AG237" s="18" t="str">
        <f aca="false">IF(AF237="","",IF(IFERROR(INDEX($G:$G,MATCH(AF237,$A:$A,0)),"")="","",TRIM(IF(ISNUMBER(FIND(",",IFERROR(INDEX($G:$G,MATCH(AF237,$A:$A,0)),""))),LEFT(IFERROR(INDEX($G:$G,MATCH(AF237,$A:$A,0)),""),FIND(",",IFERROR(INDEX($G:$G,MATCH(AF237,$A:$A,0)),""))-1),IFERROR(INDEX($G:$G,MATCH(AF237,$A:$A,0)),"")))))</f>
        <v/>
      </c>
    </row>
    <row r="238" customFormat="false" ht="15" hidden="false" customHeight="false" outlineLevel="0" collapsed="false">
      <c r="A238" s="18"/>
      <c r="B238" s="19"/>
      <c r="C238" s="20"/>
      <c r="D238" s="20"/>
      <c r="E238" s="20"/>
      <c r="F238" s="20"/>
      <c r="G238" s="18"/>
      <c r="H238" s="20"/>
      <c r="I238" s="18"/>
      <c r="J238" s="20"/>
      <c r="K238" s="20"/>
      <c r="L238" s="20"/>
      <c r="M238" s="20"/>
      <c r="N238" s="20"/>
      <c r="O238" s="21" t="str">
        <f aca="false">IF(A238="","",IF(AD238="",0,IF(AE238="",1,IF(AF238="",2,IF(AG238="",3,"4+")))))</f>
        <v/>
      </c>
      <c r="P238" s="21" t="str">
        <f aca="false">IF(A238="","",B238&amp;IF(AD238="",""," &lt;- "&amp;IFERROR(INDEX($B:$B,MATCH(AD238,$A:$A,0)),AD238)&amp;IF(AE238="",""," &lt;- "&amp;IFERROR(INDEX($B:$B,MATCH(AE238,$A:$A,0)),AE238)&amp;IF(AF238="",""," &lt;- "&amp;IFERROR(INDEX($B:$B,MATCH(AF238,$A:$A,0)),AF238)&amp;IF(AG238="",""," &lt;- "&amp;IFERROR(INDEX($B:$B,MATCH(AG238,$A:$A,0)),AG238)))))&amp;IF(ISNUMBER(FIND(",",G238))," (+ other parents)",""))</f>
        <v/>
      </c>
      <c r="Q238" s="21" t="str">
        <f aca="false">IF(A238="","",IF(AD238="",E238&amp;"",IF(AE238="",IF(IFERROR(INDEX($E:$E,MATCH(AD238,$A:$A,0)),"")="","",INDEX($E:$E,MATCH(AD238,$A:$A,0))),IF(AF238="",IF(IFERROR(INDEX($E:$E,MATCH(AE238,$A:$A,0)),"")="","",INDEX($E:$E,MATCH(AE238,$A:$A,0))),IF(AG238="",IF(IFERROR(INDEX($E:$E,MATCH(AF238,$A:$A,0)),"")="","",INDEX($E:$E,MATCH(AF238,$A:$A,0))),IF(IFERROR(INDEX($E:$E,MATCH(AG238,$A:$A,0)),"")="","",INDEX($E:$E,MATCH(AG238,$A:$A,0))))))))</f>
        <v/>
      </c>
      <c r="R238" s="21" t="str">
        <f aca="false">IF(A238="","",COUNTIF(Fields!$D:$D,A238))</f>
        <v/>
      </c>
      <c r="S238" s="21" t="str">
        <f aca="false">IF(A238="","",SUMIF(Fields!$D:$D,A238,Fields!$Q:$Q))</f>
        <v/>
      </c>
      <c r="T238" s="21" t="str">
        <f aca="false">IF(A238="","",COUNTIF('Product inputs'!$D:$D,A238))</f>
        <v/>
      </c>
      <c r="U238" s="20"/>
      <c r="V238" s="20"/>
      <c r="W238" s="20"/>
      <c r="X238" s="20"/>
      <c r="Y238" s="20"/>
      <c r="Z238" s="20"/>
      <c r="AA238" s="20"/>
      <c r="AB238" s="20"/>
      <c r="AC238" s="20"/>
      <c r="AD238" s="18" t="str">
        <f aca="false">IF(A238="","",IF(IFERROR(INDEX($G:$G,MATCH(A238,$A:$A,0)),"")="","",TRIM(IF(ISNUMBER(FIND(",",IFERROR(INDEX($G:$G,MATCH(A238,$A:$A,0)),""))),LEFT(IFERROR(INDEX($G:$G,MATCH(A238,$A:$A,0)),""),FIND(",",IFERROR(INDEX($G:$G,MATCH(A238,$A:$A,0)),""))-1),IFERROR(INDEX($G:$G,MATCH(A238,$A:$A,0)),"")))))</f>
        <v/>
      </c>
      <c r="AE238" s="18" t="str">
        <f aca="false">IF(AD238="","",IF(IFERROR(INDEX($G:$G,MATCH(AD238,$A:$A,0)),"")="","",TRIM(IF(ISNUMBER(FIND(",",IFERROR(INDEX($G:$G,MATCH(AD238,$A:$A,0)),""))),LEFT(IFERROR(INDEX($G:$G,MATCH(AD238,$A:$A,0)),""),FIND(",",IFERROR(INDEX($G:$G,MATCH(AD238,$A:$A,0)),""))-1),IFERROR(INDEX($G:$G,MATCH(AD238,$A:$A,0)),"")))))</f>
        <v/>
      </c>
      <c r="AF238" s="18" t="str">
        <f aca="false">IF(AE238="","",IF(IFERROR(INDEX($G:$G,MATCH(AE238,$A:$A,0)),"")="","",TRIM(IF(ISNUMBER(FIND(",",IFERROR(INDEX($G:$G,MATCH(AE238,$A:$A,0)),""))),LEFT(IFERROR(INDEX($G:$G,MATCH(AE238,$A:$A,0)),""),FIND(",",IFERROR(INDEX($G:$G,MATCH(AE238,$A:$A,0)),""))-1),IFERROR(INDEX($G:$G,MATCH(AE238,$A:$A,0)),"")))))</f>
        <v/>
      </c>
      <c r="AG238" s="18" t="str">
        <f aca="false">IF(AF238="","",IF(IFERROR(INDEX($G:$G,MATCH(AF238,$A:$A,0)),"")="","",TRIM(IF(ISNUMBER(FIND(",",IFERROR(INDEX($G:$G,MATCH(AF238,$A:$A,0)),""))),LEFT(IFERROR(INDEX($G:$G,MATCH(AF238,$A:$A,0)),""),FIND(",",IFERROR(INDEX($G:$G,MATCH(AF238,$A:$A,0)),""))-1),IFERROR(INDEX($G:$G,MATCH(AF238,$A:$A,0)),"")))))</f>
        <v/>
      </c>
    </row>
    <row r="239" customFormat="false" ht="15" hidden="false" customHeight="false" outlineLevel="0" collapsed="false">
      <c r="A239" s="18"/>
      <c r="B239" s="19"/>
      <c r="C239" s="20"/>
      <c r="D239" s="20"/>
      <c r="E239" s="20"/>
      <c r="F239" s="20"/>
      <c r="G239" s="18"/>
      <c r="H239" s="20"/>
      <c r="I239" s="18"/>
      <c r="J239" s="20"/>
      <c r="K239" s="20"/>
      <c r="L239" s="20"/>
      <c r="M239" s="20"/>
      <c r="N239" s="20"/>
      <c r="O239" s="21" t="str">
        <f aca="false">IF(A239="","",IF(AD239="",0,IF(AE239="",1,IF(AF239="",2,IF(AG239="",3,"4+")))))</f>
        <v/>
      </c>
      <c r="P239" s="21" t="str">
        <f aca="false">IF(A239="","",B239&amp;IF(AD239="",""," &lt;- "&amp;IFERROR(INDEX($B:$B,MATCH(AD239,$A:$A,0)),AD239)&amp;IF(AE239="",""," &lt;- "&amp;IFERROR(INDEX($B:$B,MATCH(AE239,$A:$A,0)),AE239)&amp;IF(AF239="",""," &lt;- "&amp;IFERROR(INDEX($B:$B,MATCH(AF239,$A:$A,0)),AF239)&amp;IF(AG239="",""," &lt;- "&amp;IFERROR(INDEX($B:$B,MATCH(AG239,$A:$A,0)),AG239)))))&amp;IF(ISNUMBER(FIND(",",G239))," (+ other parents)",""))</f>
        <v/>
      </c>
      <c r="Q239" s="21" t="str">
        <f aca="false">IF(A239="","",IF(AD239="",E239&amp;"",IF(AE239="",IF(IFERROR(INDEX($E:$E,MATCH(AD239,$A:$A,0)),"")="","",INDEX($E:$E,MATCH(AD239,$A:$A,0))),IF(AF239="",IF(IFERROR(INDEX($E:$E,MATCH(AE239,$A:$A,0)),"")="","",INDEX($E:$E,MATCH(AE239,$A:$A,0))),IF(AG239="",IF(IFERROR(INDEX($E:$E,MATCH(AF239,$A:$A,0)),"")="","",INDEX($E:$E,MATCH(AF239,$A:$A,0))),IF(IFERROR(INDEX($E:$E,MATCH(AG239,$A:$A,0)),"")="","",INDEX($E:$E,MATCH(AG239,$A:$A,0))))))))</f>
        <v/>
      </c>
      <c r="R239" s="21" t="str">
        <f aca="false">IF(A239="","",COUNTIF(Fields!$D:$D,A239))</f>
        <v/>
      </c>
      <c r="S239" s="21" t="str">
        <f aca="false">IF(A239="","",SUMIF(Fields!$D:$D,A239,Fields!$Q:$Q))</f>
        <v/>
      </c>
      <c r="T239" s="21" t="str">
        <f aca="false">IF(A239="","",COUNTIF('Product inputs'!$D:$D,A239))</f>
        <v/>
      </c>
      <c r="U239" s="20"/>
      <c r="V239" s="20"/>
      <c r="W239" s="20"/>
      <c r="X239" s="20"/>
      <c r="Y239" s="20"/>
      <c r="Z239" s="20"/>
      <c r="AA239" s="20"/>
      <c r="AB239" s="20"/>
      <c r="AC239" s="20"/>
      <c r="AD239" s="18" t="str">
        <f aca="false">IF(A239="","",IF(IFERROR(INDEX($G:$G,MATCH(A239,$A:$A,0)),"")="","",TRIM(IF(ISNUMBER(FIND(",",IFERROR(INDEX($G:$G,MATCH(A239,$A:$A,0)),""))),LEFT(IFERROR(INDEX($G:$G,MATCH(A239,$A:$A,0)),""),FIND(",",IFERROR(INDEX($G:$G,MATCH(A239,$A:$A,0)),""))-1),IFERROR(INDEX($G:$G,MATCH(A239,$A:$A,0)),"")))))</f>
        <v/>
      </c>
      <c r="AE239" s="18" t="str">
        <f aca="false">IF(AD239="","",IF(IFERROR(INDEX($G:$G,MATCH(AD239,$A:$A,0)),"")="","",TRIM(IF(ISNUMBER(FIND(",",IFERROR(INDEX($G:$G,MATCH(AD239,$A:$A,0)),""))),LEFT(IFERROR(INDEX($G:$G,MATCH(AD239,$A:$A,0)),""),FIND(",",IFERROR(INDEX($G:$G,MATCH(AD239,$A:$A,0)),""))-1),IFERROR(INDEX($G:$G,MATCH(AD239,$A:$A,0)),"")))))</f>
        <v/>
      </c>
      <c r="AF239" s="18" t="str">
        <f aca="false">IF(AE239="","",IF(IFERROR(INDEX($G:$G,MATCH(AE239,$A:$A,0)),"")="","",TRIM(IF(ISNUMBER(FIND(",",IFERROR(INDEX($G:$G,MATCH(AE239,$A:$A,0)),""))),LEFT(IFERROR(INDEX($G:$G,MATCH(AE239,$A:$A,0)),""),FIND(",",IFERROR(INDEX($G:$G,MATCH(AE239,$A:$A,0)),""))-1),IFERROR(INDEX($G:$G,MATCH(AE239,$A:$A,0)),"")))))</f>
        <v/>
      </c>
      <c r="AG239" s="18" t="str">
        <f aca="false">IF(AF239="","",IF(IFERROR(INDEX($G:$G,MATCH(AF239,$A:$A,0)),"")="","",TRIM(IF(ISNUMBER(FIND(",",IFERROR(INDEX($G:$G,MATCH(AF239,$A:$A,0)),""))),LEFT(IFERROR(INDEX($G:$G,MATCH(AF239,$A:$A,0)),""),FIND(",",IFERROR(INDEX($G:$G,MATCH(AF239,$A:$A,0)),""))-1),IFERROR(INDEX($G:$G,MATCH(AF239,$A:$A,0)),"")))))</f>
        <v/>
      </c>
    </row>
    <row r="240" customFormat="false" ht="15" hidden="false" customHeight="false" outlineLevel="0" collapsed="false">
      <c r="A240" s="18"/>
      <c r="B240" s="19"/>
      <c r="C240" s="20"/>
      <c r="D240" s="20"/>
      <c r="E240" s="20"/>
      <c r="F240" s="20"/>
      <c r="G240" s="18"/>
      <c r="H240" s="20"/>
      <c r="I240" s="18"/>
      <c r="J240" s="20"/>
      <c r="K240" s="20"/>
      <c r="L240" s="20"/>
      <c r="M240" s="20"/>
      <c r="N240" s="20"/>
      <c r="O240" s="21" t="str">
        <f aca="false">IF(A240="","",IF(AD240="",0,IF(AE240="",1,IF(AF240="",2,IF(AG240="",3,"4+")))))</f>
        <v/>
      </c>
      <c r="P240" s="21" t="str">
        <f aca="false">IF(A240="","",B240&amp;IF(AD240="",""," &lt;- "&amp;IFERROR(INDEX($B:$B,MATCH(AD240,$A:$A,0)),AD240)&amp;IF(AE240="",""," &lt;- "&amp;IFERROR(INDEX($B:$B,MATCH(AE240,$A:$A,0)),AE240)&amp;IF(AF240="",""," &lt;- "&amp;IFERROR(INDEX($B:$B,MATCH(AF240,$A:$A,0)),AF240)&amp;IF(AG240="",""," &lt;- "&amp;IFERROR(INDEX($B:$B,MATCH(AG240,$A:$A,0)),AG240)))))&amp;IF(ISNUMBER(FIND(",",G240))," (+ other parents)",""))</f>
        <v/>
      </c>
      <c r="Q240" s="21" t="str">
        <f aca="false">IF(A240="","",IF(AD240="",E240&amp;"",IF(AE240="",IF(IFERROR(INDEX($E:$E,MATCH(AD240,$A:$A,0)),"")="","",INDEX($E:$E,MATCH(AD240,$A:$A,0))),IF(AF240="",IF(IFERROR(INDEX($E:$E,MATCH(AE240,$A:$A,0)),"")="","",INDEX($E:$E,MATCH(AE240,$A:$A,0))),IF(AG240="",IF(IFERROR(INDEX($E:$E,MATCH(AF240,$A:$A,0)),"")="","",INDEX($E:$E,MATCH(AF240,$A:$A,0))),IF(IFERROR(INDEX($E:$E,MATCH(AG240,$A:$A,0)),"")="","",INDEX($E:$E,MATCH(AG240,$A:$A,0))))))))</f>
        <v/>
      </c>
      <c r="R240" s="21" t="str">
        <f aca="false">IF(A240="","",COUNTIF(Fields!$D:$D,A240))</f>
        <v/>
      </c>
      <c r="S240" s="21" t="str">
        <f aca="false">IF(A240="","",SUMIF(Fields!$D:$D,A240,Fields!$Q:$Q))</f>
        <v/>
      </c>
      <c r="T240" s="21" t="str">
        <f aca="false">IF(A240="","",COUNTIF('Product inputs'!$D:$D,A240))</f>
        <v/>
      </c>
      <c r="U240" s="20"/>
      <c r="V240" s="20"/>
      <c r="W240" s="20"/>
      <c r="X240" s="20"/>
      <c r="Y240" s="20"/>
      <c r="Z240" s="20"/>
      <c r="AA240" s="20"/>
      <c r="AB240" s="20"/>
      <c r="AC240" s="20"/>
      <c r="AD240" s="18" t="str">
        <f aca="false">IF(A240="","",IF(IFERROR(INDEX($G:$G,MATCH(A240,$A:$A,0)),"")="","",TRIM(IF(ISNUMBER(FIND(",",IFERROR(INDEX($G:$G,MATCH(A240,$A:$A,0)),""))),LEFT(IFERROR(INDEX($G:$G,MATCH(A240,$A:$A,0)),""),FIND(",",IFERROR(INDEX($G:$G,MATCH(A240,$A:$A,0)),""))-1),IFERROR(INDEX($G:$G,MATCH(A240,$A:$A,0)),"")))))</f>
        <v/>
      </c>
      <c r="AE240" s="18" t="str">
        <f aca="false">IF(AD240="","",IF(IFERROR(INDEX($G:$G,MATCH(AD240,$A:$A,0)),"")="","",TRIM(IF(ISNUMBER(FIND(",",IFERROR(INDEX($G:$G,MATCH(AD240,$A:$A,0)),""))),LEFT(IFERROR(INDEX($G:$G,MATCH(AD240,$A:$A,0)),""),FIND(",",IFERROR(INDEX($G:$G,MATCH(AD240,$A:$A,0)),""))-1),IFERROR(INDEX($G:$G,MATCH(AD240,$A:$A,0)),"")))))</f>
        <v/>
      </c>
      <c r="AF240" s="18" t="str">
        <f aca="false">IF(AE240="","",IF(IFERROR(INDEX($G:$G,MATCH(AE240,$A:$A,0)),"")="","",TRIM(IF(ISNUMBER(FIND(",",IFERROR(INDEX($G:$G,MATCH(AE240,$A:$A,0)),""))),LEFT(IFERROR(INDEX($G:$G,MATCH(AE240,$A:$A,0)),""),FIND(",",IFERROR(INDEX($G:$G,MATCH(AE240,$A:$A,0)),""))-1),IFERROR(INDEX($G:$G,MATCH(AE240,$A:$A,0)),"")))))</f>
        <v/>
      </c>
      <c r="AG240" s="18" t="str">
        <f aca="false">IF(AF240="","",IF(IFERROR(INDEX($G:$G,MATCH(AF240,$A:$A,0)),"")="","",TRIM(IF(ISNUMBER(FIND(",",IFERROR(INDEX($G:$G,MATCH(AF240,$A:$A,0)),""))),LEFT(IFERROR(INDEX($G:$G,MATCH(AF240,$A:$A,0)),""),FIND(",",IFERROR(INDEX($G:$G,MATCH(AF240,$A:$A,0)),""))-1),IFERROR(INDEX($G:$G,MATCH(AF240,$A:$A,0)),"")))))</f>
        <v/>
      </c>
    </row>
    <row r="241" customFormat="false" ht="15" hidden="false" customHeight="false" outlineLevel="0" collapsed="false">
      <c r="A241" s="18"/>
      <c r="B241" s="19"/>
      <c r="C241" s="20"/>
      <c r="D241" s="20"/>
      <c r="E241" s="20"/>
      <c r="F241" s="20"/>
      <c r="G241" s="18"/>
      <c r="H241" s="20"/>
      <c r="I241" s="18"/>
      <c r="J241" s="20"/>
      <c r="K241" s="20"/>
      <c r="L241" s="20"/>
      <c r="M241" s="20"/>
      <c r="N241" s="20"/>
      <c r="O241" s="21" t="str">
        <f aca="false">IF(A241="","",IF(AD241="",0,IF(AE241="",1,IF(AF241="",2,IF(AG241="",3,"4+")))))</f>
        <v/>
      </c>
      <c r="P241" s="21" t="str">
        <f aca="false">IF(A241="","",B241&amp;IF(AD241="",""," &lt;- "&amp;IFERROR(INDEX($B:$B,MATCH(AD241,$A:$A,0)),AD241)&amp;IF(AE241="",""," &lt;- "&amp;IFERROR(INDEX($B:$B,MATCH(AE241,$A:$A,0)),AE241)&amp;IF(AF241="",""," &lt;- "&amp;IFERROR(INDEX($B:$B,MATCH(AF241,$A:$A,0)),AF241)&amp;IF(AG241="",""," &lt;- "&amp;IFERROR(INDEX($B:$B,MATCH(AG241,$A:$A,0)),AG241)))))&amp;IF(ISNUMBER(FIND(",",G241))," (+ other parents)",""))</f>
        <v/>
      </c>
      <c r="Q241" s="21" t="str">
        <f aca="false">IF(A241="","",IF(AD241="",E241&amp;"",IF(AE241="",IF(IFERROR(INDEX($E:$E,MATCH(AD241,$A:$A,0)),"")="","",INDEX($E:$E,MATCH(AD241,$A:$A,0))),IF(AF241="",IF(IFERROR(INDEX($E:$E,MATCH(AE241,$A:$A,0)),"")="","",INDEX($E:$E,MATCH(AE241,$A:$A,0))),IF(AG241="",IF(IFERROR(INDEX($E:$E,MATCH(AF241,$A:$A,0)),"")="","",INDEX($E:$E,MATCH(AF241,$A:$A,0))),IF(IFERROR(INDEX($E:$E,MATCH(AG241,$A:$A,0)),"")="","",INDEX($E:$E,MATCH(AG241,$A:$A,0))))))))</f>
        <v/>
      </c>
      <c r="R241" s="21" t="str">
        <f aca="false">IF(A241="","",COUNTIF(Fields!$D:$D,A241))</f>
        <v/>
      </c>
      <c r="S241" s="21" t="str">
        <f aca="false">IF(A241="","",SUMIF(Fields!$D:$D,A241,Fields!$Q:$Q))</f>
        <v/>
      </c>
      <c r="T241" s="21" t="str">
        <f aca="false">IF(A241="","",COUNTIF('Product inputs'!$D:$D,A241))</f>
        <v/>
      </c>
      <c r="U241" s="20"/>
      <c r="V241" s="20"/>
      <c r="W241" s="20"/>
      <c r="X241" s="20"/>
      <c r="Y241" s="20"/>
      <c r="Z241" s="20"/>
      <c r="AA241" s="20"/>
      <c r="AB241" s="20"/>
      <c r="AC241" s="20"/>
      <c r="AD241" s="18" t="str">
        <f aca="false">IF(A241="","",IF(IFERROR(INDEX($G:$G,MATCH(A241,$A:$A,0)),"")="","",TRIM(IF(ISNUMBER(FIND(",",IFERROR(INDEX($G:$G,MATCH(A241,$A:$A,0)),""))),LEFT(IFERROR(INDEX($G:$G,MATCH(A241,$A:$A,0)),""),FIND(",",IFERROR(INDEX($G:$G,MATCH(A241,$A:$A,0)),""))-1),IFERROR(INDEX($G:$G,MATCH(A241,$A:$A,0)),"")))))</f>
        <v/>
      </c>
      <c r="AE241" s="18" t="str">
        <f aca="false">IF(AD241="","",IF(IFERROR(INDEX($G:$G,MATCH(AD241,$A:$A,0)),"")="","",TRIM(IF(ISNUMBER(FIND(",",IFERROR(INDEX($G:$G,MATCH(AD241,$A:$A,0)),""))),LEFT(IFERROR(INDEX($G:$G,MATCH(AD241,$A:$A,0)),""),FIND(",",IFERROR(INDEX($G:$G,MATCH(AD241,$A:$A,0)),""))-1),IFERROR(INDEX($G:$G,MATCH(AD241,$A:$A,0)),"")))))</f>
        <v/>
      </c>
      <c r="AF241" s="18" t="str">
        <f aca="false">IF(AE241="","",IF(IFERROR(INDEX($G:$G,MATCH(AE241,$A:$A,0)),"")="","",TRIM(IF(ISNUMBER(FIND(",",IFERROR(INDEX($G:$G,MATCH(AE241,$A:$A,0)),""))),LEFT(IFERROR(INDEX($G:$G,MATCH(AE241,$A:$A,0)),""),FIND(",",IFERROR(INDEX($G:$G,MATCH(AE241,$A:$A,0)),""))-1),IFERROR(INDEX($G:$G,MATCH(AE241,$A:$A,0)),"")))))</f>
        <v/>
      </c>
      <c r="AG241" s="18" t="str">
        <f aca="false">IF(AF241="","",IF(IFERROR(INDEX($G:$G,MATCH(AF241,$A:$A,0)),"")="","",TRIM(IF(ISNUMBER(FIND(",",IFERROR(INDEX($G:$G,MATCH(AF241,$A:$A,0)),""))),LEFT(IFERROR(INDEX($G:$G,MATCH(AF241,$A:$A,0)),""),FIND(",",IFERROR(INDEX($G:$G,MATCH(AF241,$A:$A,0)),""))-1),IFERROR(INDEX($G:$G,MATCH(AF241,$A:$A,0)),"")))))</f>
        <v/>
      </c>
    </row>
    <row r="242" customFormat="false" ht="15" hidden="false" customHeight="false" outlineLevel="0" collapsed="false">
      <c r="A242" s="18"/>
      <c r="B242" s="19"/>
      <c r="C242" s="20"/>
      <c r="D242" s="20"/>
      <c r="E242" s="20"/>
      <c r="F242" s="20"/>
      <c r="G242" s="18"/>
      <c r="H242" s="20"/>
      <c r="I242" s="18"/>
      <c r="J242" s="20"/>
      <c r="K242" s="20"/>
      <c r="L242" s="20"/>
      <c r="M242" s="20"/>
      <c r="N242" s="20"/>
      <c r="O242" s="21" t="str">
        <f aca="false">IF(A242="","",IF(AD242="",0,IF(AE242="",1,IF(AF242="",2,IF(AG242="",3,"4+")))))</f>
        <v/>
      </c>
      <c r="P242" s="21" t="str">
        <f aca="false">IF(A242="","",B242&amp;IF(AD242="",""," &lt;- "&amp;IFERROR(INDEX($B:$B,MATCH(AD242,$A:$A,0)),AD242)&amp;IF(AE242="",""," &lt;- "&amp;IFERROR(INDEX($B:$B,MATCH(AE242,$A:$A,0)),AE242)&amp;IF(AF242="",""," &lt;- "&amp;IFERROR(INDEX($B:$B,MATCH(AF242,$A:$A,0)),AF242)&amp;IF(AG242="",""," &lt;- "&amp;IFERROR(INDEX($B:$B,MATCH(AG242,$A:$A,0)),AG242)))))&amp;IF(ISNUMBER(FIND(",",G242))," (+ other parents)",""))</f>
        <v/>
      </c>
      <c r="Q242" s="21" t="str">
        <f aca="false">IF(A242="","",IF(AD242="",E242&amp;"",IF(AE242="",IF(IFERROR(INDEX($E:$E,MATCH(AD242,$A:$A,0)),"")="","",INDEX($E:$E,MATCH(AD242,$A:$A,0))),IF(AF242="",IF(IFERROR(INDEX($E:$E,MATCH(AE242,$A:$A,0)),"")="","",INDEX($E:$E,MATCH(AE242,$A:$A,0))),IF(AG242="",IF(IFERROR(INDEX($E:$E,MATCH(AF242,$A:$A,0)),"")="","",INDEX($E:$E,MATCH(AF242,$A:$A,0))),IF(IFERROR(INDEX($E:$E,MATCH(AG242,$A:$A,0)),"")="","",INDEX($E:$E,MATCH(AG242,$A:$A,0))))))))</f>
        <v/>
      </c>
      <c r="R242" s="21" t="str">
        <f aca="false">IF(A242="","",COUNTIF(Fields!$D:$D,A242))</f>
        <v/>
      </c>
      <c r="S242" s="21" t="str">
        <f aca="false">IF(A242="","",SUMIF(Fields!$D:$D,A242,Fields!$Q:$Q))</f>
        <v/>
      </c>
      <c r="T242" s="21" t="str">
        <f aca="false">IF(A242="","",COUNTIF('Product inputs'!$D:$D,A242))</f>
        <v/>
      </c>
      <c r="U242" s="20"/>
      <c r="V242" s="20"/>
      <c r="W242" s="20"/>
      <c r="X242" s="20"/>
      <c r="Y242" s="20"/>
      <c r="Z242" s="20"/>
      <c r="AA242" s="20"/>
      <c r="AB242" s="20"/>
      <c r="AC242" s="20"/>
      <c r="AD242" s="18" t="str">
        <f aca="false">IF(A242="","",IF(IFERROR(INDEX($G:$G,MATCH(A242,$A:$A,0)),"")="","",TRIM(IF(ISNUMBER(FIND(",",IFERROR(INDEX($G:$G,MATCH(A242,$A:$A,0)),""))),LEFT(IFERROR(INDEX($G:$G,MATCH(A242,$A:$A,0)),""),FIND(",",IFERROR(INDEX($G:$G,MATCH(A242,$A:$A,0)),""))-1),IFERROR(INDEX($G:$G,MATCH(A242,$A:$A,0)),"")))))</f>
        <v/>
      </c>
      <c r="AE242" s="18" t="str">
        <f aca="false">IF(AD242="","",IF(IFERROR(INDEX($G:$G,MATCH(AD242,$A:$A,0)),"")="","",TRIM(IF(ISNUMBER(FIND(",",IFERROR(INDEX($G:$G,MATCH(AD242,$A:$A,0)),""))),LEFT(IFERROR(INDEX($G:$G,MATCH(AD242,$A:$A,0)),""),FIND(",",IFERROR(INDEX($G:$G,MATCH(AD242,$A:$A,0)),""))-1),IFERROR(INDEX($G:$G,MATCH(AD242,$A:$A,0)),"")))))</f>
        <v/>
      </c>
      <c r="AF242" s="18" t="str">
        <f aca="false">IF(AE242="","",IF(IFERROR(INDEX($G:$G,MATCH(AE242,$A:$A,0)),"")="","",TRIM(IF(ISNUMBER(FIND(",",IFERROR(INDEX($G:$G,MATCH(AE242,$A:$A,0)),""))),LEFT(IFERROR(INDEX($G:$G,MATCH(AE242,$A:$A,0)),""),FIND(",",IFERROR(INDEX($G:$G,MATCH(AE242,$A:$A,0)),""))-1),IFERROR(INDEX($G:$G,MATCH(AE242,$A:$A,0)),"")))))</f>
        <v/>
      </c>
      <c r="AG242" s="18" t="str">
        <f aca="false">IF(AF242="","",IF(IFERROR(INDEX($G:$G,MATCH(AF242,$A:$A,0)),"")="","",TRIM(IF(ISNUMBER(FIND(",",IFERROR(INDEX($G:$G,MATCH(AF242,$A:$A,0)),""))),LEFT(IFERROR(INDEX($G:$G,MATCH(AF242,$A:$A,0)),""),FIND(",",IFERROR(INDEX($G:$G,MATCH(AF242,$A:$A,0)),""))-1),IFERROR(INDEX($G:$G,MATCH(AF242,$A:$A,0)),"")))))</f>
        <v/>
      </c>
    </row>
    <row r="243" customFormat="false" ht="15" hidden="false" customHeight="false" outlineLevel="0" collapsed="false">
      <c r="A243" s="18"/>
      <c r="B243" s="19"/>
      <c r="C243" s="20"/>
      <c r="D243" s="20"/>
      <c r="E243" s="20"/>
      <c r="F243" s="20"/>
      <c r="G243" s="18"/>
      <c r="H243" s="20"/>
      <c r="I243" s="18"/>
      <c r="J243" s="20"/>
      <c r="K243" s="20"/>
      <c r="L243" s="20"/>
      <c r="M243" s="20"/>
      <c r="N243" s="20"/>
      <c r="O243" s="21" t="str">
        <f aca="false">IF(A243="","",IF(AD243="",0,IF(AE243="",1,IF(AF243="",2,IF(AG243="",3,"4+")))))</f>
        <v/>
      </c>
      <c r="P243" s="21" t="str">
        <f aca="false">IF(A243="","",B243&amp;IF(AD243="",""," &lt;- "&amp;IFERROR(INDEX($B:$B,MATCH(AD243,$A:$A,0)),AD243)&amp;IF(AE243="",""," &lt;- "&amp;IFERROR(INDEX($B:$B,MATCH(AE243,$A:$A,0)),AE243)&amp;IF(AF243="",""," &lt;- "&amp;IFERROR(INDEX($B:$B,MATCH(AF243,$A:$A,0)),AF243)&amp;IF(AG243="",""," &lt;- "&amp;IFERROR(INDEX($B:$B,MATCH(AG243,$A:$A,0)),AG243)))))&amp;IF(ISNUMBER(FIND(",",G243))," (+ other parents)",""))</f>
        <v/>
      </c>
      <c r="Q243" s="21" t="str">
        <f aca="false">IF(A243="","",IF(AD243="",E243&amp;"",IF(AE243="",IF(IFERROR(INDEX($E:$E,MATCH(AD243,$A:$A,0)),"")="","",INDEX($E:$E,MATCH(AD243,$A:$A,0))),IF(AF243="",IF(IFERROR(INDEX($E:$E,MATCH(AE243,$A:$A,0)),"")="","",INDEX($E:$E,MATCH(AE243,$A:$A,0))),IF(AG243="",IF(IFERROR(INDEX($E:$E,MATCH(AF243,$A:$A,0)),"")="","",INDEX($E:$E,MATCH(AF243,$A:$A,0))),IF(IFERROR(INDEX($E:$E,MATCH(AG243,$A:$A,0)),"")="","",INDEX($E:$E,MATCH(AG243,$A:$A,0))))))))</f>
        <v/>
      </c>
      <c r="R243" s="21" t="str">
        <f aca="false">IF(A243="","",COUNTIF(Fields!$D:$D,A243))</f>
        <v/>
      </c>
      <c r="S243" s="21" t="str">
        <f aca="false">IF(A243="","",SUMIF(Fields!$D:$D,A243,Fields!$Q:$Q))</f>
        <v/>
      </c>
      <c r="T243" s="21" t="str">
        <f aca="false">IF(A243="","",COUNTIF('Product inputs'!$D:$D,A243))</f>
        <v/>
      </c>
      <c r="U243" s="20"/>
      <c r="V243" s="20"/>
      <c r="W243" s="20"/>
      <c r="X243" s="20"/>
      <c r="Y243" s="20"/>
      <c r="Z243" s="20"/>
      <c r="AA243" s="20"/>
      <c r="AB243" s="20"/>
      <c r="AC243" s="20"/>
      <c r="AD243" s="18" t="str">
        <f aca="false">IF(A243="","",IF(IFERROR(INDEX($G:$G,MATCH(A243,$A:$A,0)),"")="","",TRIM(IF(ISNUMBER(FIND(",",IFERROR(INDEX($G:$G,MATCH(A243,$A:$A,0)),""))),LEFT(IFERROR(INDEX($G:$G,MATCH(A243,$A:$A,0)),""),FIND(",",IFERROR(INDEX($G:$G,MATCH(A243,$A:$A,0)),""))-1),IFERROR(INDEX($G:$G,MATCH(A243,$A:$A,0)),"")))))</f>
        <v/>
      </c>
      <c r="AE243" s="18" t="str">
        <f aca="false">IF(AD243="","",IF(IFERROR(INDEX($G:$G,MATCH(AD243,$A:$A,0)),"")="","",TRIM(IF(ISNUMBER(FIND(",",IFERROR(INDEX($G:$G,MATCH(AD243,$A:$A,0)),""))),LEFT(IFERROR(INDEX($G:$G,MATCH(AD243,$A:$A,0)),""),FIND(",",IFERROR(INDEX($G:$G,MATCH(AD243,$A:$A,0)),""))-1),IFERROR(INDEX($G:$G,MATCH(AD243,$A:$A,0)),"")))))</f>
        <v/>
      </c>
      <c r="AF243" s="18" t="str">
        <f aca="false">IF(AE243="","",IF(IFERROR(INDEX($G:$G,MATCH(AE243,$A:$A,0)),"")="","",TRIM(IF(ISNUMBER(FIND(",",IFERROR(INDEX($G:$G,MATCH(AE243,$A:$A,0)),""))),LEFT(IFERROR(INDEX($G:$G,MATCH(AE243,$A:$A,0)),""),FIND(",",IFERROR(INDEX($G:$G,MATCH(AE243,$A:$A,0)),""))-1),IFERROR(INDEX($G:$G,MATCH(AE243,$A:$A,0)),"")))))</f>
        <v/>
      </c>
      <c r="AG243" s="18" t="str">
        <f aca="false">IF(AF243="","",IF(IFERROR(INDEX($G:$G,MATCH(AF243,$A:$A,0)),"")="","",TRIM(IF(ISNUMBER(FIND(",",IFERROR(INDEX($G:$G,MATCH(AF243,$A:$A,0)),""))),LEFT(IFERROR(INDEX($G:$G,MATCH(AF243,$A:$A,0)),""),FIND(",",IFERROR(INDEX($G:$G,MATCH(AF243,$A:$A,0)),""))-1),IFERROR(INDEX($G:$G,MATCH(AF243,$A:$A,0)),"")))))</f>
        <v/>
      </c>
    </row>
    <row r="244" customFormat="false" ht="15" hidden="false" customHeight="false" outlineLevel="0" collapsed="false">
      <c r="A244" s="18"/>
      <c r="B244" s="19"/>
      <c r="C244" s="20"/>
      <c r="D244" s="20"/>
      <c r="E244" s="20"/>
      <c r="F244" s="20"/>
      <c r="G244" s="18"/>
      <c r="H244" s="20"/>
      <c r="I244" s="18"/>
      <c r="J244" s="20"/>
      <c r="K244" s="20"/>
      <c r="L244" s="20"/>
      <c r="M244" s="20"/>
      <c r="N244" s="20"/>
      <c r="O244" s="21" t="str">
        <f aca="false">IF(A244="","",IF(AD244="",0,IF(AE244="",1,IF(AF244="",2,IF(AG244="",3,"4+")))))</f>
        <v/>
      </c>
      <c r="P244" s="21" t="str">
        <f aca="false">IF(A244="","",B244&amp;IF(AD244="",""," &lt;- "&amp;IFERROR(INDEX($B:$B,MATCH(AD244,$A:$A,0)),AD244)&amp;IF(AE244="",""," &lt;- "&amp;IFERROR(INDEX($B:$B,MATCH(AE244,$A:$A,0)),AE244)&amp;IF(AF244="",""," &lt;- "&amp;IFERROR(INDEX($B:$B,MATCH(AF244,$A:$A,0)),AF244)&amp;IF(AG244="",""," &lt;- "&amp;IFERROR(INDEX($B:$B,MATCH(AG244,$A:$A,0)),AG244)))))&amp;IF(ISNUMBER(FIND(",",G244))," (+ other parents)",""))</f>
        <v/>
      </c>
      <c r="Q244" s="21" t="str">
        <f aca="false">IF(A244="","",IF(AD244="",E244&amp;"",IF(AE244="",IF(IFERROR(INDEX($E:$E,MATCH(AD244,$A:$A,0)),"")="","",INDEX($E:$E,MATCH(AD244,$A:$A,0))),IF(AF244="",IF(IFERROR(INDEX($E:$E,MATCH(AE244,$A:$A,0)),"")="","",INDEX($E:$E,MATCH(AE244,$A:$A,0))),IF(AG244="",IF(IFERROR(INDEX($E:$E,MATCH(AF244,$A:$A,0)),"")="","",INDEX($E:$E,MATCH(AF244,$A:$A,0))),IF(IFERROR(INDEX($E:$E,MATCH(AG244,$A:$A,0)),"")="","",INDEX($E:$E,MATCH(AG244,$A:$A,0))))))))</f>
        <v/>
      </c>
      <c r="R244" s="21" t="str">
        <f aca="false">IF(A244="","",COUNTIF(Fields!$D:$D,A244))</f>
        <v/>
      </c>
      <c r="S244" s="21" t="str">
        <f aca="false">IF(A244="","",SUMIF(Fields!$D:$D,A244,Fields!$Q:$Q))</f>
        <v/>
      </c>
      <c r="T244" s="21" t="str">
        <f aca="false">IF(A244="","",COUNTIF('Product inputs'!$D:$D,A244))</f>
        <v/>
      </c>
      <c r="U244" s="20"/>
      <c r="V244" s="20"/>
      <c r="W244" s="20"/>
      <c r="X244" s="20"/>
      <c r="Y244" s="20"/>
      <c r="Z244" s="20"/>
      <c r="AA244" s="20"/>
      <c r="AB244" s="20"/>
      <c r="AC244" s="20"/>
      <c r="AD244" s="18" t="str">
        <f aca="false">IF(A244="","",IF(IFERROR(INDEX($G:$G,MATCH(A244,$A:$A,0)),"")="","",TRIM(IF(ISNUMBER(FIND(",",IFERROR(INDEX($G:$G,MATCH(A244,$A:$A,0)),""))),LEFT(IFERROR(INDEX($G:$G,MATCH(A244,$A:$A,0)),""),FIND(",",IFERROR(INDEX($G:$G,MATCH(A244,$A:$A,0)),""))-1),IFERROR(INDEX($G:$G,MATCH(A244,$A:$A,0)),"")))))</f>
        <v/>
      </c>
      <c r="AE244" s="18" t="str">
        <f aca="false">IF(AD244="","",IF(IFERROR(INDEX($G:$G,MATCH(AD244,$A:$A,0)),"")="","",TRIM(IF(ISNUMBER(FIND(",",IFERROR(INDEX($G:$G,MATCH(AD244,$A:$A,0)),""))),LEFT(IFERROR(INDEX($G:$G,MATCH(AD244,$A:$A,0)),""),FIND(",",IFERROR(INDEX($G:$G,MATCH(AD244,$A:$A,0)),""))-1),IFERROR(INDEX($G:$G,MATCH(AD244,$A:$A,0)),"")))))</f>
        <v/>
      </c>
      <c r="AF244" s="18" t="str">
        <f aca="false">IF(AE244="","",IF(IFERROR(INDEX($G:$G,MATCH(AE244,$A:$A,0)),"")="","",TRIM(IF(ISNUMBER(FIND(",",IFERROR(INDEX($G:$G,MATCH(AE244,$A:$A,0)),""))),LEFT(IFERROR(INDEX($G:$G,MATCH(AE244,$A:$A,0)),""),FIND(",",IFERROR(INDEX($G:$G,MATCH(AE244,$A:$A,0)),""))-1),IFERROR(INDEX($G:$G,MATCH(AE244,$A:$A,0)),"")))))</f>
        <v/>
      </c>
      <c r="AG244" s="18" t="str">
        <f aca="false">IF(AF244="","",IF(IFERROR(INDEX($G:$G,MATCH(AF244,$A:$A,0)),"")="","",TRIM(IF(ISNUMBER(FIND(",",IFERROR(INDEX($G:$G,MATCH(AF244,$A:$A,0)),""))),LEFT(IFERROR(INDEX($G:$G,MATCH(AF244,$A:$A,0)),""),FIND(",",IFERROR(INDEX($G:$G,MATCH(AF244,$A:$A,0)),""))-1),IFERROR(INDEX($G:$G,MATCH(AF244,$A:$A,0)),"")))))</f>
        <v/>
      </c>
    </row>
    <row r="245" customFormat="false" ht="15" hidden="false" customHeight="false" outlineLevel="0" collapsed="false">
      <c r="A245" s="18"/>
      <c r="B245" s="19"/>
      <c r="C245" s="20"/>
      <c r="D245" s="20"/>
      <c r="E245" s="20"/>
      <c r="F245" s="20"/>
      <c r="G245" s="18"/>
      <c r="H245" s="20"/>
      <c r="I245" s="18"/>
      <c r="J245" s="20"/>
      <c r="K245" s="20"/>
      <c r="L245" s="20"/>
      <c r="M245" s="20"/>
      <c r="N245" s="20"/>
      <c r="O245" s="21" t="str">
        <f aca="false">IF(A245="","",IF(AD245="",0,IF(AE245="",1,IF(AF245="",2,IF(AG245="",3,"4+")))))</f>
        <v/>
      </c>
      <c r="P245" s="21" t="str">
        <f aca="false">IF(A245="","",B245&amp;IF(AD245="",""," &lt;- "&amp;IFERROR(INDEX($B:$B,MATCH(AD245,$A:$A,0)),AD245)&amp;IF(AE245="",""," &lt;- "&amp;IFERROR(INDEX($B:$B,MATCH(AE245,$A:$A,0)),AE245)&amp;IF(AF245="",""," &lt;- "&amp;IFERROR(INDEX($B:$B,MATCH(AF245,$A:$A,0)),AF245)&amp;IF(AG245="",""," &lt;- "&amp;IFERROR(INDEX($B:$B,MATCH(AG245,$A:$A,0)),AG245)))))&amp;IF(ISNUMBER(FIND(",",G245))," (+ other parents)",""))</f>
        <v/>
      </c>
      <c r="Q245" s="21" t="str">
        <f aca="false">IF(A245="","",IF(AD245="",E245&amp;"",IF(AE245="",IF(IFERROR(INDEX($E:$E,MATCH(AD245,$A:$A,0)),"")="","",INDEX($E:$E,MATCH(AD245,$A:$A,0))),IF(AF245="",IF(IFERROR(INDEX($E:$E,MATCH(AE245,$A:$A,0)),"")="","",INDEX($E:$E,MATCH(AE245,$A:$A,0))),IF(AG245="",IF(IFERROR(INDEX($E:$E,MATCH(AF245,$A:$A,0)),"")="","",INDEX($E:$E,MATCH(AF245,$A:$A,0))),IF(IFERROR(INDEX($E:$E,MATCH(AG245,$A:$A,0)),"")="","",INDEX($E:$E,MATCH(AG245,$A:$A,0))))))))</f>
        <v/>
      </c>
      <c r="R245" s="21" t="str">
        <f aca="false">IF(A245="","",COUNTIF(Fields!$D:$D,A245))</f>
        <v/>
      </c>
      <c r="S245" s="21" t="str">
        <f aca="false">IF(A245="","",SUMIF(Fields!$D:$D,A245,Fields!$Q:$Q))</f>
        <v/>
      </c>
      <c r="T245" s="21" t="str">
        <f aca="false">IF(A245="","",COUNTIF('Product inputs'!$D:$D,A245))</f>
        <v/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18" t="str">
        <f aca="false">IF(A245="","",IF(IFERROR(INDEX($G:$G,MATCH(A245,$A:$A,0)),"")="","",TRIM(IF(ISNUMBER(FIND(",",IFERROR(INDEX($G:$G,MATCH(A245,$A:$A,0)),""))),LEFT(IFERROR(INDEX($G:$G,MATCH(A245,$A:$A,0)),""),FIND(",",IFERROR(INDEX($G:$G,MATCH(A245,$A:$A,0)),""))-1),IFERROR(INDEX($G:$G,MATCH(A245,$A:$A,0)),"")))))</f>
        <v/>
      </c>
      <c r="AE245" s="18" t="str">
        <f aca="false">IF(AD245="","",IF(IFERROR(INDEX($G:$G,MATCH(AD245,$A:$A,0)),"")="","",TRIM(IF(ISNUMBER(FIND(",",IFERROR(INDEX($G:$G,MATCH(AD245,$A:$A,0)),""))),LEFT(IFERROR(INDEX($G:$G,MATCH(AD245,$A:$A,0)),""),FIND(",",IFERROR(INDEX($G:$G,MATCH(AD245,$A:$A,0)),""))-1),IFERROR(INDEX($G:$G,MATCH(AD245,$A:$A,0)),"")))))</f>
        <v/>
      </c>
      <c r="AF245" s="18" t="str">
        <f aca="false">IF(AE245="","",IF(IFERROR(INDEX($G:$G,MATCH(AE245,$A:$A,0)),"")="","",TRIM(IF(ISNUMBER(FIND(",",IFERROR(INDEX($G:$G,MATCH(AE245,$A:$A,0)),""))),LEFT(IFERROR(INDEX($G:$G,MATCH(AE245,$A:$A,0)),""),FIND(",",IFERROR(INDEX($G:$G,MATCH(AE245,$A:$A,0)),""))-1),IFERROR(INDEX($G:$G,MATCH(AE245,$A:$A,0)),"")))))</f>
        <v/>
      </c>
      <c r="AG245" s="18" t="str">
        <f aca="false">IF(AF245="","",IF(IFERROR(INDEX($G:$G,MATCH(AF245,$A:$A,0)),"")="","",TRIM(IF(ISNUMBER(FIND(",",IFERROR(INDEX($G:$G,MATCH(AF245,$A:$A,0)),""))),LEFT(IFERROR(INDEX($G:$G,MATCH(AF245,$A:$A,0)),""),FIND(",",IFERROR(INDEX($G:$G,MATCH(AF245,$A:$A,0)),""))-1),IFERROR(INDEX($G:$G,MATCH(AF245,$A:$A,0)),"")))))</f>
        <v/>
      </c>
    </row>
    <row r="246" customFormat="false" ht="15" hidden="false" customHeight="false" outlineLevel="0" collapsed="false">
      <c r="A246" s="18"/>
      <c r="B246" s="19"/>
      <c r="C246" s="20"/>
      <c r="D246" s="20"/>
      <c r="E246" s="20"/>
      <c r="F246" s="20"/>
      <c r="G246" s="18"/>
      <c r="H246" s="20"/>
      <c r="I246" s="18"/>
      <c r="J246" s="20"/>
      <c r="K246" s="20"/>
      <c r="L246" s="20"/>
      <c r="M246" s="20"/>
      <c r="N246" s="20"/>
      <c r="O246" s="21" t="str">
        <f aca="false">IF(A246="","",IF(AD246="",0,IF(AE246="",1,IF(AF246="",2,IF(AG246="",3,"4+")))))</f>
        <v/>
      </c>
      <c r="P246" s="21" t="str">
        <f aca="false">IF(A246="","",B246&amp;IF(AD246="",""," &lt;- "&amp;IFERROR(INDEX($B:$B,MATCH(AD246,$A:$A,0)),AD246)&amp;IF(AE246="",""," &lt;- "&amp;IFERROR(INDEX($B:$B,MATCH(AE246,$A:$A,0)),AE246)&amp;IF(AF246="",""," &lt;- "&amp;IFERROR(INDEX($B:$B,MATCH(AF246,$A:$A,0)),AF246)&amp;IF(AG246="",""," &lt;- "&amp;IFERROR(INDEX($B:$B,MATCH(AG246,$A:$A,0)),AG246)))))&amp;IF(ISNUMBER(FIND(",",G246))," (+ other parents)",""))</f>
        <v/>
      </c>
      <c r="Q246" s="21" t="str">
        <f aca="false">IF(A246="","",IF(AD246="",E246&amp;"",IF(AE246="",IF(IFERROR(INDEX($E:$E,MATCH(AD246,$A:$A,0)),"")="","",INDEX($E:$E,MATCH(AD246,$A:$A,0))),IF(AF246="",IF(IFERROR(INDEX($E:$E,MATCH(AE246,$A:$A,0)),"")="","",INDEX($E:$E,MATCH(AE246,$A:$A,0))),IF(AG246="",IF(IFERROR(INDEX($E:$E,MATCH(AF246,$A:$A,0)),"")="","",INDEX($E:$E,MATCH(AF246,$A:$A,0))),IF(IFERROR(INDEX($E:$E,MATCH(AG246,$A:$A,0)),"")="","",INDEX($E:$E,MATCH(AG246,$A:$A,0))))))))</f>
        <v/>
      </c>
      <c r="R246" s="21" t="str">
        <f aca="false">IF(A246="","",COUNTIF(Fields!$D:$D,A246))</f>
        <v/>
      </c>
      <c r="S246" s="21" t="str">
        <f aca="false">IF(A246="","",SUMIF(Fields!$D:$D,A246,Fields!$Q:$Q))</f>
        <v/>
      </c>
      <c r="T246" s="21" t="str">
        <f aca="false">IF(A246="","",COUNTIF('Product inputs'!$D:$D,A246))</f>
        <v/>
      </c>
      <c r="U246" s="20"/>
      <c r="V246" s="20"/>
      <c r="W246" s="20"/>
      <c r="X246" s="20"/>
      <c r="Y246" s="20"/>
      <c r="Z246" s="20"/>
      <c r="AA246" s="20"/>
      <c r="AB246" s="20"/>
      <c r="AC246" s="20"/>
      <c r="AD246" s="18" t="str">
        <f aca="false">IF(A246="","",IF(IFERROR(INDEX($G:$G,MATCH(A246,$A:$A,0)),"")="","",TRIM(IF(ISNUMBER(FIND(",",IFERROR(INDEX($G:$G,MATCH(A246,$A:$A,0)),""))),LEFT(IFERROR(INDEX($G:$G,MATCH(A246,$A:$A,0)),""),FIND(",",IFERROR(INDEX($G:$G,MATCH(A246,$A:$A,0)),""))-1),IFERROR(INDEX($G:$G,MATCH(A246,$A:$A,0)),"")))))</f>
        <v/>
      </c>
      <c r="AE246" s="18" t="str">
        <f aca="false">IF(AD246="","",IF(IFERROR(INDEX($G:$G,MATCH(AD246,$A:$A,0)),"")="","",TRIM(IF(ISNUMBER(FIND(",",IFERROR(INDEX($G:$G,MATCH(AD246,$A:$A,0)),""))),LEFT(IFERROR(INDEX($G:$G,MATCH(AD246,$A:$A,0)),""),FIND(",",IFERROR(INDEX($G:$G,MATCH(AD246,$A:$A,0)),""))-1),IFERROR(INDEX($G:$G,MATCH(AD246,$A:$A,0)),"")))))</f>
        <v/>
      </c>
      <c r="AF246" s="18" t="str">
        <f aca="false">IF(AE246="","",IF(IFERROR(INDEX($G:$G,MATCH(AE246,$A:$A,0)),"")="","",TRIM(IF(ISNUMBER(FIND(",",IFERROR(INDEX($G:$G,MATCH(AE246,$A:$A,0)),""))),LEFT(IFERROR(INDEX($G:$G,MATCH(AE246,$A:$A,0)),""),FIND(",",IFERROR(INDEX($G:$G,MATCH(AE246,$A:$A,0)),""))-1),IFERROR(INDEX($G:$G,MATCH(AE246,$A:$A,0)),"")))))</f>
        <v/>
      </c>
      <c r="AG246" s="18" t="str">
        <f aca="false">IF(AF246="","",IF(IFERROR(INDEX($G:$G,MATCH(AF246,$A:$A,0)),"")="","",TRIM(IF(ISNUMBER(FIND(",",IFERROR(INDEX($G:$G,MATCH(AF246,$A:$A,0)),""))),LEFT(IFERROR(INDEX($G:$G,MATCH(AF246,$A:$A,0)),""),FIND(",",IFERROR(INDEX($G:$G,MATCH(AF246,$A:$A,0)),""))-1),IFERROR(INDEX($G:$G,MATCH(AF246,$A:$A,0)),"")))))</f>
        <v/>
      </c>
    </row>
    <row r="247" customFormat="false" ht="15" hidden="false" customHeight="false" outlineLevel="0" collapsed="false">
      <c r="A247" s="18"/>
      <c r="B247" s="19"/>
      <c r="C247" s="20"/>
      <c r="D247" s="20"/>
      <c r="E247" s="20"/>
      <c r="F247" s="20"/>
      <c r="G247" s="18"/>
      <c r="H247" s="20"/>
      <c r="I247" s="18"/>
      <c r="J247" s="20"/>
      <c r="K247" s="20"/>
      <c r="L247" s="20"/>
      <c r="M247" s="20"/>
      <c r="N247" s="20"/>
      <c r="O247" s="21" t="str">
        <f aca="false">IF(A247="","",IF(AD247="",0,IF(AE247="",1,IF(AF247="",2,IF(AG247="",3,"4+")))))</f>
        <v/>
      </c>
      <c r="P247" s="21" t="str">
        <f aca="false">IF(A247="","",B247&amp;IF(AD247="",""," &lt;- "&amp;IFERROR(INDEX($B:$B,MATCH(AD247,$A:$A,0)),AD247)&amp;IF(AE247="",""," &lt;- "&amp;IFERROR(INDEX($B:$B,MATCH(AE247,$A:$A,0)),AE247)&amp;IF(AF247="",""," &lt;- "&amp;IFERROR(INDEX($B:$B,MATCH(AF247,$A:$A,0)),AF247)&amp;IF(AG247="",""," &lt;- "&amp;IFERROR(INDEX($B:$B,MATCH(AG247,$A:$A,0)),AG247)))))&amp;IF(ISNUMBER(FIND(",",G247))," (+ other parents)",""))</f>
        <v/>
      </c>
      <c r="Q247" s="21" t="str">
        <f aca="false">IF(A247="","",IF(AD247="",E247&amp;"",IF(AE247="",IF(IFERROR(INDEX($E:$E,MATCH(AD247,$A:$A,0)),"")="","",INDEX($E:$E,MATCH(AD247,$A:$A,0))),IF(AF247="",IF(IFERROR(INDEX($E:$E,MATCH(AE247,$A:$A,0)),"")="","",INDEX($E:$E,MATCH(AE247,$A:$A,0))),IF(AG247="",IF(IFERROR(INDEX($E:$E,MATCH(AF247,$A:$A,0)),"")="","",INDEX($E:$E,MATCH(AF247,$A:$A,0))),IF(IFERROR(INDEX($E:$E,MATCH(AG247,$A:$A,0)),"")="","",INDEX($E:$E,MATCH(AG247,$A:$A,0))))))))</f>
        <v/>
      </c>
      <c r="R247" s="21" t="str">
        <f aca="false">IF(A247="","",COUNTIF(Fields!$D:$D,A247))</f>
        <v/>
      </c>
      <c r="S247" s="21" t="str">
        <f aca="false">IF(A247="","",SUMIF(Fields!$D:$D,A247,Fields!$Q:$Q))</f>
        <v/>
      </c>
      <c r="T247" s="21" t="str">
        <f aca="false">IF(A247="","",COUNTIF('Product inputs'!$D:$D,A247))</f>
        <v/>
      </c>
      <c r="U247" s="20"/>
      <c r="V247" s="20"/>
      <c r="W247" s="20"/>
      <c r="X247" s="20"/>
      <c r="Y247" s="20"/>
      <c r="Z247" s="20"/>
      <c r="AA247" s="20"/>
      <c r="AB247" s="20"/>
      <c r="AC247" s="20"/>
      <c r="AD247" s="18" t="str">
        <f aca="false">IF(A247="","",IF(IFERROR(INDEX($G:$G,MATCH(A247,$A:$A,0)),"")="","",TRIM(IF(ISNUMBER(FIND(",",IFERROR(INDEX($G:$G,MATCH(A247,$A:$A,0)),""))),LEFT(IFERROR(INDEX($G:$G,MATCH(A247,$A:$A,0)),""),FIND(",",IFERROR(INDEX($G:$G,MATCH(A247,$A:$A,0)),""))-1),IFERROR(INDEX($G:$G,MATCH(A247,$A:$A,0)),"")))))</f>
        <v/>
      </c>
      <c r="AE247" s="18" t="str">
        <f aca="false">IF(AD247="","",IF(IFERROR(INDEX($G:$G,MATCH(AD247,$A:$A,0)),"")="","",TRIM(IF(ISNUMBER(FIND(",",IFERROR(INDEX($G:$G,MATCH(AD247,$A:$A,0)),""))),LEFT(IFERROR(INDEX($G:$G,MATCH(AD247,$A:$A,0)),""),FIND(",",IFERROR(INDEX($G:$G,MATCH(AD247,$A:$A,0)),""))-1),IFERROR(INDEX($G:$G,MATCH(AD247,$A:$A,0)),"")))))</f>
        <v/>
      </c>
      <c r="AF247" s="18" t="str">
        <f aca="false">IF(AE247="","",IF(IFERROR(INDEX($G:$G,MATCH(AE247,$A:$A,0)),"")="","",TRIM(IF(ISNUMBER(FIND(",",IFERROR(INDEX($G:$G,MATCH(AE247,$A:$A,0)),""))),LEFT(IFERROR(INDEX($G:$G,MATCH(AE247,$A:$A,0)),""),FIND(",",IFERROR(INDEX($G:$G,MATCH(AE247,$A:$A,0)),""))-1),IFERROR(INDEX($G:$G,MATCH(AE247,$A:$A,0)),"")))))</f>
        <v/>
      </c>
      <c r="AG247" s="18" t="str">
        <f aca="false">IF(AF247="","",IF(IFERROR(INDEX($G:$G,MATCH(AF247,$A:$A,0)),"")="","",TRIM(IF(ISNUMBER(FIND(",",IFERROR(INDEX($G:$G,MATCH(AF247,$A:$A,0)),""))),LEFT(IFERROR(INDEX($G:$G,MATCH(AF247,$A:$A,0)),""),FIND(",",IFERROR(INDEX($G:$G,MATCH(AF247,$A:$A,0)),""))-1),IFERROR(INDEX($G:$G,MATCH(AF247,$A:$A,0)),"")))))</f>
        <v/>
      </c>
    </row>
    <row r="248" customFormat="false" ht="15" hidden="false" customHeight="false" outlineLevel="0" collapsed="false">
      <c r="A248" s="18"/>
      <c r="B248" s="19"/>
      <c r="C248" s="20"/>
      <c r="D248" s="20"/>
      <c r="E248" s="20"/>
      <c r="F248" s="20"/>
      <c r="G248" s="18"/>
      <c r="H248" s="20"/>
      <c r="I248" s="18"/>
      <c r="J248" s="20"/>
      <c r="K248" s="20"/>
      <c r="L248" s="20"/>
      <c r="M248" s="20"/>
      <c r="N248" s="20"/>
      <c r="O248" s="21" t="str">
        <f aca="false">IF(A248="","",IF(AD248="",0,IF(AE248="",1,IF(AF248="",2,IF(AG248="",3,"4+")))))</f>
        <v/>
      </c>
      <c r="P248" s="21" t="str">
        <f aca="false">IF(A248="","",B248&amp;IF(AD248="",""," &lt;- "&amp;IFERROR(INDEX($B:$B,MATCH(AD248,$A:$A,0)),AD248)&amp;IF(AE248="",""," &lt;- "&amp;IFERROR(INDEX($B:$B,MATCH(AE248,$A:$A,0)),AE248)&amp;IF(AF248="",""," &lt;- "&amp;IFERROR(INDEX($B:$B,MATCH(AF248,$A:$A,0)),AF248)&amp;IF(AG248="",""," &lt;- "&amp;IFERROR(INDEX($B:$B,MATCH(AG248,$A:$A,0)),AG248)))))&amp;IF(ISNUMBER(FIND(",",G248))," (+ other parents)",""))</f>
        <v/>
      </c>
      <c r="Q248" s="21" t="str">
        <f aca="false">IF(A248="","",IF(AD248="",E248&amp;"",IF(AE248="",IF(IFERROR(INDEX($E:$E,MATCH(AD248,$A:$A,0)),"")="","",INDEX($E:$E,MATCH(AD248,$A:$A,0))),IF(AF248="",IF(IFERROR(INDEX($E:$E,MATCH(AE248,$A:$A,0)),"")="","",INDEX($E:$E,MATCH(AE248,$A:$A,0))),IF(AG248="",IF(IFERROR(INDEX($E:$E,MATCH(AF248,$A:$A,0)),"")="","",INDEX($E:$E,MATCH(AF248,$A:$A,0))),IF(IFERROR(INDEX($E:$E,MATCH(AG248,$A:$A,0)),"")="","",INDEX($E:$E,MATCH(AG248,$A:$A,0))))))))</f>
        <v/>
      </c>
      <c r="R248" s="21" t="str">
        <f aca="false">IF(A248="","",COUNTIF(Fields!$D:$D,A248))</f>
        <v/>
      </c>
      <c r="S248" s="21" t="str">
        <f aca="false">IF(A248="","",SUMIF(Fields!$D:$D,A248,Fields!$Q:$Q))</f>
        <v/>
      </c>
      <c r="T248" s="21" t="str">
        <f aca="false">IF(A248="","",COUNTIF('Product inputs'!$D:$D,A248))</f>
        <v/>
      </c>
      <c r="U248" s="20"/>
      <c r="V248" s="20"/>
      <c r="W248" s="20"/>
      <c r="X248" s="20"/>
      <c r="Y248" s="20"/>
      <c r="Z248" s="20"/>
      <c r="AA248" s="20"/>
      <c r="AB248" s="20"/>
      <c r="AC248" s="20"/>
      <c r="AD248" s="18" t="str">
        <f aca="false">IF(A248="","",IF(IFERROR(INDEX($G:$G,MATCH(A248,$A:$A,0)),"")="","",TRIM(IF(ISNUMBER(FIND(",",IFERROR(INDEX($G:$G,MATCH(A248,$A:$A,0)),""))),LEFT(IFERROR(INDEX($G:$G,MATCH(A248,$A:$A,0)),""),FIND(",",IFERROR(INDEX($G:$G,MATCH(A248,$A:$A,0)),""))-1),IFERROR(INDEX($G:$G,MATCH(A248,$A:$A,0)),"")))))</f>
        <v/>
      </c>
      <c r="AE248" s="18" t="str">
        <f aca="false">IF(AD248="","",IF(IFERROR(INDEX($G:$G,MATCH(AD248,$A:$A,0)),"")="","",TRIM(IF(ISNUMBER(FIND(",",IFERROR(INDEX($G:$G,MATCH(AD248,$A:$A,0)),""))),LEFT(IFERROR(INDEX($G:$G,MATCH(AD248,$A:$A,0)),""),FIND(",",IFERROR(INDEX($G:$G,MATCH(AD248,$A:$A,0)),""))-1),IFERROR(INDEX($G:$G,MATCH(AD248,$A:$A,0)),"")))))</f>
        <v/>
      </c>
      <c r="AF248" s="18" t="str">
        <f aca="false">IF(AE248="","",IF(IFERROR(INDEX($G:$G,MATCH(AE248,$A:$A,0)),"")="","",TRIM(IF(ISNUMBER(FIND(",",IFERROR(INDEX($G:$G,MATCH(AE248,$A:$A,0)),""))),LEFT(IFERROR(INDEX($G:$G,MATCH(AE248,$A:$A,0)),""),FIND(",",IFERROR(INDEX($G:$G,MATCH(AE248,$A:$A,0)),""))-1),IFERROR(INDEX($G:$G,MATCH(AE248,$A:$A,0)),"")))))</f>
        <v/>
      </c>
      <c r="AG248" s="18" t="str">
        <f aca="false">IF(AF248="","",IF(IFERROR(INDEX($G:$G,MATCH(AF248,$A:$A,0)),"")="","",TRIM(IF(ISNUMBER(FIND(",",IFERROR(INDEX($G:$G,MATCH(AF248,$A:$A,0)),""))),LEFT(IFERROR(INDEX($G:$G,MATCH(AF248,$A:$A,0)),""),FIND(",",IFERROR(INDEX($G:$G,MATCH(AF248,$A:$A,0)),""))-1),IFERROR(INDEX($G:$G,MATCH(AF248,$A:$A,0)),"")))))</f>
        <v/>
      </c>
    </row>
    <row r="249" customFormat="false" ht="15" hidden="false" customHeight="false" outlineLevel="0" collapsed="false">
      <c r="A249" s="18"/>
      <c r="B249" s="19"/>
      <c r="C249" s="20"/>
      <c r="D249" s="20"/>
      <c r="E249" s="20"/>
      <c r="F249" s="20"/>
      <c r="G249" s="18"/>
      <c r="H249" s="20"/>
      <c r="I249" s="18"/>
      <c r="J249" s="20"/>
      <c r="K249" s="20"/>
      <c r="L249" s="20"/>
      <c r="M249" s="20"/>
      <c r="N249" s="20"/>
      <c r="O249" s="21" t="str">
        <f aca="false">IF(A249="","",IF(AD249="",0,IF(AE249="",1,IF(AF249="",2,IF(AG249="",3,"4+")))))</f>
        <v/>
      </c>
      <c r="P249" s="21" t="str">
        <f aca="false">IF(A249="","",B249&amp;IF(AD249="",""," &lt;- "&amp;IFERROR(INDEX($B:$B,MATCH(AD249,$A:$A,0)),AD249)&amp;IF(AE249="",""," &lt;- "&amp;IFERROR(INDEX($B:$B,MATCH(AE249,$A:$A,0)),AE249)&amp;IF(AF249="",""," &lt;- "&amp;IFERROR(INDEX($B:$B,MATCH(AF249,$A:$A,0)),AF249)&amp;IF(AG249="",""," &lt;- "&amp;IFERROR(INDEX($B:$B,MATCH(AG249,$A:$A,0)),AG249)))))&amp;IF(ISNUMBER(FIND(",",G249))," (+ other parents)",""))</f>
        <v/>
      </c>
      <c r="Q249" s="21" t="str">
        <f aca="false">IF(A249="","",IF(AD249="",E249&amp;"",IF(AE249="",IF(IFERROR(INDEX($E:$E,MATCH(AD249,$A:$A,0)),"")="","",INDEX($E:$E,MATCH(AD249,$A:$A,0))),IF(AF249="",IF(IFERROR(INDEX($E:$E,MATCH(AE249,$A:$A,0)),"")="","",INDEX($E:$E,MATCH(AE249,$A:$A,0))),IF(AG249="",IF(IFERROR(INDEX($E:$E,MATCH(AF249,$A:$A,0)),"")="","",INDEX($E:$E,MATCH(AF249,$A:$A,0))),IF(IFERROR(INDEX($E:$E,MATCH(AG249,$A:$A,0)),"")="","",INDEX($E:$E,MATCH(AG249,$A:$A,0))))))))</f>
        <v/>
      </c>
      <c r="R249" s="21" t="str">
        <f aca="false">IF(A249="","",COUNTIF(Fields!$D:$D,A249))</f>
        <v/>
      </c>
      <c r="S249" s="21" t="str">
        <f aca="false">IF(A249="","",SUMIF(Fields!$D:$D,A249,Fields!$Q:$Q))</f>
        <v/>
      </c>
      <c r="T249" s="21" t="str">
        <f aca="false">IF(A249="","",COUNTIF('Product inputs'!$D:$D,A249))</f>
        <v/>
      </c>
      <c r="U249" s="20"/>
      <c r="V249" s="20"/>
      <c r="W249" s="20"/>
      <c r="X249" s="20"/>
      <c r="Y249" s="20"/>
      <c r="Z249" s="20"/>
      <c r="AA249" s="20"/>
      <c r="AB249" s="20"/>
      <c r="AC249" s="20"/>
      <c r="AD249" s="18" t="str">
        <f aca="false">IF(A249="","",IF(IFERROR(INDEX($G:$G,MATCH(A249,$A:$A,0)),"")="","",TRIM(IF(ISNUMBER(FIND(",",IFERROR(INDEX($G:$G,MATCH(A249,$A:$A,0)),""))),LEFT(IFERROR(INDEX($G:$G,MATCH(A249,$A:$A,0)),""),FIND(",",IFERROR(INDEX($G:$G,MATCH(A249,$A:$A,0)),""))-1),IFERROR(INDEX($G:$G,MATCH(A249,$A:$A,0)),"")))))</f>
        <v/>
      </c>
      <c r="AE249" s="18" t="str">
        <f aca="false">IF(AD249="","",IF(IFERROR(INDEX($G:$G,MATCH(AD249,$A:$A,0)),"")="","",TRIM(IF(ISNUMBER(FIND(",",IFERROR(INDEX($G:$G,MATCH(AD249,$A:$A,0)),""))),LEFT(IFERROR(INDEX($G:$G,MATCH(AD249,$A:$A,0)),""),FIND(",",IFERROR(INDEX($G:$G,MATCH(AD249,$A:$A,0)),""))-1),IFERROR(INDEX($G:$G,MATCH(AD249,$A:$A,0)),"")))))</f>
        <v/>
      </c>
      <c r="AF249" s="18" t="str">
        <f aca="false">IF(AE249="","",IF(IFERROR(INDEX($G:$G,MATCH(AE249,$A:$A,0)),"")="","",TRIM(IF(ISNUMBER(FIND(",",IFERROR(INDEX($G:$G,MATCH(AE249,$A:$A,0)),""))),LEFT(IFERROR(INDEX($G:$G,MATCH(AE249,$A:$A,0)),""),FIND(",",IFERROR(INDEX($G:$G,MATCH(AE249,$A:$A,0)),""))-1),IFERROR(INDEX($G:$G,MATCH(AE249,$A:$A,0)),"")))))</f>
        <v/>
      </c>
      <c r="AG249" s="18" t="str">
        <f aca="false">IF(AF249="","",IF(IFERROR(INDEX($G:$G,MATCH(AF249,$A:$A,0)),"")="","",TRIM(IF(ISNUMBER(FIND(",",IFERROR(INDEX($G:$G,MATCH(AF249,$A:$A,0)),""))),LEFT(IFERROR(INDEX($G:$G,MATCH(AF249,$A:$A,0)),""),FIND(",",IFERROR(INDEX($G:$G,MATCH(AF249,$A:$A,0)),""))-1),IFERROR(INDEX($G:$G,MATCH(AF249,$A:$A,0)),"")))))</f>
        <v/>
      </c>
    </row>
    <row r="250" customFormat="false" ht="15" hidden="false" customHeight="false" outlineLevel="0" collapsed="false">
      <c r="A250" s="18"/>
      <c r="B250" s="19"/>
      <c r="C250" s="20"/>
      <c r="D250" s="20"/>
      <c r="E250" s="20"/>
      <c r="F250" s="20"/>
      <c r="G250" s="18"/>
      <c r="H250" s="20"/>
      <c r="I250" s="18"/>
      <c r="J250" s="20"/>
      <c r="K250" s="20"/>
      <c r="L250" s="20"/>
      <c r="M250" s="20"/>
      <c r="N250" s="20"/>
      <c r="O250" s="21" t="str">
        <f aca="false">IF(A250="","",IF(AD250="",0,IF(AE250="",1,IF(AF250="",2,IF(AG250="",3,"4+")))))</f>
        <v/>
      </c>
      <c r="P250" s="21" t="str">
        <f aca="false">IF(A250="","",B250&amp;IF(AD250="",""," &lt;- "&amp;IFERROR(INDEX($B:$B,MATCH(AD250,$A:$A,0)),AD250)&amp;IF(AE250="",""," &lt;- "&amp;IFERROR(INDEX($B:$B,MATCH(AE250,$A:$A,0)),AE250)&amp;IF(AF250="",""," &lt;- "&amp;IFERROR(INDEX($B:$B,MATCH(AF250,$A:$A,0)),AF250)&amp;IF(AG250="",""," &lt;- "&amp;IFERROR(INDEX($B:$B,MATCH(AG250,$A:$A,0)),AG250)))))&amp;IF(ISNUMBER(FIND(",",G250))," (+ other parents)",""))</f>
        <v/>
      </c>
      <c r="Q250" s="21" t="str">
        <f aca="false">IF(A250="","",IF(AD250="",E250&amp;"",IF(AE250="",IF(IFERROR(INDEX($E:$E,MATCH(AD250,$A:$A,0)),"")="","",INDEX($E:$E,MATCH(AD250,$A:$A,0))),IF(AF250="",IF(IFERROR(INDEX($E:$E,MATCH(AE250,$A:$A,0)),"")="","",INDEX($E:$E,MATCH(AE250,$A:$A,0))),IF(AG250="",IF(IFERROR(INDEX($E:$E,MATCH(AF250,$A:$A,0)),"")="","",INDEX($E:$E,MATCH(AF250,$A:$A,0))),IF(IFERROR(INDEX($E:$E,MATCH(AG250,$A:$A,0)),"")="","",INDEX($E:$E,MATCH(AG250,$A:$A,0))))))))</f>
        <v/>
      </c>
      <c r="R250" s="21" t="str">
        <f aca="false">IF(A250="","",COUNTIF(Fields!$D:$D,A250))</f>
        <v/>
      </c>
      <c r="S250" s="21" t="str">
        <f aca="false">IF(A250="","",SUMIF(Fields!$D:$D,A250,Fields!$Q:$Q))</f>
        <v/>
      </c>
      <c r="T250" s="21" t="str">
        <f aca="false">IF(A250="","",COUNTIF('Product inputs'!$D:$D,A250))</f>
        <v/>
      </c>
      <c r="U250" s="20"/>
      <c r="V250" s="20"/>
      <c r="W250" s="20"/>
      <c r="X250" s="20"/>
      <c r="Y250" s="20"/>
      <c r="Z250" s="20"/>
      <c r="AA250" s="20"/>
      <c r="AB250" s="20"/>
      <c r="AC250" s="20"/>
      <c r="AD250" s="18" t="str">
        <f aca="false">IF(A250="","",IF(IFERROR(INDEX($G:$G,MATCH(A250,$A:$A,0)),"")="","",TRIM(IF(ISNUMBER(FIND(",",IFERROR(INDEX($G:$G,MATCH(A250,$A:$A,0)),""))),LEFT(IFERROR(INDEX($G:$G,MATCH(A250,$A:$A,0)),""),FIND(",",IFERROR(INDEX($G:$G,MATCH(A250,$A:$A,0)),""))-1),IFERROR(INDEX($G:$G,MATCH(A250,$A:$A,0)),"")))))</f>
        <v/>
      </c>
      <c r="AE250" s="18" t="str">
        <f aca="false">IF(AD250="","",IF(IFERROR(INDEX($G:$G,MATCH(AD250,$A:$A,0)),"")="","",TRIM(IF(ISNUMBER(FIND(",",IFERROR(INDEX($G:$G,MATCH(AD250,$A:$A,0)),""))),LEFT(IFERROR(INDEX($G:$G,MATCH(AD250,$A:$A,0)),""),FIND(",",IFERROR(INDEX($G:$G,MATCH(AD250,$A:$A,0)),""))-1),IFERROR(INDEX($G:$G,MATCH(AD250,$A:$A,0)),"")))))</f>
        <v/>
      </c>
      <c r="AF250" s="18" t="str">
        <f aca="false">IF(AE250="","",IF(IFERROR(INDEX($G:$G,MATCH(AE250,$A:$A,0)),"")="","",TRIM(IF(ISNUMBER(FIND(",",IFERROR(INDEX($G:$G,MATCH(AE250,$A:$A,0)),""))),LEFT(IFERROR(INDEX($G:$G,MATCH(AE250,$A:$A,0)),""),FIND(",",IFERROR(INDEX($G:$G,MATCH(AE250,$A:$A,0)),""))-1),IFERROR(INDEX($G:$G,MATCH(AE250,$A:$A,0)),"")))))</f>
        <v/>
      </c>
      <c r="AG250" s="18" t="str">
        <f aca="false">IF(AF250="","",IF(IFERROR(INDEX($G:$G,MATCH(AF250,$A:$A,0)),"")="","",TRIM(IF(ISNUMBER(FIND(",",IFERROR(INDEX($G:$G,MATCH(AF250,$A:$A,0)),""))),LEFT(IFERROR(INDEX($G:$G,MATCH(AF250,$A:$A,0)),""),FIND(",",IFERROR(INDEX($G:$G,MATCH(AF250,$A:$A,0)),""))-1),IFERROR(INDEX($G:$G,MATCH(AF250,$A:$A,0)),"")))))</f>
        <v/>
      </c>
    </row>
    <row r="251" customFormat="false" ht="15" hidden="false" customHeight="false" outlineLevel="0" collapsed="false">
      <c r="A251" s="18"/>
      <c r="B251" s="19"/>
      <c r="C251" s="20"/>
      <c r="D251" s="20"/>
      <c r="E251" s="20"/>
      <c r="F251" s="20"/>
      <c r="G251" s="18"/>
      <c r="H251" s="20"/>
      <c r="I251" s="18"/>
      <c r="J251" s="20"/>
      <c r="K251" s="20"/>
      <c r="L251" s="20"/>
      <c r="M251" s="20"/>
      <c r="N251" s="20"/>
      <c r="O251" s="21" t="str">
        <f aca="false">IF(A251="","",IF(AD251="",0,IF(AE251="",1,IF(AF251="",2,IF(AG251="",3,"4+")))))</f>
        <v/>
      </c>
      <c r="P251" s="21" t="str">
        <f aca="false">IF(A251="","",B251&amp;IF(AD251="",""," &lt;- "&amp;IFERROR(INDEX($B:$B,MATCH(AD251,$A:$A,0)),AD251)&amp;IF(AE251="",""," &lt;- "&amp;IFERROR(INDEX($B:$B,MATCH(AE251,$A:$A,0)),AE251)&amp;IF(AF251="",""," &lt;- "&amp;IFERROR(INDEX($B:$B,MATCH(AF251,$A:$A,0)),AF251)&amp;IF(AG251="",""," &lt;- "&amp;IFERROR(INDEX($B:$B,MATCH(AG251,$A:$A,0)),AG251)))))&amp;IF(ISNUMBER(FIND(",",G251))," (+ other parents)",""))</f>
        <v/>
      </c>
      <c r="Q251" s="21" t="str">
        <f aca="false">IF(A251="","",IF(AD251="",E251&amp;"",IF(AE251="",IF(IFERROR(INDEX($E:$E,MATCH(AD251,$A:$A,0)),"")="","",INDEX($E:$E,MATCH(AD251,$A:$A,0))),IF(AF251="",IF(IFERROR(INDEX($E:$E,MATCH(AE251,$A:$A,0)),"")="","",INDEX($E:$E,MATCH(AE251,$A:$A,0))),IF(AG251="",IF(IFERROR(INDEX($E:$E,MATCH(AF251,$A:$A,0)),"")="","",INDEX($E:$E,MATCH(AF251,$A:$A,0))),IF(IFERROR(INDEX($E:$E,MATCH(AG251,$A:$A,0)),"")="","",INDEX($E:$E,MATCH(AG251,$A:$A,0))))))))</f>
        <v/>
      </c>
      <c r="R251" s="21" t="str">
        <f aca="false">IF(A251="","",COUNTIF(Fields!$D:$D,A251))</f>
        <v/>
      </c>
      <c r="S251" s="21" t="str">
        <f aca="false">IF(A251="","",SUMIF(Fields!$D:$D,A251,Fields!$Q:$Q))</f>
        <v/>
      </c>
      <c r="T251" s="21" t="str">
        <f aca="false">IF(A251="","",COUNTIF('Product inputs'!$D:$D,A251))</f>
        <v/>
      </c>
      <c r="U251" s="20"/>
      <c r="V251" s="20"/>
      <c r="W251" s="20"/>
      <c r="X251" s="20"/>
      <c r="Y251" s="20"/>
      <c r="Z251" s="20"/>
      <c r="AA251" s="20"/>
      <c r="AB251" s="20"/>
      <c r="AC251" s="20"/>
      <c r="AD251" s="18" t="str">
        <f aca="false">IF(A251="","",IF(IFERROR(INDEX($G:$G,MATCH(A251,$A:$A,0)),"")="","",TRIM(IF(ISNUMBER(FIND(",",IFERROR(INDEX($G:$G,MATCH(A251,$A:$A,0)),""))),LEFT(IFERROR(INDEX($G:$G,MATCH(A251,$A:$A,0)),""),FIND(",",IFERROR(INDEX($G:$G,MATCH(A251,$A:$A,0)),""))-1),IFERROR(INDEX($G:$G,MATCH(A251,$A:$A,0)),"")))))</f>
        <v/>
      </c>
      <c r="AE251" s="18" t="str">
        <f aca="false">IF(AD251="","",IF(IFERROR(INDEX($G:$G,MATCH(AD251,$A:$A,0)),"")="","",TRIM(IF(ISNUMBER(FIND(",",IFERROR(INDEX($G:$G,MATCH(AD251,$A:$A,0)),""))),LEFT(IFERROR(INDEX($G:$G,MATCH(AD251,$A:$A,0)),""),FIND(",",IFERROR(INDEX($G:$G,MATCH(AD251,$A:$A,0)),""))-1),IFERROR(INDEX($G:$G,MATCH(AD251,$A:$A,0)),"")))))</f>
        <v/>
      </c>
      <c r="AF251" s="18" t="str">
        <f aca="false">IF(AE251="","",IF(IFERROR(INDEX($G:$G,MATCH(AE251,$A:$A,0)),"")="","",TRIM(IF(ISNUMBER(FIND(",",IFERROR(INDEX($G:$G,MATCH(AE251,$A:$A,0)),""))),LEFT(IFERROR(INDEX($G:$G,MATCH(AE251,$A:$A,0)),""),FIND(",",IFERROR(INDEX($G:$G,MATCH(AE251,$A:$A,0)),""))-1),IFERROR(INDEX($G:$G,MATCH(AE251,$A:$A,0)),"")))))</f>
        <v/>
      </c>
      <c r="AG251" s="18" t="str">
        <f aca="false">IF(AF251="","",IF(IFERROR(INDEX($G:$G,MATCH(AF251,$A:$A,0)),"")="","",TRIM(IF(ISNUMBER(FIND(",",IFERROR(INDEX($G:$G,MATCH(AF251,$A:$A,0)),""))),LEFT(IFERROR(INDEX($G:$G,MATCH(AF251,$A:$A,0)),""),FIND(",",IFERROR(INDEX($G:$G,MATCH(AF251,$A:$A,0)),""))-1),IFERROR(INDEX($G:$G,MATCH(AF251,$A:$A,0)),"")))))</f>
        <v/>
      </c>
    </row>
    <row r="252" customFormat="false" ht="15" hidden="false" customHeight="false" outlineLevel="0" collapsed="false">
      <c r="A252" s="18"/>
      <c r="B252" s="19"/>
      <c r="C252" s="20"/>
      <c r="D252" s="20"/>
      <c r="E252" s="20"/>
      <c r="F252" s="20"/>
      <c r="G252" s="18"/>
      <c r="H252" s="20"/>
      <c r="I252" s="18"/>
      <c r="J252" s="20"/>
      <c r="K252" s="20"/>
      <c r="L252" s="20"/>
      <c r="M252" s="20"/>
      <c r="N252" s="20"/>
      <c r="O252" s="21" t="str">
        <f aca="false">IF(A252="","",IF(AD252="",0,IF(AE252="",1,IF(AF252="",2,IF(AG252="",3,"4+")))))</f>
        <v/>
      </c>
      <c r="P252" s="21" t="str">
        <f aca="false">IF(A252="","",B252&amp;IF(AD252="",""," &lt;- "&amp;IFERROR(INDEX($B:$B,MATCH(AD252,$A:$A,0)),AD252)&amp;IF(AE252="",""," &lt;- "&amp;IFERROR(INDEX($B:$B,MATCH(AE252,$A:$A,0)),AE252)&amp;IF(AF252="",""," &lt;- "&amp;IFERROR(INDEX($B:$B,MATCH(AF252,$A:$A,0)),AF252)&amp;IF(AG252="",""," &lt;- "&amp;IFERROR(INDEX($B:$B,MATCH(AG252,$A:$A,0)),AG252)))))&amp;IF(ISNUMBER(FIND(",",G252))," (+ other parents)",""))</f>
        <v/>
      </c>
      <c r="Q252" s="21" t="str">
        <f aca="false">IF(A252="","",IF(AD252="",E252&amp;"",IF(AE252="",IF(IFERROR(INDEX($E:$E,MATCH(AD252,$A:$A,0)),"")="","",INDEX($E:$E,MATCH(AD252,$A:$A,0))),IF(AF252="",IF(IFERROR(INDEX($E:$E,MATCH(AE252,$A:$A,0)),"")="","",INDEX($E:$E,MATCH(AE252,$A:$A,0))),IF(AG252="",IF(IFERROR(INDEX($E:$E,MATCH(AF252,$A:$A,0)),"")="","",INDEX($E:$E,MATCH(AF252,$A:$A,0))),IF(IFERROR(INDEX($E:$E,MATCH(AG252,$A:$A,0)),"")="","",INDEX($E:$E,MATCH(AG252,$A:$A,0))))))))</f>
        <v/>
      </c>
      <c r="R252" s="21" t="str">
        <f aca="false">IF(A252="","",COUNTIF(Fields!$D:$D,A252))</f>
        <v/>
      </c>
      <c r="S252" s="21" t="str">
        <f aca="false">IF(A252="","",SUMIF(Fields!$D:$D,A252,Fields!$Q:$Q))</f>
        <v/>
      </c>
      <c r="T252" s="21" t="str">
        <f aca="false">IF(A252="","",COUNTIF('Product inputs'!$D:$D,A252))</f>
        <v/>
      </c>
      <c r="U252" s="20"/>
      <c r="V252" s="20"/>
      <c r="W252" s="20"/>
      <c r="X252" s="20"/>
      <c r="Y252" s="20"/>
      <c r="Z252" s="20"/>
      <c r="AA252" s="20"/>
      <c r="AB252" s="20"/>
      <c r="AC252" s="20"/>
      <c r="AD252" s="18" t="str">
        <f aca="false">IF(A252="","",IF(IFERROR(INDEX($G:$G,MATCH(A252,$A:$A,0)),"")="","",TRIM(IF(ISNUMBER(FIND(",",IFERROR(INDEX($G:$G,MATCH(A252,$A:$A,0)),""))),LEFT(IFERROR(INDEX($G:$G,MATCH(A252,$A:$A,0)),""),FIND(",",IFERROR(INDEX($G:$G,MATCH(A252,$A:$A,0)),""))-1),IFERROR(INDEX($G:$G,MATCH(A252,$A:$A,0)),"")))))</f>
        <v/>
      </c>
      <c r="AE252" s="18" t="str">
        <f aca="false">IF(AD252="","",IF(IFERROR(INDEX($G:$G,MATCH(AD252,$A:$A,0)),"")="","",TRIM(IF(ISNUMBER(FIND(",",IFERROR(INDEX($G:$G,MATCH(AD252,$A:$A,0)),""))),LEFT(IFERROR(INDEX($G:$G,MATCH(AD252,$A:$A,0)),""),FIND(",",IFERROR(INDEX($G:$G,MATCH(AD252,$A:$A,0)),""))-1),IFERROR(INDEX($G:$G,MATCH(AD252,$A:$A,0)),"")))))</f>
        <v/>
      </c>
      <c r="AF252" s="18" t="str">
        <f aca="false">IF(AE252="","",IF(IFERROR(INDEX($G:$G,MATCH(AE252,$A:$A,0)),"")="","",TRIM(IF(ISNUMBER(FIND(",",IFERROR(INDEX($G:$G,MATCH(AE252,$A:$A,0)),""))),LEFT(IFERROR(INDEX($G:$G,MATCH(AE252,$A:$A,0)),""),FIND(",",IFERROR(INDEX($G:$G,MATCH(AE252,$A:$A,0)),""))-1),IFERROR(INDEX($G:$G,MATCH(AE252,$A:$A,0)),"")))))</f>
        <v/>
      </c>
      <c r="AG252" s="18" t="str">
        <f aca="false">IF(AF252="","",IF(IFERROR(INDEX($G:$G,MATCH(AF252,$A:$A,0)),"")="","",TRIM(IF(ISNUMBER(FIND(",",IFERROR(INDEX($G:$G,MATCH(AF252,$A:$A,0)),""))),LEFT(IFERROR(INDEX($G:$G,MATCH(AF252,$A:$A,0)),""),FIND(",",IFERROR(INDEX($G:$G,MATCH(AF252,$A:$A,0)),""))-1),IFERROR(INDEX($G:$G,MATCH(AF252,$A:$A,0)),"")))))</f>
        <v/>
      </c>
    </row>
    <row r="253" customFormat="false" ht="15" hidden="false" customHeight="false" outlineLevel="0" collapsed="false">
      <c r="A253" s="18"/>
      <c r="B253" s="19"/>
      <c r="C253" s="20"/>
      <c r="D253" s="20"/>
      <c r="E253" s="20"/>
      <c r="F253" s="20"/>
      <c r="G253" s="18"/>
      <c r="H253" s="20"/>
      <c r="I253" s="18"/>
      <c r="J253" s="20"/>
      <c r="K253" s="20"/>
      <c r="L253" s="20"/>
      <c r="M253" s="20"/>
      <c r="N253" s="20"/>
      <c r="O253" s="21" t="str">
        <f aca="false">IF(A253="","",IF(AD253="",0,IF(AE253="",1,IF(AF253="",2,IF(AG253="",3,"4+")))))</f>
        <v/>
      </c>
      <c r="P253" s="21" t="str">
        <f aca="false">IF(A253="","",B253&amp;IF(AD253="",""," &lt;- "&amp;IFERROR(INDEX($B:$B,MATCH(AD253,$A:$A,0)),AD253)&amp;IF(AE253="",""," &lt;- "&amp;IFERROR(INDEX($B:$B,MATCH(AE253,$A:$A,0)),AE253)&amp;IF(AF253="",""," &lt;- "&amp;IFERROR(INDEX($B:$B,MATCH(AF253,$A:$A,0)),AF253)&amp;IF(AG253="",""," &lt;- "&amp;IFERROR(INDEX($B:$B,MATCH(AG253,$A:$A,0)),AG253)))))&amp;IF(ISNUMBER(FIND(",",G253))," (+ other parents)",""))</f>
        <v/>
      </c>
      <c r="Q253" s="21" t="str">
        <f aca="false">IF(A253="","",IF(AD253="",E253&amp;"",IF(AE253="",IF(IFERROR(INDEX($E:$E,MATCH(AD253,$A:$A,0)),"")="","",INDEX($E:$E,MATCH(AD253,$A:$A,0))),IF(AF253="",IF(IFERROR(INDEX($E:$E,MATCH(AE253,$A:$A,0)),"")="","",INDEX($E:$E,MATCH(AE253,$A:$A,0))),IF(AG253="",IF(IFERROR(INDEX($E:$E,MATCH(AF253,$A:$A,0)),"")="","",INDEX($E:$E,MATCH(AF253,$A:$A,0))),IF(IFERROR(INDEX($E:$E,MATCH(AG253,$A:$A,0)),"")="","",INDEX($E:$E,MATCH(AG253,$A:$A,0))))))))</f>
        <v/>
      </c>
      <c r="R253" s="21" t="str">
        <f aca="false">IF(A253="","",COUNTIF(Fields!$D:$D,A253))</f>
        <v/>
      </c>
      <c r="S253" s="21" t="str">
        <f aca="false">IF(A253="","",SUMIF(Fields!$D:$D,A253,Fields!$Q:$Q))</f>
        <v/>
      </c>
      <c r="T253" s="21" t="str">
        <f aca="false">IF(A253="","",COUNTIF('Product inputs'!$D:$D,A253))</f>
        <v/>
      </c>
      <c r="U253" s="20"/>
      <c r="V253" s="20"/>
      <c r="W253" s="20"/>
      <c r="X253" s="20"/>
      <c r="Y253" s="20"/>
      <c r="Z253" s="20"/>
      <c r="AA253" s="20"/>
      <c r="AB253" s="20"/>
      <c r="AC253" s="20"/>
      <c r="AD253" s="18" t="str">
        <f aca="false">IF(A253="","",IF(IFERROR(INDEX($G:$G,MATCH(A253,$A:$A,0)),"")="","",TRIM(IF(ISNUMBER(FIND(",",IFERROR(INDEX($G:$G,MATCH(A253,$A:$A,0)),""))),LEFT(IFERROR(INDEX($G:$G,MATCH(A253,$A:$A,0)),""),FIND(",",IFERROR(INDEX($G:$G,MATCH(A253,$A:$A,0)),""))-1),IFERROR(INDEX($G:$G,MATCH(A253,$A:$A,0)),"")))))</f>
        <v/>
      </c>
      <c r="AE253" s="18" t="str">
        <f aca="false">IF(AD253="","",IF(IFERROR(INDEX($G:$G,MATCH(AD253,$A:$A,0)),"")="","",TRIM(IF(ISNUMBER(FIND(",",IFERROR(INDEX($G:$G,MATCH(AD253,$A:$A,0)),""))),LEFT(IFERROR(INDEX($G:$G,MATCH(AD253,$A:$A,0)),""),FIND(",",IFERROR(INDEX($G:$G,MATCH(AD253,$A:$A,0)),""))-1),IFERROR(INDEX($G:$G,MATCH(AD253,$A:$A,0)),"")))))</f>
        <v/>
      </c>
      <c r="AF253" s="18" t="str">
        <f aca="false">IF(AE253="","",IF(IFERROR(INDEX($G:$G,MATCH(AE253,$A:$A,0)),"")="","",TRIM(IF(ISNUMBER(FIND(",",IFERROR(INDEX($G:$G,MATCH(AE253,$A:$A,0)),""))),LEFT(IFERROR(INDEX($G:$G,MATCH(AE253,$A:$A,0)),""),FIND(",",IFERROR(INDEX($G:$G,MATCH(AE253,$A:$A,0)),""))-1),IFERROR(INDEX($G:$G,MATCH(AE253,$A:$A,0)),"")))))</f>
        <v/>
      </c>
      <c r="AG253" s="18" t="str">
        <f aca="false">IF(AF253="","",IF(IFERROR(INDEX($G:$G,MATCH(AF253,$A:$A,0)),"")="","",TRIM(IF(ISNUMBER(FIND(",",IFERROR(INDEX($G:$G,MATCH(AF253,$A:$A,0)),""))),LEFT(IFERROR(INDEX($G:$G,MATCH(AF253,$A:$A,0)),""),FIND(",",IFERROR(INDEX($G:$G,MATCH(AF253,$A:$A,0)),""))-1),IFERROR(INDEX($G:$G,MATCH(AF253,$A:$A,0)),"")))))</f>
        <v/>
      </c>
    </row>
    <row r="254" customFormat="false" ht="15" hidden="false" customHeight="false" outlineLevel="0" collapsed="false">
      <c r="A254" s="18"/>
      <c r="B254" s="19"/>
      <c r="C254" s="20"/>
      <c r="D254" s="20"/>
      <c r="E254" s="20"/>
      <c r="F254" s="20"/>
      <c r="G254" s="18"/>
      <c r="H254" s="20"/>
      <c r="I254" s="18"/>
      <c r="J254" s="20"/>
      <c r="K254" s="20"/>
      <c r="L254" s="20"/>
      <c r="M254" s="20"/>
      <c r="N254" s="20"/>
      <c r="O254" s="21" t="str">
        <f aca="false">IF(A254="","",IF(AD254="",0,IF(AE254="",1,IF(AF254="",2,IF(AG254="",3,"4+")))))</f>
        <v/>
      </c>
      <c r="P254" s="21" t="str">
        <f aca="false">IF(A254="","",B254&amp;IF(AD254="",""," &lt;- "&amp;IFERROR(INDEX($B:$B,MATCH(AD254,$A:$A,0)),AD254)&amp;IF(AE254="",""," &lt;- "&amp;IFERROR(INDEX($B:$B,MATCH(AE254,$A:$A,0)),AE254)&amp;IF(AF254="",""," &lt;- "&amp;IFERROR(INDEX($B:$B,MATCH(AF254,$A:$A,0)),AF254)&amp;IF(AG254="",""," &lt;- "&amp;IFERROR(INDEX($B:$B,MATCH(AG254,$A:$A,0)),AG254)))))&amp;IF(ISNUMBER(FIND(",",G254))," (+ other parents)",""))</f>
        <v/>
      </c>
      <c r="Q254" s="21" t="str">
        <f aca="false">IF(A254="","",IF(AD254="",E254&amp;"",IF(AE254="",IF(IFERROR(INDEX($E:$E,MATCH(AD254,$A:$A,0)),"")="","",INDEX($E:$E,MATCH(AD254,$A:$A,0))),IF(AF254="",IF(IFERROR(INDEX($E:$E,MATCH(AE254,$A:$A,0)),"")="","",INDEX($E:$E,MATCH(AE254,$A:$A,0))),IF(AG254="",IF(IFERROR(INDEX($E:$E,MATCH(AF254,$A:$A,0)),"")="","",INDEX($E:$E,MATCH(AF254,$A:$A,0))),IF(IFERROR(INDEX($E:$E,MATCH(AG254,$A:$A,0)),"")="","",INDEX($E:$E,MATCH(AG254,$A:$A,0))))))))</f>
        <v/>
      </c>
      <c r="R254" s="21" t="str">
        <f aca="false">IF(A254="","",COUNTIF(Fields!$D:$D,A254))</f>
        <v/>
      </c>
      <c r="S254" s="21" t="str">
        <f aca="false">IF(A254="","",SUMIF(Fields!$D:$D,A254,Fields!$Q:$Q))</f>
        <v/>
      </c>
      <c r="T254" s="21" t="str">
        <f aca="false">IF(A254="","",COUNTIF('Product inputs'!$D:$D,A254))</f>
        <v/>
      </c>
      <c r="U254" s="20"/>
      <c r="V254" s="20"/>
      <c r="W254" s="20"/>
      <c r="X254" s="20"/>
      <c r="Y254" s="20"/>
      <c r="Z254" s="20"/>
      <c r="AA254" s="20"/>
      <c r="AB254" s="20"/>
      <c r="AC254" s="20"/>
      <c r="AD254" s="18" t="str">
        <f aca="false">IF(A254="","",IF(IFERROR(INDEX($G:$G,MATCH(A254,$A:$A,0)),"")="","",TRIM(IF(ISNUMBER(FIND(",",IFERROR(INDEX($G:$G,MATCH(A254,$A:$A,0)),""))),LEFT(IFERROR(INDEX($G:$G,MATCH(A254,$A:$A,0)),""),FIND(",",IFERROR(INDEX($G:$G,MATCH(A254,$A:$A,0)),""))-1),IFERROR(INDEX($G:$G,MATCH(A254,$A:$A,0)),"")))))</f>
        <v/>
      </c>
      <c r="AE254" s="18" t="str">
        <f aca="false">IF(AD254="","",IF(IFERROR(INDEX($G:$G,MATCH(AD254,$A:$A,0)),"")="","",TRIM(IF(ISNUMBER(FIND(",",IFERROR(INDEX($G:$G,MATCH(AD254,$A:$A,0)),""))),LEFT(IFERROR(INDEX($G:$G,MATCH(AD254,$A:$A,0)),""),FIND(",",IFERROR(INDEX($G:$G,MATCH(AD254,$A:$A,0)),""))-1),IFERROR(INDEX($G:$G,MATCH(AD254,$A:$A,0)),"")))))</f>
        <v/>
      </c>
      <c r="AF254" s="18" t="str">
        <f aca="false">IF(AE254="","",IF(IFERROR(INDEX($G:$G,MATCH(AE254,$A:$A,0)),"")="","",TRIM(IF(ISNUMBER(FIND(",",IFERROR(INDEX($G:$G,MATCH(AE254,$A:$A,0)),""))),LEFT(IFERROR(INDEX($G:$G,MATCH(AE254,$A:$A,0)),""),FIND(",",IFERROR(INDEX($G:$G,MATCH(AE254,$A:$A,0)),""))-1),IFERROR(INDEX($G:$G,MATCH(AE254,$A:$A,0)),"")))))</f>
        <v/>
      </c>
      <c r="AG254" s="18" t="str">
        <f aca="false">IF(AF254="","",IF(IFERROR(INDEX($G:$G,MATCH(AF254,$A:$A,0)),"")="","",TRIM(IF(ISNUMBER(FIND(",",IFERROR(INDEX($G:$G,MATCH(AF254,$A:$A,0)),""))),LEFT(IFERROR(INDEX($G:$G,MATCH(AF254,$A:$A,0)),""),FIND(",",IFERROR(INDEX($G:$G,MATCH(AF254,$A:$A,0)),""))-1),IFERROR(INDEX($G:$G,MATCH(AF254,$A:$A,0)),"")))))</f>
        <v/>
      </c>
    </row>
    <row r="255" customFormat="false" ht="15" hidden="false" customHeight="false" outlineLevel="0" collapsed="false">
      <c r="A255" s="18"/>
      <c r="B255" s="19"/>
      <c r="C255" s="20"/>
      <c r="D255" s="20"/>
      <c r="E255" s="20"/>
      <c r="F255" s="20"/>
      <c r="G255" s="18"/>
      <c r="H255" s="20"/>
      <c r="I255" s="18"/>
      <c r="J255" s="20"/>
      <c r="K255" s="20"/>
      <c r="L255" s="20"/>
      <c r="M255" s="20"/>
      <c r="N255" s="20"/>
      <c r="O255" s="21" t="str">
        <f aca="false">IF(A255="","",IF(AD255="",0,IF(AE255="",1,IF(AF255="",2,IF(AG255="",3,"4+")))))</f>
        <v/>
      </c>
      <c r="P255" s="21" t="str">
        <f aca="false">IF(A255="","",B255&amp;IF(AD255="",""," &lt;- "&amp;IFERROR(INDEX($B:$B,MATCH(AD255,$A:$A,0)),AD255)&amp;IF(AE255="",""," &lt;- "&amp;IFERROR(INDEX($B:$B,MATCH(AE255,$A:$A,0)),AE255)&amp;IF(AF255="",""," &lt;- "&amp;IFERROR(INDEX($B:$B,MATCH(AF255,$A:$A,0)),AF255)&amp;IF(AG255="",""," &lt;- "&amp;IFERROR(INDEX($B:$B,MATCH(AG255,$A:$A,0)),AG255)))))&amp;IF(ISNUMBER(FIND(",",G255))," (+ other parents)",""))</f>
        <v/>
      </c>
      <c r="Q255" s="21" t="str">
        <f aca="false">IF(A255="","",IF(AD255="",E255&amp;"",IF(AE255="",IF(IFERROR(INDEX($E:$E,MATCH(AD255,$A:$A,0)),"")="","",INDEX($E:$E,MATCH(AD255,$A:$A,0))),IF(AF255="",IF(IFERROR(INDEX($E:$E,MATCH(AE255,$A:$A,0)),"")="","",INDEX($E:$E,MATCH(AE255,$A:$A,0))),IF(AG255="",IF(IFERROR(INDEX($E:$E,MATCH(AF255,$A:$A,0)),"")="","",INDEX($E:$E,MATCH(AF255,$A:$A,0))),IF(IFERROR(INDEX($E:$E,MATCH(AG255,$A:$A,0)),"")="","",INDEX($E:$E,MATCH(AG255,$A:$A,0))))))))</f>
        <v/>
      </c>
      <c r="R255" s="21" t="str">
        <f aca="false">IF(A255="","",COUNTIF(Fields!$D:$D,A255))</f>
        <v/>
      </c>
      <c r="S255" s="21" t="str">
        <f aca="false">IF(A255="","",SUMIF(Fields!$D:$D,A255,Fields!$Q:$Q))</f>
        <v/>
      </c>
      <c r="T255" s="21" t="str">
        <f aca="false">IF(A255="","",COUNTIF('Product inputs'!$D:$D,A255))</f>
        <v/>
      </c>
      <c r="U255" s="20"/>
      <c r="V255" s="20"/>
      <c r="W255" s="20"/>
      <c r="X255" s="20"/>
      <c r="Y255" s="20"/>
      <c r="Z255" s="20"/>
      <c r="AA255" s="20"/>
      <c r="AB255" s="20"/>
      <c r="AC255" s="20"/>
      <c r="AD255" s="18" t="str">
        <f aca="false">IF(A255="","",IF(IFERROR(INDEX($G:$G,MATCH(A255,$A:$A,0)),"")="","",TRIM(IF(ISNUMBER(FIND(",",IFERROR(INDEX($G:$G,MATCH(A255,$A:$A,0)),""))),LEFT(IFERROR(INDEX($G:$G,MATCH(A255,$A:$A,0)),""),FIND(",",IFERROR(INDEX($G:$G,MATCH(A255,$A:$A,0)),""))-1),IFERROR(INDEX($G:$G,MATCH(A255,$A:$A,0)),"")))))</f>
        <v/>
      </c>
      <c r="AE255" s="18" t="str">
        <f aca="false">IF(AD255="","",IF(IFERROR(INDEX($G:$G,MATCH(AD255,$A:$A,0)),"")="","",TRIM(IF(ISNUMBER(FIND(",",IFERROR(INDEX($G:$G,MATCH(AD255,$A:$A,0)),""))),LEFT(IFERROR(INDEX($G:$G,MATCH(AD255,$A:$A,0)),""),FIND(",",IFERROR(INDEX($G:$G,MATCH(AD255,$A:$A,0)),""))-1),IFERROR(INDEX($G:$G,MATCH(AD255,$A:$A,0)),"")))))</f>
        <v/>
      </c>
      <c r="AF255" s="18" t="str">
        <f aca="false">IF(AE255="","",IF(IFERROR(INDEX($G:$G,MATCH(AE255,$A:$A,0)),"")="","",TRIM(IF(ISNUMBER(FIND(",",IFERROR(INDEX($G:$G,MATCH(AE255,$A:$A,0)),""))),LEFT(IFERROR(INDEX($G:$G,MATCH(AE255,$A:$A,0)),""),FIND(",",IFERROR(INDEX($G:$G,MATCH(AE255,$A:$A,0)),""))-1),IFERROR(INDEX($G:$G,MATCH(AE255,$A:$A,0)),"")))))</f>
        <v/>
      </c>
      <c r="AG255" s="18" t="str">
        <f aca="false">IF(AF255="","",IF(IFERROR(INDEX($G:$G,MATCH(AF255,$A:$A,0)),"")="","",TRIM(IF(ISNUMBER(FIND(",",IFERROR(INDEX($G:$G,MATCH(AF255,$A:$A,0)),""))),LEFT(IFERROR(INDEX($G:$G,MATCH(AF255,$A:$A,0)),""),FIND(",",IFERROR(INDEX($G:$G,MATCH(AF255,$A:$A,0)),""))-1),IFERROR(INDEX($G:$G,MATCH(AF255,$A:$A,0)),"")))))</f>
        <v/>
      </c>
    </row>
    <row r="256" customFormat="false" ht="15" hidden="false" customHeight="false" outlineLevel="0" collapsed="false">
      <c r="A256" s="18"/>
      <c r="B256" s="19"/>
      <c r="C256" s="20"/>
      <c r="D256" s="20"/>
      <c r="E256" s="20"/>
      <c r="F256" s="20"/>
      <c r="G256" s="18"/>
      <c r="H256" s="20"/>
      <c r="I256" s="18"/>
      <c r="J256" s="20"/>
      <c r="K256" s="20"/>
      <c r="L256" s="20"/>
      <c r="M256" s="20"/>
      <c r="N256" s="20"/>
      <c r="O256" s="21" t="str">
        <f aca="false">IF(A256="","",IF(AD256="",0,IF(AE256="",1,IF(AF256="",2,IF(AG256="",3,"4+")))))</f>
        <v/>
      </c>
      <c r="P256" s="21" t="str">
        <f aca="false">IF(A256="","",B256&amp;IF(AD256="",""," &lt;- "&amp;IFERROR(INDEX($B:$B,MATCH(AD256,$A:$A,0)),AD256)&amp;IF(AE256="",""," &lt;- "&amp;IFERROR(INDEX($B:$B,MATCH(AE256,$A:$A,0)),AE256)&amp;IF(AF256="",""," &lt;- "&amp;IFERROR(INDEX($B:$B,MATCH(AF256,$A:$A,0)),AF256)&amp;IF(AG256="",""," &lt;- "&amp;IFERROR(INDEX($B:$B,MATCH(AG256,$A:$A,0)),AG256)))))&amp;IF(ISNUMBER(FIND(",",G256))," (+ other parents)",""))</f>
        <v/>
      </c>
      <c r="Q256" s="21" t="str">
        <f aca="false">IF(A256="","",IF(AD256="",E256&amp;"",IF(AE256="",IF(IFERROR(INDEX($E:$E,MATCH(AD256,$A:$A,0)),"")="","",INDEX($E:$E,MATCH(AD256,$A:$A,0))),IF(AF256="",IF(IFERROR(INDEX($E:$E,MATCH(AE256,$A:$A,0)),"")="","",INDEX($E:$E,MATCH(AE256,$A:$A,0))),IF(AG256="",IF(IFERROR(INDEX($E:$E,MATCH(AF256,$A:$A,0)),"")="","",INDEX($E:$E,MATCH(AF256,$A:$A,0))),IF(IFERROR(INDEX($E:$E,MATCH(AG256,$A:$A,0)),"")="","",INDEX($E:$E,MATCH(AG256,$A:$A,0))))))))</f>
        <v/>
      </c>
      <c r="R256" s="21" t="str">
        <f aca="false">IF(A256="","",COUNTIF(Fields!$D:$D,A256))</f>
        <v/>
      </c>
      <c r="S256" s="21" t="str">
        <f aca="false">IF(A256="","",SUMIF(Fields!$D:$D,A256,Fields!$Q:$Q))</f>
        <v/>
      </c>
      <c r="T256" s="21" t="str">
        <f aca="false">IF(A256="","",COUNTIF('Product inputs'!$D:$D,A256))</f>
        <v/>
      </c>
      <c r="U256" s="20"/>
      <c r="V256" s="20"/>
      <c r="W256" s="20"/>
      <c r="X256" s="20"/>
      <c r="Y256" s="20"/>
      <c r="Z256" s="20"/>
      <c r="AA256" s="20"/>
      <c r="AB256" s="20"/>
      <c r="AC256" s="20"/>
      <c r="AD256" s="18" t="str">
        <f aca="false">IF(A256="","",IF(IFERROR(INDEX($G:$G,MATCH(A256,$A:$A,0)),"")="","",TRIM(IF(ISNUMBER(FIND(",",IFERROR(INDEX($G:$G,MATCH(A256,$A:$A,0)),""))),LEFT(IFERROR(INDEX($G:$G,MATCH(A256,$A:$A,0)),""),FIND(",",IFERROR(INDEX($G:$G,MATCH(A256,$A:$A,0)),""))-1),IFERROR(INDEX($G:$G,MATCH(A256,$A:$A,0)),"")))))</f>
        <v/>
      </c>
      <c r="AE256" s="18" t="str">
        <f aca="false">IF(AD256="","",IF(IFERROR(INDEX($G:$G,MATCH(AD256,$A:$A,0)),"")="","",TRIM(IF(ISNUMBER(FIND(",",IFERROR(INDEX($G:$G,MATCH(AD256,$A:$A,0)),""))),LEFT(IFERROR(INDEX($G:$G,MATCH(AD256,$A:$A,0)),""),FIND(",",IFERROR(INDEX($G:$G,MATCH(AD256,$A:$A,0)),""))-1),IFERROR(INDEX($G:$G,MATCH(AD256,$A:$A,0)),"")))))</f>
        <v/>
      </c>
      <c r="AF256" s="18" t="str">
        <f aca="false">IF(AE256="","",IF(IFERROR(INDEX($G:$G,MATCH(AE256,$A:$A,0)),"")="","",TRIM(IF(ISNUMBER(FIND(",",IFERROR(INDEX($G:$G,MATCH(AE256,$A:$A,0)),""))),LEFT(IFERROR(INDEX($G:$G,MATCH(AE256,$A:$A,0)),""),FIND(",",IFERROR(INDEX($G:$G,MATCH(AE256,$A:$A,0)),""))-1),IFERROR(INDEX($G:$G,MATCH(AE256,$A:$A,0)),"")))))</f>
        <v/>
      </c>
      <c r="AG256" s="18" t="str">
        <f aca="false">IF(AF256="","",IF(IFERROR(INDEX($G:$G,MATCH(AF256,$A:$A,0)),"")="","",TRIM(IF(ISNUMBER(FIND(",",IFERROR(INDEX($G:$G,MATCH(AF256,$A:$A,0)),""))),LEFT(IFERROR(INDEX($G:$G,MATCH(AF256,$A:$A,0)),""),FIND(",",IFERROR(INDEX($G:$G,MATCH(AF256,$A:$A,0)),""))-1),IFERROR(INDEX($G:$G,MATCH(AF256,$A:$A,0)),"")))))</f>
        <v/>
      </c>
    </row>
    <row r="257" customFormat="false" ht="15" hidden="false" customHeight="false" outlineLevel="0" collapsed="false">
      <c r="A257" s="18"/>
      <c r="B257" s="19"/>
      <c r="C257" s="20"/>
      <c r="D257" s="20"/>
      <c r="E257" s="20"/>
      <c r="F257" s="20"/>
      <c r="G257" s="18"/>
      <c r="H257" s="20"/>
      <c r="I257" s="18"/>
      <c r="J257" s="20"/>
      <c r="K257" s="20"/>
      <c r="L257" s="20"/>
      <c r="M257" s="20"/>
      <c r="N257" s="20"/>
      <c r="O257" s="21" t="str">
        <f aca="false">IF(A257="","",IF(AD257="",0,IF(AE257="",1,IF(AF257="",2,IF(AG257="",3,"4+")))))</f>
        <v/>
      </c>
      <c r="P257" s="21" t="str">
        <f aca="false">IF(A257="","",B257&amp;IF(AD257="",""," &lt;- "&amp;IFERROR(INDEX($B:$B,MATCH(AD257,$A:$A,0)),AD257)&amp;IF(AE257="",""," &lt;- "&amp;IFERROR(INDEX($B:$B,MATCH(AE257,$A:$A,0)),AE257)&amp;IF(AF257="",""," &lt;- "&amp;IFERROR(INDEX($B:$B,MATCH(AF257,$A:$A,0)),AF257)&amp;IF(AG257="",""," &lt;- "&amp;IFERROR(INDEX($B:$B,MATCH(AG257,$A:$A,0)),AG257)))))&amp;IF(ISNUMBER(FIND(",",G257))," (+ other parents)",""))</f>
        <v/>
      </c>
      <c r="Q257" s="21" t="str">
        <f aca="false">IF(A257="","",IF(AD257="",E257&amp;"",IF(AE257="",IF(IFERROR(INDEX($E:$E,MATCH(AD257,$A:$A,0)),"")="","",INDEX($E:$E,MATCH(AD257,$A:$A,0))),IF(AF257="",IF(IFERROR(INDEX($E:$E,MATCH(AE257,$A:$A,0)),"")="","",INDEX($E:$E,MATCH(AE257,$A:$A,0))),IF(AG257="",IF(IFERROR(INDEX($E:$E,MATCH(AF257,$A:$A,0)),"")="","",INDEX($E:$E,MATCH(AF257,$A:$A,0))),IF(IFERROR(INDEX($E:$E,MATCH(AG257,$A:$A,0)),"")="","",INDEX($E:$E,MATCH(AG257,$A:$A,0))))))))</f>
        <v/>
      </c>
      <c r="R257" s="21" t="str">
        <f aca="false">IF(A257="","",COUNTIF(Fields!$D:$D,A257))</f>
        <v/>
      </c>
      <c r="S257" s="21" t="str">
        <f aca="false">IF(A257="","",SUMIF(Fields!$D:$D,A257,Fields!$Q:$Q))</f>
        <v/>
      </c>
      <c r="T257" s="21" t="str">
        <f aca="false">IF(A257="","",COUNTIF('Product inputs'!$D:$D,A257))</f>
        <v/>
      </c>
      <c r="U257" s="20"/>
      <c r="V257" s="20"/>
      <c r="W257" s="20"/>
      <c r="X257" s="20"/>
      <c r="Y257" s="20"/>
      <c r="Z257" s="20"/>
      <c r="AA257" s="20"/>
      <c r="AB257" s="20"/>
      <c r="AC257" s="20"/>
      <c r="AD257" s="18" t="str">
        <f aca="false">IF(A257="","",IF(IFERROR(INDEX($G:$G,MATCH(A257,$A:$A,0)),"")="","",TRIM(IF(ISNUMBER(FIND(",",IFERROR(INDEX($G:$G,MATCH(A257,$A:$A,0)),""))),LEFT(IFERROR(INDEX($G:$G,MATCH(A257,$A:$A,0)),""),FIND(",",IFERROR(INDEX($G:$G,MATCH(A257,$A:$A,0)),""))-1),IFERROR(INDEX($G:$G,MATCH(A257,$A:$A,0)),"")))))</f>
        <v/>
      </c>
      <c r="AE257" s="18" t="str">
        <f aca="false">IF(AD257="","",IF(IFERROR(INDEX($G:$G,MATCH(AD257,$A:$A,0)),"")="","",TRIM(IF(ISNUMBER(FIND(",",IFERROR(INDEX($G:$G,MATCH(AD257,$A:$A,0)),""))),LEFT(IFERROR(INDEX($G:$G,MATCH(AD257,$A:$A,0)),""),FIND(",",IFERROR(INDEX($G:$G,MATCH(AD257,$A:$A,0)),""))-1),IFERROR(INDEX($G:$G,MATCH(AD257,$A:$A,0)),"")))))</f>
        <v/>
      </c>
      <c r="AF257" s="18" t="str">
        <f aca="false">IF(AE257="","",IF(IFERROR(INDEX($G:$G,MATCH(AE257,$A:$A,0)),"")="","",TRIM(IF(ISNUMBER(FIND(",",IFERROR(INDEX($G:$G,MATCH(AE257,$A:$A,0)),""))),LEFT(IFERROR(INDEX($G:$G,MATCH(AE257,$A:$A,0)),""),FIND(",",IFERROR(INDEX($G:$G,MATCH(AE257,$A:$A,0)),""))-1),IFERROR(INDEX($G:$G,MATCH(AE257,$A:$A,0)),"")))))</f>
        <v/>
      </c>
      <c r="AG257" s="18" t="str">
        <f aca="false">IF(AF257="","",IF(IFERROR(INDEX($G:$G,MATCH(AF257,$A:$A,0)),"")="","",TRIM(IF(ISNUMBER(FIND(",",IFERROR(INDEX($G:$G,MATCH(AF257,$A:$A,0)),""))),LEFT(IFERROR(INDEX($G:$G,MATCH(AF257,$A:$A,0)),""),FIND(",",IFERROR(INDEX($G:$G,MATCH(AF257,$A:$A,0)),""))-1),IFERROR(INDEX($G:$G,MATCH(AF257,$A:$A,0)),"")))))</f>
        <v/>
      </c>
    </row>
    <row r="258" customFormat="false" ht="15" hidden="false" customHeight="false" outlineLevel="0" collapsed="false">
      <c r="A258" s="18"/>
      <c r="B258" s="19"/>
      <c r="C258" s="20"/>
      <c r="D258" s="20"/>
      <c r="E258" s="20"/>
      <c r="F258" s="20"/>
      <c r="G258" s="18"/>
      <c r="H258" s="20"/>
      <c r="I258" s="18"/>
      <c r="J258" s="20"/>
      <c r="K258" s="20"/>
      <c r="L258" s="20"/>
      <c r="M258" s="20"/>
      <c r="N258" s="20"/>
      <c r="O258" s="21" t="str">
        <f aca="false">IF(A258="","",IF(AD258="",0,IF(AE258="",1,IF(AF258="",2,IF(AG258="",3,"4+")))))</f>
        <v/>
      </c>
      <c r="P258" s="21" t="str">
        <f aca="false">IF(A258="","",B258&amp;IF(AD258="",""," &lt;- "&amp;IFERROR(INDEX($B:$B,MATCH(AD258,$A:$A,0)),AD258)&amp;IF(AE258="",""," &lt;- "&amp;IFERROR(INDEX($B:$B,MATCH(AE258,$A:$A,0)),AE258)&amp;IF(AF258="",""," &lt;- "&amp;IFERROR(INDEX($B:$B,MATCH(AF258,$A:$A,0)),AF258)&amp;IF(AG258="",""," &lt;- "&amp;IFERROR(INDEX($B:$B,MATCH(AG258,$A:$A,0)),AG258)))))&amp;IF(ISNUMBER(FIND(",",G258))," (+ other parents)",""))</f>
        <v/>
      </c>
      <c r="Q258" s="21" t="str">
        <f aca="false">IF(A258="","",IF(AD258="",E258&amp;"",IF(AE258="",IF(IFERROR(INDEX($E:$E,MATCH(AD258,$A:$A,0)),"")="","",INDEX($E:$E,MATCH(AD258,$A:$A,0))),IF(AF258="",IF(IFERROR(INDEX($E:$E,MATCH(AE258,$A:$A,0)),"")="","",INDEX($E:$E,MATCH(AE258,$A:$A,0))),IF(AG258="",IF(IFERROR(INDEX($E:$E,MATCH(AF258,$A:$A,0)),"")="","",INDEX($E:$E,MATCH(AF258,$A:$A,0))),IF(IFERROR(INDEX($E:$E,MATCH(AG258,$A:$A,0)),"")="","",INDEX($E:$E,MATCH(AG258,$A:$A,0))))))))</f>
        <v/>
      </c>
      <c r="R258" s="21" t="str">
        <f aca="false">IF(A258="","",COUNTIF(Fields!$D:$D,A258))</f>
        <v/>
      </c>
      <c r="S258" s="21" t="str">
        <f aca="false">IF(A258="","",SUMIF(Fields!$D:$D,A258,Fields!$Q:$Q))</f>
        <v/>
      </c>
      <c r="T258" s="21" t="str">
        <f aca="false">IF(A258="","",COUNTIF('Product inputs'!$D:$D,A258))</f>
        <v/>
      </c>
      <c r="U258" s="20"/>
      <c r="V258" s="20"/>
      <c r="W258" s="20"/>
      <c r="X258" s="20"/>
      <c r="Y258" s="20"/>
      <c r="Z258" s="20"/>
      <c r="AA258" s="20"/>
      <c r="AB258" s="20"/>
      <c r="AC258" s="20"/>
      <c r="AD258" s="18" t="str">
        <f aca="false">IF(A258="","",IF(IFERROR(INDEX($G:$G,MATCH(A258,$A:$A,0)),"")="","",TRIM(IF(ISNUMBER(FIND(",",IFERROR(INDEX($G:$G,MATCH(A258,$A:$A,0)),""))),LEFT(IFERROR(INDEX($G:$G,MATCH(A258,$A:$A,0)),""),FIND(",",IFERROR(INDEX($G:$G,MATCH(A258,$A:$A,0)),""))-1),IFERROR(INDEX($G:$G,MATCH(A258,$A:$A,0)),"")))))</f>
        <v/>
      </c>
      <c r="AE258" s="18" t="str">
        <f aca="false">IF(AD258="","",IF(IFERROR(INDEX($G:$G,MATCH(AD258,$A:$A,0)),"")="","",TRIM(IF(ISNUMBER(FIND(",",IFERROR(INDEX($G:$G,MATCH(AD258,$A:$A,0)),""))),LEFT(IFERROR(INDEX($G:$G,MATCH(AD258,$A:$A,0)),""),FIND(",",IFERROR(INDEX($G:$G,MATCH(AD258,$A:$A,0)),""))-1),IFERROR(INDEX($G:$G,MATCH(AD258,$A:$A,0)),"")))))</f>
        <v/>
      </c>
      <c r="AF258" s="18" t="str">
        <f aca="false">IF(AE258="","",IF(IFERROR(INDEX($G:$G,MATCH(AE258,$A:$A,0)),"")="","",TRIM(IF(ISNUMBER(FIND(",",IFERROR(INDEX($G:$G,MATCH(AE258,$A:$A,0)),""))),LEFT(IFERROR(INDEX($G:$G,MATCH(AE258,$A:$A,0)),""),FIND(",",IFERROR(INDEX($G:$G,MATCH(AE258,$A:$A,0)),""))-1),IFERROR(INDEX($G:$G,MATCH(AE258,$A:$A,0)),"")))))</f>
        <v/>
      </c>
      <c r="AG258" s="18" t="str">
        <f aca="false">IF(AF258="","",IF(IFERROR(INDEX($G:$G,MATCH(AF258,$A:$A,0)),"")="","",TRIM(IF(ISNUMBER(FIND(",",IFERROR(INDEX($G:$G,MATCH(AF258,$A:$A,0)),""))),LEFT(IFERROR(INDEX($G:$G,MATCH(AF258,$A:$A,0)),""),FIND(",",IFERROR(INDEX($G:$G,MATCH(AF258,$A:$A,0)),""))-1),IFERROR(INDEX($G:$G,MATCH(AF258,$A:$A,0)),"")))))</f>
        <v/>
      </c>
    </row>
    <row r="259" customFormat="false" ht="15" hidden="false" customHeight="false" outlineLevel="0" collapsed="false">
      <c r="A259" s="18"/>
      <c r="B259" s="19"/>
      <c r="C259" s="20"/>
      <c r="D259" s="20"/>
      <c r="E259" s="20"/>
      <c r="F259" s="20"/>
      <c r="G259" s="18"/>
      <c r="H259" s="20"/>
      <c r="I259" s="18"/>
      <c r="J259" s="20"/>
      <c r="K259" s="20"/>
      <c r="L259" s="20"/>
      <c r="M259" s="20"/>
      <c r="N259" s="20"/>
      <c r="O259" s="21" t="str">
        <f aca="false">IF(A259="","",IF(AD259="",0,IF(AE259="",1,IF(AF259="",2,IF(AG259="",3,"4+")))))</f>
        <v/>
      </c>
      <c r="P259" s="21" t="str">
        <f aca="false">IF(A259="","",B259&amp;IF(AD259="",""," &lt;- "&amp;IFERROR(INDEX($B:$B,MATCH(AD259,$A:$A,0)),AD259)&amp;IF(AE259="",""," &lt;- "&amp;IFERROR(INDEX($B:$B,MATCH(AE259,$A:$A,0)),AE259)&amp;IF(AF259="",""," &lt;- "&amp;IFERROR(INDEX($B:$B,MATCH(AF259,$A:$A,0)),AF259)&amp;IF(AG259="",""," &lt;- "&amp;IFERROR(INDEX($B:$B,MATCH(AG259,$A:$A,0)),AG259)))))&amp;IF(ISNUMBER(FIND(",",G259))," (+ other parents)",""))</f>
        <v/>
      </c>
      <c r="Q259" s="21" t="str">
        <f aca="false">IF(A259="","",IF(AD259="",E259&amp;"",IF(AE259="",IF(IFERROR(INDEX($E:$E,MATCH(AD259,$A:$A,0)),"")="","",INDEX($E:$E,MATCH(AD259,$A:$A,0))),IF(AF259="",IF(IFERROR(INDEX($E:$E,MATCH(AE259,$A:$A,0)),"")="","",INDEX($E:$E,MATCH(AE259,$A:$A,0))),IF(AG259="",IF(IFERROR(INDEX($E:$E,MATCH(AF259,$A:$A,0)),"")="","",INDEX($E:$E,MATCH(AF259,$A:$A,0))),IF(IFERROR(INDEX($E:$E,MATCH(AG259,$A:$A,0)),"")="","",INDEX($E:$E,MATCH(AG259,$A:$A,0))))))))</f>
        <v/>
      </c>
      <c r="R259" s="21" t="str">
        <f aca="false">IF(A259="","",COUNTIF(Fields!$D:$D,A259))</f>
        <v/>
      </c>
      <c r="S259" s="21" t="str">
        <f aca="false">IF(A259="","",SUMIF(Fields!$D:$D,A259,Fields!$Q:$Q))</f>
        <v/>
      </c>
      <c r="T259" s="21" t="str">
        <f aca="false">IF(A259="","",COUNTIF('Product inputs'!$D:$D,A259))</f>
        <v/>
      </c>
      <c r="U259" s="20"/>
      <c r="V259" s="20"/>
      <c r="W259" s="20"/>
      <c r="X259" s="20"/>
      <c r="Y259" s="20"/>
      <c r="Z259" s="20"/>
      <c r="AA259" s="20"/>
      <c r="AB259" s="20"/>
      <c r="AC259" s="20"/>
      <c r="AD259" s="18" t="str">
        <f aca="false">IF(A259="","",IF(IFERROR(INDEX($G:$G,MATCH(A259,$A:$A,0)),"")="","",TRIM(IF(ISNUMBER(FIND(",",IFERROR(INDEX($G:$G,MATCH(A259,$A:$A,0)),""))),LEFT(IFERROR(INDEX($G:$G,MATCH(A259,$A:$A,0)),""),FIND(",",IFERROR(INDEX($G:$G,MATCH(A259,$A:$A,0)),""))-1),IFERROR(INDEX($G:$G,MATCH(A259,$A:$A,0)),"")))))</f>
        <v/>
      </c>
      <c r="AE259" s="18" t="str">
        <f aca="false">IF(AD259="","",IF(IFERROR(INDEX($G:$G,MATCH(AD259,$A:$A,0)),"")="","",TRIM(IF(ISNUMBER(FIND(",",IFERROR(INDEX($G:$G,MATCH(AD259,$A:$A,0)),""))),LEFT(IFERROR(INDEX($G:$G,MATCH(AD259,$A:$A,0)),""),FIND(",",IFERROR(INDEX($G:$G,MATCH(AD259,$A:$A,0)),""))-1),IFERROR(INDEX($G:$G,MATCH(AD259,$A:$A,0)),"")))))</f>
        <v/>
      </c>
      <c r="AF259" s="18" t="str">
        <f aca="false">IF(AE259="","",IF(IFERROR(INDEX($G:$G,MATCH(AE259,$A:$A,0)),"")="","",TRIM(IF(ISNUMBER(FIND(",",IFERROR(INDEX($G:$G,MATCH(AE259,$A:$A,0)),""))),LEFT(IFERROR(INDEX($G:$G,MATCH(AE259,$A:$A,0)),""),FIND(",",IFERROR(INDEX($G:$G,MATCH(AE259,$A:$A,0)),""))-1),IFERROR(INDEX($G:$G,MATCH(AE259,$A:$A,0)),"")))))</f>
        <v/>
      </c>
      <c r="AG259" s="18" t="str">
        <f aca="false">IF(AF259="","",IF(IFERROR(INDEX($G:$G,MATCH(AF259,$A:$A,0)),"")="","",TRIM(IF(ISNUMBER(FIND(",",IFERROR(INDEX($G:$G,MATCH(AF259,$A:$A,0)),""))),LEFT(IFERROR(INDEX($G:$G,MATCH(AF259,$A:$A,0)),""),FIND(",",IFERROR(INDEX($G:$G,MATCH(AF259,$A:$A,0)),""))-1),IFERROR(INDEX($G:$G,MATCH(AF259,$A:$A,0)),"")))))</f>
        <v/>
      </c>
    </row>
    <row r="260" customFormat="false" ht="15" hidden="false" customHeight="false" outlineLevel="0" collapsed="false">
      <c r="A260" s="18"/>
      <c r="B260" s="19"/>
      <c r="C260" s="20"/>
      <c r="D260" s="20"/>
      <c r="E260" s="20"/>
      <c r="F260" s="20"/>
      <c r="G260" s="18"/>
      <c r="H260" s="20"/>
      <c r="I260" s="18"/>
      <c r="J260" s="20"/>
      <c r="K260" s="20"/>
      <c r="L260" s="20"/>
      <c r="M260" s="20"/>
      <c r="N260" s="20"/>
      <c r="O260" s="21" t="str">
        <f aca="false">IF(A260="","",IF(AD260="",0,IF(AE260="",1,IF(AF260="",2,IF(AG260="",3,"4+")))))</f>
        <v/>
      </c>
      <c r="P260" s="21" t="str">
        <f aca="false">IF(A260="","",B260&amp;IF(AD260="",""," &lt;- "&amp;IFERROR(INDEX($B:$B,MATCH(AD260,$A:$A,0)),AD260)&amp;IF(AE260="",""," &lt;- "&amp;IFERROR(INDEX($B:$B,MATCH(AE260,$A:$A,0)),AE260)&amp;IF(AF260="",""," &lt;- "&amp;IFERROR(INDEX($B:$B,MATCH(AF260,$A:$A,0)),AF260)&amp;IF(AG260="",""," &lt;- "&amp;IFERROR(INDEX($B:$B,MATCH(AG260,$A:$A,0)),AG260)))))&amp;IF(ISNUMBER(FIND(",",G260))," (+ other parents)",""))</f>
        <v/>
      </c>
      <c r="Q260" s="21" t="str">
        <f aca="false">IF(A260="","",IF(AD260="",E260&amp;"",IF(AE260="",IF(IFERROR(INDEX($E:$E,MATCH(AD260,$A:$A,0)),"")="","",INDEX($E:$E,MATCH(AD260,$A:$A,0))),IF(AF260="",IF(IFERROR(INDEX($E:$E,MATCH(AE260,$A:$A,0)),"")="","",INDEX($E:$E,MATCH(AE260,$A:$A,0))),IF(AG260="",IF(IFERROR(INDEX($E:$E,MATCH(AF260,$A:$A,0)),"")="","",INDEX($E:$E,MATCH(AF260,$A:$A,0))),IF(IFERROR(INDEX($E:$E,MATCH(AG260,$A:$A,0)),"")="","",INDEX($E:$E,MATCH(AG260,$A:$A,0))))))))</f>
        <v/>
      </c>
      <c r="R260" s="21" t="str">
        <f aca="false">IF(A260="","",COUNTIF(Fields!$D:$D,A260))</f>
        <v/>
      </c>
      <c r="S260" s="21" t="str">
        <f aca="false">IF(A260="","",SUMIF(Fields!$D:$D,A260,Fields!$Q:$Q))</f>
        <v/>
      </c>
      <c r="T260" s="21" t="str">
        <f aca="false">IF(A260="","",COUNTIF('Product inputs'!$D:$D,A260))</f>
        <v/>
      </c>
      <c r="U260" s="20"/>
      <c r="V260" s="20"/>
      <c r="W260" s="20"/>
      <c r="X260" s="20"/>
      <c r="Y260" s="20"/>
      <c r="Z260" s="20"/>
      <c r="AA260" s="20"/>
      <c r="AB260" s="20"/>
      <c r="AC260" s="20"/>
      <c r="AD260" s="18" t="str">
        <f aca="false">IF(A260="","",IF(IFERROR(INDEX($G:$G,MATCH(A260,$A:$A,0)),"")="","",TRIM(IF(ISNUMBER(FIND(",",IFERROR(INDEX($G:$G,MATCH(A260,$A:$A,0)),""))),LEFT(IFERROR(INDEX($G:$G,MATCH(A260,$A:$A,0)),""),FIND(",",IFERROR(INDEX($G:$G,MATCH(A260,$A:$A,0)),""))-1),IFERROR(INDEX($G:$G,MATCH(A260,$A:$A,0)),"")))))</f>
        <v/>
      </c>
      <c r="AE260" s="18" t="str">
        <f aca="false">IF(AD260="","",IF(IFERROR(INDEX($G:$G,MATCH(AD260,$A:$A,0)),"")="","",TRIM(IF(ISNUMBER(FIND(",",IFERROR(INDEX($G:$G,MATCH(AD260,$A:$A,0)),""))),LEFT(IFERROR(INDEX($G:$G,MATCH(AD260,$A:$A,0)),""),FIND(",",IFERROR(INDEX($G:$G,MATCH(AD260,$A:$A,0)),""))-1),IFERROR(INDEX($G:$G,MATCH(AD260,$A:$A,0)),"")))))</f>
        <v/>
      </c>
      <c r="AF260" s="18" t="str">
        <f aca="false">IF(AE260="","",IF(IFERROR(INDEX($G:$G,MATCH(AE260,$A:$A,0)),"")="","",TRIM(IF(ISNUMBER(FIND(",",IFERROR(INDEX($G:$G,MATCH(AE260,$A:$A,0)),""))),LEFT(IFERROR(INDEX($G:$G,MATCH(AE260,$A:$A,0)),""),FIND(",",IFERROR(INDEX($G:$G,MATCH(AE260,$A:$A,0)),""))-1),IFERROR(INDEX($G:$G,MATCH(AE260,$A:$A,0)),"")))))</f>
        <v/>
      </c>
      <c r="AG260" s="18" t="str">
        <f aca="false">IF(AF260="","",IF(IFERROR(INDEX($G:$G,MATCH(AF260,$A:$A,0)),"")="","",TRIM(IF(ISNUMBER(FIND(",",IFERROR(INDEX($G:$G,MATCH(AF260,$A:$A,0)),""))),LEFT(IFERROR(INDEX($G:$G,MATCH(AF260,$A:$A,0)),""),FIND(",",IFERROR(INDEX($G:$G,MATCH(AF260,$A:$A,0)),""))-1),IFERROR(INDEX($G:$G,MATCH(AF260,$A:$A,0)),"")))))</f>
        <v/>
      </c>
    </row>
    <row r="261" customFormat="false" ht="15" hidden="false" customHeight="false" outlineLevel="0" collapsed="false">
      <c r="A261" s="18"/>
      <c r="B261" s="19"/>
      <c r="C261" s="20"/>
      <c r="D261" s="20"/>
      <c r="E261" s="20"/>
      <c r="F261" s="20"/>
      <c r="G261" s="18"/>
      <c r="H261" s="20"/>
      <c r="I261" s="18"/>
      <c r="J261" s="20"/>
      <c r="K261" s="20"/>
      <c r="L261" s="20"/>
      <c r="M261" s="20"/>
      <c r="N261" s="20"/>
      <c r="O261" s="21" t="str">
        <f aca="false">IF(A261="","",IF(AD261="",0,IF(AE261="",1,IF(AF261="",2,IF(AG261="",3,"4+")))))</f>
        <v/>
      </c>
      <c r="P261" s="21" t="str">
        <f aca="false">IF(A261="","",B261&amp;IF(AD261="",""," &lt;- "&amp;IFERROR(INDEX($B:$B,MATCH(AD261,$A:$A,0)),AD261)&amp;IF(AE261="",""," &lt;- "&amp;IFERROR(INDEX($B:$B,MATCH(AE261,$A:$A,0)),AE261)&amp;IF(AF261="",""," &lt;- "&amp;IFERROR(INDEX($B:$B,MATCH(AF261,$A:$A,0)),AF261)&amp;IF(AG261="",""," &lt;- "&amp;IFERROR(INDEX($B:$B,MATCH(AG261,$A:$A,0)),AG261)))))&amp;IF(ISNUMBER(FIND(",",G261))," (+ other parents)",""))</f>
        <v/>
      </c>
      <c r="Q261" s="21" t="str">
        <f aca="false">IF(A261="","",IF(AD261="",E261&amp;"",IF(AE261="",IF(IFERROR(INDEX($E:$E,MATCH(AD261,$A:$A,0)),"")="","",INDEX($E:$E,MATCH(AD261,$A:$A,0))),IF(AF261="",IF(IFERROR(INDEX($E:$E,MATCH(AE261,$A:$A,0)),"")="","",INDEX($E:$E,MATCH(AE261,$A:$A,0))),IF(AG261="",IF(IFERROR(INDEX($E:$E,MATCH(AF261,$A:$A,0)),"")="","",INDEX($E:$E,MATCH(AF261,$A:$A,0))),IF(IFERROR(INDEX($E:$E,MATCH(AG261,$A:$A,0)),"")="","",INDEX($E:$E,MATCH(AG261,$A:$A,0))))))))</f>
        <v/>
      </c>
      <c r="R261" s="21" t="str">
        <f aca="false">IF(A261="","",COUNTIF(Fields!$D:$D,A261))</f>
        <v/>
      </c>
      <c r="S261" s="21" t="str">
        <f aca="false">IF(A261="","",SUMIF(Fields!$D:$D,A261,Fields!$Q:$Q))</f>
        <v/>
      </c>
      <c r="T261" s="21" t="str">
        <f aca="false">IF(A261="","",COUNTIF('Product inputs'!$D:$D,A261))</f>
        <v/>
      </c>
      <c r="U261" s="20"/>
      <c r="V261" s="20"/>
      <c r="W261" s="20"/>
      <c r="X261" s="20"/>
      <c r="Y261" s="20"/>
      <c r="Z261" s="20"/>
      <c r="AA261" s="20"/>
      <c r="AB261" s="20"/>
      <c r="AC261" s="20"/>
      <c r="AD261" s="18" t="str">
        <f aca="false">IF(A261="","",IF(IFERROR(INDEX($G:$G,MATCH(A261,$A:$A,0)),"")="","",TRIM(IF(ISNUMBER(FIND(",",IFERROR(INDEX($G:$G,MATCH(A261,$A:$A,0)),""))),LEFT(IFERROR(INDEX($G:$G,MATCH(A261,$A:$A,0)),""),FIND(",",IFERROR(INDEX($G:$G,MATCH(A261,$A:$A,0)),""))-1),IFERROR(INDEX($G:$G,MATCH(A261,$A:$A,0)),"")))))</f>
        <v/>
      </c>
      <c r="AE261" s="18" t="str">
        <f aca="false">IF(AD261="","",IF(IFERROR(INDEX($G:$G,MATCH(AD261,$A:$A,0)),"")="","",TRIM(IF(ISNUMBER(FIND(",",IFERROR(INDEX($G:$G,MATCH(AD261,$A:$A,0)),""))),LEFT(IFERROR(INDEX($G:$G,MATCH(AD261,$A:$A,0)),""),FIND(",",IFERROR(INDEX($G:$G,MATCH(AD261,$A:$A,0)),""))-1),IFERROR(INDEX($G:$G,MATCH(AD261,$A:$A,0)),"")))))</f>
        <v/>
      </c>
      <c r="AF261" s="18" t="str">
        <f aca="false">IF(AE261="","",IF(IFERROR(INDEX($G:$G,MATCH(AE261,$A:$A,0)),"")="","",TRIM(IF(ISNUMBER(FIND(",",IFERROR(INDEX($G:$G,MATCH(AE261,$A:$A,0)),""))),LEFT(IFERROR(INDEX($G:$G,MATCH(AE261,$A:$A,0)),""),FIND(",",IFERROR(INDEX($G:$G,MATCH(AE261,$A:$A,0)),""))-1),IFERROR(INDEX($G:$G,MATCH(AE261,$A:$A,0)),"")))))</f>
        <v/>
      </c>
      <c r="AG261" s="18" t="str">
        <f aca="false">IF(AF261="","",IF(IFERROR(INDEX($G:$G,MATCH(AF261,$A:$A,0)),"")="","",TRIM(IF(ISNUMBER(FIND(",",IFERROR(INDEX($G:$G,MATCH(AF261,$A:$A,0)),""))),LEFT(IFERROR(INDEX($G:$G,MATCH(AF261,$A:$A,0)),""),FIND(",",IFERROR(INDEX($G:$G,MATCH(AF261,$A:$A,0)),""))-1),IFERROR(INDEX($G:$G,MATCH(AF261,$A:$A,0)),"")))))</f>
        <v/>
      </c>
    </row>
    <row r="262" customFormat="false" ht="15" hidden="false" customHeight="false" outlineLevel="0" collapsed="false">
      <c r="A262" s="18"/>
      <c r="B262" s="19"/>
      <c r="C262" s="20"/>
      <c r="D262" s="20"/>
      <c r="E262" s="20"/>
      <c r="F262" s="20"/>
      <c r="G262" s="18"/>
      <c r="H262" s="20"/>
      <c r="I262" s="18"/>
      <c r="J262" s="20"/>
      <c r="K262" s="20"/>
      <c r="L262" s="20"/>
      <c r="M262" s="20"/>
      <c r="N262" s="20"/>
      <c r="O262" s="21" t="str">
        <f aca="false">IF(A262="","",IF(AD262="",0,IF(AE262="",1,IF(AF262="",2,IF(AG262="",3,"4+")))))</f>
        <v/>
      </c>
      <c r="P262" s="21" t="str">
        <f aca="false">IF(A262="","",B262&amp;IF(AD262="",""," &lt;- "&amp;IFERROR(INDEX($B:$B,MATCH(AD262,$A:$A,0)),AD262)&amp;IF(AE262="",""," &lt;- "&amp;IFERROR(INDEX($B:$B,MATCH(AE262,$A:$A,0)),AE262)&amp;IF(AF262="",""," &lt;- "&amp;IFERROR(INDEX($B:$B,MATCH(AF262,$A:$A,0)),AF262)&amp;IF(AG262="",""," &lt;- "&amp;IFERROR(INDEX($B:$B,MATCH(AG262,$A:$A,0)),AG262)))))&amp;IF(ISNUMBER(FIND(",",G262))," (+ other parents)",""))</f>
        <v/>
      </c>
      <c r="Q262" s="21" t="str">
        <f aca="false">IF(A262="","",IF(AD262="",E262&amp;"",IF(AE262="",IF(IFERROR(INDEX($E:$E,MATCH(AD262,$A:$A,0)),"")="","",INDEX($E:$E,MATCH(AD262,$A:$A,0))),IF(AF262="",IF(IFERROR(INDEX($E:$E,MATCH(AE262,$A:$A,0)),"")="","",INDEX($E:$E,MATCH(AE262,$A:$A,0))),IF(AG262="",IF(IFERROR(INDEX($E:$E,MATCH(AF262,$A:$A,0)),"")="","",INDEX($E:$E,MATCH(AF262,$A:$A,0))),IF(IFERROR(INDEX($E:$E,MATCH(AG262,$A:$A,0)),"")="","",INDEX($E:$E,MATCH(AG262,$A:$A,0))))))))</f>
        <v/>
      </c>
      <c r="R262" s="21" t="str">
        <f aca="false">IF(A262="","",COUNTIF(Fields!$D:$D,A262))</f>
        <v/>
      </c>
      <c r="S262" s="21" t="str">
        <f aca="false">IF(A262="","",SUMIF(Fields!$D:$D,A262,Fields!$Q:$Q))</f>
        <v/>
      </c>
      <c r="T262" s="21" t="str">
        <f aca="false">IF(A262="","",COUNTIF('Product inputs'!$D:$D,A262))</f>
        <v/>
      </c>
      <c r="U262" s="20"/>
      <c r="V262" s="20"/>
      <c r="W262" s="20"/>
      <c r="X262" s="20"/>
      <c r="Y262" s="20"/>
      <c r="Z262" s="20"/>
      <c r="AA262" s="20"/>
      <c r="AB262" s="20"/>
      <c r="AC262" s="20"/>
      <c r="AD262" s="18" t="str">
        <f aca="false">IF(A262="","",IF(IFERROR(INDEX($G:$G,MATCH(A262,$A:$A,0)),"")="","",TRIM(IF(ISNUMBER(FIND(",",IFERROR(INDEX($G:$G,MATCH(A262,$A:$A,0)),""))),LEFT(IFERROR(INDEX($G:$G,MATCH(A262,$A:$A,0)),""),FIND(",",IFERROR(INDEX($G:$G,MATCH(A262,$A:$A,0)),""))-1),IFERROR(INDEX($G:$G,MATCH(A262,$A:$A,0)),"")))))</f>
        <v/>
      </c>
      <c r="AE262" s="18" t="str">
        <f aca="false">IF(AD262="","",IF(IFERROR(INDEX($G:$G,MATCH(AD262,$A:$A,0)),"")="","",TRIM(IF(ISNUMBER(FIND(",",IFERROR(INDEX($G:$G,MATCH(AD262,$A:$A,0)),""))),LEFT(IFERROR(INDEX($G:$G,MATCH(AD262,$A:$A,0)),""),FIND(",",IFERROR(INDEX($G:$G,MATCH(AD262,$A:$A,0)),""))-1),IFERROR(INDEX($G:$G,MATCH(AD262,$A:$A,0)),"")))))</f>
        <v/>
      </c>
      <c r="AF262" s="18" t="str">
        <f aca="false">IF(AE262="","",IF(IFERROR(INDEX($G:$G,MATCH(AE262,$A:$A,0)),"")="","",TRIM(IF(ISNUMBER(FIND(",",IFERROR(INDEX($G:$G,MATCH(AE262,$A:$A,0)),""))),LEFT(IFERROR(INDEX($G:$G,MATCH(AE262,$A:$A,0)),""),FIND(",",IFERROR(INDEX($G:$G,MATCH(AE262,$A:$A,0)),""))-1),IFERROR(INDEX($G:$G,MATCH(AE262,$A:$A,0)),"")))))</f>
        <v/>
      </c>
      <c r="AG262" s="18" t="str">
        <f aca="false">IF(AF262="","",IF(IFERROR(INDEX($G:$G,MATCH(AF262,$A:$A,0)),"")="","",TRIM(IF(ISNUMBER(FIND(",",IFERROR(INDEX($G:$G,MATCH(AF262,$A:$A,0)),""))),LEFT(IFERROR(INDEX($G:$G,MATCH(AF262,$A:$A,0)),""),FIND(",",IFERROR(INDEX($G:$G,MATCH(AF262,$A:$A,0)),""))-1),IFERROR(INDEX($G:$G,MATCH(AF262,$A:$A,0)),"")))))</f>
        <v/>
      </c>
    </row>
    <row r="263" customFormat="false" ht="15" hidden="false" customHeight="false" outlineLevel="0" collapsed="false">
      <c r="A263" s="18"/>
      <c r="B263" s="19"/>
      <c r="C263" s="20"/>
      <c r="D263" s="20"/>
      <c r="E263" s="20"/>
      <c r="F263" s="20"/>
      <c r="G263" s="18"/>
      <c r="H263" s="20"/>
      <c r="I263" s="18"/>
      <c r="J263" s="20"/>
      <c r="K263" s="20"/>
      <c r="L263" s="20"/>
      <c r="M263" s="20"/>
      <c r="N263" s="20"/>
      <c r="O263" s="21" t="str">
        <f aca="false">IF(A263="","",IF(AD263="",0,IF(AE263="",1,IF(AF263="",2,IF(AG263="",3,"4+")))))</f>
        <v/>
      </c>
      <c r="P263" s="21" t="str">
        <f aca="false">IF(A263="","",B263&amp;IF(AD263="",""," &lt;- "&amp;IFERROR(INDEX($B:$B,MATCH(AD263,$A:$A,0)),AD263)&amp;IF(AE263="",""," &lt;- "&amp;IFERROR(INDEX($B:$B,MATCH(AE263,$A:$A,0)),AE263)&amp;IF(AF263="",""," &lt;- "&amp;IFERROR(INDEX($B:$B,MATCH(AF263,$A:$A,0)),AF263)&amp;IF(AG263="",""," &lt;- "&amp;IFERROR(INDEX($B:$B,MATCH(AG263,$A:$A,0)),AG263)))))&amp;IF(ISNUMBER(FIND(",",G263))," (+ other parents)",""))</f>
        <v/>
      </c>
      <c r="Q263" s="21" t="str">
        <f aca="false">IF(A263="","",IF(AD263="",E263&amp;"",IF(AE263="",IF(IFERROR(INDEX($E:$E,MATCH(AD263,$A:$A,0)),"")="","",INDEX($E:$E,MATCH(AD263,$A:$A,0))),IF(AF263="",IF(IFERROR(INDEX($E:$E,MATCH(AE263,$A:$A,0)),"")="","",INDEX($E:$E,MATCH(AE263,$A:$A,0))),IF(AG263="",IF(IFERROR(INDEX($E:$E,MATCH(AF263,$A:$A,0)),"")="","",INDEX($E:$E,MATCH(AF263,$A:$A,0))),IF(IFERROR(INDEX($E:$E,MATCH(AG263,$A:$A,0)),"")="","",INDEX($E:$E,MATCH(AG263,$A:$A,0))))))))</f>
        <v/>
      </c>
      <c r="R263" s="21" t="str">
        <f aca="false">IF(A263="","",COUNTIF(Fields!$D:$D,A263))</f>
        <v/>
      </c>
      <c r="S263" s="21" t="str">
        <f aca="false">IF(A263="","",SUMIF(Fields!$D:$D,A263,Fields!$Q:$Q))</f>
        <v/>
      </c>
      <c r="T263" s="21" t="str">
        <f aca="false">IF(A263="","",COUNTIF('Product inputs'!$D:$D,A263))</f>
        <v/>
      </c>
      <c r="U263" s="20"/>
      <c r="V263" s="20"/>
      <c r="W263" s="20"/>
      <c r="X263" s="20"/>
      <c r="Y263" s="20"/>
      <c r="Z263" s="20"/>
      <c r="AA263" s="20"/>
      <c r="AB263" s="20"/>
      <c r="AC263" s="20"/>
      <c r="AD263" s="18" t="str">
        <f aca="false">IF(A263="","",IF(IFERROR(INDEX($G:$G,MATCH(A263,$A:$A,0)),"")="","",TRIM(IF(ISNUMBER(FIND(",",IFERROR(INDEX($G:$G,MATCH(A263,$A:$A,0)),""))),LEFT(IFERROR(INDEX($G:$G,MATCH(A263,$A:$A,0)),""),FIND(",",IFERROR(INDEX($G:$G,MATCH(A263,$A:$A,0)),""))-1),IFERROR(INDEX($G:$G,MATCH(A263,$A:$A,0)),"")))))</f>
        <v/>
      </c>
      <c r="AE263" s="18" t="str">
        <f aca="false">IF(AD263="","",IF(IFERROR(INDEX($G:$G,MATCH(AD263,$A:$A,0)),"")="","",TRIM(IF(ISNUMBER(FIND(",",IFERROR(INDEX($G:$G,MATCH(AD263,$A:$A,0)),""))),LEFT(IFERROR(INDEX($G:$G,MATCH(AD263,$A:$A,0)),""),FIND(",",IFERROR(INDEX($G:$G,MATCH(AD263,$A:$A,0)),""))-1),IFERROR(INDEX($G:$G,MATCH(AD263,$A:$A,0)),"")))))</f>
        <v/>
      </c>
      <c r="AF263" s="18" t="str">
        <f aca="false">IF(AE263="","",IF(IFERROR(INDEX($G:$G,MATCH(AE263,$A:$A,0)),"")="","",TRIM(IF(ISNUMBER(FIND(",",IFERROR(INDEX($G:$G,MATCH(AE263,$A:$A,0)),""))),LEFT(IFERROR(INDEX($G:$G,MATCH(AE263,$A:$A,0)),""),FIND(",",IFERROR(INDEX($G:$G,MATCH(AE263,$A:$A,0)),""))-1),IFERROR(INDEX($G:$G,MATCH(AE263,$A:$A,0)),"")))))</f>
        <v/>
      </c>
      <c r="AG263" s="18" t="str">
        <f aca="false">IF(AF263="","",IF(IFERROR(INDEX($G:$G,MATCH(AF263,$A:$A,0)),"")="","",TRIM(IF(ISNUMBER(FIND(",",IFERROR(INDEX($G:$G,MATCH(AF263,$A:$A,0)),""))),LEFT(IFERROR(INDEX($G:$G,MATCH(AF263,$A:$A,0)),""),FIND(",",IFERROR(INDEX($G:$G,MATCH(AF263,$A:$A,0)),""))-1),IFERROR(INDEX($G:$G,MATCH(AF263,$A:$A,0)),"")))))</f>
        <v/>
      </c>
    </row>
    <row r="264" customFormat="false" ht="15" hidden="false" customHeight="false" outlineLevel="0" collapsed="false">
      <c r="A264" s="18"/>
      <c r="B264" s="19"/>
      <c r="C264" s="20"/>
      <c r="D264" s="20"/>
      <c r="E264" s="20"/>
      <c r="F264" s="20"/>
      <c r="G264" s="18"/>
      <c r="H264" s="20"/>
      <c r="I264" s="18"/>
      <c r="J264" s="20"/>
      <c r="K264" s="20"/>
      <c r="L264" s="20"/>
      <c r="M264" s="20"/>
      <c r="N264" s="20"/>
      <c r="O264" s="21" t="str">
        <f aca="false">IF(A264="","",IF(AD264="",0,IF(AE264="",1,IF(AF264="",2,IF(AG264="",3,"4+")))))</f>
        <v/>
      </c>
      <c r="P264" s="21" t="str">
        <f aca="false">IF(A264="","",B264&amp;IF(AD264="",""," &lt;- "&amp;IFERROR(INDEX($B:$B,MATCH(AD264,$A:$A,0)),AD264)&amp;IF(AE264="",""," &lt;- "&amp;IFERROR(INDEX($B:$B,MATCH(AE264,$A:$A,0)),AE264)&amp;IF(AF264="",""," &lt;- "&amp;IFERROR(INDEX($B:$B,MATCH(AF264,$A:$A,0)),AF264)&amp;IF(AG264="",""," &lt;- "&amp;IFERROR(INDEX($B:$B,MATCH(AG264,$A:$A,0)),AG264)))))&amp;IF(ISNUMBER(FIND(",",G264))," (+ other parents)",""))</f>
        <v/>
      </c>
      <c r="Q264" s="21" t="str">
        <f aca="false">IF(A264="","",IF(AD264="",E264&amp;"",IF(AE264="",IF(IFERROR(INDEX($E:$E,MATCH(AD264,$A:$A,0)),"")="","",INDEX($E:$E,MATCH(AD264,$A:$A,0))),IF(AF264="",IF(IFERROR(INDEX($E:$E,MATCH(AE264,$A:$A,0)),"")="","",INDEX($E:$E,MATCH(AE264,$A:$A,0))),IF(AG264="",IF(IFERROR(INDEX($E:$E,MATCH(AF264,$A:$A,0)),"")="","",INDEX($E:$E,MATCH(AF264,$A:$A,0))),IF(IFERROR(INDEX($E:$E,MATCH(AG264,$A:$A,0)),"")="","",INDEX($E:$E,MATCH(AG264,$A:$A,0))))))))</f>
        <v/>
      </c>
      <c r="R264" s="21" t="str">
        <f aca="false">IF(A264="","",COUNTIF(Fields!$D:$D,A264))</f>
        <v/>
      </c>
      <c r="S264" s="21" t="str">
        <f aca="false">IF(A264="","",SUMIF(Fields!$D:$D,A264,Fields!$Q:$Q))</f>
        <v/>
      </c>
      <c r="T264" s="21" t="str">
        <f aca="false">IF(A264="","",COUNTIF('Product inputs'!$D:$D,A264))</f>
        <v/>
      </c>
      <c r="U264" s="20"/>
      <c r="V264" s="20"/>
      <c r="W264" s="20"/>
      <c r="X264" s="20"/>
      <c r="Y264" s="20"/>
      <c r="Z264" s="20"/>
      <c r="AA264" s="20"/>
      <c r="AB264" s="20"/>
      <c r="AC264" s="20"/>
      <c r="AD264" s="18" t="str">
        <f aca="false">IF(A264="","",IF(IFERROR(INDEX($G:$G,MATCH(A264,$A:$A,0)),"")="","",TRIM(IF(ISNUMBER(FIND(",",IFERROR(INDEX($G:$G,MATCH(A264,$A:$A,0)),""))),LEFT(IFERROR(INDEX($G:$G,MATCH(A264,$A:$A,0)),""),FIND(",",IFERROR(INDEX($G:$G,MATCH(A264,$A:$A,0)),""))-1),IFERROR(INDEX($G:$G,MATCH(A264,$A:$A,0)),"")))))</f>
        <v/>
      </c>
      <c r="AE264" s="18" t="str">
        <f aca="false">IF(AD264="","",IF(IFERROR(INDEX($G:$G,MATCH(AD264,$A:$A,0)),"")="","",TRIM(IF(ISNUMBER(FIND(",",IFERROR(INDEX($G:$G,MATCH(AD264,$A:$A,0)),""))),LEFT(IFERROR(INDEX($G:$G,MATCH(AD264,$A:$A,0)),""),FIND(",",IFERROR(INDEX($G:$G,MATCH(AD264,$A:$A,0)),""))-1),IFERROR(INDEX($G:$G,MATCH(AD264,$A:$A,0)),"")))))</f>
        <v/>
      </c>
      <c r="AF264" s="18" t="str">
        <f aca="false">IF(AE264="","",IF(IFERROR(INDEX($G:$G,MATCH(AE264,$A:$A,0)),"")="","",TRIM(IF(ISNUMBER(FIND(",",IFERROR(INDEX($G:$G,MATCH(AE264,$A:$A,0)),""))),LEFT(IFERROR(INDEX($G:$G,MATCH(AE264,$A:$A,0)),""),FIND(",",IFERROR(INDEX($G:$G,MATCH(AE264,$A:$A,0)),""))-1),IFERROR(INDEX($G:$G,MATCH(AE264,$A:$A,0)),"")))))</f>
        <v/>
      </c>
      <c r="AG264" s="18" t="str">
        <f aca="false">IF(AF264="","",IF(IFERROR(INDEX($G:$G,MATCH(AF264,$A:$A,0)),"")="","",TRIM(IF(ISNUMBER(FIND(",",IFERROR(INDEX($G:$G,MATCH(AF264,$A:$A,0)),""))),LEFT(IFERROR(INDEX($G:$G,MATCH(AF264,$A:$A,0)),""),FIND(",",IFERROR(INDEX($G:$G,MATCH(AF264,$A:$A,0)),""))-1),IFERROR(INDEX($G:$G,MATCH(AF264,$A:$A,0)),"")))))</f>
        <v/>
      </c>
    </row>
    <row r="265" customFormat="false" ht="15" hidden="false" customHeight="false" outlineLevel="0" collapsed="false">
      <c r="A265" s="18"/>
      <c r="B265" s="19"/>
      <c r="C265" s="20"/>
      <c r="D265" s="20"/>
      <c r="E265" s="20"/>
      <c r="F265" s="20"/>
      <c r="G265" s="18"/>
      <c r="H265" s="20"/>
      <c r="I265" s="18"/>
      <c r="J265" s="20"/>
      <c r="K265" s="20"/>
      <c r="L265" s="20"/>
      <c r="M265" s="20"/>
      <c r="N265" s="20"/>
      <c r="O265" s="21" t="str">
        <f aca="false">IF(A265="","",IF(AD265="",0,IF(AE265="",1,IF(AF265="",2,IF(AG265="",3,"4+")))))</f>
        <v/>
      </c>
      <c r="P265" s="21" t="str">
        <f aca="false">IF(A265="","",B265&amp;IF(AD265="",""," &lt;- "&amp;IFERROR(INDEX($B:$B,MATCH(AD265,$A:$A,0)),AD265)&amp;IF(AE265="",""," &lt;- "&amp;IFERROR(INDEX($B:$B,MATCH(AE265,$A:$A,0)),AE265)&amp;IF(AF265="",""," &lt;- "&amp;IFERROR(INDEX($B:$B,MATCH(AF265,$A:$A,0)),AF265)&amp;IF(AG265="",""," &lt;- "&amp;IFERROR(INDEX($B:$B,MATCH(AG265,$A:$A,0)),AG265)))))&amp;IF(ISNUMBER(FIND(",",G265))," (+ other parents)",""))</f>
        <v/>
      </c>
      <c r="Q265" s="21" t="str">
        <f aca="false">IF(A265="","",IF(AD265="",E265&amp;"",IF(AE265="",IF(IFERROR(INDEX($E:$E,MATCH(AD265,$A:$A,0)),"")="","",INDEX($E:$E,MATCH(AD265,$A:$A,0))),IF(AF265="",IF(IFERROR(INDEX($E:$E,MATCH(AE265,$A:$A,0)),"")="","",INDEX($E:$E,MATCH(AE265,$A:$A,0))),IF(AG265="",IF(IFERROR(INDEX($E:$E,MATCH(AF265,$A:$A,0)),"")="","",INDEX($E:$E,MATCH(AF265,$A:$A,0))),IF(IFERROR(INDEX($E:$E,MATCH(AG265,$A:$A,0)),"")="","",INDEX($E:$E,MATCH(AG265,$A:$A,0))))))))</f>
        <v/>
      </c>
      <c r="R265" s="21" t="str">
        <f aca="false">IF(A265="","",COUNTIF(Fields!$D:$D,A265))</f>
        <v/>
      </c>
      <c r="S265" s="21" t="str">
        <f aca="false">IF(A265="","",SUMIF(Fields!$D:$D,A265,Fields!$Q:$Q))</f>
        <v/>
      </c>
      <c r="T265" s="21" t="str">
        <f aca="false">IF(A265="","",COUNTIF('Product inputs'!$D:$D,A265))</f>
        <v/>
      </c>
      <c r="U265" s="20"/>
      <c r="V265" s="20"/>
      <c r="W265" s="20"/>
      <c r="X265" s="20"/>
      <c r="Y265" s="20"/>
      <c r="Z265" s="20"/>
      <c r="AA265" s="20"/>
      <c r="AB265" s="20"/>
      <c r="AC265" s="20"/>
      <c r="AD265" s="18" t="str">
        <f aca="false">IF(A265="","",IF(IFERROR(INDEX($G:$G,MATCH(A265,$A:$A,0)),"")="","",TRIM(IF(ISNUMBER(FIND(",",IFERROR(INDEX($G:$G,MATCH(A265,$A:$A,0)),""))),LEFT(IFERROR(INDEX($G:$G,MATCH(A265,$A:$A,0)),""),FIND(",",IFERROR(INDEX($G:$G,MATCH(A265,$A:$A,0)),""))-1),IFERROR(INDEX($G:$G,MATCH(A265,$A:$A,0)),"")))))</f>
        <v/>
      </c>
      <c r="AE265" s="18" t="str">
        <f aca="false">IF(AD265="","",IF(IFERROR(INDEX($G:$G,MATCH(AD265,$A:$A,0)),"")="","",TRIM(IF(ISNUMBER(FIND(",",IFERROR(INDEX($G:$G,MATCH(AD265,$A:$A,0)),""))),LEFT(IFERROR(INDEX($G:$G,MATCH(AD265,$A:$A,0)),""),FIND(",",IFERROR(INDEX($G:$G,MATCH(AD265,$A:$A,0)),""))-1),IFERROR(INDEX($G:$G,MATCH(AD265,$A:$A,0)),"")))))</f>
        <v/>
      </c>
      <c r="AF265" s="18" t="str">
        <f aca="false">IF(AE265="","",IF(IFERROR(INDEX($G:$G,MATCH(AE265,$A:$A,0)),"")="","",TRIM(IF(ISNUMBER(FIND(",",IFERROR(INDEX($G:$G,MATCH(AE265,$A:$A,0)),""))),LEFT(IFERROR(INDEX($G:$G,MATCH(AE265,$A:$A,0)),""),FIND(",",IFERROR(INDEX($G:$G,MATCH(AE265,$A:$A,0)),""))-1),IFERROR(INDEX($G:$G,MATCH(AE265,$A:$A,0)),"")))))</f>
        <v/>
      </c>
      <c r="AG265" s="18" t="str">
        <f aca="false">IF(AF265="","",IF(IFERROR(INDEX($G:$G,MATCH(AF265,$A:$A,0)),"")="","",TRIM(IF(ISNUMBER(FIND(",",IFERROR(INDEX($G:$G,MATCH(AF265,$A:$A,0)),""))),LEFT(IFERROR(INDEX($G:$G,MATCH(AF265,$A:$A,0)),""),FIND(",",IFERROR(INDEX($G:$G,MATCH(AF265,$A:$A,0)),""))-1),IFERROR(INDEX($G:$G,MATCH(AF265,$A:$A,0)),"")))))</f>
        <v/>
      </c>
    </row>
    <row r="266" customFormat="false" ht="15" hidden="false" customHeight="false" outlineLevel="0" collapsed="false">
      <c r="A266" s="18"/>
      <c r="B266" s="19"/>
      <c r="C266" s="20"/>
      <c r="D266" s="20"/>
      <c r="E266" s="20"/>
      <c r="F266" s="20"/>
      <c r="G266" s="18"/>
      <c r="H266" s="20"/>
      <c r="I266" s="18"/>
      <c r="J266" s="20"/>
      <c r="K266" s="20"/>
      <c r="L266" s="20"/>
      <c r="M266" s="20"/>
      <c r="N266" s="20"/>
      <c r="O266" s="21" t="str">
        <f aca="false">IF(A266="","",IF(AD266="",0,IF(AE266="",1,IF(AF266="",2,IF(AG266="",3,"4+")))))</f>
        <v/>
      </c>
      <c r="P266" s="21" t="str">
        <f aca="false">IF(A266="","",B266&amp;IF(AD266="",""," &lt;- "&amp;IFERROR(INDEX($B:$B,MATCH(AD266,$A:$A,0)),AD266)&amp;IF(AE266="",""," &lt;- "&amp;IFERROR(INDEX($B:$B,MATCH(AE266,$A:$A,0)),AE266)&amp;IF(AF266="",""," &lt;- "&amp;IFERROR(INDEX($B:$B,MATCH(AF266,$A:$A,0)),AF266)&amp;IF(AG266="",""," &lt;- "&amp;IFERROR(INDEX($B:$B,MATCH(AG266,$A:$A,0)),AG266)))))&amp;IF(ISNUMBER(FIND(",",G266))," (+ other parents)",""))</f>
        <v/>
      </c>
      <c r="Q266" s="21" t="str">
        <f aca="false">IF(A266="","",IF(AD266="",E266&amp;"",IF(AE266="",IF(IFERROR(INDEX($E:$E,MATCH(AD266,$A:$A,0)),"")="","",INDEX($E:$E,MATCH(AD266,$A:$A,0))),IF(AF266="",IF(IFERROR(INDEX($E:$E,MATCH(AE266,$A:$A,0)),"")="","",INDEX($E:$E,MATCH(AE266,$A:$A,0))),IF(AG266="",IF(IFERROR(INDEX($E:$E,MATCH(AF266,$A:$A,0)),"")="","",INDEX($E:$E,MATCH(AF266,$A:$A,0))),IF(IFERROR(INDEX($E:$E,MATCH(AG266,$A:$A,0)),"")="","",INDEX($E:$E,MATCH(AG266,$A:$A,0))))))))</f>
        <v/>
      </c>
      <c r="R266" s="21" t="str">
        <f aca="false">IF(A266="","",COUNTIF(Fields!$D:$D,A266))</f>
        <v/>
      </c>
      <c r="S266" s="21" t="str">
        <f aca="false">IF(A266="","",SUMIF(Fields!$D:$D,A266,Fields!$Q:$Q))</f>
        <v/>
      </c>
      <c r="T266" s="21" t="str">
        <f aca="false">IF(A266="","",COUNTIF('Product inputs'!$D:$D,A266))</f>
        <v/>
      </c>
      <c r="U266" s="20"/>
      <c r="V266" s="20"/>
      <c r="W266" s="20"/>
      <c r="X266" s="20"/>
      <c r="Y266" s="20"/>
      <c r="Z266" s="20"/>
      <c r="AA266" s="20"/>
      <c r="AB266" s="20"/>
      <c r="AC266" s="20"/>
      <c r="AD266" s="18" t="str">
        <f aca="false">IF(A266="","",IF(IFERROR(INDEX($G:$G,MATCH(A266,$A:$A,0)),"")="","",TRIM(IF(ISNUMBER(FIND(",",IFERROR(INDEX($G:$G,MATCH(A266,$A:$A,0)),""))),LEFT(IFERROR(INDEX($G:$G,MATCH(A266,$A:$A,0)),""),FIND(",",IFERROR(INDEX($G:$G,MATCH(A266,$A:$A,0)),""))-1),IFERROR(INDEX($G:$G,MATCH(A266,$A:$A,0)),"")))))</f>
        <v/>
      </c>
      <c r="AE266" s="18" t="str">
        <f aca="false">IF(AD266="","",IF(IFERROR(INDEX($G:$G,MATCH(AD266,$A:$A,0)),"")="","",TRIM(IF(ISNUMBER(FIND(",",IFERROR(INDEX($G:$G,MATCH(AD266,$A:$A,0)),""))),LEFT(IFERROR(INDEX($G:$G,MATCH(AD266,$A:$A,0)),""),FIND(",",IFERROR(INDEX($G:$G,MATCH(AD266,$A:$A,0)),""))-1),IFERROR(INDEX($G:$G,MATCH(AD266,$A:$A,0)),"")))))</f>
        <v/>
      </c>
      <c r="AF266" s="18" t="str">
        <f aca="false">IF(AE266="","",IF(IFERROR(INDEX($G:$G,MATCH(AE266,$A:$A,0)),"")="","",TRIM(IF(ISNUMBER(FIND(",",IFERROR(INDEX($G:$G,MATCH(AE266,$A:$A,0)),""))),LEFT(IFERROR(INDEX($G:$G,MATCH(AE266,$A:$A,0)),""),FIND(",",IFERROR(INDEX($G:$G,MATCH(AE266,$A:$A,0)),""))-1),IFERROR(INDEX($G:$G,MATCH(AE266,$A:$A,0)),"")))))</f>
        <v/>
      </c>
      <c r="AG266" s="18" t="str">
        <f aca="false">IF(AF266="","",IF(IFERROR(INDEX($G:$G,MATCH(AF266,$A:$A,0)),"")="","",TRIM(IF(ISNUMBER(FIND(",",IFERROR(INDEX($G:$G,MATCH(AF266,$A:$A,0)),""))),LEFT(IFERROR(INDEX($G:$G,MATCH(AF266,$A:$A,0)),""),FIND(",",IFERROR(INDEX($G:$G,MATCH(AF266,$A:$A,0)),""))-1),IFERROR(INDEX($G:$G,MATCH(AF266,$A:$A,0)),"")))))</f>
        <v/>
      </c>
    </row>
    <row r="267" customFormat="false" ht="15" hidden="false" customHeight="false" outlineLevel="0" collapsed="false">
      <c r="A267" s="18"/>
      <c r="B267" s="19"/>
      <c r="C267" s="20"/>
      <c r="D267" s="20"/>
      <c r="E267" s="20"/>
      <c r="F267" s="20"/>
      <c r="G267" s="18"/>
      <c r="H267" s="20"/>
      <c r="I267" s="18"/>
      <c r="J267" s="20"/>
      <c r="K267" s="20"/>
      <c r="L267" s="20"/>
      <c r="M267" s="20"/>
      <c r="N267" s="20"/>
      <c r="O267" s="21" t="str">
        <f aca="false">IF(A267="","",IF(AD267="",0,IF(AE267="",1,IF(AF267="",2,IF(AG267="",3,"4+")))))</f>
        <v/>
      </c>
      <c r="P267" s="21" t="str">
        <f aca="false">IF(A267="","",B267&amp;IF(AD267="",""," &lt;- "&amp;IFERROR(INDEX($B:$B,MATCH(AD267,$A:$A,0)),AD267)&amp;IF(AE267="",""," &lt;- "&amp;IFERROR(INDEX($B:$B,MATCH(AE267,$A:$A,0)),AE267)&amp;IF(AF267="",""," &lt;- "&amp;IFERROR(INDEX($B:$B,MATCH(AF267,$A:$A,0)),AF267)&amp;IF(AG267="",""," &lt;- "&amp;IFERROR(INDEX($B:$B,MATCH(AG267,$A:$A,0)),AG267)))))&amp;IF(ISNUMBER(FIND(",",G267))," (+ other parents)",""))</f>
        <v/>
      </c>
      <c r="Q267" s="21" t="str">
        <f aca="false">IF(A267="","",IF(AD267="",E267&amp;"",IF(AE267="",IF(IFERROR(INDEX($E:$E,MATCH(AD267,$A:$A,0)),"")="","",INDEX($E:$E,MATCH(AD267,$A:$A,0))),IF(AF267="",IF(IFERROR(INDEX($E:$E,MATCH(AE267,$A:$A,0)),"")="","",INDEX($E:$E,MATCH(AE267,$A:$A,0))),IF(AG267="",IF(IFERROR(INDEX($E:$E,MATCH(AF267,$A:$A,0)),"")="","",INDEX($E:$E,MATCH(AF267,$A:$A,0))),IF(IFERROR(INDEX($E:$E,MATCH(AG267,$A:$A,0)),"")="","",INDEX($E:$E,MATCH(AG267,$A:$A,0))))))))</f>
        <v/>
      </c>
      <c r="R267" s="21" t="str">
        <f aca="false">IF(A267="","",COUNTIF(Fields!$D:$D,A267))</f>
        <v/>
      </c>
      <c r="S267" s="21" t="str">
        <f aca="false">IF(A267="","",SUMIF(Fields!$D:$D,A267,Fields!$Q:$Q))</f>
        <v/>
      </c>
      <c r="T267" s="21" t="str">
        <f aca="false">IF(A267="","",COUNTIF('Product inputs'!$D:$D,A267))</f>
        <v/>
      </c>
      <c r="U267" s="20"/>
      <c r="V267" s="20"/>
      <c r="W267" s="20"/>
      <c r="X267" s="20"/>
      <c r="Y267" s="20"/>
      <c r="Z267" s="20"/>
      <c r="AA267" s="20"/>
      <c r="AB267" s="20"/>
      <c r="AC267" s="20"/>
      <c r="AD267" s="18" t="str">
        <f aca="false">IF(A267="","",IF(IFERROR(INDEX($G:$G,MATCH(A267,$A:$A,0)),"")="","",TRIM(IF(ISNUMBER(FIND(",",IFERROR(INDEX($G:$G,MATCH(A267,$A:$A,0)),""))),LEFT(IFERROR(INDEX($G:$G,MATCH(A267,$A:$A,0)),""),FIND(",",IFERROR(INDEX($G:$G,MATCH(A267,$A:$A,0)),""))-1),IFERROR(INDEX($G:$G,MATCH(A267,$A:$A,0)),"")))))</f>
        <v/>
      </c>
      <c r="AE267" s="18" t="str">
        <f aca="false">IF(AD267="","",IF(IFERROR(INDEX($G:$G,MATCH(AD267,$A:$A,0)),"")="","",TRIM(IF(ISNUMBER(FIND(",",IFERROR(INDEX($G:$G,MATCH(AD267,$A:$A,0)),""))),LEFT(IFERROR(INDEX($G:$G,MATCH(AD267,$A:$A,0)),""),FIND(",",IFERROR(INDEX($G:$G,MATCH(AD267,$A:$A,0)),""))-1),IFERROR(INDEX($G:$G,MATCH(AD267,$A:$A,0)),"")))))</f>
        <v/>
      </c>
      <c r="AF267" s="18" t="str">
        <f aca="false">IF(AE267="","",IF(IFERROR(INDEX($G:$G,MATCH(AE267,$A:$A,0)),"")="","",TRIM(IF(ISNUMBER(FIND(",",IFERROR(INDEX($G:$G,MATCH(AE267,$A:$A,0)),""))),LEFT(IFERROR(INDEX($G:$G,MATCH(AE267,$A:$A,0)),""),FIND(",",IFERROR(INDEX($G:$G,MATCH(AE267,$A:$A,0)),""))-1),IFERROR(INDEX($G:$G,MATCH(AE267,$A:$A,0)),"")))))</f>
        <v/>
      </c>
      <c r="AG267" s="18" t="str">
        <f aca="false">IF(AF267="","",IF(IFERROR(INDEX($G:$G,MATCH(AF267,$A:$A,0)),"")="","",TRIM(IF(ISNUMBER(FIND(",",IFERROR(INDEX($G:$G,MATCH(AF267,$A:$A,0)),""))),LEFT(IFERROR(INDEX($G:$G,MATCH(AF267,$A:$A,0)),""),FIND(",",IFERROR(INDEX($G:$G,MATCH(AF267,$A:$A,0)),""))-1),IFERROR(INDEX($G:$G,MATCH(AF267,$A:$A,0)),"")))))</f>
        <v/>
      </c>
    </row>
    <row r="268" customFormat="false" ht="15" hidden="false" customHeight="false" outlineLevel="0" collapsed="false">
      <c r="A268" s="18"/>
      <c r="B268" s="19"/>
      <c r="C268" s="20"/>
      <c r="D268" s="20"/>
      <c r="E268" s="20"/>
      <c r="F268" s="20"/>
      <c r="G268" s="18"/>
      <c r="H268" s="20"/>
      <c r="I268" s="18"/>
      <c r="J268" s="20"/>
      <c r="K268" s="20"/>
      <c r="L268" s="20"/>
      <c r="M268" s="20"/>
      <c r="N268" s="20"/>
      <c r="O268" s="21" t="str">
        <f aca="false">IF(A268="","",IF(AD268="",0,IF(AE268="",1,IF(AF268="",2,IF(AG268="",3,"4+")))))</f>
        <v/>
      </c>
      <c r="P268" s="21" t="str">
        <f aca="false">IF(A268="","",B268&amp;IF(AD268="",""," &lt;- "&amp;IFERROR(INDEX($B:$B,MATCH(AD268,$A:$A,0)),AD268)&amp;IF(AE268="",""," &lt;- "&amp;IFERROR(INDEX($B:$B,MATCH(AE268,$A:$A,0)),AE268)&amp;IF(AF268="",""," &lt;- "&amp;IFERROR(INDEX($B:$B,MATCH(AF268,$A:$A,0)),AF268)&amp;IF(AG268="",""," &lt;- "&amp;IFERROR(INDEX($B:$B,MATCH(AG268,$A:$A,0)),AG268)))))&amp;IF(ISNUMBER(FIND(",",G268))," (+ other parents)",""))</f>
        <v/>
      </c>
      <c r="Q268" s="21" t="str">
        <f aca="false">IF(A268="","",IF(AD268="",E268&amp;"",IF(AE268="",IF(IFERROR(INDEX($E:$E,MATCH(AD268,$A:$A,0)),"")="","",INDEX($E:$E,MATCH(AD268,$A:$A,0))),IF(AF268="",IF(IFERROR(INDEX($E:$E,MATCH(AE268,$A:$A,0)),"")="","",INDEX($E:$E,MATCH(AE268,$A:$A,0))),IF(AG268="",IF(IFERROR(INDEX($E:$E,MATCH(AF268,$A:$A,0)),"")="","",INDEX($E:$E,MATCH(AF268,$A:$A,0))),IF(IFERROR(INDEX($E:$E,MATCH(AG268,$A:$A,0)),"")="","",INDEX($E:$E,MATCH(AG268,$A:$A,0))))))))</f>
        <v/>
      </c>
      <c r="R268" s="21" t="str">
        <f aca="false">IF(A268="","",COUNTIF(Fields!$D:$D,A268))</f>
        <v/>
      </c>
      <c r="S268" s="21" t="str">
        <f aca="false">IF(A268="","",SUMIF(Fields!$D:$D,A268,Fields!$Q:$Q))</f>
        <v/>
      </c>
      <c r="T268" s="21" t="str">
        <f aca="false">IF(A268="","",COUNTIF('Product inputs'!$D:$D,A268))</f>
        <v/>
      </c>
      <c r="U268" s="20"/>
      <c r="V268" s="20"/>
      <c r="W268" s="20"/>
      <c r="X268" s="20"/>
      <c r="Y268" s="20"/>
      <c r="Z268" s="20"/>
      <c r="AA268" s="20"/>
      <c r="AB268" s="20"/>
      <c r="AC268" s="20"/>
      <c r="AD268" s="18" t="str">
        <f aca="false">IF(A268="","",IF(IFERROR(INDEX($G:$G,MATCH(A268,$A:$A,0)),"")="","",TRIM(IF(ISNUMBER(FIND(",",IFERROR(INDEX($G:$G,MATCH(A268,$A:$A,0)),""))),LEFT(IFERROR(INDEX($G:$G,MATCH(A268,$A:$A,0)),""),FIND(",",IFERROR(INDEX($G:$G,MATCH(A268,$A:$A,0)),""))-1),IFERROR(INDEX($G:$G,MATCH(A268,$A:$A,0)),"")))))</f>
        <v/>
      </c>
      <c r="AE268" s="18" t="str">
        <f aca="false">IF(AD268="","",IF(IFERROR(INDEX($G:$G,MATCH(AD268,$A:$A,0)),"")="","",TRIM(IF(ISNUMBER(FIND(",",IFERROR(INDEX($G:$G,MATCH(AD268,$A:$A,0)),""))),LEFT(IFERROR(INDEX($G:$G,MATCH(AD268,$A:$A,0)),""),FIND(",",IFERROR(INDEX($G:$G,MATCH(AD268,$A:$A,0)),""))-1),IFERROR(INDEX($G:$G,MATCH(AD268,$A:$A,0)),"")))))</f>
        <v/>
      </c>
      <c r="AF268" s="18" t="str">
        <f aca="false">IF(AE268="","",IF(IFERROR(INDEX($G:$G,MATCH(AE268,$A:$A,0)),"")="","",TRIM(IF(ISNUMBER(FIND(",",IFERROR(INDEX($G:$G,MATCH(AE268,$A:$A,0)),""))),LEFT(IFERROR(INDEX($G:$G,MATCH(AE268,$A:$A,0)),""),FIND(",",IFERROR(INDEX($G:$G,MATCH(AE268,$A:$A,0)),""))-1),IFERROR(INDEX($G:$G,MATCH(AE268,$A:$A,0)),"")))))</f>
        <v/>
      </c>
      <c r="AG268" s="18" t="str">
        <f aca="false">IF(AF268="","",IF(IFERROR(INDEX($G:$G,MATCH(AF268,$A:$A,0)),"")="","",TRIM(IF(ISNUMBER(FIND(",",IFERROR(INDEX($G:$G,MATCH(AF268,$A:$A,0)),""))),LEFT(IFERROR(INDEX($G:$G,MATCH(AF268,$A:$A,0)),""),FIND(",",IFERROR(INDEX($G:$G,MATCH(AF268,$A:$A,0)),""))-1),IFERROR(INDEX($G:$G,MATCH(AF268,$A:$A,0)),"")))))</f>
        <v/>
      </c>
    </row>
    <row r="269" customFormat="false" ht="15" hidden="false" customHeight="false" outlineLevel="0" collapsed="false">
      <c r="A269" s="18"/>
      <c r="B269" s="19"/>
      <c r="C269" s="20"/>
      <c r="D269" s="20"/>
      <c r="E269" s="20"/>
      <c r="F269" s="20"/>
      <c r="G269" s="18"/>
      <c r="H269" s="20"/>
      <c r="I269" s="18"/>
      <c r="J269" s="20"/>
      <c r="K269" s="20"/>
      <c r="L269" s="20"/>
      <c r="M269" s="20"/>
      <c r="N269" s="20"/>
      <c r="O269" s="21" t="str">
        <f aca="false">IF(A269="","",IF(AD269="",0,IF(AE269="",1,IF(AF269="",2,IF(AG269="",3,"4+")))))</f>
        <v/>
      </c>
      <c r="P269" s="21" t="str">
        <f aca="false">IF(A269="","",B269&amp;IF(AD269="",""," &lt;- "&amp;IFERROR(INDEX($B:$B,MATCH(AD269,$A:$A,0)),AD269)&amp;IF(AE269="",""," &lt;- "&amp;IFERROR(INDEX($B:$B,MATCH(AE269,$A:$A,0)),AE269)&amp;IF(AF269="",""," &lt;- "&amp;IFERROR(INDEX($B:$B,MATCH(AF269,$A:$A,0)),AF269)&amp;IF(AG269="",""," &lt;- "&amp;IFERROR(INDEX($B:$B,MATCH(AG269,$A:$A,0)),AG269)))))&amp;IF(ISNUMBER(FIND(",",G269))," (+ other parents)",""))</f>
        <v/>
      </c>
      <c r="Q269" s="21" t="str">
        <f aca="false">IF(A269="","",IF(AD269="",E269&amp;"",IF(AE269="",IF(IFERROR(INDEX($E:$E,MATCH(AD269,$A:$A,0)),"")="","",INDEX($E:$E,MATCH(AD269,$A:$A,0))),IF(AF269="",IF(IFERROR(INDEX($E:$E,MATCH(AE269,$A:$A,0)),"")="","",INDEX($E:$E,MATCH(AE269,$A:$A,0))),IF(AG269="",IF(IFERROR(INDEX($E:$E,MATCH(AF269,$A:$A,0)),"")="","",INDEX($E:$E,MATCH(AF269,$A:$A,0))),IF(IFERROR(INDEX($E:$E,MATCH(AG269,$A:$A,0)),"")="","",INDEX($E:$E,MATCH(AG269,$A:$A,0))))))))</f>
        <v/>
      </c>
      <c r="R269" s="21" t="str">
        <f aca="false">IF(A269="","",COUNTIF(Fields!$D:$D,A269))</f>
        <v/>
      </c>
      <c r="S269" s="21" t="str">
        <f aca="false">IF(A269="","",SUMIF(Fields!$D:$D,A269,Fields!$Q:$Q))</f>
        <v/>
      </c>
      <c r="T269" s="21" t="str">
        <f aca="false">IF(A269="","",COUNTIF('Product inputs'!$D:$D,A269))</f>
        <v/>
      </c>
      <c r="U269" s="20"/>
      <c r="V269" s="20"/>
      <c r="W269" s="20"/>
      <c r="X269" s="20"/>
      <c r="Y269" s="20"/>
      <c r="Z269" s="20"/>
      <c r="AA269" s="20"/>
      <c r="AB269" s="20"/>
      <c r="AC269" s="20"/>
      <c r="AD269" s="18" t="str">
        <f aca="false">IF(A269="","",IF(IFERROR(INDEX($G:$G,MATCH(A269,$A:$A,0)),"")="","",TRIM(IF(ISNUMBER(FIND(",",IFERROR(INDEX($G:$G,MATCH(A269,$A:$A,0)),""))),LEFT(IFERROR(INDEX($G:$G,MATCH(A269,$A:$A,0)),""),FIND(",",IFERROR(INDEX($G:$G,MATCH(A269,$A:$A,0)),""))-1),IFERROR(INDEX($G:$G,MATCH(A269,$A:$A,0)),"")))))</f>
        <v/>
      </c>
      <c r="AE269" s="18" t="str">
        <f aca="false">IF(AD269="","",IF(IFERROR(INDEX($G:$G,MATCH(AD269,$A:$A,0)),"")="","",TRIM(IF(ISNUMBER(FIND(",",IFERROR(INDEX($G:$G,MATCH(AD269,$A:$A,0)),""))),LEFT(IFERROR(INDEX($G:$G,MATCH(AD269,$A:$A,0)),""),FIND(",",IFERROR(INDEX($G:$G,MATCH(AD269,$A:$A,0)),""))-1),IFERROR(INDEX($G:$G,MATCH(AD269,$A:$A,0)),"")))))</f>
        <v/>
      </c>
      <c r="AF269" s="18" t="str">
        <f aca="false">IF(AE269="","",IF(IFERROR(INDEX($G:$G,MATCH(AE269,$A:$A,0)),"")="","",TRIM(IF(ISNUMBER(FIND(",",IFERROR(INDEX($G:$G,MATCH(AE269,$A:$A,0)),""))),LEFT(IFERROR(INDEX($G:$G,MATCH(AE269,$A:$A,0)),""),FIND(",",IFERROR(INDEX($G:$G,MATCH(AE269,$A:$A,0)),""))-1),IFERROR(INDEX($G:$G,MATCH(AE269,$A:$A,0)),"")))))</f>
        <v/>
      </c>
      <c r="AG269" s="18" t="str">
        <f aca="false">IF(AF269="","",IF(IFERROR(INDEX($G:$G,MATCH(AF269,$A:$A,0)),"")="","",TRIM(IF(ISNUMBER(FIND(",",IFERROR(INDEX($G:$G,MATCH(AF269,$A:$A,0)),""))),LEFT(IFERROR(INDEX($G:$G,MATCH(AF269,$A:$A,0)),""),FIND(",",IFERROR(INDEX($G:$G,MATCH(AF269,$A:$A,0)),""))-1),IFERROR(INDEX($G:$G,MATCH(AF269,$A:$A,0)),"")))))</f>
        <v/>
      </c>
    </row>
    <row r="270" customFormat="false" ht="15" hidden="false" customHeight="false" outlineLevel="0" collapsed="false">
      <c r="A270" s="18"/>
      <c r="B270" s="19"/>
      <c r="C270" s="20"/>
      <c r="D270" s="20"/>
      <c r="E270" s="20"/>
      <c r="F270" s="20"/>
      <c r="G270" s="18"/>
      <c r="H270" s="20"/>
      <c r="I270" s="18"/>
      <c r="J270" s="20"/>
      <c r="K270" s="20"/>
      <c r="L270" s="20"/>
      <c r="M270" s="20"/>
      <c r="N270" s="20"/>
      <c r="O270" s="21" t="str">
        <f aca="false">IF(A270="","",IF(AD270="",0,IF(AE270="",1,IF(AF270="",2,IF(AG270="",3,"4+")))))</f>
        <v/>
      </c>
      <c r="P270" s="21" t="str">
        <f aca="false">IF(A270="","",B270&amp;IF(AD270="",""," &lt;- "&amp;IFERROR(INDEX($B:$B,MATCH(AD270,$A:$A,0)),AD270)&amp;IF(AE270="",""," &lt;- "&amp;IFERROR(INDEX($B:$B,MATCH(AE270,$A:$A,0)),AE270)&amp;IF(AF270="",""," &lt;- "&amp;IFERROR(INDEX($B:$B,MATCH(AF270,$A:$A,0)),AF270)&amp;IF(AG270="",""," &lt;- "&amp;IFERROR(INDEX($B:$B,MATCH(AG270,$A:$A,0)),AG270)))))&amp;IF(ISNUMBER(FIND(",",G270))," (+ other parents)",""))</f>
        <v/>
      </c>
      <c r="Q270" s="21" t="str">
        <f aca="false">IF(A270="","",IF(AD270="",E270&amp;"",IF(AE270="",IF(IFERROR(INDEX($E:$E,MATCH(AD270,$A:$A,0)),"")="","",INDEX($E:$E,MATCH(AD270,$A:$A,0))),IF(AF270="",IF(IFERROR(INDEX($E:$E,MATCH(AE270,$A:$A,0)),"")="","",INDEX($E:$E,MATCH(AE270,$A:$A,0))),IF(AG270="",IF(IFERROR(INDEX($E:$E,MATCH(AF270,$A:$A,0)),"")="","",INDEX($E:$E,MATCH(AF270,$A:$A,0))),IF(IFERROR(INDEX($E:$E,MATCH(AG270,$A:$A,0)),"")="","",INDEX($E:$E,MATCH(AG270,$A:$A,0))))))))</f>
        <v/>
      </c>
      <c r="R270" s="21" t="str">
        <f aca="false">IF(A270="","",COUNTIF(Fields!$D:$D,A270))</f>
        <v/>
      </c>
      <c r="S270" s="21" t="str">
        <f aca="false">IF(A270="","",SUMIF(Fields!$D:$D,A270,Fields!$Q:$Q))</f>
        <v/>
      </c>
      <c r="T270" s="21" t="str">
        <f aca="false">IF(A270="","",COUNTIF('Product inputs'!$D:$D,A270))</f>
        <v/>
      </c>
      <c r="U270" s="20"/>
      <c r="V270" s="20"/>
      <c r="W270" s="20"/>
      <c r="X270" s="20"/>
      <c r="Y270" s="20"/>
      <c r="Z270" s="20"/>
      <c r="AA270" s="20"/>
      <c r="AB270" s="20"/>
      <c r="AC270" s="20"/>
      <c r="AD270" s="18" t="str">
        <f aca="false">IF(A270="","",IF(IFERROR(INDEX($G:$G,MATCH(A270,$A:$A,0)),"")="","",TRIM(IF(ISNUMBER(FIND(",",IFERROR(INDEX($G:$G,MATCH(A270,$A:$A,0)),""))),LEFT(IFERROR(INDEX($G:$G,MATCH(A270,$A:$A,0)),""),FIND(",",IFERROR(INDEX($G:$G,MATCH(A270,$A:$A,0)),""))-1),IFERROR(INDEX($G:$G,MATCH(A270,$A:$A,0)),"")))))</f>
        <v/>
      </c>
      <c r="AE270" s="18" t="str">
        <f aca="false">IF(AD270="","",IF(IFERROR(INDEX($G:$G,MATCH(AD270,$A:$A,0)),"")="","",TRIM(IF(ISNUMBER(FIND(",",IFERROR(INDEX($G:$G,MATCH(AD270,$A:$A,0)),""))),LEFT(IFERROR(INDEX($G:$G,MATCH(AD270,$A:$A,0)),""),FIND(",",IFERROR(INDEX($G:$G,MATCH(AD270,$A:$A,0)),""))-1),IFERROR(INDEX($G:$G,MATCH(AD270,$A:$A,0)),"")))))</f>
        <v/>
      </c>
      <c r="AF270" s="18" t="str">
        <f aca="false">IF(AE270="","",IF(IFERROR(INDEX($G:$G,MATCH(AE270,$A:$A,0)),"")="","",TRIM(IF(ISNUMBER(FIND(",",IFERROR(INDEX($G:$G,MATCH(AE270,$A:$A,0)),""))),LEFT(IFERROR(INDEX($G:$G,MATCH(AE270,$A:$A,0)),""),FIND(",",IFERROR(INDEX($G:$G,MATCH(AE270,$A:$A,0)),""))-1),IFERROR(INDEX($G:$G,MATCH(AE270,$A:$A,0)),"")))))</f>
        <v/>
      </c>
      <c r="AG270" s="18" t="str">
        <f aca="false">IF(AF270="","",IF(IFERROR(INDEX($G:$G,MATCH(AF270,$A:$A,0)),"")="","",TRIM(IF(ISNUMBER(FIND(",",IFERROR(INDEX($G:$G,MATCH(AF270,$A:$A,0)),""))),LEFT(IFERROR(INDEX($G:$G,MATCH(AF270,$A:$A,0)),""),FIND(",",IFERROR(INDEX($G:$G,MATCH(AF270,$A:$A,0)),""))-1),IFERROR(INDEX($G:$G,MATCH(AF270,$A:$A,0)),"")))))</f>
        <v/>
      </c>
    </row>
    <row r="271" customFormat="false" ht="15" hidden="false" customHeight="false" outlineLevel="0" collapsed="false">
      <c r="A271" s="18"/>
      <c r="B271" s="19"/>
      <c r="C271" s="20"/>
      <c r="D271" s="20"/>
      <c r="E271" s="20"/>
      <c r="F271" s="20"/>
      <c r="G271" s="18"/>
      <c r="H271" s="20"/>
      <c r="I271" s="18"/>
      <c r="J271" s="20"/>
      <c r="K271" s="20"/>
      <c r="L271" s="20"/>
      <c r="M271" s="20"/>
      <c r="N271" s="20"/>
      <c r="O271" s="21" t="str">
        <f aca="false">IF(A271="","",IF(AD271="",0,IF(AE271="",1,IF(AF271="",2,IF(AG271="",3,"4+")))))</f>
        <v/>
      </c>
      <c r="P271" s="21" t="str">
        <f aca="false">IF(A271="","",B271&amp;IF(AD271="",""," &lt;- "&amp;IFERROR(INDEX($B:$B,MATCH(AD271,$A:$A,0)),AD271)&amp;IF(AE271="",""," &lt;- "&amp;IFERROR(INDEX($B:$B,MATCH(AE271,$A:$A,0)),AE271)&amp;IF(AF271="",""," &lt;- "&amp;IFERROR(INDEX($B:$B,MATCH(AF271,$A:$A,0)),AF271)&amp;IF(AG271="",""," &lt;- "&amp;IFERROR(INDEX($B:$B,MATCH(AG271,$A:$A,0)),AG271)))))&amp;IF(ISNUMBER(FIND(",",G271))," (+ other parents)",""))</f>
        <v/>
      </c>
      <c r="Q271" s="21" t="str">
        <f aca="false">IF(A271="","",IF(AD271="",E271&amp;"",IF(AE271="",IF(IFERROR(INDEX($E:$E,MATCH(AD271,$A:$A,0)),"")="","",INDEX($E:$E,MATCH(AD271,$A:$A,0))),IF(AF271="",IF(IFERROR(INDEX($E:$E,MATCH(AE271,$A:$A,0)),"")="","",INDEX($E:$E,MATCH(AE271,$A:$A,0))),IF(AG271="",IF(IFERROR(INDEX($E:$E,MATCH(AF271,$A:$A,0)),"")="","",INDEX($E:$E,MATCH(AF271,$A:$A,0))),IF(IFERROR(INDEX($E:$E,MATCH(AG271,$A:$A,0)),"")="","",INDEX($E:$E,MATCH(AG271,$A:$A,0))))))))</f>
        <v/>
      </c>
      <c r="R271" s="21" t="str">
        <f aca="false">IF(A271="","",COUNTIF(Fields!$D:$D,A271))</f>
        <v/>
      </c>
      <c r="S271" s="21" t="str">
        <f aca="false">IF(A271="","",SUMIF(Fields!$D:$D,A271,Fields!$Q:$Q))</f>
        <v/>
      </c>
      <c r="T271" s="21" t="str">
        <f aca="false">IF(A271="","",COUNTIF('Product inputs'!$D:$D,A271))</f>
        <v/>
      </c>
      <c r="U271" s="20"/>
      <c r="V271" s="20"/>
      <c r="W271" s="20"/>
      <c r="X271" s="20"/>
      <c r="Y271" s="20"/>
      <c r="Z271" s="20"/>
      <c r="AA271" s="20"/>
      <c r="AB271" s="20"/>
      <c r="AC271" s="20"/>
      <c r="AD271" s="18" t="str">
        <f aca="false">IF(A271="","",IF(IFERROR(INDEX($G:$G,MATCH(A271,$A:$A,0)),"")="","",TRIM(IF(ISNUMBER(FIND(",",IFERROR(INDEX($G:$G,MATCH(A271,$A:$A,0)),""))),LEFT(IFERROR(INDEX($G:$G,MATCH(A271,$A:$A,0)),""),FIND(",",IFERROR(INDEX($G:$G,MATCH(A271,$A:$A,0)),""))-1),IFERROR(INDEX($G:$G,MATCH(A271,$A:$A,0)),"")))))</f>
        <v/>
      </c>
      <c r="AE271" s="18" t="str">
        <f aca="false">IF(AD271="","",IF(IFERROR(INDEX($G:$G,MATCH(AD271,$A:$A,0)),"")="","",TRIM(IF(ISNUMBER(FIND(",",IFERROR(INDEX($G:$G,MATCH(AD271,$A:$A,0)),""))),LEFT(IFERROR(INDEX($G:$G,MATCH(AD271,$A:$A,0)),""),FIND(",",IFERROR(INDEX($G:$G,MATCH(AD271,$A:$A,0)),""))-1),IFERROR(INDEX($G:$G,MATCH(AD271,$A:$A,0)),"")))))</f>
        <v/>
      </c>
      <c r="AF271" s="18" t="str">
        <f aca="false">IF(AE271="","",IF(IFERROR(INDEX($G:$G,MATCH(AE271,$A:$A,0)),"")="","",TRIM(IF(ISNUMBER(FIND(",",IFERROR(INDEX($G:$G,MATCH(AE271,$A:$A,0)),""))),LEFT(IFERROR(INDEX($G:$G,MATCH(AE271,$A:$A,0)),""),FIND(",",IFERROR(INDEX($G:$G,MATCH(AE271,$A:$A,0)),""))-1),IFERROR(INDEX($G:$G,MATCH(AE271,$A:$A,0)),"")))))</f>
        <v/>
      </c>
      <c r="AG271" s="18" t="str">
        <f aca="false">IF(AF271="","",IF(IFERROR(INDEX($G:$G,MATCH(AF271,$A:$A,0)),"")="","",TRIM(IF(ISNUMBER(FIND(",",IFERROR(INDEX($G:$G,MATCH(AF271,$A:$A,0)),""))),LEFT(IFERROR(INDEX($G:$G,MATCH(AF271,$A:$A,0)),""),FIND(",",IFERROR(INDEX($G:$G,MATCH(AF271,$A:$A,0)),""))-1),IFERROR(INDEX($G:$G,MATCH(AF271,$A:$A,0)),"")))))</f>
        <v/>
      </c>
    </row>
    <row r="272" customFormat="false" ht="15" hidden="false" customHeight="false" outlineLevel="0" collapsed="false">
      <c r="A272" s="18"/>
      <c r="B272" s="19"/>
      <c r="C272" s="20"/>
      <c r="D272" s="20"/>
      <c r="E272" s="20"/>
      <c r="F272" s="20"/>
      <c r="G272" s="18"/>
      <c r="H272" s="20"/>
      <c r="I272" s="18"/>
      <c r="J272" s="20"/>
      <c r="K272" s="20"/>
      <c r="L272" s="20"/>
      <c r="M272" s="20"/>
      <c r="N272" s="20"/>
      <c r="O272" s="21" t="str">
        <f aca="false">IF(A272="","",IF(AD272="",0,IF(AE272="",1,IF(AF272="",2,IF(AG272="",3,"4+")))))</f>
        <v/>
      </c>
      <c r="P272" s="21" t="str">
        <f aca="false">IF(A272="","",B272&amp;IF(AD272="",""," &lt;- "&amp;IFERROR(INDEX($B:$B,MATCH(AD272,$A:$A,0)),AD272)&amp;IF(AE272="",""," &lt;- "&amp;IFERROR(INDEX($B:$B,MATCH(AE272,$A:$A,0)),AE272)&amp;IF(AF272="",""," &lt;- "&amp;IFERROR(INDEX($B:$B,MATCH(AF272,$A:$A,0)),AF272)&amp;IF(AG272="",""," &lt;- "&amp;IFERROR(INDEX($B:$B,MATCH(AG272,$A:$A,0)),AG272)))))&amp;IF(ISNUMBER(FIND(",",G272))," (+ other parents)",""))</f>
        <v/>
      </c>
      <c r="Q272" s="21" t="str">
        <f aca="false">IF(A272="","",IF(AD272="",E272&amp;"",IF(AE272="",IF(IFERROR(INDEX($E:$E,MATCH(AD272,$A:$A,0)),"")="","",INDEX($E:$E,MATCH(AD272,$A:$A,0))),IF(AF272="",IF(IFERROR(INDEX($E:$E,MATCH(AE272,$A:$A,0)),"")="","",INDEX($E:$E,MATCH(AE272,$A:$A,0))),IF(AG272="",IF(IFERROR(INDEX($E:$E,MATCH(AF272,$A:$A,0)),"")="","",INDEX($E:$E,MATCH(AF272,$A:$A,0))),IF(IFERROR(INDEX($E:$E,MATCH(AG272,$A:$A,0)),"")="","",INDEX($E:$E,MATCH(AG272,$A:$A,0))))))))</f>
        <v/>
      </c>
      <c r="R272" s="21" t="str">
        <f aca="false">IF(A272="","",COUNTIF(Fields!$D:$D,A272))</f>
        <v/>
      </c>
      <c r="S272" s="21" t="str">
        <f aca="false">IF(A272="","",SUMIF(Fields!$D:$D,A272,Fields!$Q:$Q))</f>
        <v/>
      </c>
      <c r="T272" s="21" t="str">
        <f aca="false">IF(A272="","",COUNTIF('Product inputs'!$D:$D,A272))</f>
        <v/>
      </c>
      <c r="U272" s="20"/>
      <c r="V272" s="20"/>
      <c r="W272" s="20"/>
      <c r="X272" s="20"/>
      <c r="Y272" s="20"/>
      <c r="Z272" s="20"/>
      <c r="AA272" s="20"/>
      <c r="AB272" s="20"/>
      <c r="AC272" s="20"/>
      <c r="AD272" s="18" t="str">
        <f aca="false">IF(A272="","",IF(IFERROR(INDEX($G:$G,MATCH(A272,$A:$A,0)),"")="","",TRIM(IF(ISNUMBER(FIND(",",IFERROR(INDEX($G:$G,MATCH(A272,$A:$A,0)),""))),LEFT(IFERROR(INDEX($G:$G,MATCH(A272,$A:$A,0)),""),FIND(",",IFERROR(INDEX($G:$G,MATCH(A272,$A:$A,0)),""))-1),IFERROR(INDEX($G:$G,MATCH(A272,$A:$A,0)),"")))))</f>
        <v/>
      </c>
      <c r="AE272" s="18" t="str">
        <f aca="false">IF(AD272="","",IF(IFERROR(INDEX($G:$G,MATCH(AD272,$A:$A,0)),"")="","",TRIM(IF(ISNUMBER(FIND(",",IFERROR(INDEX($G:$G,MATCH(AD272,$A:$A,0)),""))),LEFT(IFERROR(INDEX($G:$G,MATCH(AD272,$A:$A,0)),""),FIND(",",IFERROR(INDEX($G:$G,MATCH(AD272,$A:$A,0)),""))-1),IFERROR(INDEX($G:$G,MATCH(AD272,$A:$A,0)),"")))))</f>
        <v/>
      </c>
      <c r="AF272" s="18" t="str">
        <f aca="false">IF(AE272="","",IF(IFERROR(INDEX($G:$G,MATCH(AE272,$A:$A,0)),"")="","",TRIM(IF(ISNUMBER(FIND(",",IFERROR(INDEX($G:$G,MATCH(AE272,$A:$A,0)),""))),LEFT(IFERROR(INDEX($G:$G,MATCH(AE272,$A:$A,0)),""),FIND(",",IFERROR(INDEX($G:$G,MATCH(AE272,$A:$A,0)),""))-1),IFERROR(INDEX($G:$G,MATCH(AE272,$A:$A,0)),"")))))</f>
        <v/>
      </c>
      <c r="AG272" s="18" t="str">
        <f aca="false">IF(AF272="","",IF(IFERROR(INDEX($G:$G,MATCH(AF272,$A:$A,0)),"")="","",TRIM(IF(ISNUMBER(FIND(",",IFERROR(INDEX($G:$G,MATCH(AF272,$A:$A,0)),""))),LEFT(IFERROR(INDEX($G:$G,MATCH(AF272,$A:$A,0)),""),FIND(",",IFERROR(INDEX($G:$G,MATCH(AF272,$A:$A,0)),""))-1),IFERROR(INDEX($G:$G,MATCH(AF272,$A:$A,0)),"")))))</f>
        <v/>
      </c>
    </row>
    <row r="273" customFormat="false" ht="15" hidden="false" customHeight="false" outlineLevel="0" collapsed="false">
      <c r="A273" s="18"/>
      <c r="B273" s="19"/>
      <c r="C273" s="20"/>
      <c r="D273" s="20"/>
      <c r="E273" s="20"/>
      <c r="F273" s="20"/>
      <c r="G273" s="18"/>
      <c r="H273" s="20"/>
      <c r="I273" s="18"/>
      <c r="J273" s="20"/>
      <c r="K273" s="20"/>
      <c r="L273" s="20"/>
      <c r="M273" s="20"/>
      <c r="N273" s="20"/>
      <c r="O273" s="21" t="str">
        <f aca="false">IF(A273="","",IF(AD273="",0,IF(AE273="",1,IF(AF273="",2,IF(AG273="",3,"4+")))))</f>
        <v/>
      </c>
      <c r="P273" s="21" t="str">
        <f aca="false">IF(A273="","",B273&amp;IF(AD273="",""," &lt;- "&amp;IFERROR(INDEX($B:$B,MATCH(AD273,$A:$A,0)),AD273)&amp;IF(AE273="",""," &lt;- "&amp;IFERROR(INDEX($B:$B,MATCH(AE273,$A:$A,0)),AE273)&amp;IF(AF273="",""," &lt;- "&amp;IFERROR(INDEX($B:$B,MATCH(AF273,$A:$A,0)),AF273)&amp;IF(AG273="",""," &lt;- "&amp;IFERROR(INDEX($B:$B,MATCH(AG273,$A:$A,0)),AG273)))))&amp;IF(ISNUMBER(FIND(",",G273))," (+ other parents)",""))</f>
        <v/>
      </c>
      <c r="Q273" s="21" t="str">
        <f aca="false">IF(A273="","",IF(AD273="",E273&amp;"",IF(AE273="",IF(IFERROR(INDEX($E:$E,MATCH(AD273,$A:$A,0)),"")="","",INDEX($E:$E,MATCH(AD273,$A:$A,0))),IF(AF273="",IF(IFERROR(INDEX($E:$E,MATCH(AE273,$A:$A,0)),"")="","",INDEX($E:$E,MATCH(AE273,$A:$A,0))),IF(AG273="",IF(IFERROR(INDEX($E:$E,MATCH(AF273,$A:$A,0)),"")="","",INDEX($E:$E,MATCH(AF273,$A:$A,0))),IF(IFERROR(INDEX($E:$E,MATCH(AG273,$A:$A,0)),"")="","",INDEX($E:$E,MATCH(AG273,$A:$A,0))))))))</f>
        <v/>
      </c>
      <c r="R273" s="21" t="str">
        <f aca="false">IF(A273="","",COUNTIF(Fields!$D:$D,A273))</f>
        <v/>
      </c>
      <c r="S273" s="21" t="str">
        <f aca="false">IF(A273="","",SUMIF(Fields!$D:$D,A273,Fields!$Q:$Q))</f>
        <v/>
      </c>
      <c r="T273" s="21" t="str">
        <f aca="false">IF(A273="","",COUNTIF('Product inputs'!$D:$D,A273))</f>
        <v/>
      </c>
      <c r="U273" s="20"/>
      <c r="V273" s="20"/>
      <c r="W273" s="20"/>
      <c r="X273" s="20"/>
      <c r="Y273" s="20"/>
      <c r="Z273" s="20"/>
      <c r="AA273" s="20"/>
      <c r="AB273" s="20"/>
      <c r="AC273" s="20"/>
      <c r="AD273" s="18" t="str">
        <f aca="false">IF(A273="","",IF(IFERROR(INDEX($G:$G,MATCH(A273,$A:$A,0)),"")="","",TRIM(IF(ISNUMBER(FIND(",",IFERROR(INDEX($G:$G,MATCH(A273,$A:$A,0)),""))),LEFT(IFERROR(INDEX($G:$G,MATCH(A273,$A:$A,0)),""),FIND(",",IFERROR(INDEX($G:$G,MATCH(A273,$A:$A,0)),""))-1),IFERROR(INDEX($G:$G,MATCH(A273,$A:$A,0)),"")))))</f>
        <v/>
      </c>
      <c r="AE273" s="18" t="str">
        <f aca="false">IF(AD273="","",IF(IFERROR(INDEX($G:$G,MATCH(AD273,$A:$A,0)),"")="","",TRIM(IF(ISNUMBER(FIND(",",IFERROR(INDEX($G:$G,MATCH(AD273,$A:$A,0)),""))),LEFT(IFERROR(INDEX($G:$G,MATCH(AD273,$A:$A,0)),""),FIND(",",IFERROR(INDEX($G:$G,MATCH(AD273,$A:$A,0)),""))-1),IFERROR(INDEX($G:$G,MATCH(AD273,$A:$A,0)),"")))))</f>
        <v/>
      </c>
      <c r="AF273" s="18" t="str">
        <f aca="false">IF(AE273="","",IF(IFERROR(INDEX($G:$G,MATCH(AE273,$A:$A,0)),"")="","",TRIM(IF(ISNUMBER(FIND(",",IFERROR(INDEX($G:$G,MATCH(AE273,$A:$A,0)),""))),LEFT(IFERROR(INDEX($G:$G,MATCH(AE273,$A:$A,0)),""),FIND(",",IFERROR(INDEX($G:$G,MATCH(AE273,$A:$A,0)),""))-1),IFERROR(INDEX($G:$G,MATCH(AE273,$A:$A,0)),"")))))</f>
        <v/>
      </c>
      <c r="AG273" s="18" t="str">
        <f aca="false">IF(AF273="","",IF(IFERROR(INDEX($G:$G,MATCH(AF273,$A:$A,0)),"")="","",TRIM(IF(ISNUMBER(FIND(",",IFERROR(INDEX($G:$G,MATCH(AF273,$A:$A,0)),""))),LEFT(IFERROR(INDEX($G:$G,MATCH(AF273,$A:$A,0)),""),FIND(",",IFERROR(INDEX($G:$G,MATCH(AF273,$A:$A,0)),""))-1),IFERROR(INDEX($G:$G,MATCH(AF273,$A:$A,0)),"")))))</f>
        <v/>
      </c>
    </row>
    <row r="274" customFormat="false" ht="15" hidden="false" customHeight="false" outlineLevel="0" collapsed="false">
      <c r="A274" s="18"/>
      <c r="B274" s="19"/>
      <c r="C274" s="20"/>
      <c r="D274" s="20"/>
      <c r="E274" s="20"/>
      <c r="F274" s="20"/>
      <c r="G274" s="18"/>
      <c r="H274" s="20"/>
      <c r="I274" s="18"/>
      <c r="J274" s="20"/>
      <c r="K274" s="20"/>
      <c r="L274" s="20"/>
      <c r="M274" s="20"/>
      <c r="N274" s="20"/>
      <c r="O274" s="21" t="str">
        <f aca="false">IF(A274="","",IF(AD274="",0,IF(AE274="",1,IF(AF274="",2,IF(AG274="",3,"4+")))))</f>
        <v/>
      </c>
      <c r="P274" s="21" t="str">
        <f aca="false">IF(A274="","",B274&amp;IF(AD274="",""," &lt;- "&amp;IFERROR(INDEX($B:$B,MATCH(AD274,$A:$A,0)),AD274)&amp;IF(AE274="",""," &lt;- "&amp;IFERROR(INDEX($B:$B,MATCH(AE274,$A:$A,0)),AE274)&amp;IF(AF274="",""," &lt;- "&amp;IFERROR(INDEX($B:$B,MATCH(AF274,$A:$A,0)),AF274)&amp;IF(AG274="",""," &lt;- "&amp;IFERROR(INDEX($B:$B,MATCH(AG274,$A:$A,0)),AG274)))))&amp;IF(ISNUMBER(FIND(",",G274))," (+ other parents)",""))</f>
        <v/>
      </c>
      <c r="Q274" s="21" t="str">
        <f aca="false">IF(A274="","",IF(AD274="",E274&amp;"",IF(AE274="",IF(IFERROR(INDEX($E:$E,MATCH(AD274,$A:$A,0)),"")="","",INDEX($E:$E,MATCH(AD274,$A:$A,0))),IF(AF274="",IF(IFERROR(INDEX($E:$E,MATCH(AE274,$A:$A,0)),"")="","",INDEX($E:$E,MATCH(AE274,$A:$A,0))),IF(AG274="",IF(IFERROR(INDEX($E:$E,MATCH(AF274,$A:$A,0)),"")="","",INDEX($E:$E,MATCH(AF274,$A:$A,0))),IF(IFERROR(INDEX($E:$E,MATCH(AG274,$A:$A,0)),"")="","",INDEX($E:$E,MATCH(AG274,$A:$A,0))))))))</f>
        <v/>
      </c>
      <c r="R274" s="21" t="str">
        <f aca="false">IF(A274="","",COUNTIF(Fields!$D:$D,A274))</f>
        <v/>
      </c>
      <c r="S274" s="21" t="str">
        <f aca="false">IF(A274="","",SUMIF(Fields!$D:$D,A274,Fields!$Q:$Q))</f>
        <v/>
      </c>
      <c r="T274" s="21" t="str">
        <f aca="false">IF(A274="","",COUNTIF('Product inputs'!$D:$D,A274))</f>
        <v/>
      </c>
      <c r="U274" s="20"/>
      <c r="V274" s="20"/>
      <c r="W274" s="20"/>
      <c r="X274" s="20"/>
      <c r="Y274" s="20"/>
      <c r="Z274" s="20"/>
      <c r="AA274" s="20"/>
      <c r="AB274" s="20"/>
      <c r="AC274" s="20"/>
      <c r="AD274" s="18" t="str">
        <f aca="false">IF(A274="","",IF(IFERROR(INDEX($G:$G,MATCH(A274,$A:$A,0)),"")="","",TRIM(IF(ISNUMBER(FIND(",",IFERROR(INDEX($G:$G,MATCH(A274,$A:$A,0)),""))),LEFT(IFERROR(INDEX($G:$G,MATCH(A274,$A:$A,0)),""),FIND(",",IFERROR(INDEX($G:$G,MATCH(A274,$A:$A,0)),""))-1),IFERROR(INDEX($G:$G,MATCH(A274,$A:$A,0)),"")))))</f>
        <v/>
      </c>
      <c r="AE274" s="18" t="str">
        <f aca="false">IF(AD274="","",IF(IFERROR(INDEX($G:$G,MATCH(AD274,$A:$A,0)),"")="","",TRIM(IF(ISNUMBER(FIND(",",IFERROR(INDEX($G:$G,MATCH(AD274,$A:$A,0)),""))),LEFT(IFERROR(INDEX($G:$G,MATCH(AD274,$A:$A,0)),""),FIND(",",IFERROR(INDEX($G:$G,MATCH(AD274,$A:$A,0)),""))-1),IFERROR(INDEX($G:$G,MATCH(AD274,$A:$A,0)),"")))))</f>
        <v/>
      </c>
      <c r="AF274" s="18" t="str">
        <f aca="false">IF(AE274="","",IF(IFERROR(INDEX($G:$G,MATCH(AE274,$A:$A,0)),"")="","",TRIM(IF(ISNUMBER(FIND(",",IFERROR(INDEX($G:$G,MATCH(AE274,$A:$A,0)),""))),LEFT(IFERROR(INDEX($G:$G,MATCH(AE274,$A:$A,0)),""),FIND(",",IFERROR(INDEX($G:$G,MATCH(AE274,$A:$A,0)),""))-1),IFERROR(INDEX($G:$G,MATCH(AE274,$A:$A,0)),"")))))</f>
        <v/>
      </c>
      <c r="AG274" s="18" t="str">
        <f aca="false">IF(AF274="","",IF(IFERROR(INDEX($G:$G,MATCH(AF274,$A:$A,0)),"")="","",TRIM(IF(ISNUMBER(FIND(",",IFERROR(INDEX($G:$G,MATCH(AF274,$A:$A,0)),""))),LEFT(IFERROR(INDEX($G:$G,MATCH(AF274,$A:$A,0)),""),FIND(",",IFERROR(INDEX($G:$G,MATCH(AF274,$A:$A,0)),""))-1),IFERROR(INDEX($G:$G,MATCH(AF274,$A:$A,0)),"")))))</f>
        <v/>
      </c>
    </row>
    <row r="275" customFormat="false" ht="15" hidden="false" customHeight="false" outlineLevel="0" collapsed="false">
      <c r="A275" s="18"/>
      <c r="B275" s="19"/>
      <c r="C275" s="20"/>
      <c r="D275" s="20"/>
      <c r="E275" s="20"/>
      <c r="F275" s="20"/>
      <c r="G275" s="18"/>
      <c r="H275" s="20"/>
      <c r="I275" s="18"/>
      <c r="J275" s="20"/>
      <c r="K275" s="20"/>
      <c r="L275" s="20"/>
      <c r="M275" s="20"/>
      <c r="N275" s="20"/>
      <c r="O275" s="21" t="str">
        <f aca="false">IF(A275="","",IF(AD275="",0,IF(AE275="",1,IF(AF275="",2,IF(AG275="",3,"4+")))))</f>
        <v/>
      </c>
      <c r="P275" s="21" t="str">
        <f aca="false">IF(A275="","",B275&amp;IF(AD275="",""," &lt;- "&amp;IFERROR(INDEX($B:$B,MATCH(AD275,$A:$A,0)),AD275)&amp;IF(AE275="",""," &lt;- "&amp;IFERROR(INDEX($B:$B,MATCH(AE275,$A:$A,0)),AE275)&amp;IF(AF275="",""," &lt;- "&amp;IFERROR(INDEX($B:$B,MATCH(AF275,$A:$A,0)),AF275)&amp;IF(AG275="",""," &lt;- "&amp;IFERROR(INDEX($B:$B,MATCH(AG275,$A:$A,0)),AG275)))))&amp;IF(ISNUMBER(FIND(",",G275))," (+ other parents)",""))</f>
        <v/>
      </c>
      <c r="Q275" s="21" t="str">
        <f aca="false">IF(A275="","",IF(AD275="",E275&amp;"",IF(AE275="",IF(IFERROR(INDEX($E:$E,MATCH(AD275,$A:$A,0)),"")="","",INDEX($E:$E,MATCH(AD275,$A:$A,0))),IF(AF275="",IF(IFERROR(INDEX($E:$E,MATCH(AE275,$A:$A,0)),"")="","",INDEX($E:$E,MATCH(AE275,$A:$A,0))),IF(AG275="",IF(IFERROR(INDEX($E:$E,MATCH(AF275,$A:$A,0)),"")="","",INDEX($E:$E,MATCH(AF275,$A:$A,0))),IF(IFERROR(INDEX($E:$E,MATCH(AG275,$A:$A,0)),"")="","",INDEX($E:$E,MATCH(AG275,$A:$A,0))))))))</f>
        <v/>
      </c>
      <c r="R275" s="21" t="str">
        <f aca="false">IF(A275="","",COUNTIF(Fields!$D:$D,A275))</f>
        <v/>
      </c>
      <c r="S275" s="21" t="str">
        <f aca="false">IF(A275="","",SUMIF(Fields!$D:$D,A275,Fields!$Q:$Q))</f>
        <v/>
      </c>
      <c r="T275" s="21" t="str">
        <f aca="false">IF(A275="","",COUNTIF('Product inputs'!$D:$D,A275))</f>
        <v/>
      </c>
      <c r="U275" s="20"/>
      <c r="V275" s="20"/>
      <c r="W275" s="20"/>
      <c r="X275" s="20"/>
      <c r="Y275" s="20"/>
      <c r="Z275" s="20"/>
      <c r="AA275" s="20"/>
      <c r="AB275" s="20"/>
      <c r="AC275" s="20"/>
      <c r="AD275" s="18" t="str">
        <f aca="false">IF(A275="","",IF(IFERROR(INDEX($G:$G,MATCH(A275,$A:$A,0)),"")="","",TRIM(IF(ISNUMBER(FIND(",",IFERROR(INDEX($G:$G,MATCH(A275,$A:$A,0)),""))),LEFT(IFERROR(INDEX($G:$G,MATCH(A275,$A:$A,0)),""),FIND(",",IFERROR(INDEX($G:$G,MATCH(A275,$A:$A,0)),""))-1),IFERROR(INDEX($G:$G,MATCH(A275,$A:$A,0)),"")))))</f>
        <v/>
      </c>
      <c r="AE275" s="18" t="str">
        <f aca="false">IF(AD275="","",IF(IFERROR(INDEX($G:$G,MATCH(AD275,$A:$A,0)),"")="","",TRIM(IF(ISNUMBER(FIND(",",IFERROR(INDEX($G:$G,MATCH(AD275,$A:$A,0)),""))),LEFT(IFERROR(INDEX($G:$G,MATCH(AD275,$A:$A,0)),""),FIND(",",IFERROR(INDEX($G:$G,MATCH(AD275,$A:$A,0)),""))-1),IFERROR(INDEX($G:$G,MATCH(AD275,$A:$A,0)),"")))))</f>
        <v/>
      </c>
      <c r="AF275" s="18" t="str">
        <f aca="false">IF(AE275="","",IF(IFERROR(INDEX($G:$G,MATCH(AE275,$A:$A,0)),"")="","",TRIM(IF(ISNUMBER(FIND(",",IFERROR(INDEX($G:$G,MATCH(AE275,$A:$A,0)),""))),LEFT(IFERROR(INDEX($G:$G,MATCH(AE275,$A:$A,0)),""),FIND(",",IFERROR(INDEX($G:$G,MATCH(AE275,$A:$A,0)),""))-1),IFERROR(INDEX($G:$G,MATCH(AE275,$A:$A,0)),"")))))</f>
        <v/>
      </c>
      <c r="AG275" s="18" t="str">
        <f aca="false">IF(AF275="","",IF(IFERROR(INDEX($G:$G,MATCH(AF275,$A:$A,0)),"")="","",TRIM(IF(ISNUMBER(FIND(",",IFERROR(INDEX($G:$G,MATCH(AF275,$A:$A,0)),""))),LEFT(IFERROR(INDEX($G:$G,MATCH(AF275,$A:$A,0)),""),FIND(",",IFERROR(INDEX($G:$G,MATCH(AF275,$A:$A,0)),""))-1),IFERROR(INDEX($G:$G,MATCH(AF275,$A:$A,0)),"")))))</f>
        <v/>
      </c>
    </row>
    <row r="276" customFormat="false" ht="15" hidden="false" customHeight="false" outlineLevel="0" collapsed="false">
      <c r="A276" s="18"/>
      <c r="B276" s="19"/>
      <c r="C276" s="20"/>
      <c r="D276" s="20"/>
      <c r="E276" s="20"/>
      <c r="F276" s="20"/>
      <c r="G276" s="18"/>
      <c r="H276" s="20"/>
      <c r="I276" s="18"/>
      <c r="J276" s="20"/>
      <c r="K276" s="20"/>
      <c r="L276" s="20"/>
      <c r="M276" s="20"/>
      <c r="N276" s="20"/>
      <c r="O276" s="21" t="str">
        <f aca="false">IF(A276="","",IF(AD276="",0,IF(AE276="",1,IF(AF276="",2,IF(AG276="",3,"4+")))))</f>
        <v/>
      </c>
      <c r="P276" s="21" t="str">
        <f aca="false">IF(A276="","",B276&amp;IF(AD276="",""," &lt;- "&amp;IFERROR(INDEX($B:$B,MATCH(AD276,$A:$A,0)),AD276)&amp;IF(AE276="",""," &lt;- "&amp;IFERROR(INDEX($B:$B,MATCH(AE276,$A:$A,0)),AE276)&amp;IF(AF276="",""," &lt;- "&amp;IFERROR(INDEX($B:$B,MATCH(AF276,$A:$A,0)),AF276)&amp;IF(AG276="",""," &lt;- "&amp;IFERROR(INDEX($B:$B,MATCH(AG276,$A:$A,0)),AG276)))))&amp;IF(ISNUMBER(FIND(",",G276))," (+ other parents)",""))</f>
        <v/>
      </c>
      <c r="Q276" s="21" t="str">
        <f aca="false">IF(A276="","",IF(AD276="",E276&amp;"",IF(AE276="",IF(IFERROR(INDEX($E:$E,MATCH(AD276,$A:$A,0)),"")="","",INDEX($E:$E,MATCH(AD276,$A:$A,0))),IF(AF276="",IF(IFERROR(INDEX($E:$E,MATCH(AE276,$A:$A,0)),"")="","",INDEX($E:$E,MATCH(AE276,$A:$A,0))),IF(AG276="",IF(IFERROR(INDEX($E:$E,MATCH(AF276,$A:$A,0)),"")="","",INDEX($E:$E,MATCH(AF276,$A:$A,0))),IF(IFERROR(INDEX($E:$E,MATCH(AG276,$A:$A,0)),"")="","",INDEX($E:$E,MATCH(AG276,$A:$A,0))))))))</f>
        <v/>
      </c>
      <c r="R276" s="21" t="str">
        <f aca="false">IF(A276="","",COUNTIF(Fields!$D:$D,A276))</f>
        <v/>
      </c>
      <c r="S276" s="21" t="str">
        <f aca="false">IF(A276="","",SUMIF(Fields!$D:$D,A276,Fields!$Q:$Q))</f>
        <v/>
      </c>
      <c r="T276" s="21" t="str">
        <f aca="false">IF(A276="","",COUNTIF('Product inputs'!$D:$D,A276))</f>
        <v/>
      </c>
      <c r="U276" s="20"/>
      <c r="V276" s="20"/>
      <c r="W276" s="20"/>
      <c r="X276" s="20"/>
      <c r="Y276" s="20"/>
      <c r="Z276" s="20"/>
      <c r="AA276" s="20"/>
      <c r="AB276" s="20"/>
      <c r="AC276" s="20"/>
      <c r="AD276" s="18" t="str">
        <f aca="false">IF(A276="","",IF(IFERROR(INDEX($G:$G,MATCH(A276,$A:$A,0)),"")="","",TRIM(IF(ISNUMBER(FIND(",",IFERROR(INDEX($G:$G,MATCH(A276,$A:$A,0)),""))),LEFT(IFERROR(INDEX($G:$G,MATCH(A276,$A:$A,0)),""),FIND(",",IFERROR(INDEX($G:$G,MATCH(A276,$A:$A,0)),""))-1),IFERROR(INDEX($G:$G,MATCH(A276,$A:$A,0)),"")))))</f>
        <v/>
      </c>
      <c r="AE276" s="18" t="str">
        <f aca="false">IF(AD276="","",IF(IFERROR(INDEX($G:$G,MATCH(AD276,$A:$A,0)),"")="","",TRIM(IF(ISNUMBER(FIND(",",IFERROR(INDEX($G:$G,MATCH(AD276,$A:$A,0)),""))),LEFT(IFERROR(INDEX($G:$G,MATCH(AD276,$A:$A,0)),""),FIND(",",IFERROR(INDEX($G:$G,MATCH(AD276,$A:$A,0)),""))-1),IFERROR(INDEX($G:$G,MATCH(AD276,$A:$A,0)),"")))))</f>
        <v/>
      </c>
      <c r="AF276" s="18" t="str">
        <f aca="false">IF(AE276="","",IF(IFERROR(INDEX($G:$G,MATCH(AE276,$A:$A,0)),"")="","",TRIM(IF(ISNUMBER(FIND(",",IFERROR(INDEX($G:$G,MATCH(AE276,$A:$A,0)),""))),LEFT(IFERROR(INDEX($G:$G,MATCH(AE276,$A:$A,0)),""),FIND(",",IFERROR(INDEX($G:$G,MATCH(AE276,$A:$A,0)),""))-1),IFERROR(INDEX($G:$G,MATCH(AE276,$A:$A,0)),"")))))</f>
        <v/>
      </c>
      <c r="AG276" s="18" t="str">
        <f aca="false">IF(AF276="","",IF(IFERROR(INDEX($G:$G,MATCH(AF276,$A:$A,0)),"")="","",TRIM(IF(ISNUMBER(FIND(",",IFERROR(INDEX($G:$G,MATCH(AF276,$A:$A,0)),""))),LEFT(IFERROR(INDEX($G:$G,MATCH(AF276,$A:$A,0)),""),FIND(",",IFERROR(INDEX($G:$G,MATCH(AF276,$A:$A,0)),""))-1),IFERROR(INDEX($G:$G,MATCH(AF276,$A:$A,0)),"")))))</f>
        <v/>
      </c>
    </row>
    <row r="277" customFormat="false" ht="15" hidden="false" customHeight="false" outlineLevel="0" collapsed="false">
      <c r="A277" s="18"/>
      <c r="B277" s="19"/>
      <c r="C277" s="20"/>
      <c r="D277" s="20"/>
      <c r="E277" s="20"/>
      <c r="F277" s="20"/>
      <c r="G277" s="18"/>
      <c r="H277" s="20"/>
      <c r="I277" s="18"/>
      <c r="J277" s="20"/>
      <c r="K277" s="20"/>
      <c r="L277" s="20"/>
      <c r="M277" s="20"/>
      <c r="N277" s="20"/>
      <c r="O277" s="21" t="str">
        <f aca="false">IF(A277="","",IF(AD277="",0,IF(AE277="",1,IF(AF277="",2,IF(AG277="",3,"4+")))))</f>
        <v/>
      </c>
      <c r="P277" s="21" t="str">
        <f aca="false">IF(A277="","",B277&amp;IF(AD277="",""," &lt;- "&amp;IFERROR(INDEX($B:$B,MATCH(AD277,$A:$A,0)),AD277)&amp;IF(AE277="",""," &lt;- "&amp;IFERROR(INDEX($B:$B,MATCH(AE277,$A:$A,0)),AE277)&amp;IF(AF277="",""," &lt;- "&amp;IFERROR(INDEX($B:$B,MATCH(AF277,$A:$A,0)),AF277)&amp;IF(AG277="",""," &lt;- "&amp;IFERROR(INDEX($B:$B,MATCH(AG277,$A:$A,0)),AG277)))))&amp;IF(ISNUMBER(FIND(",",G277))," (+ other parents)",""))</f>
        <v/>
      </c>
      <c r="Q277" s="21" t="str">
        <f aca="false">IF(A277="","",IF(AD277="",E277&amp;"",IF(AE277="",IF(IFERROR(INDEX($E:$E,MATCH(AD277,$A:$A,0)),"")="","",INDEX($E:$E,MATCH(AD277,$A:$A,0))),IF(AF277="",IF(IFERROR(INDEX($E:$E,MATCH(AE277,$A:$A,0)),"")="","",INDEX($E:$E,MATCH(AE277,$A:$A,0))),IF(AG277="",IF(IFERROR(INDEX($E:$E,MATCH(AF277,$A:$A,0)),"")="","",INDEX($E:$E,MATCH(AF277,$A:$A,0))),IF(IFERROR(INDEX($E:$E,MATCH(AG277,$A:$A,0)),"")="","",INDEX($E:$E,MATCH(AG277,$A:$A,0))))))))</f>
        <v/>
      </c>
      <c r="R277" s="21" t="str">
        <f aca="false">IF(A277="","",COUNTIF(Fields!$D:$D,A277))</f>
        <v/>
      </c>
      <c r="S277" s="21" t="str">
        <f aca="false">IF(A277="","",SUMIF(Fields!$D:$D,A277,Fields!$Q:$Q))</f>
        <v/>
      </c>
      <c r="T277" s="21" t="str">
        <f aca="false">IF(A277="","",COUNTIF('Product inputs'!$D:$D,A277))</f>
        <v/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18" t="str">
        <f aca="false">IF(A277="","",IF(IFERROR(INDEX($G:$G,MATCH(A277,$A:$A,0)),"")="","",TRIM(IF(ISNUMBER(FIND(",",IFERROR(INDEX($G:$G,MATCH(A277,$A:$A,0)),""))),LEFT(IFERROR(INDEX($G:$G,MATCH(A277,$A:$A,0)),""),FIND(",",IFERROR(INDEX($G:$G,MATCH(A277,$A:$A,0)),""))-1),IFERROR(INDEX($G:$G,MATCH(A277,$A:$A,0)),"")))))</f>
        <v/>
      </c>
      <c r="AE277" s="18" t="str">
        <f aca="false">IF(AD277="","",IF(IFERROR(INDEX($G:$G,MATCH(AD277,$A:$A,0)),"")="","",TRIM(IF(ISNUMBER(FIND(",",IFERROR(INDEX($G:$G,MATCH(AD277,$A:$A,0)),""))),LEFT(IFERROR(INDEX($G:$G,MATCH(AD277,$A:$A,0)),""),FIND(",",IFERROR(INDEX($G:$G,MATCH(AD277,$A:$A,0)),""))-1),IFERROR(INDEX($G:$G,MATCH(AD277,$A:$A,0)),"")))))</f>
        <v/>
      </c>
      <c r="AF277" s="18" t="str">
        <f aca="false">IF(AE277="","",IF(IFERROR(INDEX($G:$G,MATCH(AE277,$A:$A,0)),"")="","",TRIM(IF(ISNUMBER(FIND(",",IFERROR(INDEX($G:$G,MATCH(AE277,$A:$A,0)),""))),LEFT(IFERROR(INDEX($G:$G,MATCH(AE277,$A:$A,0)),""),FIND(",",IFERROR(INDEX($G:$G,MATCH(AE277,$A:$A,0)),""))-1),IFERROR(INDEX($G:$G,MATCH(AE277,$A:$A,0)),"")))))</f>
        <v/>
      </c>
      <c r="AG277" s="18" t="str">
        <f aca="false">IF(AF277="","",IF(IFERROR(INDEX($G:$G,MATCH(AF277,$A:$A,0)),"")="","",TRIM(IF(ISNUMBER(FIND(",",IFERROR(INDEX($G:$G,MATCH(AF277,$A:$A,0)),""))),LEFT(IFERROR(INDEX($G:$G,MATCH(AF277,$A:$A,0)),""),FIND(",",IFERROR(INDEX($G:$G,MATCH(AF277,$A:$A,0)),""))-1),IFERROR(INDEX($G:$G,MATCH(AF277,$A:$A,0)),"")))))</f>
        <v/>
      </c>
    </row>
    <row r="278" customFormat="false" ht="15" hidden="false" customHeight="false" outlineLevel="0" collapsed="false">
      <c r="A278" s="18"/>
      <c r="B278" s="19"/>
      <c r="C278" s="20"/>
      <c r="D278" s="20"/>
      <c r="E278" s="20"/>
      <c r="F278" s="20"/>
      <c r="G278" s="18"/>
      <c r="H278" s="20"/>
      <c r="I278" s="18"/>
      <c r="J278" s="20"/>
      <c r="K278" s="20"/>
      <c r="L278" s="20"/>
      <c r="M278" s="20"/>
      <c r="N278" s="20"/>
      <c r="O278" s="21" t="str">
        <f aca="false">IF(A278="","",IF(AD278="",0,IF(AE278="",1,IF(AF278="",2,IF(AG278="",3,"4+")))))</f>
        <v/>
      </c>
      <c r="P278" s="21" t="str">
        <f aca="false">IF(A278="","",B278&amp;IF(AD278="",""," &lt;- "&amp;IFERROR(INDEX($B:$B,MATCH(AD278,$A:$A,0)),AD278)&amp;IF(AE278="",""," &lt;- "&amp;IFERROR(INDEX($B:$B,MATCH(AE278,$A:$A,0)),AE278)&amp;IF(AF278="",""," &lt;- "&amp;IFERROR(INDEX($B:$B,MATCH(AF278,$A:$A,0)),AF278)&amp;IF(AG278="",""," &lt;- "&amp;IFERROR(INDEX($B:$B,MATCH(AG278,$A:$A,0)),AG278)))))&amp;IF(ISNUMBER(FIND(",",G278))," (+ other parents)",""))</f>
        <v/>
      </c>
      <c r="Q278" s="21" t="str">
        <f aca="false">IF(A278="","",IF(AD278="",E278&amp;"",IF(AE278="",IF(IFERROR(INDEX($E:$E,MATCH(AD278,$A:$A,0)),"")="","",INDEX($E:$E,MATCH(AD278,$A:$A,0))),IF(AF278="",IF(IFERROR(INDEX($E:$E,MATCH(AE278,$A:$A,0)),"")="","",INDEX($E:$E,MATCH(AE278,$A:$A,0))),IF(AG278="",IF(IFERROR(INDEX($E:$E,MATCH(AF278,$A:$A,0)),"")="","",INDEX($E:$E,MATCH(AF278,$A:$A,0))),IF(IFERROR(INDEX($E:$E,MATCH(AG278,$A:$A,0)),"")="","",INDEX($E:$E,MATCH(AG278,$A:$A,0))))))))</f>
        <v/>
      </c>
      <c r="R278" s="21" t="str">
        <f aca="false">IF(A278="","",COUNTIF(Fields!$D:$D,A278))</f>
        <v/>
      </c>
      <c r="S278" s="21" t="str">
        <f aca="false">IF(A278="","",SUMIF(Fields!$D:$D,A278,Fields!$Q:$Q))</f>
        <v/>
      </c>
      <c r="T278" s="21" t="str">
        <f aca="false">IF(A278="","",COUNTIF('Product inputs'!$D:$D,A278))</f>
        <v/>
      </c>
      <c r="U278" s="20"/>
      <c r="V278" s="20"/>
      <c r="W278" s="20"/>
      <c r="X278" s="20"/>
      <c r="Y278" s="20"/>
      <c r="Z278" s="20"/>
      <c r="AA278" s="20"/>
      <c r="AB278" s="20"/>
      <c r="AC278" s="20"/>
      <c r="AD278" s="18" t="str">
        <f aca="false">IF(A278="","",IF(IFERROR(INDEX($G:$G,MATCH(A278,$A:$A,0)),"")="","",TRIM(IF(ISNUMBER(FIND(",",IFERROR(INDEX($G:$G,MATCH(A278,$A:$A,0)),""))),LEFT(IFERROR(INDEX($G:$G,MATCH(A278,$A:$A,0)),""),FIND(",",IFERROR(INDEX($G:$G,MATCH(A278,$A:$A,0)),""))-1),IFERROR(INDEX($G:$G,MATCH(A278,$A:$A,0)),"")))))</f>
        <v/>
      </c>
      <c r="AE278" s="18" t="str">
        <f aca="false">IF(AD278="","",IF(IFERROR(INDEX($G:$G,MATCH(AD278,$A:$A,0)),"")="","",TRIM(IF(ISNUMBER(FIND(",",IFERROR(INDEX($G:$G,MATCH(AD278,$A:$A,0)),""))),LEFT(IFERROR(INDEX($G:$G,MATCH(AD278,$A:$A,0)),""),FIND(",",IFERROR(INDEX($G:$G,MATCH(AD278,$A:$A,0)),""))-1),IFERROR(INDEX($G:$G,MATCH(AD278,$A:$A,0)),"")))))</f>
        <v/>
      </c>
      <c r="AF278" s="18" t="str">
        <f aca="false">IF(AE278="","",IF(IFERROR(INDEX($G:$G,MATCH(AE278,$A:$A,0)),"")="","",TRIM(IF(ISNUMBER(FIND(",",IFERROR(INDEX($G:$G,MATCH(AE278,$A:$A,0)),""))),LEFT(IFERROR(INDEX($G:$G,MATCH(AE278,$A:$A,0)),""),FIND(",",IFERROR(INDEX($G:$G,MATCH(AE278,$A:$A,0)),""))-1),IFERROR(INDEX($G:$G,MATCH(AE278,$A:$A,0)),"")))))</f>
        <v/>
      </c>
      <c r="AG278" s="18" t="str">
        <f aca="false">IF(AF278="","",IF(IFERROR(INDEX($G:$G,MATCH(AF278,$A:$A,0)),"")="","",TRIM(IF(ISNUMBER(FIND(",",IFERROR(INDEX($G:$G,MATCH(AF278,$A:$A,0)),""))),LEFT(IFERROR(INDEX($G:$G,MATCH(AF278,$A:$A,0)),""),FIND(",",IFERROR(INDEX($G:$G,MATCH(AF278,$A:$A,0)),""))-1),IFERROR(INDEX($G:$G,MATCH(AF278,$A:$A,0)),"")))))</f>
        <v/>
      </c>
    </row>
    <row r="279" customFormat="false" ht="15" hidden="false" customHeight="false" outlineLevel="0" collapsed="false">
      <c r="A279" s="18"/>
      <c r="B279" s="19"/>
      <c r="C279" s="20"/>
      <c r="D279" s="20"/>
      <c r="E279" s="20"/>
      <c r="F279" s="20"/>
      <c r="G279" s="18"/>
      <c r="H279" s="20"/>
      <c r="I279" s="18"/>
      <c r="J279" s="20"/>
      <c r="K279" s="20"/>
      <c r="L279" s="20"/>
      <c r="M279" s="20"/>
      <c r="N279" s="20"/>
      <c r="O279" s="21" t="str">
        <f aca="false">IF(A279="","",IF(AD279="",0,IF(AE279="",1,IF(AF279="",2,IF(AG279="",3,"4+")))))</f>
        <v/>
      </c>
      <c r="P279" s="21" t="str">
        <f aca="false">IF(A279="","",B279&amp;IF(AD279="",""," &lt;- "&amp;IFERROR(INDEX($B:$B,MATCH(AD279,$A:$A,0)),AD279)&amp;IF(AE279="",""," &lt;- "&amp;IFERROR(INDEX($B:$B,MATCH(AE279,$A:$A,0)),AE279)&amp;IF(AF279="",""," &lt;- "&amp;IFERROR(INDEX($B:$B,MATCH(AF279,$A:$A,0)),AF279)&amp;IF(AG279="",""," &lt;- "&amp;IFERROR(INDEX($B:$B,MATCH(AG279,$A:$A,0)),AG279)))))&amp;IF(ISNUMBER(FIND(",",G279))," (+ other parents)",""))</f>
        <v/>
      </c>
      <c r="Q279" s="21" t="str">
        <f aca="false">IF(A279="","",IF(AD279="",E279&amp;"",IF(AE279="",IF(IFERROR(INDEX($E:$E,MATCH(AD279,$A:$A,0)),"")="","",INDEX($E:$E,MATCH(AD279,$A:$A,0))),IF(AF279="",IF(IFERROR(INDEX($E:$E,MATCH(AE279,$A:$A,0)),"")="","",INDEX($E:$E,MATCH(AE279,$A:$A,0))),IF(AG279="",IF(IFERROR(INDEX($E:$E,MATCH(AF279,$A:$A,0)),"")="","",INDEX($E:$E,MATCH(AF279,$A:$A,0))),IF(IFERROR(INDEX($E:$E,MATCH(AG279,$A:$A,0)),"")="","",INDEX($E:$E,MATCH(AG279,$A:$A,0))))))))</f>
        <v/>
      </c>
      <c r="R279" s="21" t="str">
        <f aca="false">IF(A279="","",COUNTIF(Fields!$D:$D,A279))</f>
        <v/>
      </c>
      <c r="S279" s="21" t="str">
        <f aca="false">IF(A279="","",SUMIF(Fields!$D:$D,A279,Fields!$Q:$Q))</f>
        <v/>
      </c>
      <c r="T279" s="21" t="str">
        <f aca="false">IF(A279="","",COUNTIF('Product inputs'!$D:$D,A279))</f>
        <v/>
      </c>
      <c r="U279" s="20"/>
      <c r="V279" s="20"/>
      <c r="W279" s="20"/>
      <c r="X279" s="20"/>
      <c r="Y279" s="20"/>
      <c r="Z279" s="20"/>
      <c r="AA279" s="20"/>
      <c r="AB279" s="20"/>
      <c r="AC279" s="20"/>
      <c r="AD279" s="18" t="str">
        <f aca="false">IF(A279="","",IF(IFERROR(INDEX($G:$G,MATCH(A279,$A:$A,0)),"")="","",TRIM(IF(ISNUMBER(FIND(",",IFERROR(INDEX($G:$G,MATCH(A279,$A:$A,0)),""))),LEFT(IFERROR(INDEX($G:$G,MATCH(A279,$A:$A,0)),""),FIND(",",IFERROR(INDEX($G:$G,MATCH(A279,$A:$A,0)),""))-1),IFERROR(INDEX($G:$G,MATCH(A279,$A:$A,0)),"")))))</f>
        <v/>
      </c>
      <c r="AE279" s="18" t="str">
        <f aca="false">IF(AD279="","",IF(IFERROR(INDEX($G:$G,MATCH(AD279,$A:$A,0)),"")="","",TRIM(IF(ISNUMBER(FIND(",",IFERROR(INDEX($G:$G,MATCH(AD279,$A:$A,0)),""))),LEFT(IFERROR(INDEX($G:$G,MATCH(AD279,$A:$A,0)),""),FIND(",",IFERROR(INDEX($G:$G,MATCH(AD279,$A:$A,0)),""))-1),IFERROR(INDEX($G:$G,MATCH(AD279,$A:$A,0)),"")))))</f>
        <v/>
      </c>
      <c r="AF279" s="18" t="str">
        <f aca="false">IF(AE279="","",IF(IFERROR(INDEX($G:$G,MATCH(AE279,$A:$A,0)),"")="","",TRIM(IF(ISNUMBER(FIND(",",IFERROR(INDEX($G:$G,MATCH(AE279,$A:$A,0)),""))),LEFT(IFERROR(INDEX($G:$G,MATCH(AE279,$A:$A,0)),""),FIND(",",IFERROR(INDEX($G:$G,MATCH(AE279,$A:$A,0)),""))-1),IFERROR(INDEX($G:$G,MATCH(AE279,$A:$A,0)),"")))))</f>
        <v/>
      </c>
      <c r="AG279" s="18" t="str">
        <f aca="false">IF(AF279="","",IF(IFERROR(INDEX($G:$G,MATCH(AF279,$A:$A,0)),"")="","",TRIM(IF(ISNUMBER(FIND(",",IFERROR(INDEX($G:$G,MATCH(AF279,$A:$A,0)),""))),LEFT(IFERROR(INDEX($G:$G,MATCH(AF279,$A:$A,0)),""),FIND(",",IFERROR(INDEX($G:$G,MATCH(AF279,$A:$A,0)),""))-1),IFERROR(INDEX($G:$G,MATCH(AF279,$A:$A,0)),"")))))</f>
        <v/>
      </c>
    </row>
    <row r="280" customFormat="false" ht="15" hidden="false" customHeight="false" outlineLevel="0" collapsed="false">
      <c r="A280" s="18"/>
      <c r="B280" s="19"/>
      <c r="C280" s="20"/>
      <c r="D280" s="20"/>
      <c r="E280" s="20"/>
      <c r="F280" s="20"/>
      <c r="G280" s="18"/>
      <c r="H280" s="20"/>
      <c r="I280" s="18"/>
      <c r="J280" s="20"/>
      <c r="K280" s="20"/>
      <c r="L280" s="20"/>
      <c r="M280" s="20"/>
      <c r="N280" s="20"/>
      <c r="O280" s="21" t="str">
        <f aca="false">IF(A280="","",IF(AD280="",0,IF(AE280="",1,IF(AF280="",2,IF(AG280="",3,"4+")))))</f>
        <v/>
      </c>
      <c r="P280" s="21" t="str">
        <f aca="false">IF(A280="","",B280&amp;IF(AD280="",""," &lt;- "&amp;IFERROR(INDEX($B:$B,MATCH(AD280,$A:$A,0)),AD280)&amp;IF(AE280="",""," &lt;- "&amp;IFERROR(INDEX($B:$B,MATCH(AE280,$A:$A,0)),AE280)&amp;IF(AF280="",""," &lt;- "&amp;IFERROR(INDEX($B:$B,MATCH(AF280,$A:$A,0)),AF280)&amp;IF(AG280="",""," &lt;- "&amp;IFERROR(INDEX($B:$B,MATCH(AG280,$A:$A,0)),AG280)))))&amp;IF(ISNUMBER(FIND(",",G280))," (+ other parents)",""))</f>
        <v/>
      </c>
      <c r="Q280" s="21" t="str">
        <f aca="false">IF(A280="","",IF(AD280="",E280&amp;"",IF(AE280="",IF(IFERROR(INDEX($E:$E,MATCH(AD280,$A:$A,0)),"")="","",INDEX($E:$E,MATCH(AD280,$A:$A,0))),IF(AF280="",IF(IFERROR(INDEX($E:$E,MATCH(AE280,$A:$A,0)),"")="","",INDEX($E:$E,MATCH(AE280,$A:$A,0))),IF(AG280="",IF(IFERROR(INDEX($E:$E,MATCH(AF280,$A:$A,0)),"")="","",INDEX($E:$E,MATCH(AF280,$A:$A,0))),IF(IFERROR(INDEX($E:$E,MATCH(AG280,$A:$A,0)),"")="","",INDEX($E:$E,MATCH(AG280,$A:$A,0))))))))</f>
        <v/>
      </c>
      <c r="R280" s="21" t="str">
        <f aca="false">IF(A280="","",COUNTIF(Fields!$D:$D,A280))</f>
        <v/>
      </c>
      <c r="S280" s="21" t="str">
        <f aca="false">IF(A280="","",SUMIF(Fields!$D:$D,A280,Fields!$Q:$Q))</f>
        <v/>
      </c>
      <c r="T280" s="21" t="str">
        <f aca="false">IF(A280="","",COUNTIF('Product inputs'!$D:$D,A280))</f>
        <v/>
      </c>
      <c r="U280" s="20"/>
      <c r="V280" s="20"/>
      <c r="W280" s="20"/>
      <c r="X280" s="20"/>
      <c r="Y280" s="20"/>
      <c r="Z280" s="20"/>
      <c r="AA280" s="20"/>
      <c r="AB280" s="20"/>
      <c r="AC280" s="20"/>
      <c r="AD280" s="18" t="str">
        <f aca="false">IF(A280="","",IF(IFERROR(INDEX($G:$G,MATCH(A280,$A:$A,0)),"")="","",TRIM(IF(ISNUMBER(FIND(",",IFERROR(INDEX($G:$G,MATCH(A280,$A:$A,0)),""))),LEFT(IFERROR(INDEX($G:$G,MATCH(A280,$A:$A,0)),""),FIND(",",IFERROR(INDEX($G:$G,MATCH(A280,$A:$A,0)),""))-1),IFERROR(INDEX($G:$G,MATCH(A280,$A:$A,0)),"")))))</f>
        <v/>
      </c>
      <c r="AE280" s="18" t="str">
        <f aca="false">IF(AD280="","",IF(IFERROR(INDEX($G:$G,MATCH(AD280,$A:$A,0)),"")="","",TRIM(IF(ISNUMBER(FIND(",",IFERROR(INDEX($G:$G,MATCH(AD280,$A:$A,0)),""))),LEFT(IFERROR(INDEX($G:$G,MATCH(AD280,$A:$A,0)),""),FIND(",",IFERROR(INDEX($G:$G,MATCH(AD280,$A:$A,0)),""))-1),IFERROR(INDEX($G:$G,MATCH(AD280,$A:$A,0)),"")))))</f>
        <v/>
      </c>
      <c r="AF280" s="18" t="str">
        <f aca="false">IF(AE280="","",IF(IFERROR(INDEX($G:$G,MATCH(AE280,$A:$A,0)),"")="","",TRIM(IF(ISNUMBER(FIND(",",IFERROR(INDEX($G:$G,MATCH(AE280,$A:$A,0)),""))),LEFT(IFERROR(INDEX($G:$G,MATCH(AE280,$A:$A,0)),""),FIND(",",IFERROR(INDEX($G:$G,MATCH(AE280,$A:$A,0)),""))-1),IFERROR(INDEX($G:$G,MATCH(AE280,$A:$A,0)),"")))))</f>
        <v/>
      </c>
      <c r="AG280" s="18" t="str">
        <f aca="false">IF(AF280="","",IF(IFERROR(INDEX($G:$G,MATCH(AF280,$A:$A,0)),"")="","",TRIM(IF(ISNUMBER(FIND(",",IFERROR(INDEX($G:$G,MATCH(AF280,$A:$A,0)),""))),LEFT(IFERROR(INDEX($G:$G,MATCH(AF280,$A:$A,0)),""),FIND(",",IFERROR(INDEX($G:$G,MATCH(AF280,$A:$A,0)),""))-1),IFERROR(INDEX($G:$G,MATCH(AF280,$A:$A,0)),"")))))</f>
        <v/>
      </c>
    </row>
    <row r="281" customFormat="false" ht="15" hidden="false" customHeight="false" outlineLevel="0" collapsed="false">
      <c r="A281" s="18"/>
      <c r="B281" s="19"/>
      <c r="C281" s="20"/>
      <c r="D281" s="20"/>
      <c r="E281" s="20"/>
      <c r="F281" s="20"/>
      <c r="G281" s="18"/>
      <c r="H281" s="20"/>
      <c r="I281" s="18"/>
      <c r="J281" s="20"/>
      <c r="K281" s="20"/>
      <c r="L281" s="20"/>
      <c r="M281" s="20"/>
      <c r="N281" s="20"/>
      <c r="O281" s="21" t="str">
        <f aca="false">IF(A281="","",IF(AD281="",0,IF(AE281="",1,IF(AF281="",2,IF(AG281="",3,"4+")))))</f>
        <v/>
      </c>
      <c r="P281" s="21" t="str">
        <f aca="false">IF(A281="","",B281&amp;IF(AD281="",""," &lt;- "&amp;IFERROR(INDEX($B:$B,MATCH(AD281,$A:$A,0)),AD281)&amp;IF(AE281="",""," &lt;- "&amp;IFERROR(INDEX($B:$B,MATCH(AE281,$A:$A,0)),AE281)&amp;IF(AF281="",""," &lt;- "&amp;IFERROR(INDEX($B:$B,MATCH(AF281,$A:$A,0)),AF281)&amp;IF(AG281="",""," &lt;- "&amp;IFERROR(INDEX($B:$B,MATCH(AG281,$A:$A,0)),AG281)))))&amp;IF(ISNUMBER(FIND(",",G281))," (+ other parents)",""))</f>
        <v/>
      </c>
      <c r="Q281" s="21" t="str">
        <f aca="false">IF(A281="","",IF(AD281="",E281&amp;"",IF(AE281="",IF(IFERROR(INDEX($E:$E,MATCH(AD281,$A:$A,0)),"")="","",INDEX($E:$E,MATCH(AD281,$A:$A,0))),IF(AF281="",IF(IFERROR(INDEX($E:$E,MATCH(AE281,$A:$A,0)),"")="","",INDEX($E:$E,MATCH(AE281,$A:$A,0))),IF(AG281="",IF(IFERROR(INDEX($E:$E,MATCH(AF281,$A:$A,0)),"")="","",INDEX($E:$E,MATCH(AF281,$A:$A,0))),IF(IFERROR(INDEX($E:$E,MATCH(AG281,$A:$A,0)),"")="","",INDEX($E:$E,MATCH(AG281,$A:$A,0))))))))</f>
        <v/>
      </c>
      <c r="R281" s="21" t="str">
        <f aca="false">IF(A281="","",COUNTIF(Fields!$D:$D,A281))</f>
        <v/>
      </c>
      <c r="S281" s="21" t="str">
        <f aca="false">IF(A281="","",SUMIF(Fields!$D:$D,A281,Fields!$Q:$Q))</f>
        <v/>
      </c>
      <c r="T281" s="21" t="str">
        <f aca="false">IF(A281="","",COUNTIF('Product inputs'!$D:$D,A281))</f>
        <v/>
      </c>
      <c r="U281" s="20"/>
      <c r="V281" s="20"/>
      <c r="W281" s="20"/>
      <c r="X281" s="20"/>
      <c r="Y281" s="20"/>
      <c r="Z281" s="20"/>
      <c r="AA281" s="20"/>
      <c r="AB281" s="20"/>
      <c r="AC281" s="20"/>
      <c r="AD281" s="18" t="str">
        <f aca="false">IF(A281="","",IF(IFERROR(INDEX($G:$G,MATCH(A281,$A:$A,0)),"")="","",TRIM(IF(ISNUMBER(FIND(",",IFERROR(INDEX($G:$G,MATCH(A281,$A:$A,0)),""))),LEFT(IFERROR(INDEX($G:$G,MATCH(A281,$A:$A,0)),""),FIND(",",IFERROR(INDEX($G:$G,MATCH(A281,$A:$A,0)),""))-1),IFERROR(INDEX($G:$G,MATCH(A281,$A:$A,0)),"")))))</f>
        <v/>
      </c>
      <c r="AE281" s="18" t="str">
        <f aca="false">IF(AD281="","",IF(IFERROR(INDEX($G:$G,MATCH(AD281,$A:$A,0)),"")="","",TRIM(IF(ISNUMBER(FIND(",",IFERROR(INDEX($G:$G,MATCH(AD281,$A:$A,0)),""))),LEFT(IFERROR(INDEX($G:$G,MATCH(AD281,$A:$A,0)),""),FIND(",",IFERROR(INDEX($G:$G,MATCH(AD281,$A:$A,0)),""))-1),IFERROR(INDEX($G:$G,MATCH(AD281,$A:$A,0)),"")))))</f>
        <v/>
      </c>
      <c r="AF281" s="18" t="str">
        <f aca="false">IF(AE281="","",IF(IFERROR(INDEX($G:$G,MATCH(AE281,$A:$A,0)),"")="","",TRIM(IF(ISNUMBER(FIND(",",IFERROR(INDEX($G:$G,MATCH(AE281,$A:$A,0)),""))),LEFT(IFERROR(INDEX($G:$G,MATCH(AE281,$A:$A,0)),""),FIND(",",IFERROR(INDEX($G:$G,MATCH(AE281,$A:$A,0)),""))-1),IFERROR(INDEX($G:$G,MATCH(AE281,$A:$A,0)),"")))))</f>
        <v/>
      </c>
      <c r="AG281" s="18" t="str">
        <f aca="false">IF(AF281="","",IF(IFERROR(INDEX($G:$G,MATCH(AF281,$A:$A,0)),"")="","",TRIM(IF(ISNUMBER(FIND(",",IFERROR(INDEX($G:$G,MATCH(AF281,$A:$A,0)),""))),LEFT(IFERROR(INDEX($G:$G,MATCH(AF281,$A:$A,0)),""),FIND(",",IFERROR(INDEX($G:$G,MATCH(AF281,$A:$A,0)),""))-1),IFERROR(INDEX($G:$G,MATCH(AF281,$A:$A,0)),"")))))</f>
        <v/>
      </c>
    </row>
    <row r="282" customFormat="false" ht="15" hidden="false" customHeight="false" outlineLevel="0" collapsed="false">
      <c r="A282" s="18"/>
      <c r="B282" s="19"/>
      <c r="C282" s="20"/>
      <c r="D282" s="20"/>
      <c r="E282" s="20"/>
      <c r="F282" s="20"/>
      <c r="G282" s="18"/>
      <c r="H282" s="20"/>
      <c r="I282" s="18"/>
      <c r="J282" s="20"/>
      <c r="K282" s="20"/>
      <c r="L282" s="20"/>
      <c r="M282" s="20"/>
      <c r="N282" s="20"/>
      <c r="O282" s="21" t="str">
        <f aca="false">IF(A282="","",IF(AD282="",0,IF(AE282="",1,IF(AF282="",2,IF(AG282="",3,"4+")))))</f>
        <v/>
      </c>
      <c r="P282" s="21" t="str">
        <f aca="false">IF(A282="","",B282&amp;IF(AD282="",""," &lt;- "&amp;IFERROR(INDEX($B:$B,MATCH(AD282,$A:$A,0)),AD282)&amp;IF(AE282="",""," &lt;- "&amp;IFERROR(INDEX($B:$B,MATCH(AE282,$A:$A,0)),AE282)&amp;IF(AF282="",""," &lt;- "&amp;IFERROR(INDEX($B:$B,MATCH(AF282,$A:$A,0)),AF282)&amp;IF(AG282="",""," &lt;- "&amp;IFERROR(INDEX($B:$B,MATCH(AG282,$A:$A,0)),AG282)))))&amp;IF(ISNUMBER(FIND(",",G282))," (+ other parents)",""))</f>
        <v/>
      </c>
      <c r="Q282" s="21" t="str">
        <f aca="false">IF(A282="","",IF(AD282="",E282&amp;"",IF(AE282="",IF(IFERROR(INDEX($E:$E,MATCH(AD282,$A:$A,0)),"")="","",INDEX($E:$E,MATCH(AD282,$A:$A,0))),IF(AF282="",IF(IFERROR(INDEX($E:$E,MATCH(AE282,$A:$A,0)),"")="","",INDEX($E:$E,MATCH(AE282,$A:$A,0))),IF(AG282="",IF(IFERROR(INDEX($E:$E,MATCH(AF282,$A:$A,0)),"")="","",INDEX($E:$E,MATCH(AF282,$A:$A,0))),IF(IFERROR(INDEX($E:$E,MATCH(AG282,$A:$A,0)),"")="","",INDEX($E:$E,MATCH(AG282,$A:$A,0))))))))</f>
        <v/>
      </c>
      <c r="R282" s="21" t="str">
        <f aca="false">IF(A282="","",COUNTIF(Fields!$D:$D,A282))</f>
        <v/>
      </c>
      <c r="S282" s="21" t="str">
        <f aca="false">IF(A282="","",SUMIF(Fields!$D:$D,A282,Fields!$Q:$Q))</f>
        <v/>
      </c>
      <c r="T282" s="21" t="str">
        <f aca="false">IF(A282="","",COUNTIF('Product inputs'!$D:$D,A282))</f>
        <v/>
      </c>
      <c r="U282" s="20"/>
      <c r="V282" s="20"/>
      <c r="W282" s="20"/>
      <c r="X282" s="20"/>
      <c r="Y282" s="20"/>
      <c r="Z282" s="20"/>
      <c r="AA282" s="20"/>
      <c r="AB282" s="20"/>
      <c r="AC282" s="20"/>
      <c r="AD282" s="18" t="str">
        <f aca="false">IF(A282="","",IF(IFERROR(INDEX($G:$G,MATCH(A282,$A:$A,0)),"")="","",TRIM(IF(ISNUMBER(FIND(",",IFERROR(INDEX($G:$G,MATCH(A282,$A:$A,0)),""))),LEFT(IFERROR(INDEX($G:$G,MATCH(A282,$A:$A,0)),""),FIND(",",IFERROR(INDEX($G:$G,MATCH(A282,$A:$A,0)),""))-1),IFERROR(INDEX($G:$G,MATCH(A282,$A:$A,0)),"")))))</f>
        <v/>
      </c>
      <c r="AE282" s="18" t="str">
        <f aca="false">IF(AD282="","",IF(IFERROR(INDEX($G:$G,MATCH(AD282,$A:$A,0)),"")="","",TRIM(IF(ISNUMBER(FIND(",",IFERROR(INDEX($G:$G,MATCH(AD282,$A:$A,0)),""))),LEFT(IFERROR(INDEX($G:$G,MATCH(AD282,$A:$A,0)),""),FIND(",",IFERROR(INDEX($G:$G,MATCH(AD282,$A:$A,0)),""))-1),IFERROR(INDEX($G:$G,MATCH(AD282,$A:$A,0)),"")))))</f>
        <v/>
      </c>
      <c r="AF282" s="18" t="str">
        <f aca="false">IF(AE282="","",IF(IFERROR(INDEX($G:$G,MATCH(AE282,$A:$A,0)),"")="","",TRIM(IF(ISNUMBER(FIND(",",IFERROR(INDEX($G:$G,MATCH(AE282,$A:$A,0)),""))),LEFT(IFERROR(INDEX($G:$G,MATCH(AE282,$A:$A,0)),""),FIND(",",IFERROR(INDEX($G:$G,MATCH(AE282,$A:$A,0)),""))-1),IFERROR(INDEX($G:$G,MATCH(AE282,$A:$A,0)),"")))))</f>
        <v/>
      </c>
      <c r="AG282" s="18" t="str">
        <f aca="false">IF(AF282="","",IF(IFERROR(INDEX($G:$G,MATCH(AF282,$A:$A,0)),"")="","",TRIM(IF(ISNUMBER(FIND(",",IFERROR(INDEX($G:$G,MATCH(AF282,$A:$A,0)),""))),LEFT(IFERROR(INDEX($G:$G,MATCH(AF282,$A:$A,0)),""),FIND(",",IFERROR(INDEX($G:$G,MATCH(AF282,$A:$A,0)),""))-1),IFERROR(INDEX($G:$G,MATCH(AF282,$A:$A,0)),"")))))</f>
        <v/>
      </c>
    </row>
    <row r="283" customFormat="false" ht="15" hidden="false" customHeight="false" outlineLevel="0" collapsed="false">
      <c r="A283" s="18"/>
      <c r="B283" s="19"/>
      <c r="C283" s="20"/>
      <c r="D283" s="20"/>
      <c r="E283" s="20"/>
      <c r="F283" s="20"/>
      <c r="G283" s="18"/>
      <c r="H283" s="20"/>
      <c r="I283" s="18"/>
      <c r="J283" s="20"/>
      <c r="K283" s="20"/>
      <c r="L283" s="20"/>
      <c r="M283" s="20"/>
      <c r="N283" s="20"/>
      <c r="O283" s="21" t="str">
        <f aca="false">IF(A283="","",IF(AD283="",0,IF(AE283="",1,IF(AF283="",2,IF(AG283="",3,"4+")))))</f>
        <v/>
      </c>
      <c r="P283" s="21" t="str">
        <f aca="false">IF(A283="","",B283&amp;IF(AD283="",""," &lt;- "&amp;IFERROR(INDEX($B:$B,MATCH(AD283,$A:$A,0)),AD283)&amp;IF(AE283="",""," &lt;- "&amp;IFERROR(INDEX($B:$B,MATCH(AE283,$A:$A,0)),AE283)&amp;IF(AF283="",""," &lt;- "&amp;IFERROR(INDEX($B:$B,MATCH(AF283,$A:$A,0)),AF283)&amp;IF(AG283="",""," &lt;- "&amp;IFERROR(INDEX($B:$B,MATCH(AG283,$A:$A,0)),AG283)))))&amp;IF(ISNUMBER(FIND(",",G283))," (+ other parents)",""))</f>
        <v/>
      </c>
      <c r="Q283" s="21" t="str">
        <f aca="false">IF(A283="","",IF(AD283="",E283&amp;"",IF(AE283="",IF(IFERROR(INDEX($E:$E,MATCH(AD283,$A:$A,0)),"")="","",INDEX($E:$E,MATCH(AD283,$A:$A,0))),IF(AF283="",IF(IFERROR(INDEX($E:$E,MATCH(AE283,$A:$A,0)),"")="","",INDEX($E:$E,MATCH(AE283,$A:$A,0))),IF(AG283="",IF(IFERROR(INDEX($E:$E,MATCH(AF283,$A:$A,0)),"")="","",INDEX($E:$E,MATCH(AF283,$A:$A,0))),IF(IFERROR(INDEX($E:$E,MATCH(AG283,$A:$A,0)),"")="","",INDEX($E:$E,MATCH(AG283,$A:$A,0))))))))</f>
        <v/>
      </c>
      <c r="R283" s="21" t="str">
        <f aca="false">IF(A283="","",COUNTIF(Fields!$D:$D,A283))</f>
        <v/>
      </c>
      <c r="S283" s="21" t="str">
        <f aca="false">IF(A283="","",SUMIF(Fields!$D:$D,A283,Fields!$Q:$Q))</f>
        <v/>
      </c>
      <c r="T283" s="21" t="str">
        <f aca="false">IF(A283="","",COUNTIF('Product inputs'!$D:$D,A283))</f>
        <v/>
      </c>
      <c r="U283" s="20"/>
      <c r="V283" s="20"/>
      <c r="W283" s="20"/>
      <c r="X283" s="20"/>
      <c r="Y283" s="20"/>
      <c r="Z283" s="20"/>
      <c r="AA283" s="20"/>
      <c r="AB283" s="20"/>
      <c r="AC283" s="20"/>
      <c r="AD283" s="18" t="str">
        <f aca="false">IF(A283="","",IF(IFERROR(INDEX($G:$G,MATCH(A283,$A:$A,0)),"")="","",TRIM(IF(ISNUMBER(FIND(",",IFERROR(INDEX($G:$G,MATCH(A283,$A:$A,0)),""))),LEFT(IFERROR(INDEX($G:$G,MATCH(A283,$A:$A,0)),""),FIND(",",IFERROR(INDEX($G:$G,MATCH(A283,$A:$A,0)),""))-1),IFERROR(INDEX($G:$G,MATCH(A283,$A:$A,0)),"")))))</f>
        <v/>
      </c>
      <c r="AE283" s="18" t="str">
        <f aca="false">IF(AD283="","",IF(IFERROR(INDEX($G:$G,MATCH(AD283,$A:$A,0)),"")="","",TRIM(IF(ISNUMBER(FIND(",",IFERROR(INDEX($G:$G,MATCH(AD283,$A:$A,0)),""))),LEFT(IFERROR(INDEX($G:$G,MATCH(AD283,$A:$A,0)),""),FIND(",",IFERROR(INDEX($G:$G,MATCH(AD283,$A:$A,0)),""))-1),IFERROR(INDEX($G:$G,MATCH(AD283,$A:$A,0)),"")))))</f>
        <v/>
      </c>
      <c r="AF283" s="18" t="str">
        <f aca="false">IF(AE283="","",IF(IFERROR(INDEX($G:$G,MATCH(AE283,$A:$A,0)),"")="","",TRIM(IF(ISNUMBER(FIND(",",IFERROR(INDEX($G:$G,MATCH(AE283,$A:$A,0)),""))),LEFT(IFERROR(INDEX($G:$G,MATCH(AE283,$A:$A,0)),""),FIND(",",IFERROR(INDEX($G:$G,MATCH(AE283,$A:$A,0)),""))-1),IFERROR(INDEX($G:$G,MATCH(AE283,$A:$A,0)),"")))))</f>
        <v/>
      </c>
      <c r="AG283" s="18" t="str">
        <f aca="false">IF(AF283="","",IF(IFERROR(INDEX($G:$G,MATCH(AF283,$A:$A,0)),"")="","",TRIM(IF(ISNUMBER(FIND(",",IFERROR(INDEX($G:$G,MATCH(AF283,$A:$A,0)),""))),LEFT(IFERROR(INDEX($G:$G,MATCH(AF283,$A:$A,0)),""),FIND(",",IFERROR(INDEX($G:$G,MATCH(AF283,$A:$A,0)),""))-1),IFERROR(INDEX($G:$G,MATCH(AF283,$A:$A,0)),"")))))</f>
        <v/>
      </c>
    </row>
    <row r="284" customFormat="false" ht="15" hidden="false" customHeight="false" outlineLevel="0" collapsed="false">
      <c r="A284" s="18"/>
      <c r="B284" s="19"/>
      <c r="C284" s="20"/>
      <c r="D284" s="20"/>
      <c r="E284" s="20"/>
      <c r="F284" s="20"/>
      <c r="G284" s="18"/>
      <c r="H284" s="20"/>
      <c r="I284" s="18"/>
      <c r="J284" s="20"/>
      <c r="K284" s="20"/>
      <c r="L284" s="20"/>
      <c r="M284" s="20"/>
      <c r="N284" s="20"/>
      <c r="O284" s="21" t="str">
        <f aca="false">IF(A284="","",IF(AD284="",0,IF(AE284="",1,IF(AF284="",2,IF(AG284="",3,"4+")))))</f>
        <v/>
      </c>
      <c r="P284" s="21" t="str">
        <f aca="false">IF(A284="","",B284&amp;IF(AD284="",""," &lt;- "&amp;IFERROR(INDEX($B:$B,MATCH(AD284,$A:$A,0)),AD284)&amp;IF(AE284="",""," &lt;- "&amp;IFERROR(INDEX($B:$B,MATCH(AE284,$A:$A,0)),AE284)&amp;IF(AF284="",""," &lt;- "&amp;IFERROR(INDEX($B:$B,MATCH(AF284,$A:$A,0)),AF284)&amp;IF(AG284="",""," &lt;- "&amp;IFERROR(INDEX($B:$B,MATCH(AG284,$A:$A,0)),AG284)))))&amp;IF(ISNUMBER(FIND(",",G284))," (+ other parents)",""))</f>
        <v/>
      </c>
      <c r="Q284" s="21" t="str">
        <f aca="false">IF(A284="","",IF(AD284="",E284&amp;"",IF(AE284="",IF(IFERROR(INDEX($E:$E,MATCH(AD284,$A:$A,0)),"")="","",INDEX($E:$E,MATCH(AD284,$A:$A,0))),IF(AF284="",IF(IFERROR(INDEX($E:$E,MATCH(AE284,$A:$A,0)),"")="","",INDEX($E:$E,MATCH(AE284,$A:$A,0))),IF(AG284="",IF(IFERROR(INDEX($E:$E,MATCH(AF284,$A:$A,0)),"")="","",INDEX($E:$E,MATCH(AF284,$A:$A,0))),IF(IFERROR(INDEX($E:$E,MATCH(AG284,$A:$A,0)),"")="","",INDEX($E:$E,MATCH(AG284,$A:$A,0))))))))</f>
        <v/>
      </c>
      <c r="R284" s="21" t="str">
        <f aca="false">IF(A284="","",COUNTIF(Fields!$D:$D,A284))</f>
        <v/>
      </c>
      <c r="S284" s="21" t="str">
        <f aca="false">IF(A284="","",SUMIF(Fields!$D:$D,A284,Fields!$Q:$Q))</f>
        <v/>
      </c>
      <c r="T284" s="21" t="str">
        <f aca="false">IF(A284="","",COUNTIF('Product inputs'!$D:$D,A284))</f>
        <v/>
      </c>
      <c r="U284" s="20"/>
      <c r="V284" s="20"/>
      <c r="W284" s="20"/>
      <c r="X284" s="20"/>
      <c r="Y284" s="20"/>
      <c r="Z284" s="20"/>
      <c r="AA284" s="20"/>
      <c r="AB284" s="20"/>
      <c r="AC284" s="20"/>
      <c r="AD284" s="18" t="str">
        <f aca="false">IF(A284="","",IF(IFERROR(INDEX($G:$G,MATCH(A284,$A:$A,0)),"")="","",TRIM(IF(ISNUMBER(FIND(",",IFERROR(INDEX($G:$G,MATCH(A284,$A:$A,0)),""))),LEFT(IFERROR(INDEX($G:$G,MATCH(A284,$A:$A,0)),""),FIND(",",IFERROR(INDEX($G:$G,MATCH(A284,$A:$A,0)),""))-1),IFERROR(INDEX($G:$G,MATCH(A284,$A:$A,0)),"")))))</f>
        <v/>
      </c>
      <c r="AE284" s="18" t="str">
        <f aca="false">IF(AD284="","",IF(IFERROR(INDEX($G:$G,MATCH(AD284,$A:$A,0)),"")="","",TRIM(IF(ISNUMBER(FIND(",",IFERROR(INDEX($G:$G,MATCH(AD284,$A:$A,0)),""))),LEFT(IFERROR(INDEX($G:$G,MATCH(AD284,$A:$A,0)),""),FIND(",",IFERROR(INDEX($G:$G,MATCH(AD284,$A:$A,0)),""))-1),IFERROR(INDEX($G:$G,MATCH(AD284,$A:$A,0)),"")))))</f>
        <v/>
      </c>
      <c r="AF284" s="18" t="str">
        <f aca="false">IF(AE284="","",IF(IFERROR(INDEX($G:$G,MATCH(AE284,$A:$A,0)),"")="","",TRIM(IF(ISNUMBER(FIND(",",IFERROR(INDEX($G:$G,MATCH(AE284,$A:$A,0)),""))),LEFT(IFERROR(INDEX($G:$G,MATCH(AE284,$A:$A,0)),""),FIND(",",IFERROR(INDEX($G:$G,MATCH(AE284,$A:$A,0)),""))-1),IFERROR(INDEX($G:$G,MATCH(AE284,$A:$A,0)),"")))))</f>
        <v/>
      </c>
      <c r="AG284" s="18" t="str">
        <f aca="false">IF(AF284="","",IF(IFERROR(INDEX($G:$G,MATCH(AF284,$A:$A,0)),"")="","",TRIM(IF(ISNUMBER(FIND(",",IFERROR(INDEX($G:$G,MATCH(AF284,$A:$A,0)),""))),LEFT(IFERROR(INDEX($G:$G,MATCH(AF284,$A:$A,0)),""),FIND(",",IFERROR(INDEX($G:$G,MATCH(AF284,$A:$A,0)),""))-1),IFERROR(INDEX($G:$G,MATCH(AF284,$A:$A,0)),"")))))</f>
        <v/>
      </c>
    </row>
    <row r="285" customFormat="false" ht="15" hidden="false" customHeight="false" outlineLevel="0" collapsed="false">
      <c r="A285" s="18"/>
      <c r="B285" s="19"/>
      <c r="C285" s="20"/>
      <c r="D285" s="20"/>
      <c r="E285" s="20"/>
      <c r="F285" s="20"/>
      <c r="G285" s="18"/>
      <c r="H285" s="20"/>
      <c r="I285" s="18"/>
      <c r="J285" s="20"/>
      <c r="K285" s="20"/>
      <c r="L285" s="20"/>
      <c r="M285" s="20"/>
      <c r="N285" s="20"/>
      <c r="O285" s="21" t="str">
        <f aca="false">IF(A285="","",IF(AD285="",0,IF(AE285="",1,IF(AF285="",2,IF(AG285="",3,"4+")))))</f>
        <v/>
      </c>
      <c r="P285" s="21" t="str">
        <f aca="false">IF(A285="","",B285&amp;IF(AD285="",""," &lt;- "&amp;IFERROR(INDEX($B:$B,MATCH(AD285,$A:$A,0)),AD285)&amp;IF(AE285="",""," &lt;- "&amp;IFERROR(INDEX($B:$B,MATCH(AE285,$A:$A,0)),AE285)&amp;IF(AF285="",""," &lt;- "&amp;IFERROR(INDEX($B:$B,MATCH(AF285,$A:$A,0)),AF285)&amp;IF(AG285="",""," &lt;- "&amp;IFERROR(INDEX($B:$B,MATCH(AG285,$A:$A,0)),AG285)))))&amp;IF(ISNUMBER(FIND(",",G285))," (+ other parents)",""))</f>
        <v/>
      </c>
      <c r="Q285" s="21" t="str">
        <f aca="false">IF(A285="","",IF(AD285="",E285&amp;"",IF(AE285="",IF(IFERROR(INDEX($E:$E,MATCH(AD285,$A:$A,0)),"")="","",INDEX($E:$E,MATCH(AD285,$A:$A,0))),IF(AF285="",IF(IFERROR(INDEX($E:$E,MATCH(AE285,$A:$A,0)),"")="","",INDEX($E:$E,MATCH(AE285,$A:$A,0))),IF(AG285="",IF(IFERROR(INDEX($E:$E,MATCH(AF285,$A:$A,0)),"")="","",INDEX($E:$E,MATCH(AF285,$A:$A,0))),IF(IFERROR(INDEX($E:$E,MATCH(AG285,$A:$A,0)),"")="","",INDEX($E:$E,MATCH(AG285,$A:$A,0))))))))</f>
        <v/>
      </c>
      <c r="R285" s="21" t="str">
        <f aca="false">IF(A285="","",COUNTIF(Fields!$D:$D,A285))</f>
        <v/>
      </c>
      <c r="S285" s="21" t="str">
        <f aca="false">IF(A285="","",SUMIF(Fields!$D:$D,A285,Fields!$Q:$Q))</f>
        <v/>
      </c>
      <c r="T285" s="21" t="str">
        <f aca="false">IF(A285="","",COUNTIF('Product inputs'!$D:$D,A285))</f>
        <v/>
      </c>
      <c r="U285" s="20"/>
      <c r="V285" s="20"/>
      <c r="W285" s="20"/>
      <c r="X285" s="20"/>
      <c r="Y285" s="20"/>
      <c r="Z285" s="20"/>
      <c r="AA285" s="20"/>
      <c r="AB285" s="20"/>
      <c r="AC285" s="20"/>
      <c r="AD285" s="18" t="str">
        <f aca="false">IF(A285="","",IF(IFERROR(INDEX($G:$G,MATCH(A285,$A:$A,0)),"")="","",TRIM(IF(ISNUMBER(FIND(",",IFERROR(INDEX($G:$G,MATCH(A285,$A:$A,0)),""))),LEFT(IFERROR(INDEX($G:$G,MATCH(A285,$A:$A,0)),""),FIND(",",IFERROR(INDEX($G:$G,MATCH(A285,$A:$A,0)),""))-1),IFERROR(INDEX($G:$G,MATCH(A285,$A:$A,0)),"")))))</f>
        <v/>
      </c>
      <c r="AE285" s="18" t="str">
        <f aca="false">IF(AD285="","",IF(IFERROR(INDEX($G:$G,MATCH(AD285,$A:$A,0)),"")="","",TRIM(IF(ISNUMBER(FIND(",",IFERROR(INDEX($G:$G,MATCH(AD285,$A:$A,0)),""))),LEFT(IFERROR(INDEX($G:$G,MATCH(AD285,$A:$A,0)),""),FIND(",",IFERROR(INDEX($G:$G,MATCH(AD285,$A:$A,0)),""))-1),IFERROR(INDEX($G:$G,MATCH(AD285,$A:$A,0)),"")))))</f>
        <v/>
      </c>
      <c r="AF285" s="18" t="str">
        <f aca="false">IF(AE285="","",IF(IFERROR(INDEX($G:$G,MATCH(AE285,$A:$A,0)),"")="","",TRIM(IF(ISNUMBER(FIND(",",IFERROR(INDEX($G:$G,MATCH(AE285,$A:$A,0)),""))),LEFT(IFERROR(INDEX($G:$G,MATCH(AE285,$A:$A,0)),""),FIND(",",IFERROR(INDEX($G:$G,MATCH(AE285,$A:$A,0)),""))-1),IFERROR(INDEX($G:$G,MATCH(AE285,$A:$A,0)),"")))))</f>
        <v/>
      </c>
      <c r="AG285" s="18" t="str">
        <f aca="false">IF(AF285="","",IF(IFERROR(INDEX($G:$G,MATCH(AF285,$A:$A,0)),"")="","",TRIM(IF(ISNUMBER(FIND(",",IFERROR(INDEX($G:$G,MATCH(AF285,$A:$A,0)),""))),LEFT(IFERROR(INDEX($G:$G,MATCH(AF285,$A:$A,0)),""),FIND(",",IFERROR(INDEX($G:$G,MATCH(AF285,$A:$A,0)),""))-1),IFERROR(INDEX($G:$G,MATCH(AF285,$A:$A,0)),"")))))</f>
        <v/>
      </c>
    </row>
    <row r="286" customFormat="false" ht="15" hidden="false" customHeight="false" outlineLevel="0" collapsed="false">
      <c r="A286" s="18"/>
      <c r="B286" s="19"/>
      <c r="C286" s="20"/>
      <c r="D286" s="20"/>
      <c r="E286" s="20"/>
      <c r="F286" s="20"/>
      <c r="G286" s="18"/>
      <c r="H286" s="20"/>
      <c r="I286" s="18"/>
      <c r="J286" s="20"/>
      <c r="K286" s="20"/>
      <c r="L286" s="20"/>
      <c r="M286" s="20"/>
      <c r="N286" s="20"/>
      <c r="O286" s="21" t="str">
        <f aca="false">IF(A286="","",IF(AD286="",0,IF(AE286="",1,IF(AF286="",2,IF(AG286="",3,"4+")))))</f>
        <v/>
      </c>
      <c r="P286" s="21" t="str">
        <f aca="false">IF(A286="","",B286&amp;IF(AD286="",""," &lt;- "&amp;IFERROR(INDEX($B:$B,MATCH(AD286,$A:$A,0)),AD286)&amp;IF(AE286="",""," &lt;- "&amp;IFERROR(INDEX($B:$B,MATCH(AE286,$A:$A,0)),AE286)&amp;IF(AF286="",""," &lt;- "&amp;IFERROR(INDEX($B:$B,MATCH(AF286,$A:$A,0)),AF286)&amp;IF(AG286="",""," &lt;- "&amp;IFERROR(INDEX($B:$B,MATCH(AG286,$A:$A,0)),AG286)))))&amp;IF(ISNUMBER(FIND(",",G286))," (+ other parents)",""))</f>
        <v/>
      </c>
      <c r="Q286" s="21" t="str">
        <f aca="false">IF(A286="","",IF(AD286="",E286&amp;"",IF(AE286="",IF(IFERROR(INDEX($E:$E,MATCH(AD286,$A:$A,0)),"")="","",INDEX($E:$E,MATCH(AD286,$A:$A,0))),IF(AF286="",IF(IFERROR(INDEX($E:$E,MATCH(AE286,$A:$A,0)),"")="","",INDEX($E:$E,MATCH(AE286,$A:$A,0))),IF(AG286="",IF(IFERROR(INDEX($E:$E,MATCH(AF286,$A:$A,0)),"")="","",INDEX($E:$E,MATCH(AF286,$A:$A,0))),IF(IFERROR(INDEX($E:$E,MATCH(AG286,$A:$A,0)),"")="","",INDEX($E:$E,MATCH(AG286,$A:$A,0))))))))</f>
        <v/>
      </c>
      <c r="R286" s="21" t="str">
        <f aca="false">IF(A286="","",COUNTIF(Fields!$D:$D,A286))</f>
        <v/>
      </c>
      <c r="S286" s="21" t="str">
        <f aca="false">IF(A286="","",SUMIF(Fields!$D:$D,A286,Fields!$Q:$Q))</f>
        <v/>
      </c>
      <c r="T286" s="21" t="str">
        <f aca="false">IF(A286="","",COUNTIF('Product inputs'!$D:$D,A286))</f>
        <v/>
      </c>
      <c r="U286" s="20"/>
      <c r="V286" s="20"/>
      <c r="W286" s="20"/>
      <c r="X286" s="20"/>
      <c r="Y286" s="20"/>
      <c r="Z286" s="20"/>
      <c r="AA286" s="20"/>
      <c r="AB286" s="20"/>
      <c r="AC286" s="20"/>
      <c r="AD286" s="18" t="str">
        <f aca="false">IF(A286="","",IF(IFERROR(INDEX($G:$G,MATCH(A286,$A:$A,0)),"")="","",TRIM(IF(ISNUMBER(FIND(",",IFERROR(INDEX($G:$G,MATCH(A286,$A:$A,0)),""))),LEFT(IFERROR(INDEX($G:$G,MATCH(A286,$A:$A,0)),""),FIND(",",IFERROR(INDEX($G:$G,MATCH(A286,$A:$A,0)),""))-1),IFERROR(INDEX($G:$G,MATCH(A286,$A:$A,0)),"")))))</f>
        <v/>
      </c>
      <c r="AE286" s="18" t="str">
        <f aca="false">IF(AD286="","",IF(IFERROR(INDEX($G:$G,MATCH(AD286,$A:$A,0)),"")="","",TRIM(IF(ISNUMBER(FIND(",",IFERROR(INDEX($G:$G,MATCH(AD286,$A:$A,0)),""))),LEFT(IFERROR(INDEX($G:$G,MATCH(AD286,$A:$A,0)),""),FIND(",",IFERROR(INDEX($G:$G,MATCH(AD286,$A:$A,0)),""))-1),IFERROR(INDEX($G:$G,MATCH(AD286,$A:$A,0)),"")))))</f>
        <v/>
      </c>
      <c r="AF286" s="18" t="str">
        <f aca="false">IF(AE286="","",IF(IFERROR(INDEX($G:$G,MATCH(AE286,$A:$A,0)),"")="","",TRIM(IF(ISNUMBER(FIND(",",IFERROR(INDEX($G:$G,MATCH(AE286,$A:$A,0)),""))),LEFT(IFERROR(INDEX($G:$G,MATCH(AE286,$A:$A,0)),""),FIND(",",IFERROR(INDEX($G:$G,MATCH(AE286,$A:$A,0)),""))-1),IFERROR(INDEX($G:$G,MATCH(AE286,$A:$A,0)),"")))))</f>
        <v/>
      </c>
      <c r="AG286" s="18" t="str">
        <f aca="false">IF(AF286="","",IF(IFERROR(INDEX($G:$G,MATCH(AF286,$A:$A,0)),"")="","",TRIM(IF(ISNUMBER(FIND(",",IFERROR(INDEX($G:$G,MATCH(AF286,$A:$A,0)),""))),LEFT(IFERROR(INDEX($G:$G,MATCH(AF286,$A:$A,0)),""),FIND(",",IFERROR(INDEX($G:$G,MATCH(AF286,$A:$A,0)),""))-1),IFERROR(INDEX($G:$G,MATCH(AF286,$A:$A,0)),"")))))</f>
        <v/>
      </c>
    </row>
    <row r="287" customFormat="false" ht="15" hidden="false" customHeight="false" outlineLevel="0" collapsed="false">
      <c r="A287" s="18"/>
      <c r="B287" s="19"/>
      <c r="C287" s="20"/>
      <c r="D287" s="20"/>
      <c r="E287" s="20"/>
      <c r="F287" s="20"/>
      <c r="G287" s="18"/>
      <c r="H287" s="20"/>
      <c r="I287" s="18"/>
      <c r="J287" s="20"/>
      <c r="K287" s="20"/>
      <c r="L287" s="20"/>
      <c r="M287" s="20"/>
      <c r="N287" s="20"/>
      <c r="O287" s="21" t="str">
        <f aca="false">IF(A287="","",IF(AD287="",0,IF(AE287="",1,IF(AF287="",2,IF(AG287="",3,"4+")))))</f>
        <v/>
      </c>
      <c r="P287" s="21" t="str">
        <f aca="false">IF(A287="","",B287&amp;IF(AD287="",""," &lt;- "&amp;IFERROR(INDEX($B:$B,MATCH(AD287,$A:$A,0)),AD287)&amp;IF(AE287="",""," &lt;- "&amp;IFERROR(INDEX($B:$B,MATCH(AE287,$A:$A,0)),AE287)&amp;IF(AF287="",""," &lt;- "&amp;IFERROR(INDEX($B:$B,MATCH(AF287,$A:$A,0)),AF287)&amp;IF(AG287="",""," &lt;- "&amp;IFERROR(INDEX($B:$B,MATCH(AG287,$A:$A,0)),AG287)))))&amp;IF(ISNUMBER(FIND(",",G287))," (+ other parents)",""))</f>
        <v/>
      </c>
      <c r="Q287" s="21" t="str">
        <f aca="false">IF(A287="","",IF(AD287="",E287&amp;"",IF(AE287="",IF(IFERROR(INDEX($E:$E,MATCH(AD287,$A:$A,0)),"")="","",INDEX($E:$E,MATCH(AD287,$A:$A,0))),IF(AF287="",IF(IFERROR(INDEX($E:$E,MATCH(AE287,$A:$A,0)),"")="","",INDEX($E:$E,MATCH(AE287,$A:$A,0))),IF(AG287="",IF(IFERROR(INDEX($E:$E,MATCH(AF287,$A:$A,0)),"")="","",INDEX($E:$E,MATCH(AF287,$A:$A,0))),IF(IFERROR(INDEX($E:$E,MATCH(AG287,$A:$A,0)),"")="","",INDEX($E:$E,MATCH(AG287,$A:$A,0))))))))</f>
        <v/>
      </c>
      <c r="R287" s="21" t="str">
        <f aca="false">IF(A287="","",COUNTIF(Fields!$D:$D,A287))</f>
        <v/>
      </c>
      <c r="S287" s="21" t="str">
        <f aca="false">IF(A287="","",SUMIF(Fields!$D:$D,A287,Fields!$Q:$Q))</f>
        <v/>
      </c>
      <c r="T287" s="21" t="str">
        <f aca="false">IF(A287="","",COUNTIF('Product inputs'!$D:$D,A287))</f>
        <v/>
      </c>
      <c r="U287" s="20"/>
      <c r="V287" s="20"/>
      <c r="W287" s="20"/>
      <c r="X287" s="20"/>
      <c r="Y287" s="20"/>
      <c r="Z287" s="20"/>
      <c r="AA287" s="20"/>
      <c r="AB287" s="20"/>
      <c r="AC287" s="20"/>
      <c r="AD287" s="18" t="str">
        <f aca="false">IF(A287="","",IF(IFERROR(INDEX($G:$G,MATCH(A287,$A:$A,0)),"")="","",TRIM(IF(ISNUMBER(FIND(",",IFERROR(INDEX($G:$G,MATCH(A287,$A:$A,0)),""))),LEFT(IFERROR(INDEX($G:$G,MATCH(A287,$A:$A,0)),""),FIND(",",IFERROR(INDEX($G:$G,MATCH(A287,$A:$A,0)),""))-1),IFERROR(INDEX($G:$G,MATCH(A287,$A:$A,0)),"")))))</f>
        <v/>
      </c>
      <c r="AE287" s="18" t="str">
        <f aca="false">IF(AD287="","",IF(IFERROR(INDEX($G:$G,MATCH(AD287,$A:$A,0)),"")="","",TRIM(IF(ISNUMBER(FIND(",",IFERROR(INDEX($G:$G,MATCH(AD287,$A:$A,0)),""))),LEFT(IFERROR(INDEX($G:$G,MATCH(AD287,$A:$A,0)),""),FIND(",",IFERROR(INDEX($G:$G,MATCH(AD287,$A:$A,0)),""))-1),IFERROR(INDEX($G:$G,MATCH(AD287,$A:$A,0)),"")))))</f>
        <v/>
      </c>
      <c r="AF287" s="18" t="str">
        <f aca="false">IF(AE287="","",IF(IFERROR(INDEX($G:$G,MATCH(AE287,$A:$A,0)),"")="","",TRIM(IF(ISNUMBER(FIND(",",IFERROR(INDEX($G:$G,MATCH(AE287,$A:$A,0)),""))),LEFT(IFERROR(INDEX($G:$G,MATCH(AE287,$A:$A,0)),""),FIND(",",IFERROR(INDEX($G:$G,MATCH(AE287,$A:$A,0)),""))-1),IFERROR(INDEX($G:$G,MATCH(AE287,$A:$A,0)),"")))))</f>
        <v/>
      </c>
      <c r="AG287" s="18" t="str">
        <f aca="false">IF(AF287="","",IF(IFERROR(INDEX($G:$G,MATCH(AF287,$A:$A,0)),"")="","",TRIM(IF(ISNUMBER(FIND(",",IFERROR(INDEX($G:$G,MATCH(AF287,$A:$A,0)),""))),LEFT(IFERROR(INDEX($G:$G,MATCH(AF287,$A:$A,0)),""),FIND(",",IFERROR(INDEX($G:$G,MATCH(AF287,$A:$A,0)),""))-1),IFERROR(INDEX($G:$G,MATCH(AF287,$A:$A,0)),"")))))</f>
        <v/>
      </c>
    </row>
    <row r="288" customFormat="false" ht="15" hidden="false" customHeight="false" outlineLevel="0" collapsed="false">
      <c r="A288" s="18"/>
      <c r="B288" s="19"/>
      <c r="C288" s="20"/>
      <c r="D288" s="20"/>
      <c r="E288" s="20"/>
      <c r="F288" s="20"/>
      <c r="G288" s="18"/>
      <c r="H288" s="20"/>
      <c r="I288" s="18"/>
      <c r="J288" s="20"/>
      <c r="K288" s="20"/>
      <c r="L288" s="20"/>
      <c r="M288" s="20"/>
      <c r="N288" s="20"/>
      <c r="O288" s="21" t="str">
        <f aca="false">IF(A288="","",IF(AD288="",0,IF(AE288="",1,IF(AF288="",2,IF(AG288="",3,"4+")))))</f>
        <v/>
      </c>
      <c r="P288" s="21" t="str">
        <f aca="false">IF(A288="","",B288&amp;IF(AD288="",""," &lt;- "&amp;IFERROR(INDEX($B:$B,MATCH(AD288,$A:$A,0)),AD288)&amp;IF(AE288="",""," &lt;- "&amp;IFERROR(INDEX($B:$B,MATCH(AE288,$A:$A,0)),AE288)&amp;IF(AF288="",""," &lt;- "&amp;IFERROR(INDEX($B:$B,MATCH(AF288,$A:$A,0)),AF288)&amp;IF(AG288="",""," &lt;- "&amp;IFERROR(INDEX($B:$B,MATCH(AG288,$A:$A,0)),AG288)))))&amp;IF(ISNUMBER(FIND(",",G288))," (+ other parents)",""))</f>
        <v/>
      </c>
      <c r="Q288" s="21" t="str">
        <f aca="false">IF(A288="","",IF(AD288="",E288&amp;"",IF(AE288="",IF(IFERROR(INDEX($E:$E,MATCH(AD288,$A:$A,0)),"")="","",INDEX($E:$E,MATCH(AD288,$A:$A,0))),IF(AF288="",IF(IFERROR(INDEX($E:$E,MATCH(AE288,$A:$A,0)),"")="","",INDEX($E:$E,MATCH(AE288,$A:$A,0))),IF(AG288="",IF(IFERROR(INDEX($E:$E,MATCH(AF288,$A:$A,0)),"")="","",INDEX($E:$E,MATCH(AF288,$A:$A,0))),IF(IFERROR(INDEX($E:$E,MATCH(AG288,$A:$A,0)),"")="","",INDEX($E:$E,MATCH(AG288,$A:$A,0))))))))</f>
        <v/>
      </c>
      <c r="R288" s="21" t="str">
        <f aca="false">IF(A288="","",COUNTIF(Fields!$D:$D,A288))</f>
        <v/>
      </c>
      <c r="S288" s="21" t="str">
        <f aca="false">IF(A288="","",SUMIF(Fields!$D:$D,A288,Fields!$Q:$Q))</f>
        <v/>
      </c>
      <c r="T288" s="21" t="str">
        <f aca="false">IF(A288="","",COUNTIF('Product inputs'!$D:$D,A288))</f>
        <v/>
      </c>
      <c r="U288" s="20"/>
      <c r="V288" s="20"/>
      <c r="W288" s="20"/>
      <c r="X288" s="20"/>
      <c r="Y288" s="20"/>
      <c r="Z288" s="20"/>
      <c r="AA288" s="20"/>
      <c r="AB288" s="20"/>
      <c r="AC288" s="20"/>
      <c r="AD288" s="18" t="str">
        <f aca="false">IF(A288="","",IF(IFERROR(INDEX($G:$G,MATCH(A288,$A:$A,0)),"")="","",TRIM(IF(ISNUMBER(FIND(",",IFERROR(INDEX($G:$G,MATCH(A288,$A:$A,0)),""))),LEFT(IFERROR(INDEX($G:$G,MATCH(A288,$A:$A,0)),""),FIND(",",IFERROR(INDEX($G:$G,MATCH(A288,$A:$A,0)),""))-1),IFERROR(INDEX($G:$G,MATCH(A288,$A:$A,0)),"")))))</f>
        <v/>
      </c>
      <c r="AE288" s="18" t="str">
        <f aca="false">IF(AD288="","",IF(IFERROR(INDEX($G:$G,MATCH(AD288,$A:$A,0)),"")="","",TRIM(IF(ISNUMBER(FIND(",",IFERROR(INDEX($G:$G,MATCH(AD288,$A:$A,0)),""))),LEFT(IFERROR(INDEX($G:$G,MATCH(AD288,$A:$A,0)),""),FIND(",",IFERROR(INDEX($G:$G,MATCH(AD288,$A:$A,0)),""))-1),IFERROR(INDEX($G:$G,MATCH(AD288,$A:$A,0)),"")))))</f>
        <v/>
      </c>
      <c r="AF288" s="18" t="str">
        <f aca="false">IF(AE288="","",IF(IFERROR(INDEX($G:$G,MATCH(AE288,$A:$A,0)),"")="","",TRIM(IF(ISNUMBER(FIND(",",IFERROR(INDEX($G:$G,MATCH(AE288,$A:$A,0)),""))),LEFT(IFERROR(INDEX($G:$G,MATCH(AE288,$A:$A,0)),""),FIND(",",IFERROR(INDEX($G:$G,MATCH(AE288,$A:$A,0)),""))-1),IFERROR(INDEX($G:$G,MATCH(AE288,$A:$A,0)),"")))))</f>
        <v/>
      </c>
      <c r="AG288" s="18" t="str">
        <f aca="false">IF(AF288="","",IF(IFERROR(INDEX($G:$G,MATCH(AF288,$A:$A,0)),"")="","",TRIM(IF(ISNUMBER(FIND(",",IFERROR(INDEX($G:$G,MATCH(AF288,$A:$A,0)),""))),LEFT(IFERROR(INDEX($G:$G,MATCH(AF288,$A:$A,0)),""),FIND(",",IFERROR(INDEX($G:$G,MATCH(AF288,$A:$A,0)),""))-1),IFERROR(INDEX($G:$G,MATCH(AF288,$A:$A,0)),"")))))</f>
        <v/>
      </c>
    </row>
    <row r="289" customFormat="false" ht="15" hidden="false" customHeight="false" outlineLevel="0" collapsed="false">
      <c r="A289" s="18"/>
      <c r="B289" s="19"/>
      <c r="C289" s="20"/>
      <c r="D289" s="20"/>
      <c r="E289" s="20"/>
      <c r="F289" s="20"/>
      <c r="G289" s="18"/>
      <c r="H289" s="20"/>
      <c r="I289" s="18"/>
      <c r="J289" s="20"/>
      <c r="K289" s="20"/>
      <c r="L289" s="20"/>
      <c r="M289" s="20"/>
      <c r="N289" s="20"/>
      <c r="O289" s="21" t="str">
        <f aca="false">IF(A289="","",IF(AD289="",0,IF(AE289="",1,IF(AF289="",2,IF(AG289="",3,"4+")))))</f>
        <v/>
      </c>
      <c r="P289" s="21" t="str">
        <f aca="false">IF(A289="","",B289&amp;IF(AD289="",""," &lt;- "&amp;IFERROR(INDEX($B:$B,MATCH(AD289,$A:$A,0)),AD289)&amp;IF(AE289="",""," &lt;- "&amp;IFERROR(INDEX($B:$B,MATCH(AE289,$A:$A,0)),AE289)&amp;IF(AF289="",""," &lt;- "&amp;IFERROR(INDEX($B:$B,MATCH(AF289,$A:$A,0)),AF289)&amp;IF(AG289="",""," &lt;- "&amp;IFERROR(INDEX($B:$B,MATCH(AG289,$A:$A,0)),AG289)))))&amp;IF(ISNUMBER(FIND(",",G289))," (+ other parents)",""))</f>
        <v/>
      </c>
      <c r="Q289" s="21" t="str">
        <f aca="false">IF(A289="","",IF(AD289="",E289&amp;"",IF(AE289="",IF(IFERROR(INDEX($E:$E,MATCH(AD289,$A:$A,0)),"")="","",INDEX($E:$E,MATCH(AD289,$A:$A,0))),IF(AF289="",IF(IFERROR(INDEX($E:$E,MATCH(AE289,$A:$A,0)),"")="","",INDEX($E:$E,MATCH(AE289,$A:$A,0))),IF(AG289="",IF(IFERROR(INDEX($E:$E,MATCH(AF289,$A:$A,0)),"")="","",INDEX($E:$E,MATCH(AF289,$A:$A,0))),IF(IFERROR(INDEX($E:$E,MATCH(AG289,$A:$A,0)),"")="","",INDEX($E:$E,MATCH(AG289,$A:$A,0))))))))</f>
        <v/>
      </c>
      <c r="R289" s="21" t="str">
        <f aca="false">IF(A289="","",COUNTIF(Fields!$D:$D,A289))</f>
        <v/>
      </c>
      <c r="S289" s="21" t="str">
        <f aca="false">IF(A289="","",SUMIF(Fields!$D:$D,A289,Fields!$Q:$Q))</f>
        <v/>
      </c>
      <c r="T289" s="21" t="str">
        <f aca="false">IF(A289="","",COUNTIF('Product inputs'!$D:$D,A289))</f>
        <v/>
      </c>
      <c r="U289" s="20"/>
      <c r="V289" s="20"/>
      <c r="W289" s="20"/>
      <c r="X289" s="20"/>
      <c r="Y289" s="20"/>
      <c r="Z289" s="20"/>
      <c r="AA289" s="20"/>
      <c r="AB289" s="20"/>
      <c r="AC289" s="20"/>
      <c r="AD289" s="18" t="str">
        <f aca="false">IF(A289="","",IF(IFERROR(INDEX($G:$G,MATCH(A289,$A:$A,0)),"")="","",TRIM(IF(ISNUMBER(FIND(",",IFERROR(INDEX($G:$G,MATCH(A289,$A:$A,0)),""))),LEFT(IFERROR(INDEX($G:$G,MATCH(A289,$A:$A,0)),""),FIND(",",IFERROR(INDEX($G:$G,MATCH(A289,$A:$A,0)),""))-1),IFERROR(INDEX($G:$G,MATCH(A289,$A:$A,0)),"")))))</f>
        <v/>
      </c>
      <c r="AE289" s="18" t="str">
        <f aca="false">IF(AD289="","",IF(IFERROR(INDEX($G:$G,MATCH(AD289,$A:$A,0)),"")="","",TRIM(IF(ISNUMBER(FIND(",",IFERROR(INDEX($G:$G,MATCH(AD289,$A:$A,0)),""))),LEFT(IFERROR(INDEX($G:$G,MATCH(AD289,$A:$A,0)),""),FIND(",",IFERROR(INDEX($G:$G,MATCH(AD289,$A:$A,0)),""))-1),IFERROR(INDEX($G:$G,MATCH(AD289,$A:$A,0)),"")))))</f>
        <v/>
      </c>
      <c r="AF289" s="18" t="str">
        <f aca="false">IF(AE289="","",IF(IFERROR(INDEX($G:$G,MATCH(AE289,$A:$A,0)),"")="","",TRIM(IF(ISNUMBER(FIND(",",IFERROR(INDEX($G:$G,MATCH(AE289,$A:$A,0)),""))),LEFT(IFERROR(INDEX($G:$G,MATCH(AE289,$A:$A,0)),""),FIND(",",IFERROR(INDEX($G:$G,MATCH(AE289,$A:$A,0)),""))-1),IFERROR(INDEX($G:$G,MATCH(AE289,$A:$A,0)),"")))))</f>
        <v/>
      </c>
      <c r="AG289" s="18" t="str">
        <f aca="false">IF(AF289="","",IF(IFERROR(INDEX($G:$G,MATCH(AF289,$A:$A,0)),"")="","",TRIM(IF(ISNUMBER(FIND(",",IFERROR(INDEX($G:$G,MATCH(AF289,$A:$A,0)),""))),LEFT(IFERROR(INDEX($G:$G,MATCH(AF289,$A:$A,0)),""),FIND(",",IFERROR(INDEX($G:$G,MATCH(AF289,$A:$A,0)),""))-1),IFERROR(INDEX($G:$G,MATCH(AF289,$A:$A,0)),"")))))</f>
        <v/>
      </c>
    </row>
    <row r="290" customFormat="false" ht="15" hidden="false" customHeight="false" outlineLevel="0" collapsed="false">
      <c r="A290" s="18"/>
      <c r="B290" s="19"/>
      <c r="C290" s="20"/>
      <c r="D290" s="20"/>
      <c r="E290" s="20"/>
      <c r="F290" s="20"/>
      <c r="G290" s="18"/>
      <c r="H290" s="20"/>
      <c r="I290" s="18"/>
      <c r="J290" s="20"/>
      <c r="K290" s="20"/>
      <c r="L290" s="20"/>
      <c r="M290" s="20"/>
      <c r="N290" s="20"/>
      <c r="O290" s="21" t="str">
        <f aca="false">IF(A290="","",IF(AD290="",0,IF(AE290="",1,IF(AF290="",2,IF(AG290="",3,"4+")))))</f>
        <v/>
      </c>
      <c r="P290" s="21" t="str">
        <f aca="false">IF(A290="","",B290&amp;IF(AD290="",""," &lt;- "&amp;IFERROR(INDEX($B:$B,MATCH(AD290,$A:$A,0)),AD290)&amp;IF(AE290="",""," &lt;- "&amp;IFERROR(INDEX($B:$B,MATCH(AE290,$A:$A,0)),AE290)&amp;IF(AF290="",""," &lt;- "&amp;IFERROR(INDEX($B:$B,MATCH(AF290,$A:$A,0)),AF290)&amp;IF(AG290="",""," &lt;- "&amp;IFERROR(INDEX($B:$B,MATCH(AG290,$A:$A,0)),AG290)))))&amp;IF(ISNUMBER(FIND(",",G290))," (+ other parents)",""))</f>
        <v/>
      </c>
      <c r="Q290" s="21" t="str">
        <f aca="false">IF(A290="","",IF(AD290="",E290&amp;"",IF(AE290="",IF(IFERROR(INDEX($E:$E,MATCH(AD290,$A:$A,0)),"")="","",INDEX($E:$E,MATCH(AD290,$A:$A,0))),IF(AF290="",IF(IFERROR(INDEX($E:$E,MATCH(AE290,$A:$A,0)),"")="","",INDEX($E:$E,MATCH(AE290,$A:$A,0))),IF(AG290="",IF(IFERROR(INDEX($E:$E,MATCH(AF290,$A:$A,0)),"")="","",INDEX($E:$E,MATCH(AF290,$A:$A,0))),IF(IFERROR(INDEX($E:$E,MATCH(AG290,$A:$A,0)),"")="","",INDEX($E:$E,MATCH(AG290,$A:$A,0))))))))</f>
        <v/>
      </c>
      <c r="R290" s="21" t="str">
        <f aca="false">IF(A290="","",COUNTIF(Fields!$D:$D,A290))</f>
        <v/>
      </c>
      <c r="S290" s="21" t="str">
        <f aca="false">IF(A290="","",SUMIF(Fields!$D:$D,A290,Fields!$Q:$Q))</f>
        <v/>
      </c>
      <c r="T290" s="21" t="str">
        <f aca="false">IF(A290="","",COUNTIF('Product inputs'!$D:$D,A290))</f>
        <v/>
      </c>
      <c r="U290" s="20"/>
      <c r="V290" s="20"/>
      <c r="W290" s="20"/>
      <c r="X290" s="20"/>
      <c r="Y290" s="20"/>
      <c r="Z290" s="20"/>
      <c r="AA290" s="20"/>
      <c r="AB290" s="20"/>
      <c r="AC290" s="20"/>
      <c r="AD290" s="18" t="str">
        <f aca="false">IF(A290="","",IF(IFERROR(INDEX($G:$G,MATCH(A290,$A:$A,0)),"")="","",TRIM(IF(ISNUMBER(FIND(",",IFERROR(INDEX($G:$G,MATCH(A290,$A:$A,0)),""))),LEFT(IFERROR(INDEX($G:$G,MATCH(A290,$A:$A,0)),""),FIND(",",IFERROR(INDEX($G:$G,MATCH(A290,$A:$A,0)),""))-1),IFERROR(INDEX($G:$G,MATCH(A290,$A:$A,0)),"")))))</f>
        <v/>
      </c>
      <c r="AE290" s="18" t="str">
        <f aca="false">IF(AD290="","",IF(IFERROR(INDEX($G:$G,MATCH(AD290,$A:$A,0)),"")="","",TRIM(IF(ISNUMBER(FIND(",",IFERROR(INDEX($G:$G,MATCH(AD290,$A:$A,0)),""))),LEFT(IFERROR(INDEX($G:$G,MATCH(AD290,$A:$A,0)),""),FIND(",",IFERROR(INDEX($G:$G,MATCH(AD290,$A:$A,0)),""))-1),IFERROR(INDEX($G:$G,MATCH(AD290,$A:$A,0)),"")))))</f>
        <v/>
      </c>
      <c r="AF290" s="18" t="str">
        <f aca="false">IF(AE290="","",IF(IFERROR(INDEX($G:$G,MATCH(AE290,$A:$A,0)),"")="","",TRIM(IF(ISNUMBER(FIND(",",IFERROR(INDEX($G:$G,MATCH(AE290,$A:$A,0)),""))),LEFT(IFERROR(INDEX($G:$G,MATCH(AE290,$A:$A,0)),""),FIND(",",IFERROR(INDEX($G:$G,MATCH(AE290,$A:$A,0)),""))-1),IFERROR(INDEX($G:$G,MATCH(AE290,$A:$A,0)),"")))))</f>
        <v/>
      </c>
      <c r="AG290" s="18" t="str">
        <f aca="false">IF(AF290="","",IF(IFERROR(INDEX($G:$G,MATCH(AF290,$A:$A,0)),"")="","",TRIM(IF(ISNUMBER(FIND(",",IFERROR(INDEX($G:$G,MATCH(AF290,$A:$A,0)),""))),LEFT(IFERROR(INDEX($G:$G,MATCH(AF290,$A:$A,0)),""),FIND(",",IFERROR(INDEX($G:$G,MATCH(AF290,$A:$A,0)),""))-1),IFERROR(INDEX($G:$G,MATCH(AF290,$A:$A,0)),"")))))</f>
        <v/>
      </c>
    </row>
    <row r="291" customFormat="false" ht="15" hidden="false" customHeight="false" outlineLevel="0" collapsed="false">
      <c r="A291" s="18"/>
      <c r="B291" s="19"/>
      <c r="C291" s="20"/>
      <c r="D291" s="20"/>
      <c r="E291" s="20"/>
      <c r="F291" s="20"/>
      <c r="G291" s="18"/>
      <c r="H291" s="20"/>
      <c r="I291" s="18"/>
      <c r="J291" s="20"/>
      <c r="K291" s="20"/>
      <c r="L291" s="20"/>
      <c r="M291" s="20"/>
      <c r="N291" s="20"/>
      <c r="O291" s="21" t="str">
        <f aca="false">IF(A291="","",IF(AD291="",0,IF(AE291="",1,IF(AF291="",2,IF(AG291="",3,"4+")))))</f>
        <v/>
      </c>
      <c r="P291" s="21" t="str">
        <f aca="false">IF(A291="","",B291&amp;IF(AD291="",""," &lt;- "&amp;IFERROR(INDEX($B:$B,MATCH(AD291,$A:$A,0)),AD291)&amp;IF(AE291="",""," &lt;- "&amp;IFERROR(INDEX($B:$B,MATCH(AE291,$A:$A,0)),AE291)&amp;IF(AF291="",""," &lt;- "&amp;IFERROR(INDEX($B:$B,MATCH(AF291,$A:$A,0)),AF291)&amp;IF(AG291="",""," &lt;- "&amp;IFERROR(INDEX($B:$B,MATCH(AG291,$A:$A,0)),AG291)))))&amp;IF(ISNUMBER(FIND(",",G291))," (+ other parents)",""))</f>
        <v/>
      </c>
      <c r="Q291" s="21" t="str">
        <f aca="false">IF(A291="","",IF(AD291="",E291&amp;"",IF(AE291="",IF(IFERROR(INDEX($E:$E,MATCH(AD291,$A:$A,0)),"")="","",INDEX($E:$E,MATCH(AD291,$A:$A,0))),IF(AF291="",IF(IFERROR(INDEX($E:$E,MATCH(AE291,$A:$A,0)),"")="","",INDEX($E:$E,MATCH(AE291,$A:$A,0))),IF(AG291="",IF(IFERROR(INDEX($E:$E,MATCH(AF291,$A:$A,0)),"")="","",INDEX($E:$E,MATCH(AF291,$A:$A,0))),IF(IFERROR(INDEX($E:$E,MATCH(AG291,$A:$A,0)),"")="","",INDEX($E:$E,MATCH(AG291,$A:$A,0))))))))</f>
        <v/>
      </c>
      <c r="R291" s="21" t="str">
        <f aca="false">IF(A291="","",COUNTIF(Fields!$D:$D,A291))</f>
        <v/>
      </c>
      <c r="S291" s="21" t="str">
        <f aca="false">IF(A291="","",SUMIF(Fields!$D:$D,A291,Fields!$Q:$Q))</f>
        <v/>
      </c>
      <c r="T291" s="21" t="str">
        <f aca="false">IF(A291="","",COUNTIF('Product inputs'!$D:$D,A291))</f>
        <v/>
      </c>
      <c r="U291" s="20"/>
      <c r="V291" s="20"/>
      <c r="W291" s="20"/>
      <c r="X291" s="20"/>
      <c r="Y291" s="20"/>
      <c r="Z291" s="20"/>
      <c r="AA291" s="20"/>
      <c r="AB291" s="20"/>
      <c r="AC291" s="20"/>
      <c r="AD291" s="18" t="str">
        <f aca="false">IF(A291="","",IF(IFERROR(INDEX($G:$G,MATCH(A291,$A:$A,0)),"")="","",TRIM(IF(ISNUMBER(FIND(",",IFERROR(INDEX($G:$G,MATCH(A291,$A:$A,0)),""))),LEFT(IFERROR(INDEX($G:$G,MATCH(A291,$A:$A,0)),""),FIND(",",IFERROR(INDEX($G:$G,MATCH(A291,$A:$A,0)),""))-1),IFERROR(INDEX($G:$G,MATCH(A291,$A:$A,0)),"")))))</f>
        <v/>
      </c>
      <c r="AE291" s="18" t="str">
        <f aca="false">IF(AD291="","",IF(IFERROR(INDEX($G:$G,MATCH(AD291,$A:$A,0)),"")="","",TRIM(IF(ISNUMBER(FIND(",",IFERROR(INDEX($G:$G,MATCH(AD291,$A:$A,0)),""))),LEFT(IFERROR(INDEX($G:$G,MATCH(AD291,$A:$A,0)),""),FIND(",",IFERROR(INDEX($G:$G,MATCH(AD291,$A:$A,0)),""))-1),IFERROR(INDEX($G:$G,MATCH(AD291,$A:$A,0)),"")))))</f>
        <v/>
      </c>
      <c r="AF291" s="18" t="str">
        <f aca="false">IF(AE291="","",IF(IFERROR(INDEX($G:$G,MATCH(AE291,$A:$A,0)),"")="","",TRIM(IF(ISNUMBER(FIND(",",IFERROR(INDEX($G:$G,MATCH(AE291,$A:$A,0)),""))),LEFT(IFERROR(INDEX($G:$G,MATCH(AE291,$A:$A,0)),""),FIND(",",IFERROR(INDEX($G:$G,MATCH(AE291,$A:$A,0)),""))-1),IFERROR(INDEX($G:$G,MATCH(AE291,$A:$A,0)),"")))))</f>
        <v/>
      </c>
      <c r="AG291" s="18" t="str">
        <f aca="false">IF(AF291="","",IF(IFERROR(INDEX($G:$G,MATCH(AF291,$A:$A,0)),"")="","",TRIM(IF(ISNUMBER(FIND(",",IFERROR(INDEX($G:$G,MATCH(AF291,$A:$A,0)),""))),LEFT(IFERROR(INDEX($G:$G,MATCH(AF291,$A:$A,0)),""),FIND(",",IFERROR(INDEX($G:$G,MATCH(AF291,$A:$A,0)),""))-1),IFERROR(INDEX($G:$G,MATCH(AF291,$A:$A,0)),"")))))</f>
        <v/>
      </c>
    </row>
    <row r="292" customFormat="false" ht="15" hidden="false" customHeight="false" outlineLevel="0" collapsed="false">
      <c r="A292" s="18"/>
      <c r="B292" s="19"/>
      <c r="C292" s="20"/>
      <c r="D292" s="20"/>
      <c r="E292" s="20"/>
      <c r="F292" s="20"/>
      <c r="G292" s="18"/>
      <c r="H292" s="20"/>
      <c r="I292" s="18"/>
      <c r="J292" s="20"/>
      <c r="K292" s="20"/>
      <c r="L292" s="20"/>
      <c r="M292" s="20"/>
      <c r="N292" s="20"/>
      <c r="O292" s="21" t="str">
        <f aca="false">IF(A292="","",IF(AD292="",0,IF(AE292="",1,IF(AF292="",2,IF(AG292="",3,"4+")))))</f>
        <v/>
      </c>
      <c r="P292" s="21" t="str">
        <f aca="false">IF(A292="","",B292&amp;IF(AD292="",""," &lt;- "&amp;IFERROR(INDEX($B:$B,MATCH(AD292,$A:$A,0)),AD292)&amp;IF(AE292="",""," &lt;- "&amp;IFERROR(INDEX($B:$B,MATCH(AE292,$A:$A,0)),AE292)&amp;IF(AF292="",""," &lt;- "&amp;IFERROR(INDEX($B:$B,MATCH(AF292,$A:$A,0)),AF292)&amp;IF(AG292="",""," &lt;- "&amp;IFERROR(INDEX($B:$B,MATCH(AG292,$A:$A,0)),AG292)))))&amp;IF(ISNUMBER(FIND(",",G292))," (+ other parents)",""))</f>
        <v/>
      </c>
      <c r="Q292" s="21" t="str">
        <f aca="false">IF(A292="","",IF(AD292="",E292&amp;"",IF(AE292="",IF(IFERROR(INDEX($E:$E,MATCH(AD292,$A:$A,0)),"")="","",INDEX($E:$E,MATCH(AD292,$A:$A,0))),IF(AF292="",IF(IFERROR(INDEX($E:$E,MATCH(AE292,$A:$A,0)),"")="","",INDEX($E:$E,MATCH(AE292,$A:$A,0))),IF(AG292="",IF(IFERROR(INDEX($E:$E,MATCH(AF292,$A:$A,0)),"")="","",INDEX($E:$E,MATCH(AF292,$A:$A,0))),IF(IFERROR(INDEX($E:$E,MATCH(AG292,$A:$A,0)),"")="","",INDEX($E:$E,MATCH(AG292,$A:$A,0))))))))</f>
        <v/>
      </c>
      <c r="R292" s="21" t="str">
        <f aca="false">IF(A292="","",COUNTIF(Fields!$D:$D,A292))</f>
        <v/>
      </c>
      <c r="S292" s="21" t="str">
        <f aca="false">IF(A292="","",SUMIF(Fields!$D:$D,A292,Fields!$Q:$Q))</f>
        <v/>
      </c>
      <c r="T292" s="21" t="str">
        <f aca="false">IF(A292="","",COUNTIF('Product inputs'!$D:$D,A292))</f>
        <v/>
      </c>
      <c r="U292" s="20"/>
      <c r="V292" s="20"/>
      <c r="W292" s="20"/>
      <c r="X292" s="20"/>
      <c r="Y292" s="20"/>
      <c r="Z292" s="20"/>
      <c r="AA292" s="20"/>
      <c r="AB292" s="20"/>
      <c r="AC292" s="20"/>
      <c r="AD292" s="18" t="str">
        <f aca="false">IF(A292="","",IF(IFERROR(INDEX($G:$G,MATCH(A292,$A:$A,0)),"")="","",TRIM(IF(ISNUMBER(FIND(",",IFERROR(INDEX($G:$G,MATCH(A292,$A:$A,0)),""))),LEFT(IFERROR(INDEX($G:$G,MATCH(A292,$A:$A,0)),""),FIND(",",IFERROR(INDEX($G:$G,MATCH(A292,$A:$A,0)),""))-1),IFERROR(INDEX($G:$G,MATCH(A292,$A:$A,0)),"")))))</f>
        <v/>
      </c>
      <c r="AE292" s="18" t="str">
        <f aca="false">IF(AD292="","",IF(IFERROR(INDEX($G:$G,MATCH(AD292,$A:$A,0)),"")="","",TRIM(IF(ISNUMBER(FIND(",",IFERROR(INDEX($G:$G,MATCH(AD292,$A:$A,0)),""))),LEFT(IFERROR(INDEX($G:$G,MATCH(AD292,$A:$A,0)),""),FIND(",",IFERROR(INDEX($G:$G,MATCH(AD292,$A:$A,0)),""))-1),IFERROR(INDEX($G:$G,MATCH(AD292,$A:$A,0)),"")))))</f>
        <v/>
      </c>
      <c r="AF292" s="18" t="str">
        <f aca="false">IF(AE292="","",IF(IFERROR(INDEX($G:$G,MATCH(AE292,$A:$A,0)),"")="","",TRIM(IF(ISNUMBER(FIND(",",IFERROR(INDEX($G:$G,MATCH(AE292,$A:$A,0)),""))),LEFT(IFERROR(INDEX($G:$G,MATCH(AE292,$A:$A,0)),""),FIND(",",IFERROR(INDEX($G:$G,MATCH(AE292,$A:$A,0)),""))-1),IFERROR(INDEX($G:$G,MATCH(AE292,$A:$A,0)),"")))))</f>
        <v/>
      </c>
      <c r="AG292" s="18" t="str">
        <f aca="false">IF(AF292="","",IF(IFERROR(INDEX($G:$G,MATCH(AF292,$A:$A,0)),"")="","",TRIM(IF(ISNUMBER(FIND(",",IFERROR(INDEX($G:$G,MATCH(AF292,$A:$A,0)),""))),LEFT(IFERROR(INDEX($G:$G,MATCH(AF292,$A:$A,0)),""),FIND(",",IFERROR(INDEX($G:$G,MATCH(AF292,$A:$A,0)),""))-1),IFERROR(INDEX($G:$G,MATCH(AF292,$A:$A,0)),"")))))</f>
        <v/>
      </c>
    </row>
    <row r="293" customFormat="false" ht="15" hidden="false" customHeight="false" outlineLevel="0" collapsed="false">
      <c r="A293" s="18"/>
      <c r="B293" s="19"/>
      <c r="C293" s="20"/>
      <c r="D293" s="20"/>
      <c r="E293" s="20"/>
      <c r="F293" s="20"/>
      <c r="G293" s="18"/>
      <c r="H293" s="20"/>
      <c r="I293" s="18"/>
      <c r="J293" s="20"/>
      <c r="K293" s="20"/>
      <c r="L293" s="20"/>
      <c r="M293" s="20"/>
      <c r="N293" s="20"/>
      <c r="O293" s="21" t="str">
        <f aca="false">IF(A293="","",IF(AD293="",0,IF(AE293="",1,IF(AF293="",2,IF(AG293="",3,"4+")))))</f>
        <v/>
      </c>
      <c r="P293" s="21" t="str">
        <f aca="false">IF(A293="","",B293&amp;IF(AD293="",""," &lt;- "&amp;IFERROR(INDEX($B:$B,MATCH(AD293,$A:$A,0)),AD293)&amp;IF(AE293="",""," &lt;- "&amp;IFERROR(INDEX($B:$B,MATCH(AE293,$A:$A,0)),AE293)&amp;IF(AF293="",""," &lt;- "&amp;IFERROR(INDEX($B:$B,MATCH(AF293,$A:$A,0)),AF293)&amp;IF(AG293="",""," &lt;- "&amp;IFERROR(INDEX($B:$B,MATCH(AG293,$A:$A,0)),AG293)))))&amp;IF(ISNUMBER(FIND(",",G293))," (+ other parents)",""))</f>
        <v/>
      </c>
      <c r="Q293" s="21" t="str">
        <f aca="false">IF(A293="","",IF(AD293="",E293&amp;"",IF(AE293="",IF(IFERROR(INDEX($E:$E,MATCH(AD293,$A:$A,0)),"")="","",INDEX($E:$E,MATCH(AD293,$A:$A,0))),IF(AF293="",IF(IFERROR(INDEX($E:$E,MATCH(AE293,$A:$A,0)),"")="","",INDEX($E:$E,MATCH(AE293,$A:$A,0))),IF(AG293="",IF(IFERROR(INDEX($E:$E,MATCH(AF293,$A:$A,0)),"")="","",INDEX($E:$E,MATCH(AF293,$A:$A,0))),IF(IFERROR(INDEX($E:$E,MATCH(AG293,$A:$A,0)),"")="","",INDEX($E:$E,MATCH(AG293,$A:$A,0))))))))</f>
        <v/>
      </c>
      <c r="R293" s="21" t="str">
        <f aca="false">IF(A293="","",COUNTIF(Fields!$D:$D,A293))</f>
        <v/>
      </c>
      <c r="S293" s="21" t="str">
        <f aca="false">IF(A293="","",SUMIF(Fields!$D:$D,A293,Fields!$Q:$Q))</f>
        <v/>
      </c>
      <c r="T293" s="21" t="str">
        <f aca="false">IF(A293="","",COUNTIF('Product inputs'!$D:$D,A293))</f>
        <v/>
      </c>
      <c r="U293" s="20"/>
      <c r="V293" s="20"/>
      <c r="W293" s="20"/>
      <c r="X293" s="20"/>
      <c r="Y293" s="20"/>
      <c r="Z293" s="20"/>
      <c r="AA293" s="20"/>
      <c r="AB293" s="20"/>
      <c r="AC293" s="20"/>
      <c r="AD293" s="18" t="str">
        <f aca="false">IF(A293="","",IF(IFERROR(INDEX($G:$G,MATCH(A293,$A:$A,0)),"")="","",TRIM(IF(ISNUMBER(FIND(",",IFERROR(INDEX($G:$G,MATCH(A293,$A:$A,0)),""))),LEFT(IFERROR(INDEX($G:$G,MATCH(A293,$A:$A,0)),""),FIND(",",IFERROR(INDEX($G:$G,MATCH(A293,$A:$A,0)),""))-1),IFERROR(INDEX($G:$G,MATCH(A293,$A:$A,0)),"")))))</f>
        <v/>
      </c>
      <c r="AE293" s="18" t="str">
        <f aca="false">IF(AD293="","",IF(IFERROR(INDEX($G:$G,MATCH(AD293,$A:$A,0)),"")="","",TRIM(IF(ISNUMBER(FIND(",",IFERROR(INDEX($G:$G,MATCH(AD293,$A:$A,0)),""))),LEFT(IFERROR(INDEX($G:$G,MATCH(AD293,$A:$A,0)),""),FIND(",",IFERROR(INDEX($G:$G,MATCH(AD293,$A:$A,0)),""))-1),IFERROR(INDEX($G:$G,MATCH(AD293,$A:$A,0)),"")))))</f>
        <v/>
      </c>
      <c r="AF293" s="18" t="str">
        <f aca="false">IF(AE293="","",IF(IFERROR(INDEX($G:$G,MATCH(AE293,$A:$A,0)),"")="","",TRIM(IF(ISNUMBER(FIND(",",IFERROR(INDEX($G:$G,MATCH(AE293,$A:$A,0)),""))),LEFT(IFERROR(INDEX($G:$G,MATCH(AE293,$A:$A,0)),""),FIND(",",IFERROR(INDEX($G:$G,MATCH(AE293,$A:$A,0)),""))-1),IFERROR(INDEX($G:$G,MATCH(AE293,$A:$A,0)),"")))))</f>
        <v/>
      </c>
      <c r="AG293" s="18" t="str">
        <f aca="false">IF(AF293="","",IF(IFERROR(INDEX($G:$G,MATCH(AF293,$A:$A,0)),"")="","",TRIM(IF(ISNUMBER(FIND(",",IFERROR(INDEX($G:$G,MATCH(AF293,$A:$A,0)),""))),LEFT(IFERROR(INDEX($G:$G,MATCH(AF293,$A:$A,0)),""),FIND(",",IFERROR(INDEX($G:$G,MATCH(AF293,$A:$A,0)),""))-1),IFERROR(INDEX($G:$G,MATCH(AF293,$A:$A,0)),"")))))</f>
        <v/>
      </c>
    </row>
    <row r="294" customFormat="false" ht="15" hidden="false" customHeight="false" outlineLevel="0" collapsed="false">
      <c r="A294" s="18"/>
      <c r="B294" s="19"/>
      <c r="C294" s="20"/>
      <c r="D294" s="20"/>
      <c r="E294" s="20"/>
      <c r="F294" s="20"/>
      <c r="G294" s="18"/>
      <c r="H294" s="20"/>
      <c r="I294" s="18"/>
      <c r="J294" s="20"/>
      <c r="K294" s="20"/>
      <c r="L294" s="20"/>
      <c r="M294" s="20"/>
      <c r="N294" s="20"/>
      <c r="O294" s="21" t="str">
        <f aca="false">IF(A294="","",IF(AD294="",0,IF(AE294="",1,IF(AF294="",2,IF(AG294="",3,"4+")))))</f>
        <v/>
      </c>
      <c r="P294" s="21" t="str">
        <f aca="false">IF(A294="","",B294&amp;IF(AD294="",""," &lt;- "&amp;IFERROR(INDEX($B:$B,MATCH(AD294,$A:$A,0)),AD294)&amp;IF(AE294="",""," &lt;- "&amp;IFERROR(INDEX($B:$B,MATCH(AE294,$A:$A,0)),AE294)&amp;IF(AF294="",""," &lt;- "&amp;IFERROR(INDEX($B:$B,MATCH(AF294,$A:$A,0)),AF294)&amp;IF(AG294="",""," &lt;- "&amp;IFERROR(INDEX($B:$B,MATCH(AG294,$A:$A,0)),AG294)))))&amp;IF(ISNUMBER(FIND(",",G294))," (+ other parents)",""))</f>
        <v/>
      </c>
      <c r="Q294" s="21" t="str">
        <f aca="false">IF(A294="","",IF(AD294="",E294&amp;"",IF(AE294="",IF(IFERROR(INDEX($E:$E,MATCH(AD294,$A:$A,0)),"")="","",INDEX($E:$E,MATCH(AD294,$A:$A,0))),IF(AF294="",IF(IFERROR(INDEX($E:$E,MATCH(AE294,$A:$A,0)),"")="","",INDEX($E:$E,MATCH(AE294,$A:$A,0))),IF(AG294="",IF(IFERROR(INDEX($E:$E,MATCH(AF294,$A:$A,0)),"")="","",INDEX($E:$E,MATCH(AF294,$A:$A,0))),IF(IFERROR(INDEX($E:$E,MATCH(AG294,$A:$A,0)),"")="","",INDEX($E:$E,MATCH(AG294,$A:$A,0))))))))</f>
        <v/>
      </c>
      <c r="R294" s="21" t="str">
        <f aca="false">IF(A294="","",COUNTIF(Fields!$D:$D,A294))</f>
        <v/>
      </c>
      <c r="S294" s="21" t="str">
        <f aca="false">IF(A294="","",SUMIF(Fields!$D:$D,A294,Fields!$Q:$Q))</f>
        <v/>
      </c>
      <c r="T294" s="21" t="str">
        <f aca="false">IF(A294="","",COUNTIF('Product inputs'!$D:$D,A294))</f>
        <v/>
      </c>
      <c r="U294" s="20"/>
      <c r="V294" s="20"/>
      <c r="W294" s="20"/>
      <c r="X294" s="20"/>
      <c r="Y294" s="20"/>
      <c r="Z294" s="20"/>
      <c r="AA294" s="20"/>
      <c r="AB294" s="20"/>
      <c r="AC294" s="20"/>
      <c r="AD294" s="18" t="str">
        <f aca="false">IF(A294="","",IF(IFERROR(INDEX($G:$G,MATCH(A294,$A:$A,0)),"")="","",TRIM(IF(ISNUMBER(FIND(",",IFERROR(INDEX($G:$G,MATCH(A294,$A:$A,0)),""))),LEFT(IFERROR(INDEX($G:$G,MATCH(A294,$A:$A,0)),""),FIND(",",IFERROR(INDEX($G:$G,MATCH(A294,$A:$A,0)),""))-1),IFERROR(INDEX($G:$G,MATCH(A294,$A:$A,0)),"")))))</f>
        <v/>
      </c>
      <c r="AE294" s="18" t="str">
        <f aca="false">IF(AD294="","",IF(IFERROR(INDEX($G:$G,MATCH(AD294,$A:$A,0)),"")="","",TRIM(IF(ISNUMBER(FIND(",",IFERROR(INDEX($G:$G,MATCH(AD294,$A:$A,0)),""))),LEFT(IFERROR(INDEX($G:$G,MATCH(AD294,$A:$A,0)),""),FIND(",",IFERROR(INDEX($G:$G,MATCH(AD294,$A:$A,0)),""))-1),IFERROR(INDEX($G:$G,MATCH(AD294,$A:$A,0)),"")))))</f>
        <v/>
      </c>
      <c r="AF294" s="18" t="str">
        <f aca="false">IF(AE294="","",IF(IFERROR(INDEX($G:$G,MATCH(AE294,$A:$A,0)),"")="","",TRIM(IF(ISNUMBER(FIND(",",IFERROR(INDEX($G:$G,MATCH(AE294,$A:$A,0)),""))),LEFT(IFERROR(INDEX($G:$G,MATCH(AE294,$A:$A,0)),""),FIND(",",IFERROR(INDEX($G:$G,MATCH(AE294,$A:$A,0)),""))-1),IFERROR(INDEX($G:$G,MATCH(AE294,$A:$A,0)),"")))))</f>
        <v/>
      </c>
      <c r="AG294" s="18" t="str">
        <f aca="false">IF(AF294="","",IF(IFERROR(INDEX($G:$G,MATCH(AF294,$A:$A,0)),"")="","",TRIM(IF(ISNUMBER(FIND(",",IFERROR(INDEX($G:$G,MATCH(AF294,$A:$A,0)),""))),LEFT(IFERROR(INDEX($G:$G,MATCH(AF294,$A:$A,0)),""),FIND(",",IFERROR(INDEX($G:$G,MATCH(AF294,$A:$A,0)),""))-1),IFERROR(INDEX($G:$G,MATCH(AF294,$A:$A,0)),"")))))</f>
        <v/>
      </c>
    </row>
    <row r="295" customFormat="false" ht="15" hidden="false" customHeight="false" outlineLevel="0" collapsed="false">
      <c r="A295" s="18"/>
      <c r="B295" s="19"/>
      <c r="C295" s="20"/>
      <c r="D295" s="20"/>
      <c r="E295" s="20"/>
      <c r="F295" s="20"/>
      <c r="G295" s="18"/>
      <c r="H295" s="20"/>
      <c r="I295" s="18"/>
      <c r="J295" s="20"/>
      <c r="K295" s="20"/>
      <c r="L295" s="20"/>
      <c r="M295" s="20"/>
      <c r="N295" s="20"/>
      <c r="O295" s="21" t="str">
        <f aca="false">IF(A295="","",IF(AD295="",0,IF(AE295="",1,IF(AF295="",2,IF(AG295="",3,"4+")))))</f>
        <v/>
      </c>
      <c r="P295" s="21" t="str">
        <f aca="false">IF(A295="","",B295&amp;IF(AD295="",""," &lt;- "&amp;IFERROR(INDEX($B:$B,MATCH(AD295,$A:$A,0)),AD295)&amp;IF(AE295="",""," &lt;- "&amp;IFERROR(INDEX($B:$B,MATCH(AE295,$A:$A,0)),AE295)&amp;IF(AF295="",""," &lt;- "&amp;IFERROR(INDEX($B:$B,MATCH(AF295,$A:$A,0)),AF295)&amp;IF(AG295="",""," &lt;- "&amp;IFERROR(INDEX($B:$B,MATCH(AG295,$A:$A,0)),AG295)))))&amp;IF(ISNUMBER(FIND(",",G295))," (+ other parents)",""))</f>
        <v/>
      </c>
      <c r="Q295" s="21" t="str">
        <f aca="false">IF(A295="","",IF(AD295="",E295&amp;"",IF(AE295="",IF(IFERROR(INDEX($E:$E,MATCH(AD295,$A:$A,0)),"")="","",INDEX($E:$E,MATCH(AD295,$A:$A,0))),IF(AF295="",IF(IFERROR(INDEX($E:$E,MATCH(AE295,$A:$A,0)),"")="","",INDEX($E:$E,MATCH(AE295,$A:$A,0))),IF(AG295="",IF(IFERROR(INDEX($E:$E,MATCH(AF295,$A:$A,0)),"")="","",INDEX($E:$E,MATCH(AF295,$A:$A,0))),IF(IFERROR(INDEX($E:$E,MATCH(AG295,$A:$A,0)),"")="","",INDEX($E:$E,MATCH(AG295,$A:$A,0))))))))</f>
        <v/>
      </c>
      <c r="R295" s="21" t="str">
        <f aca="false">IF(A295="","",COUNTIF(Fields!$D:$D,A295))</f>
        <v/>
      </c>
      <c r="S295" s="21" t="str">
        <f aca="false">IF(A295="","",SUMIF(Fields!$D:$D,A295,Fields!$Q:$Q))</f>
        <v/>
      </c>
      <c r="T295" s="21" t="str">
        <f aca="false">IF(A295="","",COUNTIF('Product inputs'!$D:$D,A295))</f>
        <v/>
      </c>
      <c r="U295" s="20"/>
      <c r="V295" s="20"/>
      <c r="W295" s="20"/>
      <c r="X295" s="20"/>
      <c r="Y295" s="20"/>
      <c r="Z295" s="20"/>
      <c r="AA295" s="20"/>
      <c r="AB295" s="20"/>
      <c r="AC295" s="20"/>
      <c r="AD295" s="18" t="str">
        <f aca="false">IF(A295="","",IF(IFERROR(INDEX($G:$G,MATCH(A295,$A:$A,0)),"")="","",TRIM(IF(ISNUMBER(FIND(",",IFERROR(INDEX($G:$G,MATCH(A295,$A:$A,0)),""))),LEFT(IFERROR(INDEX($G:$G,MATCH(A295,$A:$A,0)),""),FIND(",",IFERROR(INDEX($G:$G,MATCH(A295,$A:$A,0)),""))-1),IFERROR(INDEX($G:$G,MATCH(A295,$A:$A,0)),"")))))</f>
        <v/>
      </c>
      <c r="AE295" s="18" t="str">
        <f aca="false">IF(AD295="","",IF(IFERROR(INDEX($G:$G,MATCH(AD295,$A:$A,0)),"")="","",TRIM(IF(ISNUMBER(FIND(",",IFERROR(INDEX($G:$G,MATCH(AD295,$A:$A,0)),""))),LEFT(IFERROR(INDEX($G:$G,MATCH(AD295,$A:$A,0)),""),FIND(",",IFERROR(INDEX($G:$G,MATCH(AD295,$A:$A,0)),""))-1),IFERROR(INDEX($G:$G,MATCH(AD295,$A:$A,0)),"")))))</f>
        <v/>
      </c>
      <c r="AF295" s="18" t="str">
        <f aca="false">IF(AE295="","",IF(IFERROR(INDEX($G:$G,MATCH(AE295,$A:$A,0)),"")="","",TRIM(IF(ISNUMBER(FIND(",",IFERROR(INDEX($G:$G,MATCH(AE295,$A:$A,0)),""))),LEFT(IFERROR(INDEX($G:$G,MATCH(AE295,$A:$A,0)),""),FIND(",",IFERROR(INDEX($G:$G,MATCH(AE295,$A:$A,0)),""))-1),IFERROR(INDEX($G:$G,MATCH(AE295,$A:$A,0)),"")))))</f>
        <v/>
      </c>
      <c r="AG295" s="18" t="str">
        <f aca="false">IF(AF295="","",IF(IFERROR(INDEX($G:$G,MATCH(AF295,$A:$A,0)),"")="","",TRIM(IF(ISNUMBER(FIND(",",IFERROR(INDEX($G:$G,MATCH(AF295,$A:$A,0)),""))),LEFT(IFERROR(INDEX($G:$G,MATCH(AF295,$A:$A,0)),""),FIND(",",IFERROR(INDEX($G:$G,MATCH(AF295,$A:$A,0)),""))-1),IFERROR(INDEX($G:$G,MATCH(AF295,$A:$A,0)),"")))))</f>
        <v/>
      </c>
    </row>
    <row r="296" customFormat="false" ht="15" hidden="false" customHeight="false" outlineLevel="0" collapsed="false">
      <c r="A296" s="18"/>
      <c r="B296" s="19"/>
      <c r="C296" s="20"/>
      <c r="D296" s="20"/>
      <c r="E296" s="20"/>
      <c r="F296" s="20"/>
      <c r="G296" s="18"/>
      <c r="H296" s="20"/>
      <c r="I296" s="18"/>
      <c r="J296" s="20"/>
      <c r="K296" s="20"/>
      <c r="L296" s="20"/>
      <c r="M296" s="20"/>
      <c r="N296" s="20"/>
      <c r="O296" s="21" t="str">
        <f aca="false">IF(A296="","",IF(AD296="",0,IF(AE296="",1,IF(AF296="",2,IF(AG296="",3,"4+")))))</f>
        <v/>
      </c>
      <c r="P296" s="21" t="str">
        <f aca="false">IF(A296="","",B296&amp;IF(AD296="",""," &lt;- "&amp;IFERROR(INDEX($B:$B,MATCH(AD296,$A:$A,0)),AD296)&amp;IF(AE296="",""," &lt;- "&amp;IFERROR(INDEX($B:$B,MATCH(AE296,$A:$A,0)),AE296)&amp;IF(AF296="",""," &lt;- "&amp;IFERROR(INDEX($B:$B,MATCH(AF296,$A:$A,0)),AF296)&amp;IF(AG296="",""," &lt;- "&amp;IFERROR(INDEX($B:$B,MATCH(AG296,$A:$A,0)),AG296)))))&amp;IF(ISNUMBER(FIND(",",G296))," (+ other parents)",""))</f>
        <v/>
      </c>
      <c r="Q296" s="21" t="str">
        <f aca="false">IF(A296="","",IF(AD296="",E296&amp;"",IF(AE296="",IF(IFERROR(INDEX($E:$E,MATCH(AD296,$A:$A,0)),"")="","",INDEX($E:$E,MATCH(AD296,$A:$A,0))),IF(AF296="",IF(IFERROR(INDEX($E:$E,MATCH(AE296,$A:$A,0)),"")="","",INDEX($E:$E,MATCH(AE296,$A:$A,0))),IF(AG296="",IF(IFERROR(INDEX($E:$E,MATCH(AF296,$A:$A,0)),"")="","",INDEX($E:$E,MATCH(AF296,$A:$A,0))),IF(IFERROR(INDEX($E:$E,MATCH(AG296,$A:$A,0)),"")="","",INDEX($E:$E,MATCH(AG296,$A:$A,0))))))))</f>
        <v/>
      </c>
      <c r="R296" s="21" t="str">
        <f aca="false">IF(A296="","",COUNTIF(Fields!$D:$D,A296))</f>
        <v/>
      </c>
      <c r="S296" s="21" t="str">
        <f aca="false">IF(A296="","",SUMIF(Fields!$D:$D,A296,Fields!$Q:$Q))</f>
        <v/>
      </c>
      <c r="T296" s="21" t="str">
        <f aca="false">IF(A296="","",COUNTIF('Product inputs'!$D:$D,A296))</f>
        <v/>
      </c>
      <c r="U296" s="20"/>
      <c r="V296" s="20"/>
      <c r="W296" s="20"/>
      <c r="X296" s="20"/>
      <c r="Y296" s="20"/>
      <c r="Z296" s="20"/>
      <c r="AA296" s="20"/>
      <c r="AB296" s="20"/>
      <c r="AC296" s="20"/>
      <c r="AD296" s="18" t="str">
        <f aca="false">IF(A296="","",IF(IFERROR(INDEX($G:$G,MATCH(A296,$A:$A,0)),"")="","",TRIM(IF(ISNUMBER(FIND(",",IFERROR(INDEX($G:$G,MATCH(A296,$A:$A,0)),""))),LEFT(IFERROR(INDEX($G:$G,MATCH(A296,$A:$A,0)),""),FIND(",",IFERROR(INDEX($G:$G,MATCH(A296,$A:$A,0)),""))-1),IFERROR(INDEX($G:$G,MATCH(A296,$A:$A,0)),"")))))</f>
        <v/>
      </c>
      <c r="AE296" s="18" t="str">
        <f aca="false">IF(AD296="","",IF(IFERROR(INDEX($G:$G,MATCH(AD296,$A:$A,0)),"")="","",TRIM(IF(ISNUMBER(FIND(",",IFERROR(INDEX($G:$G,MATCH(AD296,$A:$A,0)),""))),LEFT(IFERROR(INDEX($G:$G,MATCH(AD296,$A:$A,0)),""),FIND(",",IFERROR(INDEX($G:$G,MATCH(AD296,$A:$A,0)),""))-1),IFERROR(INDEX($G:$G,MATCH(AD296,$A:$A,0)),"")))))</f>
        <v/>
      </c>
      <c r="AF296" s="18" t="str">
        <f aca="false">IF(AE296="","",IF(IFERROR(INDEX($G:$G,MATCH(AE296,$A:$A,0)),"")="","",TRIM(IF(ISNUMBER(FIND(",",IFERROR(INDEX($G:$G,MATCH(AE296,$A:$A,0)),""))),LEFT(IFERROR(INDEX($G:$G,MATCH(AE296,$A:$A,0)),""),FIND(",",IFERROR(INDEX($G:$G,MATCH(AE296,$A:$A,0)),""))-1),IFERROR(INDEX($G:$G,MATCH(AE296,$A:$A,0)),"")))))</f>
        <v/>
      </c>
      <c r="AG296" s="18" t="str">
        <f aca="false">IF(AF296="","",IF(IFERROR(INDEX($G:$G,MATCH(AF296,$A:$A,0)),"")="","",TRIM(IF(ISNUMBER(FIND(",",IFERROR(INDEX($G:$G,MATCH(AF296,$A:$A,0)),""))),LEFT(IFERROR(INDEX($G:$G,MATCH(AF296,$A:$A,0)),""),FIND(",",IFERROR(INDEX($G:$G,MATCH(AF296,$A:$A,0)),""))-1),IFERROR(INDEX($G:$G,MATCH(AF296,$A:$A,0)),"")))))</f>
        <v/>
      </c>
    </row>
    <row r="297" customFormat="false" ht="15" hidden="false" customHeight="false" outlineLevel="0" collapsed="false">
      <c r="A297" s="18"/>
      <c r="B297" s="19"/>
      <c r="C297" s="20"/>
      <c r="D297" s="20"/>
      <c r="E297" s="20"/>
      <c r="F297" s="20"/>
      <c r="G297" s="18"/>
      <c r="H297" s="20"/>
      <c r="I297" s="18"/>
      <c r="J297" s="20"/>
      <c r="K297" s="20"/>
      <c r="L297" s="20"/>
      <c r="M297" s="20"/>
      <c r="N297" s="20"/>
      <c r="O297" s="21" t="str">
        <f aca="false">IF(A297="","",IF(AD297="",0,IF(AE297="",1,IF(AF297="",2,IF(AG297="",3,"4+")))))</f>
        <v/>
      </c>
      <c r="P297" s="21" t="str">
        <f aca="false">IF(A297="","",B297&amp;IF(AD297="",""," &lt;- "&amp;IFERROR(INDEX($B:$B,MATCH(AD297,$A:$A,0)),AD297)&amp;IF(AE297="",""," &lt;- "&amp;IFERROR(INDEX($B:$B,MATCH(AE297,$A:$A,0)),AE297)&amp;IF(AF297="",""," &lt;- "&amp;IFERROR(INDEX($B:$B,MATCH(AF297,$A:$A,0)),AF297)&amp;IF(AG297="",""," &lt;- "&amp;IFERROR(INDEX($B:$B,MATCH(AG297,$A:$A,0)),AG297)))))&amp;IF(ISNUMBER(FIND(",",G297))," (+ other parents)",""))</f>
        <v/>
      </c>
      <c r="Q297" s="21" t="str">
        <f aca="false">IF(A297="","",IF(AD297="",E297&amp;"",IF(AE297="",IF(IFERROR(INDEX($E:$E,MATCH(AD297,$A:$A,0)),"")="","",INDEX($E:$E,MATCH(AD297,$A:$A,0))),IF(AF297="",IF(IFERROR(INDEX($E:$E,MATCH(AE297,$A:$A,0)),"")="","",INDEX($E:$E,MATCH(AE297,$A:$A,0))),IF(AG297="",IF(IFERROR(INDEX($E:$E,MATCH(AF297,$A:$A,0)),"")="","",INDEX($E:$E,MATCH(AF297,$A:$A,0))),IF(IFERROR(INDEX($E:$E,MATCH(AG297,$A:$A,0)),"")="","",INDEX($E:$E,MATCH(AG297,$A:$A,0))))))))</f>
        <v/>
      </c>
      <c r="R297" s="21" t="str">
        <f aca="false">IF(A297="","",COUNTIF(Fields!$D:$D,A297))</f>
        <v/>
      </c>
      <c r="S297" s="21" t="str">
        <f aca="false">IF(A297="","",SUMIF(Fields!$D:$D,A297,Fields!$Q:$Q))</f>
        <v/>
      </c>
      <c r="T297" s="21" t="str">
        <f aca="false">IF(A297="","",COUNTIF('Product inputs'!$D:$D,A297))</f>
        <v/>
      </c>
      <c r="U297" s="20"/>
      <c r="V297" s="20"/>
      <c r="W297" s="20"/>
      <c r="X297" s="20"/>
      <c r="Y297" s="20"/>
      <c r="Z297" s="20"/>
      <c r="AA297" s="20"/>
      <c r="AB297" s="20"/>
      <c r="AC297" s="20"/>
      <c r="AD297" s="18" t="str">
        <f aca="false">IF(A297="","",IF(IFERROR(INDEX($G:$G,MATCH(A297,$A:$A,0)),"")="","",TRIM(IF(ISNUMBER(FIND(",",IFERROR(INDEX($G:$G,MATCH(A297,$A:$A,0)),""))),LEFT(IFERROR(INDEX($G:$G,MATCH(A297,$A:$A,0)),""),FIND(",",IFERROR(INDEX($G:$G,MATCH(A297,$A:$A,0)),""))-1),IFERROR(INDEX($G:$G,MATCH(A297,$A:$A,0)),"")))))</f>
        <v/>
      </c>
      <c r="AE297" s="18" t="str">
        <f aca="false">IF(AD297="","",IF(IFERROR(INDEX($G:$G,MATCH(AD297,$A:$A,0)),"")="","",TRIM(IF(ISNUMBER(FIND(",",IFERROR(INDEX($G:$G,MATCH(AD297,$A:$A,0)),""))),LEFT(IFERROR(INDEX($G:$G,MATCH(AD297,$A:$A,0)),""),FIND(",",IFERROR(INDEX($G:$G,MATCH(AD297,$A:$A,0)),""))-1),IFERROR(INDEX($G:$G,MATCH(AD297,$A:$A,0)),"")))))</f>
        <v/>
      </c>
      <c r="AF297" s="18" t="str">
        <f aca="false">IF(AE297="","",IF(IFERROR(INDEX($G:$G,MATCH(AE297,$A:$A,0)),"")="","",TRIM(IF(ISNUMBER(FIND(",",IFERROR(INDEX($G:$G,MATCH(AE297,$A:$A,0)),""))),LEFT(IFERROR(INDEX($G:$G,MATCH(AE297,$A:$A,0)),""),FIND(",",IFERROR(INDEX($G:$G,MATCH(AE297,$A:$A,0)),""))-1),IFERROR(INDEX($G:$G,MATCH(AE297,$A:$A,0)),"")))))</f>
        <v/>
      </c>
      <c r="AG297" s="18" t="str">
        <f aca="false">IF(AF297="","",IF(IFERROR(INDEX($G:$G,MATCH(AF297,$A:$A,0)),"")="","",TRIM(IF(ISNUMBER(FIND(",",IFERROR(INDEX($G:$G,MATCH(AF297,$A:$A,0)),""))),LEFT(IFERROR(INDEX($G:$G,MATCH(AF297,$A:$A,0)),""),FIND(",",IFERROR(INDEX($G:$G,MATCH(AF297,$A:$A,0)),""))-1),IFERROR(INDEX($G:$G,MATCH(AF297,$A:$A,0)),"")))))</f>
        <v/>
      </c>
    </row>
    <row r="298" customFormat="false" ht="15" hidden="false" customHeight="false" outlineLevel="0" collapsed="false">
      <c r="A298" s="18"/>
      <c r="B298" s="19"/>
      <c r="C298" s="20"/>
      <c r="D298" s="20"/>
      <c r="E298" s="20"/>
      <c r="F298" s="20"/>
      <c r="G298" s="18"/>
      <c r="H298" s="20"/>
      <c r="I298" s="18"/>
      <c r="J298" s="20"/>
      <c r="K298" s="20"/>
      <c r="L298" s="20"/>
      <c r="M298" s="20"/>
      <c r="N298" s="20"/>
      <c r="O298" s="21" t="str">
        <f aca="false">IF(A298="","",IF(AD298="",0,IF(AE298="",1,IF(AF298="",2,IF(AG298="",3,"4+")))))</f>
        <v/>
      </c>
      <c r="P298" s="21" t="str">
        <f aca="false">IF(A298="","",B298&amp;IF(AD298="",""," &lt;- "&amp;IFERROR(INDEX($B:$B,MATCH(AD298,$A:$A,0)),AD298)&amp;IF(AE298="",""," &lt;- "&amp;IFERROR(INDEX($B:$B,MATCH(AE298,$A:$A,0)),AE298)&amp;IF(AF298="",""," &lt;- "&amp;IFERROR(INDEX($B:$B,MATCH(AF298,$A:$A,0)),AF298)&amp;IF(AG298="",""," &lt;- "&amp;IFERROR(INDEX($B:$B,MATCH(AG298,$A:$A,0)),AG298)))))&amp;IF(ISNUMBER(FIND(",",G298))," (+ other parents)",""))</f>
        <v/>
      </c>
      <c r="Q298" s="21" t="str">
        <f aca="false">IF(A298="","",IF(AD298="",E298&amp;"",IF(AE298="",IF(IFERROR(INDEX($E:$E,MATCH(AD298,$A:$A,0)),"")="","",INDEX($E:$E,MATCH(AD298,$A:$A,0))),IF(AF298="",IF(IFERROR(INDEX($E:$E,MATCH(AE298,$A:$A,0)),"")="","",INDEX($E:$E,MATCH(AE298,$A:$A,0))),IF(AG298="",IF(IFERROR(INDEX($E:$E,MATCH(AF298,$A:$A,0)),"")="","",INDEX($E:$E,MATCH(AF298,$A:$A,0))),IF(IFERROR(INDEX($E:$E,MATCH(AG298,$A:$A,0)),"")="","",INDEX($E:$E,MATCH(AG298,$A:$A,0))))))))</f>
        <v/>
      </c>
      <c r="R298" s="21" t="str">
        <f aca="false">IF(A298="","",COUNTIF(Fields!$D:$D,A298))</f>
        <v/>
      </c>
      <c r="S298" s="21" t="str">
        <f aca="false">IF(A298="","",SUMIF(Fields!$D:$D,A298,Fields!$Q:$Q))</f>
        <v/>
      </c>
      <c r="T298" s="21" t="str">
        <f aca="false">IF(A298="","",COUNTIF('Product inputs'!$D:$D,A298))</f>
        <v/>
      </c>
      <c r="U298" s="20"/>
      <c r="V298" s="20"/>
      <c r="W298" s="20"/>
      <c r="X298" s="20"/>
      <c r="Y298" s="20"/>
      <c r="Z298" s="20"/>
      <c r="AA298" s="20"/>
      <c r="AB298" s="20"/>
      <c r="AC298" s="20"/>
      <c r="AD298" s="18" t="str">
        <f aca="false">IF(A298="","",IF(IFERROR(INDEX($G:$G,MATCH(A298,$A:$A,0)),"")="","",TRIM(IF(ISNUMBER(FIND(",",IFERROR(INDEX($G:$G,MATCH(A298,$A:$A,0)),""))),LEFT(IFERROR(INDEX($G:$G,MATCH(A298,$A:$A,0)),""),FIND(",",IFERROR(INDEX($G:$G,MATCH(A298,$A:$A,0)),""))-1),IFERROR(INDEX($G:$G,MATCH(A298,$A:$A,0)),"")))))</f>
        <v/>
      </c>
      <c r="AE298" s="18" t="str">
        <f aca="false">IF(AD298="","",IF(IFERROR(INDEX($G:$G,MATCH(AD298,$A:$A,0)),"")="","",TRIM(IF(ISNUMBER(FIND(",",IFERROR(INDEX($G:$G,MATCH(AD298,$A:$A,0)),""))),LEFT(IFERROR(INDEX($G:$G,MATCH(AD298,$A:$A,0)),""),FIND(",",IFERROR(INDEX($G:$G,MATCH(AD298,$A:$A,0)),""))-1),IFERROR(INDEX($G:$G,MATCH(AD298,$A:$A,0)),"")))))</f>
        <v/>
      </c>
      <c r="AF298" s="18" t="str">
        <f aca="false">IF(AE298="","",IF(IFERROR(INDEX($G:$G,MATCH(AE298,$A:$A,0)),"")="","",TRIM(IF(ISNUMBER(FIND(",",IFERROR(INDEX($G:$G,MATCH(AE298,$A:$A,0)),""))),LEFT(IFERROR(INDEX($G:$G,MATCH(AE298,$A:$A,0)),""),FIND(",",IFERROR(INDEX($G:$G,MATCH(AE298,$A:$A,0)),""))-1),IFERROR(INDEX($G:$G,MATCH(AE298,$A:$A,0)),"")))))</f>
        <v/>
      </c>
      <c r="AG298" s="18" t="str">
        <f aca="false">IF(AF298="","",IF(IFERROR(INDEX($G:$G,MATCH(AF298,$A:$A,0)),"")="","",TRIM(IF(ISNUMBER(FIND(",",IFERROR(INDEX($G:$G,MATCH(AF298,$A:$A,0)),""))),LEFT(IFERROR(INDEX($G:$G,MATCH(AF298,$A:$A,0)),""),FIND(",",IFERROR(INDEX($G:$G,MATCH(AF298,$A:$A,0)),""))-1),IFERROR(INDEX($G:$G,MATCH(AF298,$A:$A,0)),"")))))</f>
        <v/>
      </c>
    </row>
    <row r="299" customFormat="false" ht="15" hidden="false" customHeight="false" outlineLevel="0" collapsed="false">
      <c r="A299" s="18"/>
      <c r="B299" s="19"/>
      <c r="C299" s="20"/>
      <c r="D299" s="20"/>
      <c r="E299" s="20"/>
      <c r="F299" s="20"/>
      <c r="G299" s="18"/>
      <c r="H299" s="20"/>
      <c r="I299" s="18"/>
      <c r="J299" s="20"/>
      <c r="K299" s="20"/>
      <c r="L299" s="20"/>
      <c r="M299" s="20"/>
      <c r="N299" s="20"/>
      <c r="O299" s="21" t="str">
        <f aca="false">IF(A299="","",IF(AD299="",0,IF(AE299="",1,IF(AF299="",2,IF(AG299="",3,"4+")))))</f>
        <v/>
      </c>
      <c r="P299" s="21" t="str">
        <f aca="false">IF(A299="","",B299&amp;IF(AD299="",""," &lt;- "&amp;IFERROR(INDEX($B:$B,MATCH(AD299,$A:$A,0)),AD299)&amp;IF(AE299="",""," &lt;- "&amp;IFERROR(INDEX($B:$B,MATCH(AE299,$A:$A,0)),AE299)&amp;IF(AF299="",""," &lt;- "&amp;IFERROR(INDEX($B:$B,MATCH(AF299,$A:$A,0)),AF299)&amp;IF(AG299="",""," &lt;- "&amp;IFERROR(INDEX($B:$B,MATCH(AG299,$A:$A,0)),AG299)))))&amp;IF(ISNUMBER(FIND(",",G299))," (+ other parents)",""))</f>
        <v/>
      </c>
      <c r="Q299" s="21" t="str">
        <f aca="false">IF(A299="","",IF(AD299="",E299&amp;"",IF(AE299="",IF(IFERROR(INDEX($E:$E,MATCH(AD299,$A:$A,0)),"")="","",INDEX($E:$E,MATCH(AD299,$A:$A,0))),IF(AF299="",IF(IFERROR(INDEX($E:$E,MATCH(AE299,$A:$A,0)),"")="","",INDEX($E:$E,MATCH(AE299,$A:$A,0))),IF(AG299="",IF(IFERROR(INDEX($E:$E,MATCH(AF299,$A:$A,0)),"")="","",INDEX($E:$E,MATCH(AF299,$A:$A,0))),IF(IFERROR(INDEX($E:$E,MATCH(AG299,$A:$A,0)),"")="","",INDEX($E:$E,MATCH(AG299,$A:$A,0))))))))</f>
        <v/>
      </c>
      <c r="R299" s="21" t="str">
        <f aca="false">IF(A299="","",COUNTIF(Fields!$D:$D,A299))</f>
        <v/>
      </c>
      <c r="S299" s="21" t="str">
        <f aca="false">IF(A299="","",SUMIF(Fields!$D:$D,A299,Fields!$Q:$Q))</f>
        <v/>
      </c>
      <c r="T299" s="21" t="str">
        <f aca="false">IF(A299="","",COUNTIF('Product inputs'!$D:$D,A299))</f>
        <v/>
      </c>
      <c r="U299" s="20"/>
      <c r="V299" s="20"/>
      <c r="W299" s="20"/>
      <c r="X299" s="20"/>
      <c r="Y299" s="20"/>
      <c r="Z299" s="20"/>
      <c r="AA299" s="20"/>
      <c r="AB299" s="20"/>
      <c r="AC299" s="20"/>
      <c r="AD299" s="18" t="str">
        <f aca="false">IF(A299="","",IF(IFERROR(INDEX($G:$G,MATCH(A299,$A:$A,0)),"")="","",TRIM(IF(ISNUMBER(FIND(",",IFERROR(INDEX($G:$G,MATCH(A299,$A:$A,0)),""))),LEFT(IFERROR(INDEX($G:$G,MATCH(A299,$A:$A,0)),""),FIND(",",IFERROR(INDEX($G:$G,MATCH(A299,$A:$A,0)),""))-1),IFERROR(INDEX($G:$G,MATCH(A299,$A:$A,0)),"")))))</f>
        <v/>
      </c>
      <c r="AE299" s="18" t="str">
        <f aca="false">IF(AD299="","",IF(IFERROR(INDEX($G:$G,MATCH(AD299,$A:$A,0)),"")="","",TRIM(IF(ISNUMBER(FIND(",",IFERROR(INDEX($G:$G,MATCH(AD299,$A:$A,0)),""))),LEFT(IFERROR(INDEX($G:$G,MATCH(AD299,$A:$A,0)),""),FIND(",",IFERROR(INDEX($G:$G,MATCH(AD299,$A:$A,0)),""))-1),IFERROR(INDEX($G:$G,MATCH(AD299,$A:$A,0)),"")))))</f>
        <v/>
      </c>
      <c r="AF299" s="18" t="str">
        <f aca="false">IF(AE299="","",IF(IFERROR(INDEX($G:$G,MATCH(AE299,$A:$A,0)),"")="","",TRIM(IF(ISNUMBER(FIND(",",IFERROR(INDEX($G:$G,MATCH(AE299,$A:$A,0)),""))),LEFT(IFERROR(INDEX($G:$G,MATCH(AE299,$A:$A,0)),""),FIND(",",IFERROR(INDEX($G:$G,MATCH(AE299,$A:$A,0)),""))-1),IFERROR(INDEX($G:$G,MATCH(AE299,$A:$A,0)),"")))))</f>
        <v/>
      </c>
      <c r="AG299" s="18" t="str">
        <f aca="false">IF(AF299="","",IF(IFERROR(INDEX($G:$G,MATCH(AF299,$A:$A,0)),"")="","",TRIM(IF(ISNUMBER(FIND(",",IFERROR(INDEX($G:$G,MATCH(AF299,$A:$A,0)),""))),LEFT(IFERROR(INDEX($G:$G,MATCH(AF299,$A:$A,0)),""),FIND(",",IFERROR(INDEX($G:$G,MATCH(AF299,$A:$A,0)),""))-1),IFERROR(INDEX($G:$G,MATCH(AF299,$A:$A,0)),"")))))</f>
        <v/>
      </c>
    </row>
    <row r="300" customFormat="false" ht="15" hidden="false" customHeight="false" outlineLevel="0" collapsed="false">
      <c r="A300" s="18"/>
      <c r="B300" s="19"/>
      <c r="C300" s="20"/>
      <c r="D300" s="20"/>
      <c r="E300" s="20"/>
      <c r="F300" s="20"/>
      <c r="G300" s="18"/>
      <c r="H300" s="20"/>
      <c r="I300" s="18"/>
      <c r="J300" s="20"/>
      <c r="K300" s="20"/>
      <c r="L300" s="20"/>
      <c r="M300" s="20"/>
      <c r="N300" s="20"/>
      <c r="O300" s="21" t="str">
        <f aca="false">IF(A300="","",IF(AD300="",0,IF(AE300="",1,IF(AF300="",2,IF(AG300="",3,"4+")))))</f>
        <v/>
      </c>
      <c r="P300" s="21" t="str">
        <f aca="false">IF(A300="","",B300&amp;IF(AD300="",""," &lt;- "&amp;IFERROR(INDEX($B:$B,MATCH(AD300,$A:$A,0)),AD300)&amp;IF(AE300="",""," &lt;- "&amp;IFERROR(INDEX($B:$B,MATCH(AE300,$A:$A,0)),AE300)&amp;IF(AF300="",""," &lt;- "&amp;IFERROR(INDEX($B:$B,MATCH(AF300,$A:$A,0)),AF300)&amp;IF(AG300="",""," &lt;- "&amp;IFERROR(INDEX($B:$B,MATCH(AG300,$A:$A,0)),AG300)))))&amp;IF(ISNUMBER(FIND(",",G300))," (+ other parents)",""))</f>
        <v/>
      </c>
      <c r="Q300" s="21" t="str">
        <f aca="false">IF(A300="","",IF(AD300="",E300&amp;"",IF(AE300="",IF(IFERROR(INDEX($E:$E,MATCH(AD300,$A:$A,0)),"")="","",INDEX($E:$E,MATCH(AD300,$A:$A,0))),IF(AF300="",IF(IFERROR(INDEX($E:$E,MATCH(AE300,$A:$A,0)),"")="","",INDEX($E:$E,MATCH(AE300,$A:$A,0))),IF(AG300="",IF(IFERROR(INDEX($E:$E,MATCH(AF300,$A:$A,0)),"")="","",INDEX($E:$E,MATCH(AF300,$A:$A,0))),IF(IFERROR(INDEX($E:$E,MATCH(AG300,$A:$A,0)),"")="","",INDEX($E:$E,MATCH(AG300,$A:$A,0))))))))</f>
        <v/>
      </c>
      <c r="R300" s="21" t="str">
        <f aca="false">IF(A300="","",COUNTIF(Fields!$D:$D,A300))</f>
        <v/>
      </c>
      <c r="S300" s="21" t="str">
        <f aca="false">IF(A300="","",SUMIF(Fields!$D:$D,A300,Fields!$Q:$Q))</f>
        <v/>
      </c>
      <c r="T300" s="21" t="str">
        <f aca="false">IF(A300="","",COUNTIF('Product inputs'!$D:$D,A300))</f>
        <v/>
      </c>
      <c r="U300" s="20"/>
      <c r="V300" s="20"/>
      <c r="W300" s="20"/>
      <c r="X300" s="20"/>
      <c r="Y300" s="20"/>
      <c r="Z300" s="20"/>
      <c r="AA300" s="20"/>
      <c r="AB300" s="20"/>
      <c r="AC300" s="20"/>
      <c r="AD300" s="18" t="str">
        <f aca="false">IF(A300="","",IF(IFERROR(INDEX($G:$G,MATCH(A300,$A:$A,0)),"")="","",TRIM(IF(ISNUMBER(FIND(",",IFERROR(INDEX($G:$G,MATCH(A300,$A:$A,0)),""))),LEFT(IFERROR(INDEX($G:$G,MATCH(A300,$A:$A,0)),""),FIND(",",IFERROR(INDEX($G:$G,MATCH(A300,$A:$A,0)),""))-1),IFERROR(INDEX($G:$G,MATCH(A300,$A:$A,0)),"")))))</f>
        <v/>
      </c>
      <c r="AE300" s="18" t="str">
        <f aca="false">IF(AD300="","",IF(IFERROR(INDEX($G:$G,MATCH(AD300,$A:$A,0)),"")="","",TRIM(IF(ISNUMBER(FIND(",",IFERROR(INDEX($G:$G,MATCH(AD300,$A:$A,0)),""))),LEFT(IFERROR(INDEX($G:$G,MATCH(AD300,$A:$A,0)),""),FIND(",",IFERROR(INDEX($G:$G,MATCH(AD300,$A:$A,0)),""))-1),IFERROR(INDEX($G:$G,MATCH(AD300,$A:$A,0)),"")))))</f>
        <v/>
      </c>
      <c r="AF300" s="18" t="str">
        <f aca="false">IF(AE300="","",IF(IFERROR(INDEX($G:$G,MATCH(AE300,$A:$A,0)),"")="","",TRIM(IF(ISNUMBER(FIND(",",IFERROR(INDEX($G:$G,MATCH(AE300,$A:$A,0)),""))),LEFT(IFERROR(INDEX($G:$G,MATCH(AE300,$A:$A,0)),""),FIND(",",IFERROR(INDEX($G:$G,MATCH(AE300,$A:$A,0)),""))-1),IFERROR(INDEX($G:$G,MATCH(AE300,$A:$A,0)),"")))))</f>
        <v/>
      </c>
      <c r="AG300" s="18" t="str">
        <f aca="false">IF(AF300="","",IF(IFERROR(INDEX($G:$G,MATCH(AF300,$A:$A,0)),"")="","",TRIM(IF(ISNUMBER(FIND(",",IFERROR(INDEX($G:$G,MATCH(AF300,$A:$A,0)),""))),LEFT(IFERROR(INDEX($G:$G,MATCH(AF300,$A:$A,0)),""),FIND(",",IFERROR(INDEX($G:$G,MATCH(AF300,$A:$A,0)),""))-1),IFERROR(INDEX($G:$G,MATCH(AF300,$A:$A,0)),"")))))</f>
        <v/>
      </c>
    </row>
    <row r="301" customFormat="false" ht="15" hidden="false" customHeight="false" outlineLevel="0" collapsed="false">
      <c r="A301" s="18"/>
      <c r="B301" s="19"/>
      <c r="C301" s="20"/>
      <c r="D301" s="20"/>
      <c r="E301" s="20"/>
      <c r="F301" s="20"/>
      <c r="G301" s="18"/>
      <c r="H301" s="20"/>
      <c r="I301" s="18"/>
      <c r="J301" s="20"/>
      <c r="K301" s="20"/>
      <c r="L301" s="20"/>
      <c r="M301" s="20"/>
      <c r="N301" s="20"/>
      <c r="O301" s="21" t="str">
        <f aca="false">IF(A301="","",IF(AD301="",0,IF(AE301="",1,IF(AF301="",2,IF(AG301="",3,"4+")))))</f>
        <v/>
      </c>
      <c r="P301" s="21" t="str">
        <f aca="false">IF(A301="","",B301&amp;IF(AD301="",""," &lt;- "&amp;IFERROR(INDEX($B:$B,MATCH(AD301,$A:$A,0)),AD301)&amp;IF(AE301="",""," &lt;- "&amp;IFERROR(INDEX($B:$B,MATCH(AE301,$A:$A,0)),AE301)&amp;IF(AF301="",""," &lt;- "&amp;IFERROR(INDEX($B:$B,MATCH(AF301,$A:$A,0)),AF301)&amp;IF(AG301="",""," &lt;- "&amp;IFERROR(INDEX($B:$B,MATCH(AG301,$A:$A,0)),AG301)))))&amp;IF(ISNUMBER(FIND(",",G301))," (+ other parents)",""))</f>
        <v/>
      </c>
      <c r="Q301" s="21" t="str">
        <f aca="false">IF(A301="","",IF(AD301="",E301&amp;"",IF(AE301="",IF(IFERROR(INDEX($E:$E,MATCH(AD301,$A:$A,0)),"")="","",INDEX($E:$E,MATCH(AD301,$A:$A,0))),IF(AF301="",IF(IFERROR(INDEX($E:$E,MATCH(AE301,$A:$A,0)),"")="","",INDEX($E:$E,MATCH(AE301,$A:$A,0))),IF(AG301="",IF(IFERROR(INDEX($E:$E,MATCH(AF301,$A:$A,0)),"")="","",INDEX($E:$E,MATCH(AF301,$A:$A,0))),IF(IFERROR(INDEX($E:$E,MATCH(AG301,$A:$A,0)),"")="","",INDEX($E:$E,MATCH(AG301,$A:$A,0))))))))</f>
        <v/>
      </c>
      <c r="R301" s="21" t="str">
        <f aca="false">IF(A301="","",COUNTIF(Fields!$D:$D,A301))</f>
        <v/>
      </c>
      <c r="S301" s="21" t="str">
        <f aca="false">IF(A301="","",SUMIF(Fields!$D:$D,A301,Fields!$Q:$Q))</f>
        <v/>
      </c>
      <c r="T301" s="21" t="str">
        <f aca="false">IF(A301="","",COUNTIF('Product inputs'!$D:$D,A301))</f>
        <v/>
      </c>
      <c r="U301" s="20"/>
      <c r="V301" s="20"/>
      <c r="W301" s="20"/>
      <c r="X301" s="20"/>
      <c r="Y301" s="20"/>
      <c r="Z301" s="20"/>
      <c r="AA301" s="20"/>
      <c r="AB301" s="20"/>
      <c r="AC301" s="20"/>
      <c r="AD301" s="18" t="str">
        <f aca="false">IF(A301="","",IF(IFERROR(INDEX($G:$G,MATCH(A301,$A:$A,0)),"")="","",TRIM(IF(ISNUMBER(FIND(",",IFERROR(INDEX($G:$G,MATCH(A301,$A:$A,0)),""))),LEFT(IFERROR(INDEX($G:$G,MATCH(A301,$A:$A,0)),""),FIND(",",IFERROR(INDEX($G:$G,MATCH(A301,$A:$A,0)),""))-1),IFERROR(INDEX($G:$G,MATCH(A301,$A:$A,0)),"")))))</f>
        <v/>
      </c>
      <c r="AE301" s="18" t="str">
        <f aca="false">IF(AD301="","",IF(IFERROR(INDEX($G:$G,MATCH(AD301,$A:$A,0)),"")="","",TRIM(IF(ISNUMBER(FIND(",",IFERROR(INDEX($G:$G,MATCH(AD301,$A:$A,0)),""))),LEFT(IFERROR(INDEX($G:$G,MATCH(AD301,$A:$A,0)),""),FIND(",",IFERROR(INDEX($G:$G,MATCH(AD301,$A:$A,0)),""))-1),IFERROR(INDEX($G:$G,MATCH(AD301,$A:$A,0)),"")))))</f>
        <v/>
      </c>
      <c r="AF301" s="18" t="str">
        <f aca="false">IF(AE301="","",IF(IFERROR(INDEX($G:$G,MATCH(AE301,$A:$A,0)),"")="","",TRIM(IF(ISNUMBER(FIND(",",IFERROR(INDEX($G:$G,MATCH(AE301,$A:$A,0)),""))),LEFT(IFERROR(INDEX($G:$G,MATCH(AE301,$A:$A,0)),""),FIND(",",IFERROR(INDEX($G:$G,MATCH(AE301,$A:$A,0)),""))-1),IFERROR(INDEX($G:$G,MATCH(AE301,$A:$A,0)),"")))))</f>
        <v/>
      </c>
      <c r="AG301" s="18" t="str">
        <f aca="false">IF(AF301="","",IF(IFERROR(INDEX($G:$G,MATCH(AF301,$A:$A,0)),"")="","",TRIM(IF(ISNUMBER(FIND(",",IFERROR(INDEX($G:$G,MATCH(AF301,$A:$A,0)),""))),LEFT(IFERROR(INDEX($G:$G,MATCH(AF301,$A:$A,0)),""),FIND(",",IFERROR(INDEX($G:$G,MATCH(AF301,$A:$A,0)),""))-1),IFERROR(INDEX($G:$G,MATCH(AF301,$A:$A,0)),"")))))</f>
        <v/>
      </c>
    </row>
    <row r="302" customFormat="false" ht="15" hidden="false" customHeight="false" outlineLevel="0" collapsed="false">
      <c r="A302" s="18"/>
      <c r="B302" s="19"/>
      <c r="C302" s="20"/>
      <c r="D302" s="20"/>
      <c r="E302" s="20"/>
      <c r="F302" s="20"/>
      <c r="G302" s="18"/>
      <c r="H302" s="20"/>
      <c r="I302" s="18"/>
      <c r="J302" s="20"/>
      <c r="K302" s="20"/>
      <c r="L302" s="20"/>
      <c r="M302" s="20"/>
      <c r="N302" s="20"/>
      <c r="O302" s="21" t="str">
        <f aca="false">IF(A302="","",IF(AD302="",0,IF(AE302="",1,IF(AF302="",2,IF(AG302="",3,"4+")))))</f>
        <v/>
      </c>
      <c r="P302" s="21" t="str">
        <f aca="false">IF(A302="","",B302&amp;IF(AD302="",""," &lt;- "&amp;IFERROR(INDEX($B:$B,MATCH(AD302,$A:$A,0)),AD302)&amp;IF(AE302="",""," &lt;- "&amp;IFERROR(INDEX($B:$B,MATCH(AE302,$A:$A,0)),AE302)&amp;IF(AF302="",""," &lt;- "&amp;IFERROR(INDEX($B:$B,MATCH(AF302,$A:$A,0)),AF302)&amp;IF(AG302="",""," &lt;- "&amp;IFERROR(INDEX($B:$B,MATCH(AG302,$A:$A,0)),AG302)))))&amp;IF(ISNUMBER(FIND(",",G302))," (+ other parents)",""))</f>
        <v/>
      </c>
      <c r="Q302" s="21" t="str">
        <f aca="false">IF(A302="","",IF(AD302="",E302&amp;"",IF(AE302="",IF(IFERROR(INDEX($E:$E,MATCH(AD302,$A:$A,0)),"")="","",INDEX($E:$E,MATCH(AD302,$A:$A,0))),IF(AF302="",IF(IFERROR(INDEX($E:$E,MATCH(AE302,$A:$A,0)),"")="","",INDEX($E:$E,MATCH(AE302,$A:$A,0))),IF(AG302="",IF(IFERROR(INDEX($E:$E,MATCH(AF302,$A:$A,0)),"")="","",INDEX($E:$E,MATCH(AF302,$A:$A,0))),IF(IFERROR(INDEX($E:$E,MATCH(AG302,$A:$A,0)),"")="","",INDEX($E:$E,MATCH(AG302,$A:$A,0))))))))</f>
        <v/>
      </c>
      <c r="R302" s="21" t="str">
        <f aca="false">IF(A302="","",COUNTIF(Fields!$D:$D,A302))</f>
        <v/>
      </c>
      <c r="S302" s="21" t="str">
        <f aca="false">IF(A302="","",SUMIF(Fields!$D:$D,A302,Fields!$Q:$Q))</f>
        <v/>
      </c>
      <c r="T302" s="21" t="str">
        <f aca="false">IF(A302="","",COUNTIF('Product inputs'!$D:$D,A302))</f>
        <v/>
      </c>
      <c r="U302" s="20"/>
      <c r="V302" s="20"/>
      <c r="W302" s="20"/>
      <c r="X302" s="20"/>
      <c r="Y302" s="20"/>
      <c r="Z302" s="20"/>
      <c r="AA302" s="20"/>
      <c r="AB302" s="20"/>
      <c r="AC302" s="20"/>
      <c r="AD302" s="18" t="str">
        <f aca="false">IF(A302="","",IF(IFERROR(INDEX($G:$G,MATCH(A302,$A:$A,0)),"")="","",TRIM(IF(ISNUMBER(FIND(",",IFERROR(INDEX($G:$G,MATCH(A302,$A:$A,0)),""))),LEFT(IFERROR(INDEX($G:$G,MATCH(A302,$A:$A,0)),""),FIND(",",IFERROR(INDEX($G:$G,MATCH(A302,$A:$A,0)),""))-1),IFERROR(INDEX($G:$G,MATCH(A302,$A:$A,0)),"")))))</f>
        <v/>
      </c>
      <c r="AE302" s="18" t="str">
        <f aca="false">IF(AD302="","",IF(IFERROR(INDEX($G:$G,MATCH(AD302,$A:$A,0)),"")="","",TRIM(IF(ISNUMBER(FIND(",",IFERROR(INDEX($G:$G,MATCH(AD302,$A:$A,0)),""))),LEFT(IFERROR(INDEX($G:$G,MATCH(AD302,$A:$A,0)),""),FIND(",",IFERROR(INDEX($G:$G,MATCH(AD302,$A:$A,0)),""))-1),IFERROR(INDEX($G:$G,MATCH(AD302,$A:$A,0)),"")))))</f>
        <v/>
      </c>
      <c r="AF302" s="18" t="str">
        <f aca="false">IF(AE302="","",IF(IFERROR(INDEX($G:$G,MATCH(AE302,$A:$A,0)),"")="","",TRIM(IF(ISNUMBER(FIND(",",IFERROR(INDEX($G:$G,MATCH(AE302,$A:$A,0)),""))),LEFT(IFERROR(INDEX($G:$G,MATCH(AE302,$A:$A,0)),""),FIND(",",IFERROR(INDEX($G:$G,MATCH(AE302,$A:$A,0)),""))-1),IFERROR(INDEX($G:$G,MATCH(AE302,$A:$A,0)),"")))))</f>
        <v/>
      </c>
      <c r="AG302" s="18" t="str">
        <f aca="false">IF(AF302="","",IF(IFERROR(INDEX($G:$G,MATCH(AF302,$A:$A,0)),"")="","",TRIM(IF(ISNUMBER(FIND(",",IFERROR(INDEX($G:$G,MATCH(AF302,$A:$A,0)),""))),LEFT(IFERROR(INDEX($G:$G,MATCH(AF302,$A:$A,0)),""),FIND(",",IFERROR(INDEX($G:$G,MATCH(AF302,$A:$A,0)),""))-1),IFERROR(INDEX($G:$G,MATCH(AF302,$A:$A,0)),"")))))</f>
        <v/>
      </c>
    </row>
    <row r="303" customFormat="false" ht="15" hidden="false" customHeight="false" outlineLevel="0" collapsed="false">
      <c r="A303" s="18"/>
      <c r="B303" s="19"/>
      <c r="C303" s="20"/>
      <c r="D303" s="20"/>
      <c r="E303" s="20"/>
      <c r="F303" s="20"/>
      <c r="G303" s="18"/>
      <c r="H303" s="20"/>
      <c r="I303" s="18"/>
      <c r="J303" s="20"/>
      <c r="K303" s="20"/>
      <c r="L303" s="20"/>
      <c r="M303" s="20"/>
      <c r="N303" s="20"/>
      <c r="O303" s="21" t="str">
        <f aca="false">IF(A303="","",IF(AD303="",0,IF(AE303="",1,IF(AF303="",2,IF(AG303="",3,"4+")))))</f>
        <v/>
      </c>
      <c r="P303" s="21" t="str">
        <f aca="false">IF(A303="","",B303&amp;IF(AD303="",""," &lt;- "&amp;IFERROR(INDEX($B:$B,MATCH(AD303,$A:$A,0)),AD303)&amp;IF(AE303="",""," &lt;- "&amp;IFERROR(INDEX($B:$B,MATCH(AE303,$A:$A,0)),AE303)&amp;IF(AF303="",""," &lt;- "&amp;IFERROR(INDEX($B:$B,MATCH(AF303,$A:$A,0)),AF303)&amp;IF(AG303="",""," &lt;- "&amp;IFERROR(INDEX($B:$B,MATCH(AG303,$A:$A,0)),AG303)))))&amp;IF(ISNUMBER(FIND(",",G303))," (+ other parents)",""))</f>
        <v/>
      </c>
      <c r="Q303" s="21" t="str">
        <f aca="false">IF(A303="","",IF(AD303="",E303&amp;"",IF(AE303="",IF(IFERROR(INDEX($E:$E,MATCH(AD303,$A:$A,0)),"")="","",INDEX($E:$E,MATCH(AD303,$A:$A,0))),IF(AF303="",IF(IFERROR(INDEX($E:$E,MATCH(AE303,$A:$A,0)),"")="","",INDEX($E:$E,MATCH(AE303,$A:$A,0))),IF(AG303="",IF(IFERROR(INDEX($E:$E,MATCH(AF303,$A:$A,0)),"")="","",INDEX($E:$E,MATCH(AF303,$A:$A,0))),IF(IFERROR(INDEX($E:$E,MATCH(AG303,$A:$A,0)),"")="","",INDEX($E:$E,MATCH(AG303,$A:$A,0))))))))</f>
        <v/>
      </c>
      <c r="R303" s="21" t="str">
        <f aca="false">IF(A303="","",COUNTIF(Fields!$D:$D,A303))</f>
        <v/>
      </c>
      <c r="S303" s="21" t="str">
        <f aca="false">IF(A303="","",SUMIF(Fields!$D:$D,A303,Fields!$Q:$Q))</f>
        <v/>
      </c>
      <c r="T303" s="21" t="str">
        <f aca="false">IF(A303="","",COUNTIF('Product inputs'!$D:$D,A303))</f>
        <v/>
      </c>
      <c r="U303" s="20"/>
      <c r="V303" s="20"/>
      <c r="W303" s="20"/>
      <c r="X303" s="20"/>
      <c r="Y303" s="20"/>
      <c r="Z303" s="20"/>
      <c r="AA303" s="20"/>
      <c r="AB303" s="20"/>
      <c r="AC303" s="20"/>
      <c r="AD303" s="18" t="str">
        <f aca="false">IF(A303="","",IF(IFERROR(INDEX($G:$G,MATCH(A303,$A:$A,0)),"")="","",TRIM(IF(ISNUMBER(FIND(",",IFERROR(INDEX($G:$G,MATCH(A303,$A:$A,0)),""))),LEFT(IFERROR(INDEX($G:$G,MATCH(A303,$A:$A,0)),""),FIND(",",IFERROR(INDEX($G:$G,MATCH(A303,$A:$A,0)),""))-1),IFERROR(INDEX($G:$G,MATCH(A303,$A:$A,0)),"")))))</f>
        <v/>
      </c>
      <c r="AE303" s="18" t="str">
        <f aca="false">IF(AD303="","",IF(IFERROR(INDEX($G:$G,MATCH(AD303,$A:$A,0)),"")="","",TRIM(IF(ISNUMBER(FIND(",",IFERROR(INDEX($G:$G,MATCH(AD303,$A:$A,0)),""))),LEFT(IFERROR(INDEX($G:$G,MATCH(AD303,$A:$A,0)),""),FIND(",",IFERROR(INDEX($G:$G,MATCH(AD303,$A:$A,0)),""))-1),IFERROR(INDEX($G:$G,MATCH(AD303,$A:$A,0)),"")))))</f>
        <v/>
      </c>
      <c r="AF303" s="18" t="str">
        <f aca="false">IF(AE303="","",IF(IFERROR(INDEX($G:$G,MATCH(AE303,$A:$A,0)),"")="","",TRIM(IF(ISNUMBER(FIND(",",IFERROR(INDEX($G:$G,MATCH(AE303,$A:$A,0)),""))),LEFT(IFERROR(INDEX($G:$G,MATCH(AE303,$A:$A,0)),""),FIND(",",IFERROR(INDEX($G:$G,MATCH(AE303,$A:$A,0)),""))-1),IFERROR(INDEX($G:$G,MATCH(AE303,$A:$A,0)),"")))))</f>
        <v/>
      </c>
      <c r="AG303" s="18" t="str">
        <f aca="false">IF(AF303="","",IF(IFERROR(INDEX($G:$G,MATCH(AF303,$A:$A,0)),"")="","",TRIM(IF(ISNUMBER(FIND(",",IFERROR(INDEX($G:$G,MATCH(AF303,$A:$A,0)),""))),LEFT(IFERROR(INDEX($G:$G,MATCH(AF303,$A:$A,0)),""),FIND(",",IFERROR(INDEX($G:$G,MATCH(AF303,$A:$A,0)),""))-1),IFERROR(INDEX($G:$G,MATCH(AF303,$A:$A,0)),"")))))</f>
        <v/>
      </c>
    </row>
    <row r="304" customFormat="false" ht="15" hidden="false" customHeight="false" outlineLevel="0" collapsed="false">
      <c r="A304" s="18"/>
      <c r="B304" s="19"/>
      <c r="C304" s="20"/>
      <c r="D304" s="20"/>
      <c r="E304" s="20"/>
      <c r="F304" s="20"/>
      <c r="G304" s="18"/>
      <c r="H304" s="20"/>
      <c r="I304" s="18"/>
      <c r="J304" s="20"/>
      <c r="K304" s="20"/>
      <c r="L304" s="20"/>
      <c r="M304" s="20"/>
      <c r="N304" s="20"/>
      <c r="O304" s="21" t="str">
        <f aca="false">IF(A304="","",IF(AD304="",0,IF(AE304="",1,IF(AF304="",2,IF(AG304="",3,"4+")))))</f>
        <v/>
      </c>
      <c r="P304" s="21" t="str">
        <f aca="false">IF(A304="","",B304&amp;IF(AD304="",""," &lt;- "&amp;IFERROR(INDEX($B:$B,MATCH(AD304,$A:$A,0)),AD304)&amp;IF(AE304="",""," &lt;- "&amp;IFERROR(INDEX($B:$B,MATCH(AE304,$A:$A,0)),AE304)&amp;IF(AF304="",""," &lt;- "&amp;IFERROR(INDEX($B:$B,MATCH(AF304,$A:$A,0)),AF304)&amp;IF(AG304="",""," &lt;- "&amp;IFERROR(INDEX($B:$B,MATCH(AG304,$A:$A,0)),AG304)))))&amp;IF(ISNUMBER(FIND(",",G304))," (+ other parents)",""))</f>
        <v/>
      </c>
      <c r="Q304" s="21" t="str">
        <f aca="false">IF(A304="","",IF(AD304="",E304&amp;"",IF(AE304="",IF(IFERROR(INDEX($E:$E,MATCH(AD304,$A:$A,0)),"")="","",INDEX($E:$E,MATCH(AD304,$A:$A,0))),IF(AF304="",IF(IFERROR(INDEX($E:$E,MATCH(AE304,$A:$A,0)),"")="","",INDEX($E:$E,MATCH(AE304,$A:$A,0))),IF(AG304="",IF(IFERROR(INDEX($E:$E,MATCH(AF304,$A:$A,0)),"")="","",INDEX($E:$E,MATCH(AF304,$A:$A,0))),IF(IFERROR(INDEX($E:$E,MATCH(AG304,$A:$A,0)),"")="","",INDEX($E:$E,MATCH(AG304,$A:$A,0))))))))</f>
        <v/>
      </c>
      <c r="R304" s="21" t="str">
        <f aca="false">IF(A304="","",COUNTIF(Fields!$D:$D,A304))</f>
        <v/>
      </c>
      <c r="S304" s="21" t="str">
        <f aca="false">IF(A304="","",SUMIF(Fields!$D:$D,A304,Fields!$Q:$Q))</f>
        <v/>
      </c>
      <c r="T304" s="21" t="str">
        <f aca="false">IF(A304="","",COUNTIF('Product inputs'!$D:$D,A304))</f>
        <v/>
      </c>
      <c r="U304" s="20"/>
      <c r="V304" s="20"/>
      <c r="W304" s="20"/>
      <c r="X304" s="20"/>
      <c r="Y304" s="20"/>
      <c r="Z304" s="20"/>
      <c r="AA304" s="20"/>
      <c r="AB304" s="20"/>
      <c r="AC304" s="20"/>
      <c r="AD304" s="18" t="str">
        <f aca="false">IF(A304="","",IF(IFERROR(INDEX($G:$G,MATCH(A304,$A:$A,0)),"")="","",TRIM(IF(ISNUMBER(FIND(",",IFERROR(INDEX($G:$G,MATCH(A304,$A:$A,0)),""))),LEFT(IFERROR(INDEX($G:$G,MATCH(A304,$A:$A,0)),""),FIND(",",IFERROR(INDEX($G:$G,MATCH(A304,$A:$A,0)),""))-1),IFERROR(INDEX($G:$G,MATCH(A304,$A:$A,0)),"")))))</f>
        <v/>
      </c>
      <c r="AE304" s="18" t="str">
        <f aca="false">IF(AD304="","",IF(IFERROR(INDEX($G:$G,MATCH(AD304,$A:$A,0)),"")="","",TRIM(IF(ISNUMBER(FIND(",",IFERROR(INDEX($G:$G,MATCH(AD304,$A:$A,0)),""))),LEFT(IFERROR(INDEX($G:$G,MATCH(AD304,$A:$A,0)),""),FIND(",",IFERROR(INDEX($G:$G,MATCH(AD304,$A:$A,0)),""))-1),IFERROR(INDEX($G:$G,MATCH(AD304,$A:$A,0)),"")))))</f>
        <v/>
      </c>
      <c r="AF304" s="18" t="str">
        <f aca="false">IF(AE304="","",IF(IFERROR(INDEX($G:$G,MATCH(AE304,$A:$A,0)),"")="","",TRIM(IF(ISNUMBER(FIND(",",IFERROR(INDEX($G:$G,MATCH(AE304,$A:$A,0)),""))),LEFT(IFERROR(INDEX($G:$G,MATCH(AE304,$A:$A,0)),""),FIND(",",IFERROR(INDEX($G:$G,MATCH(AE304,$A:$A,0)),""))-1),IFERROR(INDEX($G:$G,MATCH(AE304,$A:$A,0)),"")))))</f>
        <v/>
      </c>
      <c r="AG304" s="18" t="str">
        <f aca="false">IF(AF304="","",IF(IFERROR(INDEX($G:$G,MATCH(AF304,$A:$A,0)),"")="","",TRIM(IF(ISNUMBER(FIND(",",IFERROR(INDEX($G:$G,MATCH(AF304,$A:$A,0)),""))),LEFT(IFERROR(INDEX($G:$G,MATCH(AF304,$A:$A,0)),""),FIND(",",IFERROR(INDEX($G:$G,MATCH(AF304,$A:$A,0)),""))-1),IFERROR(INDEX($G:$G,MATCH(AF304,$A:$A,0)),"")))))</f>
        <v/>
      </c>
    </row>
  </sheetData>
  <autoFilter ref="A4:AG304"/>
  <conditionalFormatting sqref="O5:O304">
    <cfRule type="cellIs" priority="2" operator="greaterThanOrEqual" aboveAverage="0" equalAverage="0" bottom="0" percent="0" rank="0" text="" dxfId="9">
      <formula>2</formula>
    </cfRule>
    <cfRule type="cellIs" priority="3" operator="equal" aboveAverage="0" equalAverage="0" bottom="0" percent="0" rank="0" text="" dxfId="9">
      <formula>"4+"</formula>
    </cfRule>
  </conditionalFormatting>
  <conditionalFormatting sqref="D5:D304">
    <cfRule type="cellIs" priority="4" operator="equal" aboveAverage="0" equalAverage="0" bottom="0" percent="0" rank="0" text="" dxfId="9">
      <formula>"Manual spreadsheet"</formula>
    </cfRule>
  </conditionalFormatting>
  <conditionalFormatting sqref="J5:J304">
    <cfRule type="cellIs" priority="5" operator="equal" aboveAverage="0" equalAverage="0" bottom="0" percent="0" rank="0" text="" dxfId="9">
      <formula>"Manual run"</formula>
    </cfRule>
    <cfRule type="cellIs" priority="6" operator="equal" aboveAverage="0" equalAverage="0" bottom="0" percent="0" rank="0" text="" dxfId="9">
      <formula>"Manual spreadsheet"</formula>
    </cfRule>
  </conditionalFormatting>
  <conditionalFormatting sqref="V5:V304">
    <cfRule type="cellIs" priority="7" operator="equal" aboveAverage="0" equalAverage="0" bottom="0" percent="0" rank="0" text="" dxfId="9">
      <formula>"Retire"</formula>
    </cfRule>
    <cfRule type="cellIs" priority="8" operator="equal" aboveAverage="0" equalAverage="0" bottom="0" percent="0" rank="0" text="" dxfId="11">
      <formula>"Build"</formula>
    </cfRule>
  </conditionalFormatting>
  <conditionalFormatting sqref="Y5:Y304">
    <cfRule type="cellIs" priority="9" operator="equal" aboveAverage="0" equalAverage="0" bottom="0" percent="0" rank="0" text="" dxfId="10">
      <formula>"Proposed"</formula>
    </cfRule>
  </conditionalFormatting>
  <dataValidations count="9">
    <dataValidation allowBlank="true" errorStyle="stop" operator="between" showDropDown="false" showErrorMessage="false" showInputMessage="false" sqref="D5:D304" type="list">
      <formula1>"HRDW,Team custom,Shared (other team),Manual spreadsheet,Script output file,Platform extract,Other"</formula1>
      <formula2>0</formula2>
    </dataValidation>
    <dataValidation allowBlank="true" errorStyle="stop" operator="between" showDropDown="false" showErrorMessage="false" showInputMessage="false" sqref="E5:E304" type="list">
      <formula1>Platforms!$A$5:$A$44</formula1>
      <formula2>0</formula2>
    </dataValidation>
    <dataValidation allowBlank="true" errorStyle="stop" operator="between" showDropDown="false" showErrorMessage="false" showInputMessage="false" sqref="J5:J304" type="list">
      <formula1>"Scheduled job,Manual run,Manual spreadsheet,Live query,Unknown"</formula1>
      <formula2>0</formula2>
    </dataValidation>
    <dataValidation allowBlank="true" errorStyle="stop" operator="between" showDropDown="false" showErrorMessage="false" showInputMessage="false" sqref="K5:K304" type="list">
      <formula1>"Real time,Daily,Weekly,Monthly,Quarterly,On request,Unknown"</formula1>
      <formula2>0</formula2>
    </dataValidation>
    <dataValidation allowBlank="true" errorStyle="stop" operator="between" showDropDown="false" showErrorMessage="false" showInputMessage="false" sqref="U5:U304" type="list">
      <formula1>"Source tables,Business rules,Certified tables,Reporting"</formula1>
      <formula2>0</formula2>
    </dataValidation>
    <dataValidation allowBlank="true" errorStyle="stop" operator="between" showDropDown="false" showErrorMessage="false" showInputMessage="false" sqref="V5:V304" type="list">
      <formula1>"Keep as is,Build,Fix upstream,Move to business rules,Merge into certified table,Retire,Undecided"</formula1>
      <formula2>0</formula2>
    </dataValidation>
    <dataValidation allowBlank="true" errorStyle="stop" operator="between" showDropDown="false" showErrorMessage="false" showInputMessage="false" sqref="W5:W304" type="list">
      <formula1>"Phase 1,Later,Not traced,Out of scope"</formula1>
      <formula2>0</formula2>
    </dataValidation>
    <dataValidation allowBlank="true" errorStyle="stop" operator="between" showDropDown="false" showErrorMessage="false" showInputMessage="false" sqref="Y5:Y304" type="list">
      <formula1>"Proposed,Accepted,Corrected,Rejected"</formula1>
      <formula2>0</formula2>
    </dataValidation>
    <dataValidation allowBlank="true" errorStyle="stop" operator="between" showDropDown="false" showErrorMessage="false" showInputMessage="false" sqref="AA5:AA304" type="list">
      <formula1>"Found,Inferred,Proposed,Human"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6" min="6" style="0" width="8"/>
    <col collapsed="false" customWidth="true" hidden="false" outlineLevel="0" max="7" min="7" style="0" width="30"/>
    <col collapsed="false" customWidth="true" hidden="false" outlineLevel="0" max="8" min="8" style="0" width="8"/>
    <col collapsed="false" customWidth="true" hidden="false" outlineLevel="0" max="9" min="9" style="0" width="24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20"/>
    <col collapsed="false" customWidth="true" hidden="false" outlineLevel="0" max="13" min="13" style="0" width="12"/>
    <col collapsed="false" customWidth="true" hidden="false" outlineLevel="0" max="14" min="14" style="0" width="22"/>
    <col collapsed="false" customWidth="true" hidden="false" outlineLevel="0" max="15" min="15" style="0" width="16"/>
    <col collapsed="false" customWidth="true" hidden="false" outlineLevel="0" max="16" min="16" style="0" width="12"/>
    <col collapsed="false" customWidth="true" hidden="false" outlineLevel="0" max="17" min="17" style="0" width="36"/>
    <col collapsed="false" customWidth="true" hidden="false" outlineLevel="0" max="18" min="18" style="0" width="11"/>
    <col collapsed="false" customWidth="true" hidden="false" outlineLevel="0" max="19" min="19" style="0" width="26"/>
    <col collapsed="false" customWidth="true" hidden="false" outlineLevel="0" max="20" min="20" style="0" width="11"/>
    <col collapsed="false" customWidth="true" hidden="false" outlineLevel="0" max="21" min="21" style="0" width="12"/>
    <col collapsed="false" customWidth="true" hidden="false" outlineLevel="0" max="22" min="22" style="0" width="14"/>
  </cols>
  <sheetData>
    <row r="1" customFormat="false" ht="17.35" hidden="false" customHeight="false" outlineLevel="0" collapsed="false">
      <c r="A1" s="1" t="s">
        <v>283</v>
      </c>
    </row>
    <row r="2" customFormat="false" ht="15" hidden="false" customHeight="false" outlineLevel="0" collapsed="false">
      <c r="A2" s="2" t="s">
        <v>469</v>
      </c>
    </row>
    <row r="4" customFormat="false" ht="33.75" hidden="false" customHeight="true" outlineLevel="0" collapsed="false">
      <c r="A4" s="16" t="s">
        <v>284</v>
      </c>
      <c r="B4" s="17" t="s">
        <v>97</v>
      </c>
      <c r="C4" s="17" t="s">
        <v>242</v>
      </c>
      <c r="D4" s="17" t="s">
        <v>289</v>
      </c>
      <c r="E4" s="17" t="s">
        <v>292</v>
      </c>
      <c r="F4" s="16" t="s">
        <v>452</v>
      </c>
      <c r="G4" s="17" t="s">
        <v>295</v>
      </c>
      <c r="H4" s="16" t="s">
        <v>470</v>
      </c>
      <c r="I4" s="17" t="s">
        <v>297</v>
      </c>
      <c r="J4" s="16" t="s">
        <v>471</v>
      </c>
      <c r="K4" s="17" t="s">
        <v>299</v>
      </c>
      <c r="L4" s="17" t="s">
        <v>302</v>
      </c>
      <c r="M4" s="17" t="s">
        <v>305</v>
      </c>
      <c r="N4" s="17" t="s">
        <v>307</v>
      </c>
      <c r="O4" s="17" t="s">
        <v>310</v>
      </c>
      <c r="P4" s="17" t="s">
        <v>313</v>
      </c>
      <c r="Q4" s="17" t="s">
        <v>75</v>
      </c>
      <c r="R4" s="17" t="s">
        <v>153</v>
      </c>
      <c r="S4" s="17" t="s">
        <v>156</v>
      </c>
      <c r="T4" s="17" t="s">
        <v>159</v>
      </c>
      <c r="U4" s="17" t="s">
        <v>162</v>
      </c>
      <c r="V4" s="17" t="s">
        <v>165</v>
      </c>
    </row>
    <row r="5" customFormat="false" ht="15" hidden="false" customHeight="false" outlineLevel="0" collapsed="false">
      <c r="A5" s="18"/>
      <c r="B5" s="19"/>
      <c r="C5" s="20"/>
      <c r="D5" s="20"/>
      <c r="E5" s="20"/>
      <c r="F5" s="18"/>
      <c r="G5" s="20"/>
      <c r="H5" s="18"/>
      <c r="I5" s="20"/>
      <c r="J5" s="18"/>
      <c r="K5" s="21" t="str">
        <f aca="false">IF(A5="","",IF(AND(H5&lt;&gt;"",J5&lt;&gt;""),"Both",IF(H5&lt;&gt;"","Builds a table",IF(J5&lt;&gt;"","Feeds a product","Nothing recorded"))))</f>
        <v/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customFormat="false" ht="15" hidden="false" customHeight="false" outlineLevel="0" collapsed="false">
      <c r="A6" s="18"/>
      <c r="B6" s="19"/>
      <c r="C6" s="20"/>
      <c r="D6" s="20"/>
      <c r="E6" s="20"/>
      <c r="F6" s="18"/>
      <c r="G6" s="20"/>
      <c r="H6" s="18"/>
      <c r="I6" s="20"/>
      <c r="J6" s="18"/>
      <c r="K6" s="21" t="str">
        <f aca="false">IF(A6="","",IF(AND(H6&lt;&gt;"",J6&lt;&gt;""),"Both",IF(H6&lt;&gt;"","Builds a table",IF(J6&lt;&gt;"","Feeds a product","Nothing recorded"))))</f>
        <v/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customFormat="false" ht="15" hidden="false" customHeight="false" outlineLevel="0" collapsed="false">
      <c r="A7" s="18"/>
      <c r="B7" s="19"/>
      <c r="C7" s="20"/>
      <c r="D7" s="20"/>
      <c r="E7" s="20"/>
      <c r="F7" s="18"/>
      <c r="G7" s="20"/>
      <c r="H7" s="18"/>
      <c r="I7" s="20"/>
      <c r="J7" s="18"/>
      <c r="K7" s="21" t="str">
        <f aca="false">IF(A7="","",IF(AND(H7&lt;&gt;"",J7&lt;&gt;""),"Both",IF(H7&lt;&gt;"","Builds a table",IF(J7&lt;&gt;"","Feeds a product","Nothing recorded"))))</f>
        <v/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 customFormat="false" ht="15" hidden="false" customHeight="false" outlineLevel="0" collapsed="false">
      <c r="A8" s="18"/>
      <c r="B8" s="19"/>
      <c r="C8" s="20"/>
      <c r="D8" s="20"/>
      <c r="E8" s="20"/>
      <c r="F8" s="18"/>
      <c r="G8" s="20"/>
      <c r="H8" s="18"/>
      <c r="I8" s="20"/>
      <c r="J8" s="18"/>
      <c r="K8" s="21" t="str">
        <f aca="false">IF(A8="","",IF(AND(H8&lt;&gt;"",J8&lt;&gt;""),"Both",IF(H8&lt;&gt;"","Builds a table",IF(J8&lt;&gt;"","Feeds a product","Nothing recorded"))))</f>
        <v/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customFormat="false" ht="15" hidden="false" customHeight="false" outlineLevel="0" collapsed="false">
      <c r="A9" s="18"/>
      <c r="B9" s="19"/>
      <c r="C9" s="20"/>
      <c r="D9" s="20"/>
      <c r="E9" s="20"/>
      <c r="F9" s="18"/>
      <c r="G9" s="20"/>
      <c r="H9" s="18"/>
      <c r="I9" s="20"/>
      <c r="J9" s="18"/>
      <c r="K9" s="21" t="str">
        <f aca="false">IF(A9="","",IF(AND(H9&lt;&gt;"",J9&lt;&gt;""),"Both",IF(H9&lt;&gt;"","Builds a table",IF(J9&lt;&gt;"","Feeds a product","Nothing recorded"))))</f>
        <v/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customFormat="false" ht="15" hidden="false" customHeight="false" outlineLevel="0" collapsed="false">
      <c r="A10" s="18"/>
      <c r="B10" s="19"/>
      <c r="C10" s="20"/>
      <c r="D10" s="20"/>
      <c r="E10" s="20"/>
      <c r="F10" s="18"/>
      <c r="G10" s="20"/>
      <c r="H10" s="18"/>
      <c r="I10" s="20"/>
      <c r="J10" s="18"/>
      <c r="K10" s="21" t="str">
        <f aca="false">IF(A10="","",IF(AND(H10&lt;&gt;"",J10&lt;&gt;""),"Both",IF(H10&lt;&gt;"","Builds a table",IF(J10&lt;&gt;"","Feeds a product","Nothing recorded"))))</f>
        <v/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customFormat="false" ht="15" hidden="false" customHeight="false" outlineLevel="0" collapsed="false">
      <c r="A11" s="18"/>
      <c r="B11" s="19"/>
      <c r="C11" s="20"/>
      <c r="D11" s="20"/>
      <c r="E11" s="20"/>
      <c r="F11" s="18"/>
      <c r="G11" s="20"/>
      <c r="H11" s="18"/>
      <c r="I11" s="20"/>
      <c r="J11" s="18"/>
      <c r="K11" s="21" t="str">
        <f aca="false">IF(A11="","",IF(AND(H11&lt;&gt;"",J11&lt;&gt;""),"Both",IF(H11&lt;&gt;"","Builds a table",IF(J11&lt;&gt;"","Feeds a product","Nothing recorded"))))</f>
        <v/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customFormat="false" ht="15" hidden="false" customHeight="false" outlineLevel="0" collapsed="false">
      <c r="A12" s="18"/>
      <c r="B12" s="19"/>
      <c r="C12" s="20"/>
      <c r="D12" s="20"/>
      <c r="E12" s="20"/>
      <c r="F12" s="18"/>
      <c r="G12" s="20"/>
      <c r="H12" s="18"/>
      <c r="I12" s="20"/>
      <c r="J12" s="18"/>
      <c r="K12" s="21" t="str">
        <f aca="false">IF(A12="","",IF(AND(H12&lt;&gt;"",J12&lt;&gt;""),"Both",IF(H12&lt;&gt;"","Builds a table",IF(J12&lt;&gt;"","Feeds a product","Nothing recorded"))))</f>
        <v/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customFormat="false" ht="15" hidden="false" customHeight="false" outlineLevel="0" collapsed="false">
      <c r="A13" s="18"/>
      <c r="B13" s="19"/>
      <c r="C13" s="20"/>
      <c r="D13" s="20"/>
      <c r="E13" s="20"/>
      <c r="F13" s="18"/>
      <c r="G13" s="20"/>
      <c r="H13" s="18"/>
      <c r="I13" s="20"/>
      <c r="J13" s="18"/>
      <c r="K13" s="21" t="str">
        <f aca="false">IF(A13="","",IF(AND(H13&lt;&gt;"",J13&lt;&gt;""),"Both",IF(H13&lt;&gt;"","Builds a table",IF(J13&lt;&gt;"","Feeds a product","Nothing recorded"))))</f>
        <v/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customFormat="false" ht="15" hidden="false" customHeight="false" outlineLevel="0" collapsed="false">
      <c r="A14" s="18"/>
      <c r="B14" s="19"/>
      <c r="C14" s="20"/>
      <c r="D14" s="20"/>
      <c r="E14" s="20"/>
      <c r="F14" s="18"/>
      <c r="G14" s="20"/>
      <c r="H14" s="18"/>
      <c r="I14" s="20"/>
      <c r="J14" s="18"/>
      <c r="K14" s="21" t="str">
        <f aca="false">IF(A14="","",IF(AND(H14&lt;&gt;"",J14&lt;&gt;""),"Both",IF(H14&lt;&gt;"","Builds a table",IF(J14&lt;&gt;"","Feeds a product","Nothing recorded"))))</f>
        <v/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customFormat="false" ht="15" hidden="false" customHeight="false" outlineLevel="0" collapsed="false">
      <c r="A15" s="18"/>
      <c r="B15" s="19"/>
      <c r="C15" s="20"/>
      <c r="D15" s="20"/>
      <c r="E15" s="20"/>
      <c r="F15" s="18"/>
      <c r="G15" s="20"/>
      <c r="H15" s="18"/>
      <c r="I15" s="20"/>
      <c r="J15" s="18"/>
      <c r="K15" s="21" t="str">
        <f aca="false">IF(A15="","",IF(AND(H15&lt;&gt;"",J15&lt;&gt;""),"Both",IF(H15&lt;&gt;"","Builds a table",IF(J15&lt;&gt;"","Feeds a product","Nothing recorded"))))</f>
        <v/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customFormat="false" ht="15" hidden="false" customHeight="false" outlineLevel="0" collapsed="false">
      <c r="A16" s="18"/>
      <c r="B16" s="19"/>
      <c r="C16" s="20"/>
      <c r="D16" s="20"/>
      <c r="E16" s="20"/>
      <c r="F16" s="18"/>
      <c r="G16" s="20"/>
      <c r="H16" s="18"/>
      <c r="I16" s="20"/>
      <c r="J16" s="18"/>
      <c r="K16" s="21" t="str">
        <f aca="false">IF(A16="","",IF(AND(H16&lt;&gt;"",J16&lt;&gt;""),"Both",IF(H16&lt;&gt;"","Builds a table",IF(J16&lt;&gt;"","Feeds a product","Nothing recorded"))))</f>
        <v/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customFormat="false" ht="15" hidden="false" customHeight="false" outlineLevel="0" collapsed="false">
      <c r="A17" s="18"/>
      <c r="B17" s="19"/>
      <c r="C17" s="20"/>
      <c r="D17" s="20"/>
      <c r="E17" s="20"/>
      <c r="F17" s="18"/>
      <c r="G17" s="20"/>
      <c r="H17" s="18"/>
      <c r="I17" s="20"/>
      <c r="J17" s="18"/>
      <c r="K17" s="21" t="str">
        <f aca="false">IF(A17="","",IF(AND(H17&lt;&gt;"",J17&lt;&gt;""),"Both",IF(H17&lt;&gt;"","Builds a table",IF(J17&lt;&gt;"","Feeds a product","Nothing recorded"))))</f>
        <v/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customFormat="false" ht="15" hidden="false" customHeight="false" outlineLevel="0" collapsed="false">
      <c r="A18" s="18"/>
      <c r="B18" s="19"/>
      <c r="C18" s="20"/>
      <c r="D18" s="20"/>
      <c r="E18" s="20"/>
      <c r="F18" s="18"/>
      <c r="G18" s="20"/>
      <c r="H18" s="18"/>
      <c r="I18" s="20"/>
      <c r="J18" s="18"/>
      <c r="K18" s="21" t="str">
        <f aca="false">IF(A18="","",IF(AND(H18&lt;&gt;"",J18&lt;&gt;""),"Both",IF(H18&lt;&gt;"","Builds a table",IF(J18&lt;&gt;"","Feeds a product","Nothing recorded"))))</f>
        <v/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customFormat="false" ht="15" hidden="false" customHeight="false" outlineLevel="0" collapsed="false">
      <c r="A19" s="18"/>
      <c r="B19" s="19"/>
      <c r="C19" s="20"/>
      <c r="D19" s="20"/>
      <c r="E19" s="20"/>
      <c r="F19" s="18"/>
      <c r="G19" s="20"/>
      <c r="H19" s="18"/>
      <c r="I19" s="20"/>
      <c r="J19" s="18"/>
      <c r="K19" s="21" t="str">
        <f aca="false">IF(A19="","",IF(AND(H19&lt;&gt;"",J19&lt;&gt;""),"Both",IF(H19&lt;&gt;"","Builds a table",IF(J19&lt;&gt;"","Feeds a product","Nothing recorded"))))</f>
        <v/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customFormat="false" ht="15" hidden="false" customHeight="false" outlineLevel="0" collapsed="false">
      <c r="A20" s="18"/>
      <c r="B20" s="19"/>
      <c r="C20" s="20"/>
      <c r="D20" s="20"/>
      <c r="E20" s="20"/>
      <c r="F20" s="18"/>
      <c r="G20" s="20"/>
      <c r="H20" s="18"/>
      <c r="I20" s="20"/>
      <c r="J20" s="18"/>
      <c r="K20" s="21" t="str">
        <f aca="false">IF(A20="","",IF(AND(H20&lt;&gt;"",J20&lt;&gt;""),"Both",IF(H20&lt;&gt;"","Builds a table",IF(J20&lt;&gt;"","Feeds a product","Nothing recorded"))))</f>
        <v/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customFormat="false" ht="15" hidden="false" customHeight="false" outlineLevel="0" collapsed="false">
      <c r="A21" s="18"/>
      <c r="B21" s="19"/>
      <c r="C21" s="20"/>
      <c r="D21" s="20"/>
      <c r="E21" s="20"/>
      <c r="F21" s="18"/>
      <c r="G21" s="20"/>
      <c r="H21" s="18"/>
      <c r="I21" s="20"/>
      <c r="J21" s="18"/>
      <c r="K21" s="21" t="str">
        <f aca="false">IF(A21="","",IF(AND(H21&lt;&gt;"",J21&lt;&gt;""),"Both",IF(H21&lt;&gt;"","Builds a table",IF(J21&lt;&gt;"","Feeds a product","Nothing recorded"))))</f>
        <v/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customFormat="false" ht="15" hidden="false" customHeight="false" outlineLevel="0" collapsed="false">
      <c r="A22" s="18"/>
      <c r="B22" s="19"/>
      <c r="C22" s="20"/>
      <c r="D22" s="20"/>
      <c r="E22" s="20"/>
      <c r="F22" s="18"/>
      <c r="G22" s="20"/>
      <c r="H22" s="18"/>
      <c r="I22" s="20"/>
      <c r="J22" s="18"/>
      <c r="K22" s="21" t="str">
        <f aca="false">IF(A22="","",IF(AND(H22&lt;&gt;"",J22&lt;&gt;""),"Both",IF(H22&lt;&gt;"","Builds a table",IF(J22&lt;&gt;"","Feeds a product","Nothing recorded"))))</f>
        <v/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customFormat="false" ht="15" hidden="false" customHeight="false" outlineLevel="0" collapsed="false">
      <c r="A23" s="18"/>
      <c r="B23" s="19"/>
      <c r="C23" s="20"/>
      <c r="D23" s="20"/>
      <c r="E23" s="20"/>
      <c r="F23" s="18"/>
      <c r="G23" s="20"/>
      <c r="H23" s="18"/>
      <c r="I23" s="20"/>
      <c r="J23" s="18"/>
      <c r="K23" s="21" t="str">
        <f aca="false">IF(A23="","",IF(AND(H23&lt;&gt;"",J23&lt;&gt;""),"Both",IF(H23&lt;&gt;"","Builds a table",IF(J23&lt;&gt;"","Feeds a product","Nothing recorded"))))</f>
        <v/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customFormat="false" ht="15" hidden="false" customHeight="false" outlineLevel="0" collapsed="false">
      <c r="A24" s="18"/>
      <c r="B24" s="19"/>
      <c r="C24" s="20"/>
      <c r="D24" s="20"/>
      <c r="E24" s="20"/>
      <c r="F24" s="18"/>
      <c r="G24" s="20"/>
      <c r="H24" s="18"/>
      <c r="I24" s="20"/>
      <c r="J24" s="18"/>
      <c r="K24" s="21" t="str">
        <f aca="false">IF(A24="","",IF(AND(H24&lt;&gt;"",J24&lt;&gt;""),"Both",IF(H24&lt;&gt;"","Builds a table",IF(J24&lt;&gt;"","Feeds a product","Nothing recorded"))))</f>
        <v/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customFormat="false" ht="15" hidden="false" customHeight="false" outlineLevel="0" collapsed="false">
      <c r="A25" s="18"/>
      <c r="B25" s="19"/>
      <c r="C25" s="20"/>
      <c r="D25" s="20"/>
      <c r="E25" s="20"/>
      <c r="F25" s="18"/>
      <c r="G25" s="20"/>
      <c r="H25" s="18"/>
      <c r="I25" s="20"/>
      <c r="J25" s="18"/>
      <c r="K25" s="21" t="str">
        <f aca="false">IF(A25="","",IF(AND(H25&lt;&gt;"",J25&lt;&gt;""),"Both",IF(H25&lt;&gt;"","Builds a table",IF(J25&lt;&gt;"","Feeds a product","Nothing recorded"))))</f>
        <v/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customFormat="false" ht="15" hidden="false" customHeight="false" outlineLevel="0" collapsed="false">
      <c r="A26" s="18"/>
      <c r="B26" s="19"/>
      <c r="C26" s="20"/>
      <c r="D26" s="20"/>
      <c r="E26" s="20"/>
      <c r="F26" s="18"/>
      <c r="G26" s="20"/>
      <c r="H26" s="18"/>
      <c r="I26" s="20"/>
      <c r="J26" s="18"/>
      <c r="K26" s="21" t="str">
        <f aca="false">IF(A26="","",IF(AND(H26&lt;&gt;"",J26&lt;&gt;""),"Both",IF(H26&lt;&gt;"","Builds a table",IF(J26&lt;&gt;"","Feeds a product","Nothing recorded"))))</f>
        <v/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customFormat="false" ht="15" hidden="false" customHeight="false" outlineLevel="0" collapsed="false">
      <c r="A27" s="18"/>
      <c r="B27" s="19"/>
      <c r="C27" s="20"/>
      <c r="D27" s="20"/>
      <c r="E27" s="20"/>
      <c r="F27" s="18"/>
      <c r="G27" s="20"/>
      <c r="H27" s="18"/>
      <c r="I27" s="20"/>
      <c r="J27" s="18"/>
      <c r="K27" s="21" t="str">
        <f aca="false">IF(A27="","",IF(AND(H27&lt;&gt;"",J27&lt;&gt;""),"Both",IF(H27&lt;&gt;"","Builds a table",IF(J27&lt;&gt;"","Feeds a product","Nothing recorded"))))</f>
        <v/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customFormat="false" ht="15" hidden="false" customHeight="false" outlineLevel="0" collapsed="false">
      <c r="A28" s="18"/>
      <c r="B28" s="19"/>
      <c r="C28" s="20"/>
      <c r="D28" s="20"/>
      <c r="E28" s="20"/>
      <c r="F28" s="18"/>
      <c r="G28" s="20"/>
      <c r="H28" s="18"/>
      <c r="I28" s="20"/>
      <c r="J28" s="18"/>
      <c r="K28" s="21" t="str">
        <f aca="false">IF(A28="","",IF(AND(H28&lt;&gt;"",J28&lt;&gt;""),"Both",IF(H28&lt;&gt;"","Builds a table",IF(J28&lt;&gt;"","Feeds a product","Nothing recorded"))))</f>
        <v/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customFormat="false" ht="15" hidden="false" customHeight="false" outlineLevel="0" collapsed="false">
      <c r="A29" s="18"/>
      <c r="B29" s="19"/>
      <c r="C29" s="20"/>
      <c r="D29" s="20"/>
      <c r="E29" s="20"/>
      <c r="F29" s="18"/>
      <c r="G29" s="20"/>
      <c r="H29" s="18"/>
      <c r="I29" s="20"/>
      <c r="J29" s="18"/>
      <c r="K29" s="21" t="str">
        <f aca="false">IF(A29="","",IF(AND(H29&lt;&gt;"",J29&lt;&gt;""),"Both",IF(H29&lt;&gt;"","Builds a table",IF(J29&lt;&gt;"","Feeds a product","Nothing recorded"))))</f>
        <v/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customFormat="false" ht="15" hidden="false" customHeight="false" outlineLevel="0" collapsed="false">
      <c r="A30" s="18"/>
      <c r="B30" s="19"/>
      <c r="C30" s="20"/>
      <c r="D30" s="20"/>
      <c r="E30" s="20"/>
      <c r="F30" s="18"/>
      <c r="G30" s="20"/>
      <c r="H30" s="18"/>
      <c r="I30" s="20"/>
      <c r="J30" s="18"/>
      <c r="K30" s="21" t="str">
        <f aca="false">IF(A30="","",IF(AND(H30&lt;&gt;"",J30&lt;&gt;""),"Both",IF(H30&lt;&gt;"","Builds a table",IF(J30&lt;&gt;"","Feeds a product","Nothing recorded"))))</f>
        <v/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customFormat="false" ht="15" hidden="false" customHeight="false" outlineLevel="0" collapsed="false">
      <c r="A31" s="18"/>
      <c r="B31" s="19"/>
      <c r="C31" s="20"/>
      <c r="D31" s="20"/>
      <c r="E31" s="20"/>
      <c r="F31" s="18"/>
      <c r="G31" s="20"/>
      <c r="H31" s="18"/>
      <c r="I31" s="20"/>
      <c r="J31" s="18"/>
      <c r="K31" s="21" t="str">
        <f aca="false">IF(A31="","",IF(AND(H31&lt;&gt;"",J31&lt;&gt;""),"Both",IF(H31&lt;&gt;"","Builds a table",IF(J31&lt;&gt;"","Feeds a product","Nothing recorded"))))</f>
        <v/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customFormat="false" ht="15" hidden="false" customHeight="false" outlineLevel="0" collapsed="false">
      <c r="A32" s="18"/>
      <c r="B32" s="19"/>
      <c r="C32" s="20"/>
      <c r="D32" s="20"/>
      <c r="E32" s="20"/>
      <c r="F32" s="18"/>
      <c r="G32" s="20"/>
      <c r="H32" s="18"/>
      <c r="I32" s="20"/>
      <c r="J32" s="18"/>
      <c r="K32" s="21" t="str">
        <f aca="false">IF(A32="","",IF(AND(H32&lt;&gt;"",J32&lt;&gt;""),"Both",IF(H32&lt;&gt;"","Builds a table",IF(J32&lt;&gt;"","Feeds a product","Nothing recorded"))))</f>
        <v/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customFormat="false" ht="15" hidden="false" customHeight="false" outlineLevel="0" collapsed="false">
      <c r="A33" s="18"/>
      <c r="B33" s="19"/>
      <c r="C33" s="20"/>
      <c r="D33" s="20"/>
      <c r="E33" s="20"/>
      <c r="F33" s="18"/>
      <c r="G33" s="20"/>
      <c r="H33" s="18"/>
      <c r="I33" s="20"/>
      <c r="J33" s="18"/>
      <c r="K33" s="21" t="str">
        <f aca="false">IF(A33="","",IF(AND(H33&lt;&gt;"",J33&lt;&gt;""),"Both",IF(H33&lt;&gt;"","Builds a table",IF(J33&lt;&gt;"","Feeds a product","Nothing recorded"))))</f>
        <v/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customFormat="false" ht="15" hidden="false" customHeight="false" outlineLevel="0" collapsed="false">
      <c r="A34" s="18"/>
      <c r="B34" s="19"/>
      <c r="C34" s="20"/>
      <c r="D34" s="20"/>
      <c r="E34" s="20"/>
      <c r="F34" s="18"/>
      <c r="G34" s="20"/>
      <c r="H34" s="18"/>
      <c r="I34" s="20"/>
      <c r="J34" s="18"/>
      <c r="K34" s="21" t="str">
        <f aca="false">IF(A34="","",IF(AND(H34&lt;&gt;"",J34&lt;&gt;""),"Both",IF(H34&lt;&gt;"","Builds a table",IF(J34&lt;&gt;"","Feeds a product","Nothing recorded"))))</f>
        <v/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customFormat="false" ht="15" hidden="false" customHeight="false" outlineLevel="0" collapsed="false">
      <c r="A35" s="18"/>
      <c r="B35" s="19"/>
      <c r="C35" s="20"/>
      <c r="D35" s="20"/>
      <c r="E35" s="20"/>
      <c r="F35" s="18"/>
      <c r="G35" s="20"/>
      <c r="H35" s="18"/>
      <c r="I35" s="20"/>
      <c r="J35" s="18"/>
      <c r="K35" s="21" t="str">
        <f aca="false">IF(A35="","",IF(AND(H35&lt;&gt;"",J35&lt;&gt;""),"Both",IF(H35&lt;&gt;"","Builds a table",IF(J35&lt;&gt;"","Feeds a product","Nothing recorded"))))</f>
        <v/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customFormat="false" ht="15" hidden="false" customHeight="false" outlineLevel="0" collapsed="false">
      <c r="A36" s="18"/>
      <c r="B36" s="19"/>
      <c r="C36" s="20"/>
      <c r="D36" s="20"/>
      <c r="E36" s="20"/>
      <c r="F36" s="18"/>
      <c r="G36" s="20"/>
      <c r="H36" s="18"/>
      <c r="I36" s="20"/>
      <c r="J36" s="18"/>
      <c r="K36" s="21" t="str">
        <f aca="false">IF(A36="","",IF(AND(H36&lt;&gt;"",J36&lt;&gt;""),"Both",IF(H36&lt;&gt;"","Builds a table",IF(J36&lt;&gt;"","Feeds a product","Nothing recorded"))))</f>
        <v/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customFormat="false" ht="15" hidden="false" customHeight="false" outlineLevel="0" collapsed="false">
      <c r="A37" s="18"/>
      <c r="B37" s="19"/>
      <c r="C37" s="20"/>
      <c r="D37" s="20"/>
      <c r="E37" s="20"/>
      <c r="F37" s="18"/>
      <c r="G37" s="20"/>
      <c r="H37" s="18"/>
      <c r="I37" s="20"/>
      <c r="J37" s="18"/>
      <c r="K37" s="21" t="str">
        <f aca="false">IF(A37="","",IF(AND(H37&lt;&gt;"",J37&lt;&gt;""),"Both",IF(H37&lt;&gt;"","Builds a table",IF(J37&lt;&gt;"","Feeds a product","Nothing recorded"))))</f>
        <v/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customFormat="false" ht="15" hidden="false" customHeight="false" outlineLevel="0" collapsed="false">
      <c r="A38" s="18"/>
      <c r="B38" s="19"/>
      <c r="C38" s="20"/>
      <c r="D38" s="20"/>
      <c r="E38" s="20"/>
      <c r="F38" s="18"/>
      <c r="G38" s="20"/>
      <c r="H38" s="18"/>
      <c r="I38" s="20"/>
      <c r="J38" s="18"/>
      <c r="K38" s="21" t="str">
        <f aca="false">IF(A38="","",IF(AND(H38&lt;&gt;"",J38&lt;&gt;""),"Both",IF(H38&lt;&gt;"","Builds a table",IF(J38&lt;&gt;"","Feeds a product","Nothing recorded"))))</f>
        <v/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customFormat="false" ht="15" hidden="false" customHeight="false" outlineLevel="0" collapsed="false">
      <c r="A39" s="18"/>
      <c r="B39" s="19"/>
      <c r="C39" s="20"/>
      <c r="D39" s="20"/>
      <c r="E39" s="20"/>
      <c r="F39" s="18"/>
      <c r="G39" s="20"/>
      <c r="H39" s="18"/>
      <c r="I39" s="20"/>
      <c r="J39" s="18"/>
      <c r="K39" s="21" t="str">
        <f aca="false">IF(A39="","",IF(AND(H39&lt;&gt;"",J39&lt;&gt;""),"Both",IF(H39&lt;&gt;"","Builds a table",IF(J39&lt;&gt;"","Feeds a product","Nothing recorded"))))</f>
        <v/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customFormat="false" ht="15" hidden="false" customHeight="false" outlineLevel="0" collapsed="false">
      <c r="A40" s="18"/>
      <c r="B40" s="19"/>
      <c r="C40" s="20"/>
      <c r="D40" s="20"/>
      <c r="E40" s="20"/>
      <c r="F40" s="18"/>
      <c r="G40" s="20"/>
      <c r="H40" s="18"/>
      <c r="I40" s="20"/>
      <c r="J40" s="18"/>
      <c r="K40" s="21" t="str">
        <f aca="false">IF(A40="","",IF(AND(H40&lt;&gt;"",J40&lt;&gt;""),"Both",IF(H40&lt;&gt;"","Builds a table",IF(J40&lt;&gt;"","Feeds a product","Nothing recorded"))))</f>
        <v/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customFormat="false" ht="15" hidden="false" customHeight="false" outlineLevel="0" collapsed="false">
      <c r="A41" s="18"/>
      <c r="B41" s="19"/>
      <c r="C41" s="20"/>
      <c r="D41" s="20"/>
      <c r="E41" s="20"/>
      <c r="F41" s="18"/>
      <c r="G41" s="20"/>
      <c r="H41" s="18"/>
      <c r="I41" s="20"/>
      <c r="J41" s="18"/>
      <c r="K41" s="21" t="str">
        <f aca="false">IF(A41="","",IF(AND(H41&lt;&gt;"",J41&lt;&gt;""),"Both",IF(H41&lt;&gt;"","Builds a table",IF(J41&lt;&gt;"","Feeds a product","Nothing recorded"))))</f>
        <v/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customFormat="false" ht="15" hidden="false" customHeight="false" outlineLevel="0" collapsed="false">
      <c r="A42" s="18"/>
      <c r="B42" s="19"/>
      <c r="C42" s="20"/>
      <c r="D42" s="20"/>
      <c r="E42" s="20"/>
      <c r="F42" s="18"/>
      <c r="G42" s="20"/>
      <c r="H42" s="18"/>
      <c r="I42" s="20"/>
      <c r="J42" s="18"/>
      <c r="K42" s="21" t="str">
        <f aca="false">IF(A42="","",IF(AND(H42&lt;&gt;"",J42&lt;&gt;""),"Both",IF(H42&lt;&gt;"","Builds a table",IF(J42&lt;&gt;"","Feeds a product","Nothing recorded"))))</f>
        <v/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customFormat="false" ht="15" hidden="false" customHeight="false" outlineLevel="0" collapsed="false">
      <c r="A43" s="18"/>
      <c r="B43" s="19"/>
      <c r="C43" s="20"/>
      <c r="D43" s="20"/>
      <c r="E43" s="20"/>
      <c r="F43" s="18"/>
      <c r="G43" s="20"/>
      <c r="H43" s="18"/>
      <c r="I43" s="20"/>
      <c r="J43" s="18"/>
      <c r="K43" s="21" t="str">
        <f aca="false">IF(A43="","",IF(AND(H43&lt;&gt;"",J43&lt;&gt;""),"Both",IF(H43&lt;&gt;"","Builds a table",IF(J43&lt;&gt;"","Feeds a product","Nothing recorded"))))</f>
        <v/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customFormat="false" ht="15" hidden="false" customHeight="false" outlineLevel="0" collapsed="false">
      <c r="A44" s="18"/>
      <c r="B44" s="19"/>
      <c r="C44" s="20"/>
      <c r="D44" s="20"/>
      <c r="E44" s="20"/>
      <c r="F44" s="18"/>
      <c r="G44" s="20"/>
      <c r="H44" s="18"/>
      <c r="I44" s="20"/>
      <c r="J44" s="18"/>
      <c r="K44" s="21" t="str">
        <f aca="false">IF(A44="","",IF(AND(H44&lt;&gt;"",J44&lt;&gt;""),"Both",IF(H44&lt;&gt;"","Builds a table",IF(J44&lt;&gt;"","Feeds a product","Nothing recorded"))))</f>
        <v/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customFormat="false" ht="15" hidden="false" customHeight="false" outlineLevel="0" collapsed="false">
      <c r="A45" s="18"/>
      <c r="B45" s="19"/>
      <c r="C45" s="20"/>
      <c r="D45" s="20"/>
      <c r="E45" s="20"/>
      <c r="F45" s="18"/>
      <c r="G45" s="20"/>
      <c r="H45" s="18"/>
      <c r="I45" s="20"/>
      <c r="J45" s="18"/>
      <c r="K45" s="21" t="str">
        <f aca="false">IF(A45="","",IF(AND(H45&lt;&gt;"",J45&lt;&gt;""),"Both",IF(H45&lt;&gt;"","Builds a table",IF(J45&lt;&gt;"","Feeds a product","Nothing recorded"))))</f>
        <v/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customFormat="false" ht="15" hidden="false" customHeight="false" outlineLevel="0" collapsed="false">
      <c r="A46" s="18"/>
      <c r="B46" s="19"/>
      <c r="C46" s="20"/>
      <c r="D46" s="20"/>
      <c r="E46" s="20"/>
      <c r="F46" s="18"/>
      <c r="G46" s="20"/>
      <c r="H46" s="18"/>
      <c r="I46" s="20"/>
      <c r="J46" s="18"/>
      <c r="K46" s="21" t="str">
        <f aca="false">IF(A46="","",IF(AND(H46&lt;&gt;"",J46&lt;&gt;""),"Both",IF(H46&lt;&gt;"","Builds a table",IF(J46&lt;&gt;"","Feeds a product","Nothing recorded"))))</f>
        <v/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customFormat="false" ht="15" hidden="false" customHeight="false" outlineLevel="0" collapsed="false">
      <c r="A47" s="18"/>
      <c r="B47" s="19"/>
      <c r="C47" s="20"/>
      <c r="D47" s="20"/>
      <c r="E47" s="20"/>
      <c r="F47" s="18"/>
      <c r="G47" s="20"/>
      <c r="H47" s="18"/>
      <c r="I47" s="20"/>
      <c r="J47" s="18"/>
      <c r="K47" s="21" t="str">
        <f aca="false">IF(A47="","",IF(AND(H47&lt;&gt;"",J47&lt;&gt;""),"Both",IF(H47&lt;&gt;"","Builds a table",IF(J47&lt;&gt;"","Feeds a product","Nothing recorded"))))</f>
        <v/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customFormat="false" ht="15" hidden="false" customHeight="false" outlineLevel="0" collapsed="false">
      <c r="A48" s="18"/>
      <c r="B48" s="19"/>
      <c r="C48" s="20"/>
      <c r="D48" s="20"/>
      <c r="E48" s="20"/>
      <c r="F48" s="18"/>
      <c r="G48" s="20"/>
      <c r="H48" s="18"/>
      <c r="I48" s="20"/>
      <c r="J48" s="18"/>
      <c r="K48" s="21" t="str">
        <f aca="false">IF(A48="","",IF(AND(H48&lt;&gt;"",J48&lt;&gt;""),"Both",IF(H48&lt;&gt;"","Builds a table",IF(J48&lt;&gt;"","Feeds a product","Nothing recorded"))))</f>
        <v/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customFormat="false" ht="15" hidden="false" customHeight="false" outlineLevel="0" collapsed="false">
      <c r="A49" s="18"/>
      <c r="B49" s="19"/>
      <c r="C49" s="20"/>
      <c r="D49" s="20"/>
      <c r="E49" s="20"/>
      <c r="F49" s="18"/>
      <c r="G49" s="20"/>
      <c r="H49" s="18"/>
      <c r="I49" s="20"/>
      <c r="J49" s="18"/>
      <c r="K49" s="21" t="str">
        <f aca="false">IF(A49="","",IF(AND(H49&lt;&gt;"",J49&lt;&gt;""),"Both",IF(H49&lt;&gt;"","Builds a table",IF(J49&lt;&gt;"","Feeds a product","Nothing recorded"))))</f>
        <v/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customFormat="false" ht="15" hidden="false" customHeight="false" outlineLevel="0" collapsed="false">
      <c r="A50" s="18"/>
      <c r="B50" s="19"/>
      <c r="C50" s="20"/>
      <c r="D50" s="20"/>
      <c r="E50" s="20"/>
      <c r="F50" s="18"/>
      <c r="G50" s="20"/>
      <c r="H50" s="18"/>
      <c r="I50" s="20"/>
      <c r="J50" s="18"/>
      <c r="K50" s="21" t="str">
        <f aca="false">IF(A50="","",IF(AND(H50&lt;&gt;"",J50&lt;&gt;""),"Both",IF(H50&lt;&gt;"","Builds a table",IF(J50&lt;&gt;"","Feeds a product","Nothing recorded"))))</f>
        <v/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 customFormat="false" ht="15" hidden="false" customHeight="false" outlineLevel="0" collapsed="false">
      <c r="A51" s="18"/>
      <c r="B51" s="19"/>
      <c r="C51" s="20"/>
      <c r="D51" s="20"/>
      <c r="E51" s="20"/>
      <c r="F51" s="18"/>
      <c r="G51" s="20"/>
      <c r="H51" s="18"/>
      <c r="I51" s="20"/>
      <c r="J51" s="18"/>
      <c r="K51" s="21" t="str">
        <f aca="false">IF(A51="","",IF(AND(H51&lt;&gt;"",J51&lt;&gt;""),"Both",IF(H51&lt;&gt;"","Builds a table",IF(J51&lt;&gt;"","Feeds a product","Nothing recorded"))))</f>
        <v/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</row>
    <row r="52" customFormat="false" ht="15" hidden="false" customHeight="false" outlineLevel="0" collapsed="false">
      <c r="A52" s="18"/>
      <c r="B52" s="19"/>
      <c r="C52" s="20"/>
      <c r="D52" s="20"/>
      <c r="E52" s="20"/>
      <c r="F52" s="18"/>
      <c r="G52" s="20"/>
      <c r="H52" s="18"/>
      <c r="I52" s="20"/>
      <c r="J52" s="18"/>
      <c r="K52" s="21" t="str">
        <f aca="false">IF(A52="","",IF(AND(H52&lt;&gt;"",J52&lt;&gt;""),"Both",IF(H52&lt;&gt;"","Builds a table",IF(J52&lt;&gt;"","Feeds a product","Nothing recorded"))))</f>
        <v/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customFormat="false" ht="15" hidden="false" customHeight="false" outlineLevel="0" collapsed="false">
      <c r="A53" s="18"/>
      <c r="B53" s="19"/>
      <c r="C53" s="20"/>
      <c r="D53" s="20"/>
      <c r="E53" s="20"/>
      <c r="F53" s="18"/>
      <c r="G53" s="20"/>
      <c r="H53" s="18"/>
      <c r="I53" s="20"/>
      <c r="J53" s="18"/>
      <c r="K53" s="21" t="str">
        <f aca="false">IF(A53="","",IF(AND(H53&lt;&gt;"",J53&lt;&gt;""),"Both",IF(H53&lt;&gt;"","Builds a table",IF(J53&lt;&gt;"","Feeds a product","Nothing recorded"))))</f>
        <v/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customFormat="false" ht="15" hidden="false" customHeight="false" outlineLevel="0" collapsed="false">
      <c r="A54" s="18"/>
      <c r="B54" s="19"/>
      <c r="C54" s="20"/>
      <c r="D54" s="20"/>
      <c r="E54" s="20"/>
      <c r="F54" s="18"/>
      <c r="G54" s="20"/>
      <c r="H54" s="18"/>
      <c r="I54" s="20"/>
      <c r="J54" s="18"/>
      <c r="K54" s="21" t="str">
        <f aca="false">IF(A54="","",IF(AND(H54&lt;&gt;"",J54&lt;&gt;""),"Both",IF(H54&lt;&gt;"","Builds a table",IF(J54&lt;&gt;"","Feeds a product","Nothing recorded"))))</f>
        <v/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customFormat="false" ht="15" hidden="false" customHeight="false" outlineLevel="0" collapsed="false">
      <c r="A55" s="18"/>
      <c r="B55" s="19"/>
      <c r="C55" s="20"/>
      <c r="D55" s="20"/>
      <c r="E55" s="20"/>
      <c r="F55" s="18"/>
      <c r="G55" s="20"/>
      <c r="H55" s="18"/>
      <c r="I55" s="20"/>
      <c r="J55" s="18"/>
      <c r="K55" s="21" t="str">
        <f aca="false">IF(A55="","",IF(AND(H55&lt;&gt;"",J55&lt;&gt;""),"Both",IF(H55&lt;&gt;"","Builds a table",IF(J55&lt;&gt;"","Feeds a product","Nothing recorded"))))</f>
        <v/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customFormat="false" ht="15" hidden="false" customHeight="false" outlineLevel="0" collapsed="false">
      <c r="A56" s="18"/>
      <c r="B56" s="19"/>
      <c r="C56" s="20"/>
      <c r="D56" s="20"/>
      <c r="E56" s="20"/>
      <c r="F56" s="18"/>
      <c r="G56" s="20"/>
      <c r="H56" s="18"/>
      <c r="I56" s="20"/>
      <c r="J56" s="18"/>
      <c r="K56" s="21" t="str">
        <f aca="false">IF(A56="","",IF(AND(H56&lt;&gt;"",J56&lt;&gt;""),"Both",IF(H56&lt;&gt;"","Builds a table",IF(J56&lt;&gt;"","Feeds a product","Nothing recorded"))))</f>
        <v/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customFormat="false" ht="15" hidden="false" customHeight="false" outlineLevel="0" collapsed="false">
      <c r="A57" s="18"/>
      <c r="B57" s="19"/>
      <c r="C57" s="20"/>
      <c r="D57" s="20"/>
      <c r="E57" s="20"/>
      <c r="F57" s="18"/>
      <c r="G57" s="20"/>
      <c r="H57" s="18"/>
      <c r="I57" s="20"/>
      <c r="J57" s="18"/>
      <c r="K57" s="21" t="str">
        <f aca="false">IF(A57="","",IF(AND(H57&lt;&gt;"",J57&lt;&gt;""),"Both",IF(H57&lt;&gt;"","Builds a table",IF(J57&lt;&gt;"","Feeds a product","Nothing recorded"))))</f>
        <v/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customFormat="false" ht="15" hidden="false" customHeight="false" outlineLevel="0" collapsed="false">
      <c r="A58" s="18"/>
      <c r="B58" s="19"/>
      <c r="C58" s="20"/>
      <c r="D58" s="20"/>
      <c r="E58" s="20"/>
      <c r="F58" s="18"/>
      <c r="G58" s="20"/>
      <c r="H58" s="18"/>
      <c r="I58" s="20"/>
      <c r="J58" s="18"/>
      <c r="K58" s="21" t="str">
        <f aca="false">IF(A58="","",IF(AND(H58&lt;&gt;"",J58&lt;&gt;""),"Both",IF(H58&lt;&gt;"","Builds a table",IF(J58&lt;&gt;"","Feeds a product","Nothing recorded"))))</f>
        <v/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customFormat="false" ht="15" hidden="false" customHeight="false" outlineLevel="0" collapsed="false">
      <c r="A59" s="18"/>
      <c r="B59" s="19"/>
      <c r="C59" s="20"/>
      <c r="D59" s="20"/>
      <c r="E59" s="20"/>
      <c r="F59" s="18"/>
      <c r="G59" s="20"/>
      <c r="H59" s="18"/>
      <c r="I59" s="20"/>
      <c r="J59" s="18"/>
      <c r="K59" s="21" t="str">
        <f aca="false">IF(A59="","",IF(AND(H59&lt;&gt;"",J59&lt;&gt;""),"Both",IF(H59&lt;&gt;"","Builds a table",IF(J59&lt;&gt;"","Feeds a product","Nothing recorded"))))</f>
        <v/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customFormat="false" ht="15" hidden="false" customHeight="false" outlineLevel="0" collapsed="false">
      <c r="A60" s="18"/>
      <c r="B60" s="19"/>
      <c r="C60" s="20"/>
      <c r="D60" s="20"/>
      <c r="E60" s="20"/>
      <c r="F60" s="18"/>
      <c r="G60" s="20"/>
      <c r="H60" s="18"/>
      <c r="I60" s="20"/>
      <c r="J60" s="18"/>
      <c r="K60" s="21" t="str">
        <f aca="false">IF(A60="","",IF(AND(H60&lt;&gt;"",J60&lt;&gt;""),"Both",IF(H60&lt;&gt;"","Builds a table",IF(J60&lt;&gt;"","Feeds a product","Nothing recorded"))))</f>
        <v/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customFormat="false" ht="15" hidden="false" customHeight="false" outlineLevel="0" collapsed="false">
      <c r="A61" s="18"/>
      <c r="B61" s="19"/>
      <c r="C61" s="20"/>
      <c r="D61" s="20"/>
      <c r="E61" s="20"/>
      <c r="F61" s="18"/>
      <c r="G61" s="20"/>
      <c r="H61" s="18"/>
      <c r="I61" s="20"/>
      <c r="J61" s="18"/>
      <c r="K61" s="21" t="str">
        <f aca="false">IF(A61="","",IF(AND(H61&lt;&gt;"",J61&lt;&gt;""),"Both",IF(H61&lt;&gt;"","Builds a table",IF(J61&lt;&gt;"","Feeds a product","Nothing recorded"))))</f>
        <v/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customFormat="false" ht="15" hidden="false" customHeight="false" outlineLevel="0" collapsed="false">
      <c r="A62" s="18"/>
      <c r="B62" s="19"/>
      <c r="C62" s="20"/>
      <c r="D62" s="20"/>
      <c r="E62" s="20"/>
      <c r="F62" s="18"/>
      <c r="G62" s="20"/>
      <c r="H62" s="18"/>
      <c r="I62" s="20"/>
      <c r="J62" s="18"/>
      <c r="K62" s="21" t="str">
        <f aca="false">IF(A62="","",IF(AND(H62&lt;&gt;"",J62&lt;&gt;""),"Both",IF(H62&lt;&gt;"","Builds a table",IF(J62&lt;&gt;"","Feeds a product","Nothing recorded"))))</f>
        <v/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customFormat="false" ht="15" hidden="false" customHeight="false" outlineLevel="0" collapsed="false">
      <c r="A63" s="18"/>
      <c r="B63" s="19"/>
      <c r="C63" s="20"/>
      <c r="D63" s="20"/>
      <c r="E63" s="20"/>
      <c r="F63" s="18"/>
      <c r="G63" s="20"/>
      <c r="H63" s="18"/>
      <c r="I63" s="20"/>
      <c r="J63" s="18"/>
      <c r="K63" s="21" t="str">
        <f aca="false">IF(A63="","",IF(AND(H63&lt;&gt;"",J63&lt;&gt;""),"Both",IF(H63&lt;&gt;"","Builds a table",IF(J63&lt;&gt;"","Feeds a product","Nothing recorded"))))</f>
        <v/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customFormat="false" ht="15" hidden="false" customHeight="false" outlineLevel="0" collapsed="false">
      <c r="A64" s="18"/>
      <c r="B64" s="19"/>
      <c r="C64" s="20"/>
      <c r="D64" s="20"/>
      <c r="E64" s="20"/>
      <c r="F64" s="18"/>
      <c r="G64" s="20"/>
      <c r="H64" s="18"/>
      <c r="I64" s="20"/>
      <c r="J64" s="18"/>
      <c r="K64" s="21" t="str">
        <f aca="false">IF(A64="","",IF(AND(H64&lt;&gt;"",J64&lt;&gt;""),"Both",IF(H64&lt;&gt;"","Builds a table",IF(J64&lt;&gt;"","Feeds a product","Nothing recorded"))))</f>
        <v/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customFormat="false" ht="15" hidden="false" customHeight="false" outlineLevel="0" collapsed="false">
      <c r="A65" s="18"/>
      <c r="B65" s="19"/>
      <c r="C65" s="20"/>
      <c r="D65" s="20"/>
      <c r="E65" s="20"/>
      <c r="F65" s="18"/>
      <c r="G65" s="20"/>
      <c r="H65" s="18"/>
      <c r="I65" s="20"/>
      <c r="J65" s="18"/>
      <c r="K65" s="21" t="str">
        <f aca="false">IF(A65="","",IF(AND(H65&lt;&gt;"",J65&lt;&gt;""),"Both",IF(H65&lt;&gt;"","Builds a table",IF(J65&lt;&gt;"","Feeds a product","Nothing recorded"))))</f>
        <v/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customFormat="false" ht="15" hidden="false" customHeight="false" outlineLevel="0" collapsed="false">
      <c r="A66" s="18"/>
      <c r="B66" s="19"/>
      <c r="C66" s="20"/>
      <c r="D66" s="20"/>
      <c r="E66" s="20"/>
      <c r="F66" s="18"/>
      <c r="G66" s="20"/>
      <c r="H66" s="18"/>
      <c r="I66" s="20"/>
      <c r="J66" s="18"/>
      <c r="K66" s="21" t="str">
        <f aca="false">IF(A66="","",IF(AND(H66&lt;&gt;"",J66&lt;&gt;""),"Both",IF(H66&lt;&gt;"","Builds a table",IF(J66&lt;&gt;"","Feeds a product","Nothing recorded"))))</f>
        <v/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customFormat="false" ht="15" hidden="false" customHeight="false" outlineLevel="0" collapsed="false">
      <c r="A67" s="18"/>
      <c r="B67" s="19"/>
      <c r="C67" s="20"/>
      <c r="D67" s="20"/>
      <c r="E67" s="20"/>
      <c r="F67" s="18"/>
      <c r="G67" s="20"/>
      <c r="H67" s="18"/>
      <c r="I67" s="20"/>
      <c r="J67" s="18"/>
      <c r="K67" s="21" t="str">
        <f aca="false">IF(A67="","",IF(AND(H67&lt;&gt;"",J67&lt;&gt;""),"Both",IF(H67&lt;&gt;"","Builds a table",IF(J67&lt;&gt;"","Feeds a product","Nothing recorded"))))</f>
        <v/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customFormat="false" ht="15" hidden="false" customHeight="false" outlineLevel="0" collapsed="false">
      <c r="A68" s="18"/>
      <c r="B68" s="19"/>
      <c r="C68" s="20"/>
      <c r="D68" s="20"/>
      <c r="E68" s="20"/>
      <c r="F68" s="18"/>
      <c r="G68" s="20"/>
      <c r="H68" s="18"/>
      <c r="I68" s="20"/>
      <c r="J68" s="18"/>
      <c r="K68" s="21" t="str">
        <f aca="false">IF(A68="","",IF(AND(H68&lt;&gt;"",J68&lt;&gt;""),"Both",IF(H68&lt;&gt;"","Builds a table",IF(J68&lt;&gt;"","Feeds a product","Nothing recorded"))))</f>
        <v/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customFormat="false" ht="15" hidden="false" customHeight="false" outlineLevel="0" collapsed="false">
      <c r="A69" s="18"/>
      <c r="B69" s="19"/>
      <c r="C69" s="20"/>
      <c r="D69" s="20"/>
      <c r="E69" s="20"/>
      <c r="F69" s="18"/>
      <c r="G69" s="20"/>
      <c r="H69" s="18"/>
      <c r="I69" s="20"/>
      <c r="J69" s="18"/>
      <c r="K69" s="21" t="str">
        <f aca="false">IF(A69="","",IF(AND(H69&lt;&gt;"",J69&lt;&gt;""),"Both",IF(H69&lt;&gt;"","Builds a table",IF(J69&lt;&gt;"","Feeds a product","Nothing recorded"))))</f>
        <v/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customFormat="false" ht="15" hidden="false" customHeight="false" outlineLevel="0" collapsed="false">
      <c r="A70" s="18"/>
      <c r="B70" s="19"/>
      <c r="C70" s="20"/>
      <c r="D70" s="20"/>
      <c r="E70" s="20"/>
      <c r="F70" s="18"/>
      <c r="G70" s="20"/>
      <c r="H70" s="18"/>
      <c r="I70" s="20"/>
      <c r="J70" s="18"/>
      <c r="K70" s="21" t="str">
        <f aca="false">IF(A70="","",IF(AND(H70&lt;&gt;"",J70&lt;&gt;""),"Both",IF(H70&lt;&gt;"","Builds a table",IF(J70&lt;&gt;"","Feeds a product","Nothing recorded"))))</f>
        <v/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customFormat="false" ht="15" hidden="false" customHeight="false" outlineLevel="0" collapsed="false">
      <c r="A71" s="18"/>
      <c r="B71" s="19"/>
      <c r="C71" s="20"/>
      <c r="D71" s="20"/>
      <c r="E71" s="20"/>
      <c r="F71" s="18"/>
      <c r="G71" s="20"/>
      <c r="H71" s="18"/>
      <c r="I71" s="20"/>
      <c r="J71" s="18"/>
      <c r="K71" s="21" t="str">
        <f aca="false">IF(A71="","",IF(AND(H71&lt;&gt;"",J71&lt;&gt;""),"Both",IF(H71&lt;&gt;"","Builds a table",IF(J71&lt;&gt;"","Feeds a product","Nothing recorded"))))</f>
        <v/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customFormat="false" ht="15" hidden="false" customHeight="false" outlineLevel="0" collapsed="false">
      <c r="A72" s="18"/>
      <c r="B72" s="19"/>
      <c r="C72" s="20"/>
      <c r="D72" s="20"/>
      <c r="E72" s="20"/>
      <c r="F72" s="18"/>
      <c r="G72" s="20"/>
      <c r="H72" s="18"/>
      <c r="I72" s="20"/>
      <c r="J72" s="18"/>
      <c r="K72" s="21" t="str">
        <f aca="false">IF(A72="","",IF(AND(H72&lt;&gt;"",J72&lt;&gt;""),"Both",IF(H72&lt;&gt;"","Builds a table",IF(J72&lt;&gt;"","Feeds a product","Nothing recorded"))))</f>
        <v/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customFormat="false" ht="15" hidden="false" customHeight="false" outlineLevel="0" collapsed="false">
      <c r="A73" s="18"/>
      <c r="B73" s="19"/>
      <c r="C73" s="20"/>
      <c r="D73" s="20"/>
      <c r="E73" s="20"/>
      <c r="F73" s="18"/>
      <c r="G73" s="20"/>
      <c r="H73" s="18"/>
      <c r="I73" s="20"/>
      <c r="J73" s="18"/>
      <c r="K73" s="21" t="str">
        <f aca="false">IF(A73="","",IF(AND(H73&lt;&gt;"",J73&lt;&gt;""),"Both",IF(H73&lt;&gt;"","Builds a table",IF(J73&lt;&gt;"","Feeds a product","Nothing recorded"))))</f>
        <v/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customFormat="false" ht="15" hidden="false" customHeight="false" outlineLevel="0" collapsed="false">
      <c r="A74" s="18"/>
      <c r="B74" s="19"/>
      <c r="C74" s="20"/>
      <c r="D74" s="20"/>
      <c r="E74" s="20"/>
      <c r="F74" s="18"/>
      <c r="G74" s="20"/>
      <c r="H74" s="18"/>
      <c r="I74" s="20"/>
      <c r="J74" s="18"/>
      <c r="K74" s="21" t="str">
        <f aca="false">IF(A74="","",IF(AND(H74&lt;&gt;"",J74&lt;&gt;""),"Both",IF(H74&lt;&gt;"","Builds a table",IF(J74&lt;&gt;"","Feeds a product","Nothing recorded"))))</f>
        <v/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customFormat="false" ht="15" hidden="false" customHeight="false" outlineLevel="0" collapsed="false">
      <c r="A75" s="18"/>
      <c r="B75" s="19"/>
      <c r="C75" s="20"/>
      <c r="D75" s="20"/>
      <c r="E75" s="20"/>
      <c r="F75" s="18"/>
      <c r="G75" s="20"/>
      <c r="H75" s="18"/>
      <c r="I75" s="20"/>
      <c r="J75" s="18"/>
      <c r="K75" s="21" t="str">
        <f aca="false">IF(A75="","",IF(AND(H75&lt;&gt;"",J75&lt;&gt;""),"Both",IF(H75&lt;&gt;"","Builds a table",IF(J75&lt;&gt;"","Feeds a product","Nothing recorded"))))</f>
        <v/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customFormat="false" ht="15" hidden="false" customHeight="false" outlineLevel="0" collapsed="false">
      <c r="A76" s="18"/>
      <c r="B76" s="19"/>
      <c r="C76" s="20"/>
      <c r="D76" s="20"/>
      <c r="E76" s="20"/>
      <c r="F76" s="18"/>
      <c r="G76" s="20"/>
      <c r="H76" s="18"/>
      <c r="I76" s="20"/>
      <c r="J76" s="18"/>
      <c r="K76" s="21" t="str">
        <f aca="false">IF(A76="","",IF(AND(H76&lt;&gt;"",J76&lt;&gt;""),"Both",IF(H76&lt;&gt;"","Builds a table",IF(J76&lt;&gt;"","Feeds a product","Nothing recorded"))))</f>
        <v/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customFormat="false" ht="15" hidden="false" customHeight="false" outlineLevel="0" collapsed="false">
      <c r="A77" s="18"/>
      <c r="B77" s="19"/>
      <c r="C77" s="20"/>
      <c r="D77" s="20"/>
      <c r="E77" s="20"/>
      <c r="F77" s="18"/>
      <c r="G77" s="20"/>
      <c r="H77" s="18"/>
      <c r="I77" s="20"/>
      <c r="J77" s="18"/>
      <c r="K77" s="21" t="str">
        <f aca="false">IF(A77="","",IF(AND(H77&lt;&gt;"",J77&lt;&gt;""),"Both",IF(H77&lt;&gt;"","Builds a table",IF(J77&lt;&gt;"","Feeds a product","Nothing recorded"))))</f>
        <v/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customFormat="false" ht="15" hidden="false" customHeight="false" outlineLevel="0" collapsed="false">
      <c r="A78" s="18"/>
      <c r="B78" s="19"/>
      <c r="C78" s="20"/>
      <c r="D78" s="20"/>
      <c r="E78" s="20"/>
      <c r="F78" s="18"/>
      <c r="G78" s="20"/>
      <c r="H78" s="18"/>
      <c r="I78" s="20"/>
      <c r="J78" s="18"/>
      <c r="K78" s="21" t="str">
        <f aca="false">IF(A78="","",IF(AND(H78&lt;&gt;"",J78&lt;&gt;""),"Both",IF(H78&lt;&gt;"","Builds a table",IF(J78&lt;&gt;"","Feeds a product","Nothing recorded"))))</f>
        <v/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customFormat="false" ht="15" hidden="false" customHeight="false" outlineLevel="0" collapsed="false">
      <c r="A79" s="18"/>
      <c r="B79" s="19"/>
      <c r="C79" s="20"/>
      <c r="D79" s="20"/>
      <c r="E79" s="20"/>
      <c r="F79" s="18"/>
      <c r="G79" s="20"/>
      <c r="H79" s="18"/>
      <c r="I79" s="20"/>
      <c r="J79" s="18"/>
      <c r="K79" s="21" t="str">
        <f aca="false">IF(A79="","",IF(AND(H79&lt;&gt;"",J79&lt;&gt;""),"Both",IF(H79&lt;&gt;"","Builds a table",IF(J79&lt;&gt;"","Feeds a product","Nothing recorded"))))</f>
        <v/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customFormat="false" ht="15" hidden="false" customHeight="false" outlineLevel="0" collapsed="false">
      <c r="A80" s="18"/>
      <c r="B80" s="19"/>
      <c r="C80" s="20"/>
      <c r="D80" s="20"/>
      <c r="E80" s="20"/>
      <c r="F80" s="18"/>
      <c r="G80" s="20"/>
      <c r="H80" s="18"/>
      <c r="I80" s="20"/>
      <c r="J80" s="18"/>
      <c r="K80" s="21" t="str">
        <f aca="false">IF(A80="","",IF(AND(H80&lt;&gt;"",J80&lt;&gt;""),"Both",IF(H80&lt;&gt;"","Builds a table",IF(J80&lt;&gt;"","Feeds a product","Nothing recorded"))))</f>
        <v/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customFormat="false" ht="15" hidden="false" customHeight="false" outlineLevel="0" collapsed="false">
      <c r="A81" s="18"/>
      <c r="B81" s="19"/>
      <c r="C81" s="20"/>
      <c r="D81" s="20"/>
      <c r="E81" s="20"/>
      <c r="F81" s="18"/>
      <c r="G81" s="20"/>
      <c r="H81" s="18"/>
      <c r="I81" s="20"/>
      <c r="J81" s="18"/>
      <c r="K81" s="21" t="str">
        <f aca="false">IF(A81="","",IF(AND(H81&lt;&gt;"",J81&lt;&gt;""),"Both",IF(H81&lt;&gt;"","Builds a table",IF(J81&lt;&gt;"","Feeds a product","Nothing recorded"))))</f>
        <v/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customFormat="false" ht="15" hidden="false" customHeight="false" outlineLevel="0" collapsed="false">
      <c r="A82" s="18"/>
      <c r="B82" s="19"/>
      <c r="C82" s="20"/>
      <c r="D82" s="20"/>
      <c r="E82" s="20"/>
      <c r="F82" s="18"/>
      <c r="G82" s="20"/>
      <c r="H82" s="18"/>
      <c r="I82" s="20"/>
      <c r="J82" s="18"/>
      <c r="K82" s="21" t="str">
        <f aca="false">IF(A82="","",IF(AND(H82&lt;&gt;"",J82&lt;&gt;""),"Both",IF(H82&lt;&gt;"","Builds a table",IF(J82&lt;&gt;"","Feeds a product","Nothing recorded"))))</f>
        <v/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customFormat="false" ht="15" hidden="false" customHeight="false" outlineLevel="0" collapsed="false">
      <c r="A83" s="18"/>
      <c r="B83" s="19"/>
      <c r="C83" s="20"/>
      <c r="D83" s="20"/>
      <c r="E83" s="20"/>
      <c r="F83" s="18"/>
      <c r="G83" s="20"/>
      <c r="H83" s="18"/>
      <c r="I83" s="20"/>
      <c r="J83" s="18"/>
      <c r="K83" s="21" t="str">
        <f aca="false">IF(A83="","",IF(AND(H83&lt;&gt;"",J83&lt;&gt;""),"Both",IF(H83&lt;&gt;"","Builds a table",IF(J83&lt;&gt;"","Feeds a product","Nothing recorded"))))</f>
        <v/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customFormat="false" ht="15" hidden="false" customHeight="false" outlineLevel="0" collapsed="false">
      <c r="A84" s="18"/>
      <c r="B84" s="19"/>
      <c r="C84" s="20"/>
      <c r="D84" s="20"/>
      <c r="E84" s="20"/>
      <c r="F84" s="18"/>
      <c r="G84" s="20"/>
      <c r="H84" s="18"/>
      <c r="I84" s="20"/>
      <c r="J84" s="18"/>
      <c r="K84" s="21" t="str">
        <f aca="false">IF(A84="","",IF(AND(H84&lt;&gt;"",J84&lt;&gt;""),"Both",IF(H84&lt;&gt;"","Builds a table",IF(J84&lt;&gt;"","Feeds a product","Nothing recorded"))))</f>
        <v/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customFormat="false" ht="15" hidden="false" customHeight="false" outlineLevel="0" collapsed="false">
      <c r="A85" s="18"/>
      <c r="B85" s="19"/>
      <c r="C85" s="20"/>
      <c r="D85" s="20"/>
      <c r="E85" s="20"/>
      <c r="F85" s="18"/>
      <c r="G85" s="20"/>
      <c r="H85" s="18"/>
      <c r="I85" s="20"/>
      <c r="J85" s="18"/>
      <c r="K85" s="21" t="str">
        <f aca="false">IF(A85="","",IF(AND(H85&lt;&gt;"",J85&lt;&gt;""),"Both",IF(H85&lt;&gt;"","Builds a table",IF(J85&lt;&gt;"","Feeds a product","Nothing recorded"))))</f>
        <v/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customFormat="false" ht="15" hidden="false" customHeight="false" outlineLevel="0" collapsed="false">
      <c r="A86" s="18"/>
      <c r="B86" s="19"/>
      <c r="C86" s="20"/>
      <c r="D86" s="20"/>
      <c r="E86" s="20"/>
      <c r="F86" s="18"/>
      <c r="G86" s="20"/>
      <c r="H86" s="18"/>
      <c r="I86" s="20"/>
      <c r="J86" s="18"/>
      <c r="K86" s="21" t="str">
        <f aca="false">IF(A86="","",IF(AND(H86&lt;&gt;"",J86&lt;&gt;""),"Both",IF(H86&lt;&gt;"","Builds a table",IF(J86&lt;&gt;"","Feeds a product","Nothing recorded"))))</f>
        <v/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customFormat="false" ht="15" hidden="false" customHeight="false" outlineLevel="0" collapsed="false">
      <c r="A87" s="18"/>
      <c r="B87" s="19"/>
      <c r="C87" s="20"/>
      <c r="D87" s="20"/>
      <c r="E87" s="20"/>
      <c r="F87" s="18"/>
      <c r="G87" s="20"/>
      <c r="H87" s="18"/>
      <c r="I87" s="20"/>
      <c r="J87" s="18"/>
      <c r="K87" s="21" t="str">
        <f aca="false">IF(A87="","",IF(AND(H87&lt;&gt;"",J87&lt;&gt;""),"Both",IF(H87&lt;&gt;"","Builds a table",IF(J87&lt;&gt;"","Feeds a product","Nothing recorded"))))</f>
        <v/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customFormat="false" ht="15" hidden="false" customHeight="false" outlineLevel="0" collapsed="false">
      <c r="A88" s="18"/>
      <c r="B88" s="19"/>
      <c r="C88" s="20"/>
      <c r="D88" s="20"/>
      <c r="E88" s="20"/>
      <c r="F88" s="18"/>
      <c r="G88" s="20"/>
      <c r="H88" s="18"/>
      <c r="I88" s="20"/>
      <c r="J88" s="18"/>
      <c r="K88" s="21" t="str">
        <f aca="false">IF(A88="","",IF(AND(H88&lt;&gt;"",J88&lt;&gt;""),"Both",IF(H88&lt;&gt;"","Builds a table",IF(J88&lt;&gt;"","Feeds a product","Nothing recorded"))))</f>
        <v/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customFormat="false" ht="15" hidden="false" customHeight="false" outlineLevel="0" collapsed="false">
      <c r="A89" s="18"/>
      <c r="B89" s="19"/>
      <c r="C89" s="20"/>
      <c r="D89" s="20"/>
      <c r="E89" s="20"/>
      <c r="F89" s="18"/>
      <c r="G89" s="20"/>
      <c r="H89" s="18"/>
      <c r="I89" s="20"/>
      <c r="J89" s="18"/>
      <c r="K89" s="21" t="str">
        <f aca="false">IF(A89="","",IF(AND(H89&lt;&gt;"",J89&lt;&gt;""),"Both",IF(H89&lt;&gt;"","Builds a table",IF(J89&lt;&gt;"","Feeds a product","Nothing recorded"))))</f>
        <v/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customFormat="false" ht="15" hidden="false" customHeight="false" outlineLevel="0" collapsed="false">
      <c r="A90" s="18"/>
      <c r="B90" s="19"/>
      <c r="C90" s="20"/>
      <c r="D90" s="20"/>
      <c r="E90" s="20"/>
      <c r="F90" s="18"/>
      <c r="G90" s="20"/>
      <c r="H90" s="18"/>
      <c r="I90" s="20"/>
      <c r="J90" s="18"/>
      <c r="K90" s="21" t="str">
        <f aca="false">IF(A90="","",IF(AND(H90&lt;&gt;"",J90&lt;&gt;""),"Both",IF(H90&lt;&gt;"","Builds a table",IF(J90&lt;&gt;"","Feeds a product","Nothing recorded"))))</f>
        <v/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customFormat="false" ht="15" hidden="false" customHeight="false" outlineLevel="0" collapsed="false">
      <c r="A91" s="18"/>
      <c r="B91" s="19"/>
      <c r="C91" s="20"/>
      <c r="D91" s="20"/>
      <c r="E91" s="20"/>
      <c r="F91" s="18"/>
      <c r="G91" s="20"/>
      <c r="H91" s="18"/>
      <c r="I91" s="20"/>
      <c r="J91" s="18"/>
      <c r="K91" s="21" t="str">
        <f aca="false">IF(A91="","",IF(AND(H91&lt;&gt;"",J91&lt;&gt;""),"Both",IF(H91&lt;&gt;"","Builds a table",IF(J91&lt;&gt;"","Feeds a product","Nothing recorded"))))</f>
        <v/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customFormat="false" ht="15" hidden="false" customHeight="false" outlineLevel="0" collapsed="false">
      <c r="A92" s="18"/>
      <c r="B92" s="19"/>
      <c r="C92" s="20"/>
      <c r="D92" s="20"/>
      <c r="E92" s="20"/>
      <c r="F92" s="18"/>
      <c r="G92" s="20"/>
      <c r="H92" s="18"/>
      <c r="I92" s="20"/>
      <c r="J92" s="18"/>
      <c r="K92" s="21" t="str">
        <f aca="false">IF(A92="","",IF(AND(H92&lt;&gt;"",J92&lt;&gt;""),"Both",IF(H92&lt;&gt;"","Builds a table",IF(J92&lt;&gt;"","Feeds a product","Nothing recorded"))))</f>
        <v/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customFormat="false" ht="15" hidden="false" customHeight="false" outlineLevel="0" collapsed="false">
      <c r="A93" s="18"/>
      <c r="B93" s="19"/>
      <c r="C93" s="20"/>
      <c r="D93" s="20"/>
      <c r="E93" s="20"/>
      <c r="F93" s="18"/>
      <c r="G93" s="20"/>
      <c r="H93" s="18"/>
      <c r="I93" s="20"/>
      <c r="J93" s="18"/>
      <c r="K93" s="21" t="str">
        <f aca="false">IF(A93="","",IF(AND(H93&lt;&gt;"",J93&lt;&gt;""),"Both",IF(H93&lt;&gt;"","Builds a table",IF(J93&lt;&gt;"","Feeds a product","Nothing recorded"))))</f>
        <v/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customFormat="false" ht="15" hidden="false" customHeight="false" outlineLevel="0" collapsed="false">
      <c r="A94" s="18"/>
      <c r="B94" s="19"/>
      <c r="C94" s="20"/>
      <c r="D94" s="20"/>
      <c r="E94" s="20"/>
      <c r="F94" s="18"/>
      <c r="G94" s="20"/>
      <c r="H94" s="18"/>
      <c r="I94" s="20"/>
      <c r="J94" s="18"/>
      <c r="K94" s="21" t="str">
        <f aca="false">IF(A94="","",IF(AND(H94&lt;&gt;"",J94&lt;&gt;""),"Both",IF(H94&lt;&gt;"","Builds a table",IF(J94&lt;&gt;"","Feeds a product","Nothing recorded"))))</f>
        <v/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customFormat="false" ht="15" hidden="false" customHeight="false" outlineLevel="0" collapsed="false">
      <c r="A95" s="18"/>
      <c r="B95" s="19"/>
      <c r="C95" s="20"/>
      <c r="D95" s="20"/>
      <c r="E95" s="20"/>
      <c r="F95" s="18"/>
      <c r="G95" s="20"/>
      <c r="H95" s="18"/>
      <c r="I95" s="20"/>
      <c r="J95" s="18"/>
      <c r="K95" s="21" t="str">
        <f aca="false">IF(A95="","",IF(AND(H95&lt;&gt;"",J95&lt;&gt;""),"Both",IF(H95&lt;&gt;"","Builds a table",IF(J95&lt;&gt;"","Feeds a product","Nothing recorded"))))</f>
        <v/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customFormat="false" ht="15" hidden="false" customHeight="false" outlineLevel="0" collapsed="false">
      <c r="A96" s="18"/>
      <c r="B96" s="19"/>
      <c r="C96" s="20"/>
      <c r="D96" s="20"/>
      <c r="E96" s="20"/>
      <c r="F96" s="18"/>
      <c r="G96" s="20"/>
      <c r="H96" s="18"/>
      <c r="I96" s="20"/>
      <c r="J96" s="18"/>
      <c r="K96" s="21" t="str">
        <f aca="false">IF(A96="","",IF(AND(H96&lt;&gt;"",J96&lt;&gt;""),"Both",IF(H96&lt;&gt;"","Builds a table",IF(J96&lt;&gt;"","Feeds a product","Nothing recorded"))))</f>
        <v/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customFormat="false" ht="15" hidden="false" customHeight="false" outlineLevel="0" collapsed="false">
      <c r="A97" s="18"/>
      <c r="B97" s="19"/>
      <c r="C97" s="20"/>
      <c r="D97" s="20"/>
      <c r="E97" s="20"/>
      <c r="F97" s="18"/>
      <c r="G97" s="20"/>
      <c r="H97" s="18"/>
      <c r="I97" s="20"/>
      <c r="J97" s="18"/>
      <c r="K97" s="21" t="str">
        <f aca="false">IF(A97="","",IF(AND(H97&lt;&gt;"",J97&lt;&gt;""),"Both",IF(H97&lt;&gt;"","Builds a table",IF(J97&lt;&gt;"","Feeds a product","Nothing recorded"))))</f>
        <v/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customFormat="false" ht="15" hidden="false" customHeight="false" outlineLevel="0" collapsed="false">
      <c r="A98" s="18"/>
      <c r="B98" s="19"/>
      <c r="C98" s="20"/>
      <c r="D98" s="20"/>
      <c r="E98" s="20"/>
      <c r="F98" s="18"/>
      <c r="G98" s="20"/>
      <c r="H98" s="18"/>
      <c r="I98" s="20"/>
      <c r="J98" s="18"/>
      <c r="K98" s="21" t="str">
        <f aca="false">IF(A98="","",IF(AND(H98&lt;&gt;"",J98&lt;&gt;""),"Both",IF(H98&lt;&gt;"","Builds a table",IF(J98&lt;&gt;"","Feeds a product","Nothing recorded"))))</f>
        <v/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customFormat="false" ht="15" hidden="false" customHeight="false" outlineLevel="0" collapsed="false">
      <c r="A99" s="18"/>
      <c r="B99" s="19"/>
      <c r="C99" s="20"/>
      <c r="D99" s="20"/>
      <c r="E99" s="20"/>
      <c r="F99" s="18"/>
      <c r="G99" s="20"/>
      <c r="H99" s="18"/>
      <c r="I99" s="20"/>
      <c r="J99" s="18"/>
      <c r="K99" s="21" t="str">
        <f aca="false">IF(A99="","",IF(AND(H99&lt;&gt;"",J99&lt;&gt;""),"Both",IF(H99&lt;&gt;"","Builds a table",IF(J99&lt;&gt;"","Feeds a product","Nothing recorded"))))</f>
        <v/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customFormat="false" ht="15" hidden="false" customHeight="false" outlineLevel="0" collapsed="false">
      <c r="A100" s="18"/>
      <c r="B100" s="19"/>
      <c r="C100" s="20"/>
      <c r="D100" s="20"/>
      <c r="E100" s="20"/>
      <c r="F100" s="18"/>
      <c r="G100" s="20"/>
      <c r="H100" s="18"/>
      <c r="I100" s="20"/>
      <c r="J100" s="18"/>
      <c r="K100" s="21" t="str">
        <f aca="false">IF(A100="","",IF(AND(H100&lt;&gt;"",J100&lt;&gt;""),"Both",IF(H100&lt;&gt;"","Builds a table",IF(J100&lt;&gt;"","Feeds a product","Nothing recorded"))))</f>
        <v/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customFormat="false" ht="15" hidden="false" customHeight="false" outlineLevel="0" collapsed="false">
      <c r="A101" s="18"/>
      <c r="B101" s="19"/>
      <c r="C101" s="20"/>
      <c r="D101" s="20"/>
      <c r="E101" s="20"/>
      <c r="F101" s="18"/>
      <c r="G101" s="20"/>
      <c r="H101" s="18"/>
      <c r="I101" s="20"/>
      <c r="J101" s="18"/>
      <c r="K101" s="21" t="str">
        <f aca="false">IF(A101="","",IF(AND(H101&lt;&gt;"",J101&lt;&gt;""),"Both",IF(H101&lt;&gt;"","Builds a table",IF(J101&lt;&gt;"","Feeds a product","Nothing recorded"))))</f>
        <v/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customFormat="false" ht="15" hidden="false" customHeight="false" outlineLevel="0" collapsed="false">
      <c r="A102" s="18"/>
      <c r="B102" s="19"/>
      <c r="C102" s="20"/>
      <c r="D102" s="20"/>
      <c r="E102" s="20"/>
      <c r="F102" s="18"/>
      <c r="G102" s="20"/>
      <c r="H102" s="18"/>
      <c r="I102" s="20"/>
      <c r="J102" s="18"/>
      <c r="K102" s="21" t="str">
        <f aca="false">IF(A102="","",IF(AND(H102&lt;&gt;"",J102&lt;&gt;""),"Both",IF(H102&lt;&gt;"","Builds a table",IF(J102&lt;&gt;"","Feeds a product","Nothing recorded"))))</f>
        <v/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customFormat="false" ht="15" hidden="false" customHeight="false" outlineLevel="0" collapsed="false">
      <c r="A103" s="18"/>
      <c r="B103" s="19"/>
      <c r="C103" s="20"/>
      <c r="D103" s="20"/>
      <c r="E103" s="20"/>
      <c r="F103" s="18"/>
      <c r="G103" s="20"/>
      <c r="H103" s="18"/>
      <c r="I103" s="20"/>
      <c r="J103" s="18"/>
      <c r="K103" s="21" t="str">
        <f aca="false">IF(A103="","",IF(AND(H103&lt;&gt;"",J103&lt;&gt;""),"Both",IF(H103&lt;&gt;"","Builds a table",IF(J103&lt;&gt;"","Feeds a product","Nothing recorded"))))</f>
        <v/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customFormat="false" ht="15" hidden="false" customHeight="false" outlineLevel="0" collapsed="false">
      <c r="A104" s="18"/>
      <c r="B104" s="19"/>
      <c r="C104" s="20"/>
      <c r="D104" s="20"/>
      <c r="E104" s="20"/>
      <c r="F104" s="18"/>
      <c r="G104" s="20"/>
      <c r="H104" s="18"/>
      <c r="I104" s="20"/>
      <c r="J104" s="18"/>
      <c r="K104" s="21" t="str">
        <f aca="false">IF(A104="","",IF(AND(H104&lt;&gt;"",J104&lt;&gt;""),"Both",IF(H104&lt;&gt;"","Builds a table",IF(J104&lt;&gt;"","Feeds a product","Nothing recorded"))))</f>
        <v/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customFormat="false" ht="15" hidden="false" customHeight="false" outlineLevel="0" collapsed="false">
      <c r="A105" s="18"/>
      <c r="B105" s="19"/>
      <c r="C105" s="20"/>
      <c r="D105" s="20"/>
      <c r="E105" s="20"/>
      <c r="F105" s="18"/>
      <c r="G105" s="20"/>
      <c r="H105" s="18"/>
      <c r="I105" s="20"/>
      <c r="J105" s="18"/>
      <c r="K105" s="21" t="str">
        <f aca="false">IF(A105="","",IF(AND(H105&lt;&gt;"",J105&lt;&gt;""),"Both",IF(H105&lt;&gt;"","Builds a table",IF(J105&lt;&gt;"","Feeds a product","Nothing recorded"))))</f>
        <v/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customFormat="false" ht="15" hidden="false" customHeight="false" outlineLevel="0" collapsed="false">
      <c r="A106" s="18"/>
      <c r="B106" s="19"/>
      <c r="C106" s="20"/>
      <c r="D106" s="20"/>
      <c r="E106" s="20"/>
      <c r="F106" s="18"/>
      <c r="G106" s="20"/>
      <c r="H106" s="18"/>
      <c r="I106" s="20"/>
      <c r="J106" s="18"/>
      <c r="K106" s="21" t="str">
        <f aca="false">IF(A106="","",IF(AND(H106&lt;&gt;"",J106&lt;&gt;""),"Both",IF(H106&lt;&gt;"","Builds a table",IF(J106&lt;&gt;"","Feeds a product","Nothing recorded"))))</f>
        <v/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customFormat="false" ht="15" hidden="false" customHeight="false" outlineLevel="0" collapsed="false">
      <c r="A107" s="18"/>
      <c r="B107" s="19"/>
      <c r="C107" s="20"/>
      <c r="D107" s="20"/>
      <c r="E107" s="20"/>
      <c r="F107" s="18"/>
      <c r="G107" s="20"/>
      <c r="H107" s="18"/>
      <c r="I107" s="20"/>
      <c r="J107" s="18"/>
      <c r="K107" s="21" t="str">
        <f aca="false">IF(A107="","",IF(AND(H107&lt;&gt;"",J107&lt;&gt;""),"Both",IF(H107&lt;&gt;"","Builds a table",IF(J107&lt;&gt;"","Feeds a product","Nothing recorded"))))</f>
        <v/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customFormat="false" ht="15" hidden="false" customHeight="false" outlineLevel="0" collapsed="false">
      <c r="A108" s="18"/>
      <c r="B108" s="19"/>
      <c r="C108" s="20"/>
      <c r="D108" s="20"/>
      <c r="E108" s="20"/>
      <c r="F108" s="18"/>
      <c r="G108" s="20"/>
      <c r="H108" s="18"/>
      <c r="I108" s="20"/>
      <c r="J108" s="18"/>
      <c r="K108" s="21" t="str">
        <f aca="false">IF(A108="","",IF(AND(H108&lt;&gt;"",J108&lt;&gt;""),"Both",IF(H108&lt;&gt;"","Builds a table",IF(J108&lt;&gt;"","Feeds a product","Nothing recorded"))))</f>
        <v/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customFormat="false" ht="15" hidden="false" customHeight="false" outlineLevel="0" collapsed="false">
      <c r="A109" s="18"/>
      <c r="B109" s="19"/>
      <c r="C109" s="20"/>
      <c r="D109" s="20"/>
      <c r="E109" s="20"/>
      <c r="F109" s="18"/>
      <c r="G109" s="20"/>
      <c r="H109" s="18"/>
      <c r="I109" s="20"/>
      <c r="J109" s="18"/>
      <c r="K109" s="21" t="str">
        <f aca="false">IF(A109="","",IF(AND(H109&lt;&gt;"",J109&lt;&gt;""),"Both",IF(H109&lt;&gt;"","Builds a table",IF(J109&lt;&gt;"","Feeds a product","Nothing recorded"))))</f>
        <v/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customFormat="false" ht="15" hidden="false" customHeight="false" outlineLevel="0" collapsed="false">
      <c r="A110" s="18"/>
      <c r="B110" s="19"/>
      <c r="C110" s="20"/>
      <c r="D110" s="20"/>
      <c r="E110" s="20"/>
      <c r="F110" s="18"/>
      <c r="G110" s="20"/>
      <c r="H110" s="18"/>
      <c r="I110" s="20"/>
      <c r="J110" s="18"/>
      <c r="K110" s="21" t="str">
        <f aca="false">IF(A110="","",IF(AND(H110&lt;&gt;"",J110&lt;&gt;""),"Both",IF(H110&lt;&gt;"","Builds a table",IF(J110&lt;&gt;"","Feeds a product","Nothing recorded"))))</f>
        <v/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customFormat="false" ht="15" hidden="false" customHeight="false" outlineLevel="0" collapsed="false">
      <c r="A111" s="18"/>
      <c r="B111" s="19"/>
      <c r="C111" s="20"/>
      <c r="D111" s="20"/>
      <c r="E111" s="20"/>
      <c r="F111" s="18"/>
      <c r="G111" s="20"/>
      <c r="H111" s="18"/>
      <c r="I111" s="20"/>
      <c r="J111" s="18"/>
      <c r="K111" s="21" t="str">
        <f aca="false">IF(A111="","",IF(AND(H111&lt;&gt;"",J111&lt;&gt;""),"Both",IF(H111&lt;&gt;"","Builds a table",IF(J111&lt;&gt;"","Feeds a product","Nothing recorded"))))</f>
        <v/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customFormat="false" ht="15" hidden="false" customHeight="false" outlineLevel="0" collapsed="false">
      <c r="A112" s="18"/>
      <c r="B112" s="19"/>
      <c r="C112" s="20"/>
      <c r="D112" s="20"/>
      <c r="E112" s="20"/>
      <c r="F112" s="18"/>
      <c r="G112" s="20"/>
      <c r="H112" s="18"/>
      <c r="I112" s="20"/>
      <c r="J112" s="18"/>
      <c r="K112" s="21" t="str">
        <f aca="false">IF(A112="","",IF(AND(H112&lt;&gt;"",J112&lt;&gt;""),"Both",IF(H112&lt;&gt;"","Builds a table",IF(J112&lt;&gt;"","Feeds a product","Nothing recorded"))))</f>
        <v/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customFormat="false" ht="15" hidden="false" customHeight="false" outlineLevel="0" collapsed="false">
      <c r="A113" s="18"/>
      <c r="B113" s="19"/>
      <c r="C113" s="20"/>
      <c r="D113" s="20"/>
      <c r="E113" s="20"/>
      <c r="F113" s="18"/>
      <c r="G113" s="20"/>
      <c r="H113" s="18"/>
      <c r="I113" s="20"/>
      <c r="J113" s="18"/>
      <c r="K113" s="21" t="str">
        <f aca="false">IF(A113="","",IF(AND(H113&lt;&gt;"",J113&lt;&gt;""),"Both",IF(H113&lt;&gt;"","Builds a table",IF(J113&lt;&gt;"","Feeds a product","Nothing recorded"))))</f>
        <v/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customFormat="false" ht="15" hidden="false" customHeight="false" outlineLevel="0" collapsed="false">
      <c r="A114" s="18"/>
      <c r="B114" s="19"/>
      <c r="C114" s="20"/>
      <c r="D114" s="20"/>
      <c r="E114" s="20"/>
      <c r="F114" s="18"/>
      <c r="G114" s="20"/>
      <c r="H114" s="18"/>
      <c r="I114" s="20"/>
      <c r="J114" s="18"/>
      <c r="K114" s="21" t="str">
        <f aca="false">IF(A114="","",IF(AND(H114&lt;&gt;"",J114&lt;&gt;""),"Both",IF(H114&lt;&gt;"","Builds a table",IF(J114&lt;&gt;"","Feeds a product","Nothing recorded"))))</f>
        <v/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customFormat="false" ht="15" hidden="false" customHeight="false" outlineLevel="0" collapsed="false">
      <c r="A115" s="18"/>
      <c r="B115" s="19"/>
      <c r="C115" s="20"/>
      <c r="D115" s="20"/>
      <c r="E115" s="20"/>
      <c r="F115" s="18"/>
      <c r="G115" s="20"/>
      <c r="H115" s="18"/>
      <c r="I115" s="20"/>
      <c r="J115" s="18"/>
      <c r="K115" s="21" t="str">
        <f aca="false">IF(A115="","",IF(AND(H115&lt;&gt;"",J115&lt;&gt;""),"Both",IF(H115&lt;&gt;"","Builds a table",IF(J115&lt;&gt;"","Feeds a product","Nothing recorded"))))</f>
        <v/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customFormat="false" ht="15" hidden="false" customHeight="false" outlineLevel="0" collapsed="false">
      <c r="A116" s="18"/>
      <c r="B116" s="19"/>
      <c r="C116" s="20"/>
      <c r="D116" s="20"/>
      <c r="E116" s="20"/>
      <c r="F116" s="18"/>
      <c r="G116" s="20"/>
      <c r="H116" s="18"/>
      <c r="I116" s="20"/>
      <c r="J116" s="18"/>
      <c r="K116" s="21" t="str">
        <f aca="false">IF(A116="","",IF(AND(H116&lt;&gt;"",J116&lt;&gt;""),"Both",IF(H116&lt;&gt;"","Builds a table",IF(J116&lt;&gt;"","Feeds a product","Nothing recorded"))))</f>
        <v/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customFormat="false" ht="15" hidden="false" customHeight="false" outlineLevel="0" collapsed="false">
      <c r="A117" s="18"/>
      <c r="B117" s="19"/>
      <c r="C117" s="20"/>
      <c r="D117" s="20"/>
      <c r="E117" s="20"/>
      <c r="F117" s="18"/>
      <c r="G117" s="20"/>
      <c r="H117" s="18"/>
      <c r="I117" s="20"/>
      <c r="J117" s="18"/>
      <c r="K117" s="21" t="str">
        <f aca="false">IF(A117="","",IF(AND(H117&lt;&gt;"",J117&lt;&gt;""),"Both",IF(H117&lt;&gt;"","Builds a table",IF(J117&lt;&gt;"","Feeds a product","Nothing recorded"))))</f>
        <v/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customFormat="false" ht="15" hidden="false" customHeight="false" outlineLevel="0" collapsed="false">
      <c r="A118" s="18"/>
      <c r="B118" s="19"/>
      <c r="C118" s="20"/>
      <c r="D118" s="20"/>
      <c r="E118" s="20"/>
      <c r="F118" s="18"/>
      <c r="G118" s="20"/>
      <c r="H118" s="18"/>
      <c r="I118" s="20"/>
      <c r="J118" s="18"/>
      <c r="K118" s="21" t="str">
        <f aca="false">IF(A118="","",IF(AND(H118&lt;&gt;"",J118&lt;&gt;""),"Both",IF(H118&lt;&gt;"","Builds a table",IF(J118&lt;&gt;"","Feeds a product","Nothing recorded"))))</f>
        <v/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customFormat="false" ht="15" hidden="false" customHeight="false" outlineLevel="0" collapsed="false">
      <c r="A119" s="18"/>
      <c r="B119" s="19"/>
      <c r="C119" s="20"/>
      <c r="D119" s="20"/>
      <c r="E119" s="20"/>
      <c r="F119" s="18"/>
      <c r="G119" s="20"/>
      <c r="H119" s="18"/>
      <c r="I119" s="20"/>
      <c r="J119" s="18"/>
      <c r="K119" s="21" t="str">
        <f aca="false">IF(A119="","",IF(AND(H119&lt;&gt;"",J119&lt;&gt;""),"Both",IF(H119&lt;&gt;"","Builds a table",IF(J119&lt;&gt;"","Feeds a product","Nothing recorded"))))</f>
        <v/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customFormat="false" ht="15" hidden="false" customHeight="false" outlineLevel="0" collapsed="false">
      <c r="A120" s="18"/>
      <c r="B120" s="19"/>
      <c r="C120" s="20"/>
      <c r="D120" s="20"/>
      <c r="E120" s="20"/>
      <c r="F120" s="18"/>
      <c r="G120" s="20"/>
      <c r="H120" s="18"/>
      <c r="I120" s="20"/>
      <c r="J120" s="18"/>
      <c r="K120" s="21" t="str">
        <f aca="false">IF(A120="","",IF(AND(H120&lt;&gt;"",J120&lt;&gt;""),"Both",IF(H120&lt;&gt;"","Builds a table",IF(J120&lt;&gt;"","Feeds a product","Nothing recorded"))))</f>
        <v/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customFormat="false" ht="15" hidden="false" customHeight="false" outlineLevel="0" collapsed="false">
      <c r="A121" s="18"/>
      <c r="B121" s="19"/>
      <c r="C121" s="20"/>
      <c r="D121" s="20"/>
      <c r="E121" s="20"/>
      <c r="F121" s="18"/>
      <c r="G121" s="20"/>
      <c r="H121" s="18"/>
      <c r="I121" s="20"/>
      <c r="J121" s="18"/>
      <c r="K121" s="21" t="str">
        <f aca="false">IF(A121="","",IF(AND(H121&lt;&gt;"",J121&lt;&gt;""),"Both",IF(H121&lt;&gt;"","Builds a table",IF(J121&lt;&gt;"","Feeds a product","Nothing recorded"))))</f>
        <v/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customFormat="false" ht="15" hidden="false" customHeight="false" outlineLevel="0" collapsed="false">
      <c r="A122" s="18"/>
      <c r="B122" s="19"/>
      <c r="C122" s="20"/>
      <c r="D122" s="20"/>
      <c r="E122" s="20"/>
      <c r="F122" s="18"/>
      <c r="G122" s="20"/>
      <c r="H122" s="18"/>
      <c r="I122" s="20"/>
      <c r="J122" s="18"/>
      <c r="K122" s="21" t="str">
        <f aca="false">IF(A122="","",IF(AND(H122&lt;&gt;"",J122&lt;&gt;""),"Both",IF(H122&lt;&gt;"","Builds a table",IF(J122&lt;&gt;"","Feeds a product","Nothing recorded"))))</f>
        <v/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customFormat="false" ht="15" hidden="false" customHeight="false" outlineLevel="0" collapsed="false">
      <c r="A123" s="18"/>
      <c r="B123" s="19"/>
      <c r="C123" s="20"/>
      <c r="D123" s="20"/>
      <c r="E123" s="20"/>
      <c r="F123" s="18"/>
      <c r="G123" s="20"/>
      <c r="H123" s="18"/>
      <c r="I123" s="20"/>
      <c r="J123" s="18"/>
      <c r="K123" s="21" t="str">
        <f aca="false">IF(A123="","",IF(AND(H123&lt;&gt;"",J123&lt;&gt;""),"Both",IF(H123&lt;&gt;"","Builds a table",IF(J123&lt;&gt;"","Feeds a product","Nothing recorded"))))</f>
        <v/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customFormat="false" ht="15" hidden="false" customHeight="false" outlineLevel="0" collapsed="false">
      <c r="A124" s="18"/>
      <c r="B124" s="19"/>
      <c r="C124" s="20"/>
      <c r="D124" s="20"/>
      <c r="E124" s="20"/>
      <c r="F124" s="18"/>
      <c r="G124" s="20"/>
      <c r="H124" s="18"/>
      <c r="I124" s="20"/>
      <c r="J124" s="18"/>
      <c r="K124" s="21" t="str">
        <f aca="false">IF(A124="","",IF(AND(H124&lt;&gt;"",J124&lt;&gt;""),"Both",IF(H124&lt;&gt;"","Builds a table",IF(J124&lt;&gt;"","Feeds a product","Nothing recorded"))))</f>
        <v/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customFormat="false" ht="15" hidden="false" customHeight="false" outlineLevel="0" collapsed="false">
      <c r="A125" s="18"/>
      <c r="B125" s="19"/>
      <c r="C125" s="20"/>
      <c r="D125" s="20"/>
      <c r="E125" s="20"/>
      <c r="F125" s="18"/>
      <c r="G125" s="20"/>
      <c r="H125" s="18"/>
      <c r="I125" s="20"/>
      <c r="J125" s="18"/>
      <c r="K125" s="21" t="str">
        <f aca="false">IF(A125="","",IF(AND(H125&lt;&gt;"",J125&lt;&gt;""),"Both",IF(H125&lt;&gt;"","Builds a table",IF(J125&lt;&gt;"","Feeds a product","Nothing recorded"))))</f>
        <v/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customFormat="false" ht="15" hidden="false" customHeight="false" outlineLevel="0" collapsed="false">
      <c r="A126" s="18"/>
      <c r="B126" s="19"/>
      <c r="C126" s="20"/>
      <c r="D126" s="20"/>
      <c r="E126" s="20"/>
      <c r="F126" s="18"/>
      <c r="G126" s="20"/>
      <c r="H126" s="18"/>
      <c r="I126" s="20"/>
      <c r="J126" s="18"/>
      <c r="K126" s="21" t="str">
        <f aca="false">IF(A126="","",IF(AND(H126&lt;&gt;"",J126&lt;&gt;""),"Both",IF(H126&lt;&gt;"","Builds a table",IF(J126&lt;&gt;"","Feeds a product","Nothing recorded"))))</f>
        <v/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customFormat="false" ht="15" hidden="false" customHeight="false" outlineLevel="0" collapsed="false">
      <c r="A127" s="18"/>
      <c r="B127" s="19"/>
      <c r="C127" s="20"/>
      <c r="D127" s="20"/>
      <c r="E127" s="20"/>
      <c r="F127" s="18"/>
      <c r="G127" s="20"/>
      <c r="H127" s="18"/>
      <c r="I127" s="20"/>
      <c r="J127" s="18"/>
      <c r="K127" s="21" t="str">
        <f aca="false">IF(A127="","",IF(AND(H127&lt;&gt;"",J127&lt;&gt;""),"Both",IF(H127&lt;&gt;"","Builds a table",IF(J127&lt;&gt;"","Feeds a product","Nothing recorded"))))</f>
        <v/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customFormat="false" ht="15" hidden="false" customHeight="false" outlineLevel="0" collapsed="false">
      <c r="A128" s="18"/>
      <c r="B128" s="19"/>
      <c r="C128" s="20"/>
      <c r="D128" s="20"/>
      <c r="E128" s="20"/>
      <c r="F128" s="18"/>
      <c r="G128" s="20"/>
      <c r="H128" s="18"/>
      <c r="I128" s="20"/>
      <c r="J128" s="18"/>
      <c r="K128" s="21" t="str">
        <f aca="false">IF(A128="","",IF(AND(H128&lt;&gt;"",J128&lt;&gt;""),"Both",IF(H128&lt;&gt;"","Builds a table",IF(J128&lt;&gt;"","Feeds a product","Nothing recorded"))))</f>
        <v/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customFormat="false" ht="15" hidden="false" customHeight="false" outlineLevel="0" collapsed="false">
      <c r="A129" s="18"/>
      <c r="B129" s="19"/>
      <c r="C129" s="20"/>
      <c r="D129" s="20"/>
      <c r="E129" s="20"/>
      <c r="F129" s="18"/>
      <c r="G129" s="20"/>
      <c r="H129" s="18"/>
      <c r="I129" s="20"/>
      <c r="J129" s="18"/>
      <c r="K129" s="21" t="str">
        <f aca="false">IF(A129="","",IF(AND(H129&lt;&gt;"",J129&lt;&gt;""),"Both",IF(H129&lt;&gt;"","Builds a table",IF(J129&lt;&gt;"","Feeds a product","Nothing recorded"))))</f>
        <v/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customFormat="false" ht="15" hidden="false" customHeight="false" outlineLevel="0" collapsed="false">
      <c r="A130" s="18"/>
      <c r="B130" s="19"/>
      <c r="C130" s="20"/>
      <c r="D130" s="20"/>
      <c r="E130" s="20"/>
      <c r="F130" s="18"/>
      <c r="G130" s="20"/>
      <c r="H130" s="18"/>
      <c r="I130" s="20"/>
      <c r="J130" s="18"/>
      <c r="K130" s="21" t="str">
        <f aca="false">IF(A130="","",IF(AND(H130&lt;&gt;"",J130&lt;&gt;""),"Both",IF(H130&lt;&gt;"","Builds a table",IF(J130&lt;&gt;"","Feeds a product","Nothing recorded"))))</f>
        <v/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customFormat="false" ht="15" hidden="false" customHeight="false" outlineLevel="0" collapsed="false">
      <c r="A131" s="18"/>
      <c r="B131" s="19"/>
      <c r="C131" s="20"/>
      <c r="D131" s="20"/>
      <c r="E131" s="20"/>
      <c r="F131" s="18"/>
      <c r="G131" s="20"/>
      <c r="H131" s="18"/>
      <c r="I131" s="20"/>
      <c r="J131" s="18"/>
      <c r="K131" s="21" t="str">
        <f aca="false">IF(A131="","",IF(AND(H131&lt;&gt;"",J131&lt;&gt;""),"Both",IF(H131&lt;&gt;"","Builds a table",IF(J131&lt;&gt;"","Feeds a product","Nothing recorded"))))</f>
        <v/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customFormat="false" ht="15" hidden="false" customHeight="false" outlineLevel="0" collapsed="false">
      <c r="A132" s="18"/>
      <c r="B132" s="19"/>
      <c r="C132" s="20"/>
      <c r="D132" s="20"/>
      <c r="E132" s="20"/>
      <c r="F132" s="18"/>
      <c r="G132" s="20"/>
      <c r="H132" s="18"/>
      <c r="I132" s="20"/>
      <c r="J132" s="18"/>
      <c r="K132" s="21" t="str">
        <f aca="false">IF(A132="","",IF(AND(H132&lt;&gt;"",J132&lt;&gt;""),"Both",IF(H132&lt;&gt;"","Builds a table",IF(J132&lt;&gt;"","Feeds a product","Nothing recorded"))))</f>
        <v/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customFormat="false" ht="15" hidden="false" customHeight="false" outlineLevel="0" collapsed="false">
      <c r="A133" s="18"/>
      <c r="B133" s="19"/>
      <c r="C133" s="20"/>
      <c r="D133" s="20"/>
      <c r="E133" s="20"/>
      <c r="F133" s="18"/>
      <c r="G133" s="20"/>
      <c r="H133" s="18"/>
      <c r="I133" s="20"/>
      <c r="J133" s="18"/>
      <c r="K133" s="21" t="str">
        <f aca="false">IF(A133="","",IF(AND(H133&lt;&gt;"",J133&lt;&gt;""),"Both",IF(H133&lt;&gt;"","Builds a table",IF(J133&lt;&gt;"","Feeds a product","Nothing recorded"))))</f>
        <v/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customFormat="false" ht="15" hidden="false" customHeight="false" outlineLevel="0" collapsed="false">
      <c r="A134" s="18"/>
      <c r="B134" s="19"/>
      <c r="C134" s="20"/>
      <c r="D134" s="20"/>
      <c r="E134" s="20"/>
      <c r="F134" s="18"/>
      <c r="G134" s="20"/>
      <c r="H134" s="18"/>
      <c r="I134" s="20"/>
      <c r="J134" s="18"/>
      <c r="K134" s="21" t="str">
        <f aca="false">IF(A134="","",IF(AND(H134&lt;&gt;"",J134&lt;&gt;""),"Both",IF(H134&lt;&gt;"","Builds a table",IF(J134&lt;&gt;"","Feeds a product","Nothing recorded"))))</f>
        <v/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customFormat="false" ht="15" hidden="false" customHeight="false" outlineLevel="0" collapsed="false">
      <c r="A135" s="18"/>
      <c r="B135" s="19"/>
      <c r="C135" s="20"/>
      <c r="D135" s="20"/>
      <c r="E135" s="20"/>
      <c r="F135" s="18"/>
      <c r="G135" s="20"/>
      <c r="H135" s="18"/>
      <c r="I135" s="20"/>
      <c r="J135" s="18"/>
      <c r="K135" s="21" t="str">
        <f aca="false">IF(A135="","",IF(AND(H135&lt;&gt;"",J135&lt;&gt;""),"Both",IF(H135&lt;&gt;"","Builds a table",IF(J135&lt;&gt;"","Feeds a product","Nothing recorded"))))</f>
        <v/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customFormat="false" ht="15" hidden="false" customHeight="false" outlineLevel="0" collapsed="false">
      <c r="A136" s="18"/>
      <c r="B136" s="19"/>
      <c r="C136" s="20"/>
      <c r="D136" s="20"/>
      <c r="E136" s="20"/>
      <c r="F136" s="18"/>
      <c r="G136" s="20"/>
      <c r="H136" s="18"/>
      <c r="I136" s="20"/>
      <c r="J136" s="18"/>
      <c r="K136" s="21" t="str">
        <f aca="false">IF(A136="","",IF(AND(H136&lt;&gt;"",J136&lt;&gt;""),"Both",IF(H136&lt;&gt;"","Builds a table",IF(J136&lt;&gt;"","Feeds a product","Nothing recorded"))))</f>
        <v/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customFormat="false" ht="15" hidden="false" customHeight="false" outlineLevel="0" collapsed="false">
      <c r="A137" s="18"/>
      <c r="B137" s="19"/>
      <c r="C137" s="20"/>
      <c r="D137" s="20"/>
      <c r="E137" s="20"/>
      <c r="F137" s="18"/>
      <c r="G137" s="20"/>
      <c r="H137" s="18"/>
      <c r="I137" s="20"/>
      <c r="J137" s="18"/>
      <c r="K137" s="21" t="str">
        <f aca="false">IF(A137="","",IF(AND(H137&lt;&gt;"",J137&lt;&gt;""),"Both",IF(H137&lt;&gt;"","Builds a table",IF(J137&lt;&gt;"","Feeds a product","Nothing recorded"))))</f>
        <v/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customFormat="false" ht="15" hidden="false" customHeight="false" outlineLevel="0" collapsed="false">
      <c r="A138" s="18"/>
      <c r="B138" s="19"/>
      <c r="C138" s="20"/>
      <c r="D138" s="20"/>
      <c r="E138" s="20"/>
      <c r="F138" s="18"/>
      <c r="G138" s="20"/>
      <c r="H138" s="18"/>
      <c r="I138" s="20"/>
      <c r="J138" s="18"/>
      <c r="K138" s="21" t="str">
        <f aca="false">IF(A138="","",IF(AND(H138&lt;&gt;"",J138&lt;&gt;""),"Both",IF(H138&lt;&gt;"","Builds a table",IF(J138&lt;&gt;"","Feeds a product","Nothing recorded"))))</f>
        <v/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customFormat="false" ht="15" hidden="false" customHeight="false" outlineLevel="0" collapsed="false">
      <c r="A139" s="18"/>
      <c r="B139" s="19"/>
      <c r="C139" s="20"/>
      <c r="D139" s="20"/>
      <c r="E139" s="20"/>
      <c r="F139" s="18"/>
      <c r="G139" s="20"/>
      <c r="H139" s="18"/>
      <c r="I139" s="20"/>
      <c r="J139" s="18"/>
      <c r="K139" s="21" t="str">
        <f aca="false">IF(A139="","",IF(AND(H139&lt;&gt;"",J139&lt;&gt;""),"Both",IF(H139&lt;&gt;"","Builds a table",IF(J139&lt;&gt;"","Feeds a product","Nothing recorded"))))</f>
        <v/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customFormat="false" ht="15" hidden="false" customHeight="false" outlineLevel="0" collapsed="false">
      <c r="A140" s="18"/>
      <c r="B140" s="19"/>
      <c r="C140" s="20"/>
      <c r="D140" s="20"/>
      <c r="E140" s="20"/>
      <c r="F140" s="18"/>
      <c r="G140" s="20"/>
      <c r="H140" s="18"/>
      <c r="I140" s="20"/>
      <c r="J140" s="18"/>
      <c r="K140" s="21" t="str">
        <f aca="false">IF(A140="","",IF(AND(H140&lt;&gt;"",J140&lt;&gt;""),"Both",IF(H140&lt;&gt;"","Builds a table",IF(J140&lt;&gt;"","Feeds a product","Nothing recorded"))))</f>
        <v/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customFormat="false" ht="15" hidden="false" customHeight="false" outlineLevel="0" collapsed="false">
      <c r="A141" s="18"/>
      <c r="B141" s="19"/>
      <c r="C141" s="20"/>
      <c r="D141" s="20"/>
      <c r="E141" s="20"/>
      <c r="F141" s="18"/>
      <c r="G141" s="20"/>
      <c r="H141" s="18"/>
      <c r="I141" s="20"/>
      <c r="J141" s="18"/>
      <c r="K141" s="21" t="str">
        <f aca="false">IF(A141="","",IF(AND(H141&lt;&gt;"",J141&lt;&gt;""),"Both",IF(H141&lt;&gt;"","Builds a table",IF(J141&lt;&gt;"","Feeds a product","Nothing recorded"))))</f>
        <v/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customFormat="false" ht="15" hidden="false" customHeight="false" outlineLevel="0" collapsed="false">
      <c r="A142" s="18"/>
      <c r="B142" s="19"/>
      <c r="C142" s="20"/>
      <c r="D142" s="20"/>
      <c r="E142" s="20"/>
      <c r="F142" s="18"/>
      <c r="G142" s="20"/>
      <c r="H142" s="18"/>
      <c r="I142" s="20"/>
      <c r="J142" s="18"/>
      <c r="K142" s="21" t="str">
        <f aca="false">IF(A142="","",IF(AND(H142&lt;&gt;"",J142&lt;&gt;""),"Both",IF(H142&lt;&gt;"","Builds a table",IF(J142&lt;&gt;"","Feeds a product","Nothing recorded"))))</f>
        <v/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customFormat="false" ht="15" hidden="false" customHeight="false" outlineLevel="0" collapsed="false">
      <c r="A143" s="18"/>
      <c r="B143" s="19"/>
      <c r="C143" s="20"/>
      <c r="D143" s="20"/>
      <c r="E143" s="20"/>
      <c r="F143" s="18"/>
      <c r="G143" s="20"/>
      <c r="H143" s="18"/>
      <c r="I143" s="20"/>
      <c r="J143" s="18"/>
      <c r="K143" s="21" t="str">
        <f aca="false">IF(A143="","",IF(AND(H143&lt;&gt;"",J143&lt;&gt;""),"Both",IF(H143&lt;&gt;"","Builds a table",IF(J143&lt;&gt;"","Feeds a product","Nothing recorded"))))</f>
        <v/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customFormat="false" ht="15" hidden="false" customHeight="false" outlineLevel="0" collapsed="false">
      <c r="A144" s="18"/>
      <c r="B144" s="19"/>
      <c r="C144" s="20"/>
      <c r="D144" s="20"/>
      <c r="E144" s="20"/>
      <c r="F144" s="18"/>
      <c r="G144" s="20"/>
      <c r="H144" s="18"/>
      <c r="I144" s="20"/>
      <c r="J144" s="18"/>
      <c r="K144" s="21" t="str">
        <f aca="false">IF(A144="","",IF(AND(H144&lt;&gt;"",J144&lt;&gt;""),"Both",IF(H144&lt;&gt;"","Builds a table",IF(J144&lt;&gt;"","Feeds a product","Nothing recorded"))))</f>
        <v/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customFormat="false" ht="15" hidden="false" customHeight="false" outlineLevel="0" collapsed="false">
      <c r="A145" s="18"/>
      <c r="B145" s="19"/>
      <c r="C145" s="20"/>
      <c r="D145" s="20"/>
      <c r="E145" s="20"/>
      <c r="F145" s="18"/>
      <c r="G145" s="20"/>
      <c r="H145" s="18"/>
      <c r="I145" s="20"/>
      <c r="J145" s="18"/>
      <c r="K145" s="21" t="str">
        <f aca="false">IF(A145="","",IF(AND(H145&lt;&gt;"",J145&lt;&gt;""),"Both",IF(H145&lt;&gt;"","Builds a table",IF(J145&lt;&gt;"","Feeds a product","Nothing recorded"))))</f>
        <v/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customFormat="false" ht="15" hidden="false" customHeight="false" outlineLevel="0" collapsed="false">
      <c r="A146" s="18"/>
      <c r="B146" s="19"/>
      <c r="C146" s="20"/>
      <c r="D146" s="20"/>
      <c r="E146" s="20"/>
      <c r="F146" s="18"/>
      <c r="G146" s="20"/>
      <c r="H146" s="18"/>
      <c r="I146" s="20"/>
      <c r="J146" s="18"/>
      <c r="K146" s="21" t="str">
        <f aca="false">IF(A146="","",IF(AND(H146&lt;&gt;"",J146&lt;&gt;""),"Both",IF(H146&lt;&gt;"","Builds a table",IF(J146&lt;&gt;"","Feeds a product","Nothing recorded"))))</f>
        <v/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customFormat="false" ht="15" hidden="false" customHeight="false" outlineLevel="0" collapsed="false">
      <c r="A147" s="18"/>
      <c r="B147" s="19"/>
      <c r="C147" s="20"/>
      <c r="D147" s="20"/>
      <c r="E147" s="20"/>
      <c r="F147" s="18"/>
      <c r="G147" s="20"/>
      <c r="H147" s="18"/>
      <c r="I147" s="20"/>
      <c r="J147" s="18"/>
      <c r="K147" s="21" t="str">
        <f aca="false">IF(A147="","",IF(AND(H147&lt;&gt;"",J147&lt;&gt;""),"Both",IF(H147&lt;&gt;"","Builds a table",IF(J147&lt;&gt;"","Feeds a product","Nothing recorded"))))</f>
        <v/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customFormat="false" ht="15" hidden="false" customHeight="false" outlineLevel="0" collapsed="false">
      <c r="A148" s="18"/>
      <c r="B148" s="19"/>
      <c r="C148" s="20"/>
      <c r="D148" s="20"/>
      <c r="E148" s="20"/>
      <c r="F148" s="18"/>
      <c r="G148" s="20"/>
      <c r="H148" s="18"/>
      <c r="I148" s="20"/>
      <c r="J148" s="18"/>
      <c r="K148" s="21" t="str">
        <f aca="false">IF(A148="","",IF(AND(H148&lt;&gt;"",J148&lt;&gt;""),"Both",IF(H148&lt;&gt;"","Builds a table",IF(J148&lt;&gt;"","Feeds a product","Nothing recorded"))))</f>
        <v/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customFormat="false" ht="15" hidden="false" customHeight="false" outlineLevel="0" collapsed="false">
      <c r="A149" s="18"/>
      <c r="B149" s="19"/>
      <c r="C149" s="20"/>
      <c r="D149" s="20"/>
      <c r="E149" s="20"/>
      <c r="F149" s="18"/>
      <c r="G149" s="20"/>
      <c r="H149" s="18"/>
      <c r="I149" s="20"/>
      <c r="J149" s="18"/>
      <c r="K149" s="21" t="str">
        <f aca="false">IF(A149="","",IF(AND(H149&lt;&gt;"",J149&lt;&gt;""),"Both",IF(H149&lt;&gt;"","Builds a table",IF(J149&lt;&gt;"","Feeds a product","Nothing recorded"))))</f>
        <v/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customFormat="false" ht="15" hidden="false" customHeight="false" outlineLevel="0" collapsed="false">
      <c r="A150" s="18"/>
      <c r="B150" s="19"/>
      <c r="C150" s="20"/>
      <c r="D150" s="20"/>
      <c r="E150" s="20"/>
      <c r="F150" s="18"/>
      <c r="G150" s="20"/>
      <c r="H150" s="18"/>
      <c r="I150" s="20"/>
      <c r="J150" s="18"/>
      <c r="K150" s="21" t="str">
        <f aca="false">IF(A150="","",IF(AND(H150&lt;&gt;"",J150&lt;&gt;""),"Both",IF(H150&lt;&gt;"","Builds a table",IF(J150&lt;&gt;"","Feeds a product","Nothing recorded"))))</f>
        <v/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customFormat="false" ht="15" hidden="false" customHeight="false" outlineLevel="0" collapsed="false">
      <c r="A151" s="18"/>
      <c r="B151" s="19"/>
      <c r="C151" s="20"/>
      <c r="D151" s="20"/>
      <c r="E151" s="20"/>
      <c r="F151" s="18"/>
      <c r="G151" s="20"/>
      <c r="H151" s="18"/>
      <c r="I151" s="20"/>
      <c r="J151" s="18"/>
      <c r="K151" s="21" t="str">
        <f aca="false">IF(A151="","",IF(AND(H151&lt;&gt;"",J151&lt;&gt;""),"Both",IF(H151&lt;&gt;"","Builds a table",IF(J151&lt;&gt;"","Feeds a product","Nothing recorded"))))</f>
        <v/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customFormat="false" ht="15" hidden="false" customHeight="false" outlineLevel="0" collapsed="false">
      <c r="A152" s="18"/>
      <c r="B152" s="19"/>
      <c r="C152" s="20"/>
      <c r="D152" s="20"/>
      <c r="E152" s="20"/>
      <c r="F152" s="18"/>
      <c r="G152" s="20"/>
      <c r="H152" s="18"/>
      <c r="I152" s="20"/>
      <c r="J152" s="18"/>
      <c r="K152" s="21" t="str">
        <f aca="false">IF(A152="","",IF(AND(H152&lt;&gt;"",J152&lt;&gt;""),"Both",IF(H152&lt;&gt;"","Builds a table",IF(J152&lt;&gt;"","Feeds a product","Nothing recorded"))))</f>
        <v/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customFormat="false" ht="15" hidden="false" customHeight="false" outlineLevel="0" collapsed="false">
      <c r="A153" s="18"/>
      <c r="B153" s="19"/>
      <c r="C153" s="20"/>
      <c r="D153" s="20"/>
      <c r="E153" s="20"/>
      <c r="F153" s="18"/>
      <c r="G153" s="20"/>
      <c r="H153" s="18"/>
      <c r="I153" s="20"/>
      <c r="J153" s="18"/>
      <c r="K153" s="21" t="str">
        <f aca="false">IF(A153="","",IF(AND(H153&lt;&gt;"",J153&lt;&gt;""),"Both",IF(H153&lt;&gt;"","Builds a table",IF(J153&lt;&gt;"","Feeds a product","Nothing recorded"))))</f>
        <v/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customFormat="false" ht="15" hidden="false" customHeight="false" outlineLevel="0" collapsed="false">
      <c r="A154" s="18"/>
      <c r="B154" s="19"/>
      <c r="C154" s="20"/>
      <c r="D154" s="20"/>
      <c r="E154" s="20"/>
      <c r="F154" s="18"/>
      <c r="G154" s="20"/>
      <c r="H154" s="18"/>
      <c r="I154" s="20"/>
      <c r="J154" s="18"/>
      <c r="K154" s="21" t="str">
        <f aca="false">IF(A154="","",IF(AND(H154&lt;&gt;"",J154&lt;&gt;""),"Both",IF(H154&lt;&gt;"","Builds a table",IF(J154&lt;&gt;"","Feeds a product","Nothing recorded"))))</f>
        <v/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customFormat="false" ht="15" hidden="false" customHeight="false" outlineLevel="0" collapsed="false">
      <c r="A155" s="18"/>
      <c r="B155" s="19"/>
      <c r="C155" s="20"/>
      <c r="D155" s="20"/>
      <c r="E155" s="20"/>
      <c r="F155" s="18"/>
      <c r="G155" s="20"/>
      <c r="H155" s="18"/>
      <c r="I155" s="20"/>
      <c r="J155" s="18"/>
      <c r="K155" s="21" t="str">
        <f aca="false">IF(A155="","",IF(AND(H155&lt;&gt;"",J155&lt;&gt;""),"Both",IF(H155&lt;&gt;"","Builds a table",IF(J155&lt;&gt;"","Feeds a product","Nothing recorded"))))</f>
        <v/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customFormat="false" ht="15" hidden="false" customHeight="false" outlineLevel="0" collapsed="false">
      <c r="A156" s="18"/>
      <c r="B156" s="19"/>
      <c r="C156" s="20"/>
      <c r="D156" s="20"/>
      <c r="E156" s="20"/>
      <c r="F156" s="18"/>
      <c r="G156" s="20"/>
      <c r="H156" s="18"/>
      <c r="I156" s="20"/>
      <c r="J156" s="18"/>
      <c r="K156" s="21" t="str">
        <f aca="false">IF(A156="","",IF(AND(H156&lt;&gt;"",J156&lt;&gt;""),"Both",IF(H156&lt;&gt;"","Builds a table",IF(J156&lt;&gt;"","Feeds a product","Nothing recorded"))))</f>
        <v/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customFormat="false" ht="15" hidden="false" customHeight="false" outlineLevel="0" collapsed="false">
      <c r="A157" s="18"/>
      <c r="B157" s="19"/>
      <c r="C157" s="20"/>
      <c r="D157" s="20"/>
      <c r="E157" s="20"/>
      <c r="F157" s="18"/>
      <c r="G157" s="20"/>
      <c r="H157" s="18"/>
      <c r="I157" s="20"/>
      <c r="J157" s="18"/>
      <c r="K157" s="21" t="str">
        <f aca="false">IF(A157="","",IF(AND(H157&lt;&gt;"",J157&lt;&gt;""),"Both",IF(H157&lt;&gt;"","Builds a table",IF(J157&lt;&gt;"","Feeds a product","Nothing recorded"))))</f>
        <v/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customFormat="false" ht="15" hidden="false" customHeight="false" outlineLevel="0" collapsed="false">
      <c r="A158" s="18"/>
      <c r="B158" s="19"/>
      <c r="C158" s="20"/>
      <c r="D158" s="20"/>
      <c r="E158" s="20"/>
      <c r="F158" s="18"/>
      <c r="G158" s="20"/>
      <c r="H158" s="18"/>
      <c r="I158" s="20"/>
      <c r="J158" s="18"/>
      <c r="K158" s="21" t="str">
        <f aca="false">IF(A158="","",IF(AND(H158&lt;&gt;"",J158&lt;&gt;""),"Both",IF(H158&lt;&gt;"","Builds a table",IF(J158&lt;&gt;"","Feeds a product","Nothing recorded"))))</f>
        <v/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customFormat="false" ht="15" hidden="false" customHeight="false" outlineLevel="0" collapsed="false">
      <c r="A159" s="18"/>
      <c r="B159" s="19"/>
      <c r="C159" s="20"/>
      <c r="D159" s="20"/>
      <c r="E159" s="20"/>
      <c r="F159" s="18"/>
      <c r="G159" s="20"/>
      <c r="H159" s="18"/>
      <c r="I159" s="20"/>
      <c r="J159" s="18"/>
      <c r="K159" s="21" t="str">
        <f aca="false">IF(A159="","",IF(AND(H159&lt;&gt;"",J159&lt;&gt;""),"Both",IF(H159&lt;&gt;"","Builds a table",IF(J159&lt;&gt;"","Feeds a product","Nothing recorded"))))</f>
        <v/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customFormat="false" ht="15" hidden="false" customHeight="false" outlineLevel="0" collapsed="false">
      <c r="A160" s="18"/>
      <c r="B160" s="19"/>
      <c r="C160" s="20"/>
      <c r="D160" s="20"/>
      <c r="E160" s="20"/>
      <c r="F160" s="18"/>
      <c r="G160" s="20"/>
      <c r="H160" s="18"/>
      <c r="I160" s="20"/>
      <c r="J160" s="18"/>
      <c r="K160" s="21" t="str">
        <f aca="false">IF(A160="","",IF(AND(H160&lt;&gt;"",J160&lt;&gt;""),"Both",IF(H160&lt;&gt;"","Builds a table",IF(J160&lt;&gt;"","Feeds a product","Nothing recorded"))))</f>
        <v/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customFormat="false" ht="15" hidden="false" customHeight="false" outlineLevel="0" collapsed="false">
      <c r="A161" s="18"/>
      <c r="B161" s="19"/>
      <c r="C161" s="20"/>
      <c r="D161" s="20"/>
      <c r="E161" s="20"/>
      <c r="F161" s="18"/>
      <c r="G161" s="20"/>
      <c r="H161" s="18"/>
      <c r="I161" s="20"/>
      <c r="J161" s="18"/>
      <c r="K161" s="21" t="str">
        <f aca="false">IF(A161="","",IF(AND(H161&lt;&gt;"",J161&lt;&gt;""),"Both",IF(H161&lt;&gt;"","Builds a table",IF(J161&lt;&gt;"","Feeds a product","Nothing recorded"))))</f>
        <v/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customFormat="false" ht="15" hidden="false" customHeight="false" outlineLevel="0" collapsed="false">
      <c r="A162" s="18"/>
      <c r="B162" s="19"/>
      <c r="C162" s="20"/>
      <c r="D162" s="20"/>
      <c r="E162" s="20"/>
      <c r="F162" s="18"/>
      <c r="G162" s="20"/>
      <c r="H162" s="18"/>
      <c r="I162" s="20"/>
      <c r="J162" s="18"/>
      <c r="K162" s="21" t="str">
        <f aca="false">IF(A162="","",IF(AND(H162&lt;&gt;"",J162&lt;&gt;""),"Both",IF(H162&lt;&gt;"","Builds a table",IF(J162&lt;&gt;"","Feeds a product","Nothing recorded"))))</f>
        <v/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customFormat="false" ht="15" hidden="false" customHeight="false" outlineLevel="0" collapsed="false">
      <c r="A163" s="18"/>
      <c r="B163" s="19"/>
      <c r="C163" s="20"/>
      <c r="D163" s="20"/>
      <c r="E163" s="20"/>
      <c r="F163" s="18"/>
      <c r="G163" s="20"/>
      <c r="H163" s="18"/>
      <c r="I163" s="20"/>
      <c r="J163" s="18"/>
      <c r="K163" s="21" t="str">
        <f aca="false">IF(A163="","",IF(AND(H163&lt;&gt;"",J163&lt;&gt;""),"Both",IF(H163&lt;&gt;"","Builds a table",IF(J163&lt;&gt;"","Feeds a product","Nothing recorded"))))</f>
        <v/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customFormat="false" ht="15" hidden="false" customHeight="false" outlineLevel="0" collapsed="false">
      <c r="A164" s="18"/>
      <c r="B164" s="19"/>
      <c r="C164" s="20"/>
      <c r="D164" s="20"/>
      <c r="E164" s="20"/>
      <c r="F164" s="18"/>
      <c r="G164" s="20"/>
      <c r="H164" s="18"/>
      <c r="I164" s="20"/>
      <c r="J164" s="18"/>
      <c r="K164" s="21" t="str">
        <f aca="false">IF(A164="","",IF(AND(H164&lt;&gt;"",J164&lt;&gt;""),"Both",IF(H164&lt;&gt;"","Builds a table",IF(J164&lt;&gt;"","Feeds a product","Nothing recorded"))))</f>
        <v/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customFormat="false" ht="15" hidden="false" customHeight="false" outlineLevel="0" collapsed="false">
      <c r="A165" s="18"/>
      <c r="B165" s="19"/>
      <c r="C165" s="20"/>
      <c r="D165" s="20"/>
      <c r="E165" s="20"/>
      <c r="F165" s="18"/>
      <c r="G165" s="20"/>
      <c r="H165" s="18"/>
      <c r="I165" s="20"/>
      <c r="J165" s="18"/>
      <c r="K165" s="21" t="str">
        <f aca="false">IF(A165="","",IF(AND(H165&lt;&gt;"",J165&lt;&gt;""),"Both",IF(H165&lt;&gt;"","Builds a table",IF(J165&lt;&gt;"","Feeds a product","Nothing recorded"))))</f>
        <v/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customFormat="false" ht="15" hidden="false" customHeight="false" outlineLevel="0" collapsed="false">
      <c r="A166" s="18"/>
      <c r="B166" s="19"/>
      <c r="C166" s="20"/>
      <c r="D166" s="20"/>
      <c r="E166" s="20"/>
      <c r="F166" s="18"/>
      <c r="G166" s="20"/>
      <c r="H166" s="18"/>
      <c r="I166" s="20"/>
      <c r="J166" s="18"/>
      <c r="K166" s="21" t="str">
        <f aca="false">IF(A166="","",IF(AND(H166&lt;&gt;"",J166&lt;&gt;""),"Both",IF(H166&lt;&gt;"","Builds a table",IF(J166&lt;&gt;"","Feeds a product","Nothing recorded"))))</f>
        <v/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customFormat="false" ht="15" hidden="false" customHeight="false" outlineLevel="0" collapsed="false">
      <c r="A167" s="18"/>
      <c r="B167" s="19"/>
      <c r="C167" s="20"/>
      <c r="D167" s="20"/>
      <c r="E167" s="20"/>
      <c r="F167" s="18"/>
      <c r="G167" s="20"/>
      <c r="H167" s="18"/>
      <c r="I167" s="20"/>
      <c r="J167" s="18"/>
      <c r="K167" s="21" t="str">
        <f aca="false">IF(A167="","",IF(AND(H167&lt;&gt;"",J167&lt;&gt;""),"Both",IF(H167&lt;&gt;"","Builds a table",IF(J167&lt;&gt;"","Feeds a product","Nothing recorded"))))</f>
        <v/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customFormat="false" ht="15" hidden="false" customHeight="false" outlineLevel="0" collapsed="false">
      <c r="A168" s="18"/>
      <c r="B168" s="19"/>
      <c r="C168" s="20"/>
      <c r="D168" s="20"/>
      <c r="E168" s="20"/>
      <c r="F168" s="18"/>
      <c r="G168" s="20"/>
      <c r="H168" s="18"/>
      <c r="I168" s="20"/>
      <c r="J168" s="18"/>
      <c r="K168" s="21" t="str">
        <f aca="false">IF(A168="","",IF(AND(H168&lt;&gt;"",J168&lt;&gt;""),"Both",IF(H168&lt;&gt;"","Builds a table",IF(J168&lt;&gt;"","Feeds a product","Nothing recorded"))))</f>
        <v/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customFormat="false" ht="15" hidden="false" customHeight="false" outlineLevel="0" collapsed="false">
      <c r="A169" s="18"/>
      <c r="B169" s="19"/>
      <c r="C169" s="20"/>
      <c r="D169" s="20"/>
      <c r="E169" s="20"/>
      <c r="F169" s="18"/>
      <c r="G169" s="20"/>
      <c r="H169" s="18"/>
      <c r="I169" s="20"/>
      <c r="J169" s="18"/>
      <c r="K169" s="21" t="str">
        <f aca="false">IF(A169="","",IF(AND(H169&lt;&gt;"",J169&lt;&gt;""),"Both",IF(H169&lt;&gt;"","Builds a table",IF(J169&lt;&gt;"","Feeds a product","Nothing recorded"))))</f>
        <v/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customFormat="false" ht="15" hidden="false" customHeight="false" outlineLevel="0" collapsed="false">
      <c r="A170" s="18"/>
      <c r="B170" s="19"/>
      <c r="C170" s="20"/>
      <c r="D170" s="20"/>
      <c r="E170" s="20"/>
      <c r="F170" s="18"/>
      <c r="G170" s="20"/>
      <c r="H170" s="18"/>
      <c r="I170" s="20"/>
      <c r="J170" s="18"/>
      <c r="K170" s="21" t="str">
        <f aca="false">IF(A170="","",IF(AND(H170&lt;&gt;"",J170&lt;&gt;""),"Both",IF(H170&lt;&gt;"","Builds a table",IF(J170&lt;&gt;"","Feeds a product","Nothing recorded"))))</f>
        <v/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customFormat="false" ht="15" hidden="false" customHeight="false" outlineLevel="0" collapsed="false">
      <c r="A171" s="18"/>
      <c r="B171" s="19"/>
      <c r="C171" s="20"/>
      <c r="D171" s="20"/>
      <c r="E171" s="20"/>
      <c r="F171" s="18"/>
      <c r="G171" s="20"/>
      <c r="H171" s="18"/>
      <c r="I171" s="20"/>
      <c r="J171" s="18"/>
      <c r="K171" s="21" t="str">
        <f aca="false">IF(A171="","",IF(AND(H171&lt;&gt;"",J171&lt;&gt;""),"Both",IF(H171&lt;&gt;"","Builds a table",IF(J171&lt;&gt;"","Feeds a product","Nothing recorded"))))</f>
        <v/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customFormat="false" ht="15" hidden="false" customHeight="false" outlineLevel="0" collapsed="false">
      <c r="A172" s="18"/>
      <c r="B172" s="19"/>
      <c r="C172" s="20"/>
      <c r="D172" s="20"/>
      <c r="E172" s="20"/>
      <c r="F172" s="18"/>
      <c r="G172" s="20"/>
      <c r="H172" s="18"/>
      <c r="I172" s="20"/>
      <c r="J172" s="18"/>
      <c r="K172" s="21" t="str">
        <f aca="false">IF(A172="","",IF(AND(H172&lt;&gt;"",J172&lt;&gt;""),"Both",IF(H172&lt;&gt;"","Builds a table",IF(J172&lt;&gt;"","Feeds a product","Nothing recorded"))))</f>
        <v/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customFormat="false" ht="15" hidden="false" customHeight="false" outlineLevel="0" collapsed="false">
      <c r="A173" s="18"/>
      <c r="B173" s="19"/>
      <c r="C173" s="20"/>
      <c r="D173" s="20"/>
      <c r="E173" s="20"/>
      <c r="F173" s="18"/>
      <c r="G173" s="20"/>
      <c r="H173" s="18"/>
      <c r="I173" s="20"/>
      <c r="J173" s="18"/>
      <c r="K173" s="21" t="str">
        <f aca="false">IF(A173="","",IF(AND(H173&lt;&gt;"",J173&lt;&gt;""),"Both",IF(H173&lt;&gt;"","Builds a table",IF(J173&lt;&gt;"","Feeds a product","Nothing recorded"))))</f>
        <v/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customFormat="false" ht="15" hidden="false" customHeight="false" outlineLevel="0" collapsed="false">
      <c r="A174" s="18"/>
      <c r="B174" s="19"/>
      <c r="C174" s="20"/>
      <c r="D174" s="20"/>
      <c r="E174" s="20"/>
      <c r="F174" s="18"/>
      <c r="G174" s="20"/>
      <c r="H174" s="18"/>
      <c r="I174" s="20"/>
      <c r="J174" s="18"/>
      <c r="K174" s="21" t="str">
        <f aca="false">IF(A174="","",IF(AND(H174&lt;&gt;"",J174&lt;&gt;""),"Both",IF(H174&lt;&gt;"","Builds a table",IF(J174&lt;&gt;"","Feeds a product","Nothing recorded"))))</f>
        <v/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customFormat="false" ht="15" hidden="false" customHeight="false" outlineLevel="0" collapsed="false">
      <c r="A175" s="18"/>
      <c r="B175" s="19"/>
      <c r="C175" s="20"/>
      <c r="D175" s="20"/>
      <c r="E175" s="20"/>
      <c r="F175" s="18"/>
      <c r="G175" s="20"/>
      <c r="H175" s="18"/>
      <c r="I175" s="20"/>
      <c r="J175" s="18"/>
      <c r="K175" s="21" t="str">
        <f aca="false">IF(A175="","",IF(AND(H175&lt;&gt;"",J175&lt;&gt;""),"Both",IF(H175&lt;&gt;"","Builds a table",IF(J175&lt;&gt;"","Feeds a product","Nothing recorded"))))</f>
        <v/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customFormat="false" ht="15" hidden="false" customHeight="false" outlineLevel="0" collapsed="false">
      <c r="A176" s="18"/>
      <c r="B176" s="19"/>
      <c r="C176" s="20"/>
      <c r="D176" s="20"/>
      <c r="E176" s="20"/>
      <c r="F176" s="18"/>
      <c r="G176" s="20"/>
      <c r="H176" s="18"/>
      <c r="I176" s="20"/>
      <c r="J176" s="18"/>
      <c r="K176" s="21" t="str">
        <f aca="false">IF(A176="","",IF(AND(H176&lt;&gt;"",J176&lt;&gt;""),"Both",IF(H176&lt;&gt;"","Builds a table",IF(J176&lt;&gt;"","Feeds a product","Nothing recorded"))))</f>
        <v/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customFormat="false" ht="15" hidden="false" customHeight="false" outlineLevel="0" collapsed="false">
      <c r="A177" s="18"/>
      <c r="B177" s="19"/>
      <c r="C177" s="20"/>
      <c r="D177" s="20"/>
      <c r="E177" s="20"/>
      <c r="F177" s="18"/>
      <c r="G177" s="20"/>
      <c r="H177" s="18"/>
      <c r="I177" s="20"/>
      <c r="J177" s="18"/>
      <c r="K177" s="21" t="str">
        <f aca="false">IF(A177="","",IF(AND(H177&lt;&gt;"",J177&lt;&gt;""),"Both",IF(H177&lt;&gt;"","Builds a table",IF(J177&lt;&gt;"","Feeds a product","Nothing recorded"))))</f>
        <v/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customFormat="false" ht="15" hidden="false" customHeight="false" outlineLevel="0" collapsed="false">
      <c r="A178" s="18"/>
      <c r="B178" s="19"/>
      <c r="C178" s="20"/>
      <c r="D178" s="20"/>
      <c r="E178" s="20"/>
      <c r="F178" s="18"/>
      <c r="G178" s="20"/>
      <c r="H178" s="18"/>
      <c r="I178" s="20"/>
      <c r="J178" s="18"/>
      <c r="K178" s="21" t="str">
        <f aca="false">IF(A178="","",IF(AND(H178&lt;&gt;"",J178&lt;&gt;""),"Both",IF(H178&lt;&gt;"","Builds a table",IF(J178&lt;&gt;"","Feeds a product","Nothing recorded"))))</f>
        <v/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customFormat="false" ht="15" hidden="false" customHeight="false" outlineLevel="0" collapsed="false">
      <c r="A179" s="18"/>
      <c r="B179" s="19"/>
      <c r="C179" s="20"/>
      <c r="D179" s="20"/>
      <c r="E179" s="20"/>
      <c r="F179" s="18"/>
      <c r="G179" s="20"/>
      <c r="H179" s="18"/>
      <c r="I179" s="20"/>
      <c r="J179" s="18"/>
      <c r="K179" s="21" t="str">
        <f aca="false">IF(A179="","",IF(AND(H179&lt;&gt;"",J179&lt;&gt;""),"Both",IF(H179&lt;&gt;"","Builds a table",IF(J179&lt;&gt;"","Feeds a product","Nothing recorded"))))</f>
        <v/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customFormat="false" ht="15" hidden="false" customHeight="false" outlineLevel="0" collapsed="false">
      <c r="A180" s="18"/>
      <c r="B180" s="19"/>
      <c r="C180" s="20"/>
      <c r="D180" s="20"/>
      <c r="E180" s="20"/>
      <c r="F180" s="18"/>
      <c r="G180" s="20"/>
      <c r="H180" s="18"/>
      <c r="I180" s="20"/>
      <c r="J180" s="18"/>
      <c r="K180" s="21" t="str">
        <f aca="false">IF(A180="","",IF(AND(H180&lt;&gt;"",J180&lt;&gt;""),"Both",IF(H180&lt;&gt;"","Builds a table",IF(J180&lt;&gt;"","Feeds a product","Nothing recorded"))))</f>
        <v/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customFormat="false" ht="15" hidden="false" customHeight="false" outlineLevel="0" collapsed="false">
      <c r="A181" s="18"/>
      <c r="B181" s="19"/>
      <c r="C181" s="20"/>
      <c r="D181" s="20"/>
      <c r="E181" s="20"/>
      <c r="F181" s="18"/>
      <c r="G181" s="20"/>
      <c r="H181" s="18"/>
      <c r="I181" s="20"/>
      <c r="J181" s="18"/>
      <c r="K181" s="21" t="str">
        <f aca="false">IF(A181="","",IF(AND(H181&lt;&gt;"",J181&lt;&gt;""),"Both",IF(H181&lt;&gt;"","Builds a table",IF(J181&lt;&gt;"","Feeds a product","Nothing recorded"))))</f>
        <v/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customFormat="false" ht="15" hidden="false" customHeight="false" outlineLevel="0" collapsed="false">
      <c r="A182" s="18"/>
      <c r="B182" s="19"/>
      <c r="C182" s="20"/>
      <c r="D182" s="20"/>
      <c r="E182" s="20"/>
      <c r="F182" s="18"/>
      <c r="G182" s="20"/>
      <c r="H182" s="18"/>
      <c r="I182" s="20"/>
      <c r="J182" s="18"/>
      <c r="K182" s="21" t="str">
        <f aca="false">IF(A182="","",IF(AND(H182&lt;&gt;"",J182&lt;&gt;""),"Both",IF(H182&lt;&gt;"","Builds a table",IF(J182&lt;&gt;"","Feeds a product","Nothing recorded"))))</f>
        <v/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customFormat="false" ht="15" hidden="false" customHeight="false" outlineLevel="0" collapsed="false">
      <c r="A183" s="18"/>
      <c r="B183" s="19"/>
      <c r="C183" s="20"/>
      <c r="D183" s="20"/>
      <c r="E183" s="20"/>
      <c r="F183" s="18"/>
      <c r="G183" s="20"/>
      <c r="H183" s="18"/>
      <c r="I183" s="20"/>
      <c r="J183" s="18"/>
      <c r="K183" s="21" t="str">
        <f aca="false">IF(A183="","",IF(AND(H183&lt;&gt;"",J183&lt;&gt;""),"Both",IF(H183&lt;&gt;"","Builds a table",IF(J183&lt;&gt;"","Feeds a product","Nothing recorded"))))</f>
        <v/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customFormat="false" ht="15" hidden="false" customHeight="false" outlineLevel="0" collapsed="false">
      <c r="A184" s="18"/>
      <c r="B184" s="19"/>
      <c r="C184" s="20"/>
      <c r="D184" s="20"/>
      <c r="E184" s="20"/>
      <c r="F184" s="18"/>
      <c r="G184" s="20"/>
      <c r="H184" s="18"/>
      <c r="I184" s="20"/>
      <c r="J184" s="18"/>
      <c r="K184" s="21" t="str">
        <f aca="false">IF(A184="","",IF(AND(H184&lt;&gt;"",J184&lt;&gt;""),"Both",IF(H184&lt;&gt;"","Builds a table",IF(J184&lt;&gt;"","Feeds a product","Nothing recorded"))))</f>
        <v/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customFormat="false" ht="15" hidden="false" customHeight="false" outlineLevel="0" collapsed="false">
      <c r="A185" s="18"/>
      <c r="B185" s="19"/>
      <c r="C185" s="20"/>
      <c r="D185" s="20"/>
      <c r="E185" s="20"/>
      <c r="F185" s="18"/>
      <c r="G185" s="20"/>
      <c r="H185" s="18"/>
      <c r="I185" s="20"/>
      <c r="J185" s="18"/>
      <c r="K185" s="21" t="str">
        <f aca="false">IF(A185="","",IF(AND(H185&lt;&gt;"",J185&lt;&gt;""),"Both",IF(H185&lt;&gt;"","Builds a table",IF(J185&lt;&gt;"","Feeds a product","Nothing recorded"))))</f>
        <v/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customFormat="false" ht="15" hidden="false" customHeight="false" outlineLevel="0" collapsed="false">
      <c r="A186" s="18"/>
      <c r="B186" s="19"/>
      <c r="C186" s="20"/>
      <c r="D186" s="20"/>
      <c r="E186" s="20"/>
      <c r="F186" s="18"/>
      <c r="G186" s="20"/>
      <c r="H186" s="18"/>
      <c r="I186" s="20"/>
      <c r="J186" s="18"/>
      <c r="K186" s="21" t="str">
        <f aca="false">IF(A186="","",IF(AND(H186&lt;&gt;"",J186&lt;&gt;""),"Both",IF(H186&lt;&gt;"","Builds a table",IF(J186&lt;&gt;"","Feeds a product","Nothing recorded"))))</f>
        <v/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customFormat="false" ht="15" hidden="false" customHeight="false" outlineLevel="0" collapsed="false">
      <c r="A187" s="18"/>
      <c r="B187" s="19"/>
      <c r="C187" s="20"/>
      <c r="D187" s="20"/>
      <c r="E187" s="20"/>
      <c r="F187" s="18"/>
      <c r="G187" s="20"/>
      <c r="H187" s="18"/>
      <c r="I187" s="20"/>
      <c r="J187" s="18"/>
      <c r="K187" s="21" t="str">
        <f aca="false">IF(A187="","",IF(AND(H187&lt;&gt;"",J187&lt;&gt;""),"Both",IF(H187&lt;&gt;"","Builds a table",IF(J187&lt;&gt;"","Feeds a product","Nothing recorded"))))</f>
        <v/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customFormat="false" ht="15" hidden="false" customHeight="false" outlineLevel="0" collapsed="false">
      <c r="A188" s="18"/>
      <c r="B188" s="19"/>
      <c r="C188" s="20"/>
      <c r="D188" s="20"/>
      <c r="E188" s="20"/>
      <c r="F188" s="18"/>
      <c r="G188" s="20"/>
      <c r="H188" s="18"/>
      <c r="I188" s="20"/>
      <c r="J188" s="18"/>
      <c r="K188" s="21" t="str">
        <f aca="false">IF(A188="","",IF(AND(H188&lt;&gt;"",J188&lt;&gt;""),"Both",IF(H188&lt;&gt;"","Builds a table",IF(J188&lt;&gt;"","Feeds a product","Nothing recorded"))))</f>
        <v/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customFormat="false" ht="15" hidden="false" customHeight="false" outlineLevel="0" collapsed="false">
      <c r="A189" s="18"/>
      <c r="B189" s="19"/>
      <c r="C189" s="20"/>
      <c r="D189" s="20"/>
      <c r="E189" s="20"/>
      <c r="F189" s="18"/>
      <c r="G189" s="20"/>
      <c r="H189" s="18"/>
      <c r="I189" s="20"/>
      <c r="J189" s="18"/>
      <c r="K189" s="21" t="str">
        <f aca="false">IF(A189="","",IF(AND(H189&lt;&gt;"",J189&lt;&gt;""),"Both",IF(H189&lt;&gt;"","Builds a table",IF(J189&lt;&gt;"","Feeds a product","Nothing recorded"))))</f>
        <v/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customFormat="false" ht="15" hidden="false" customHeight="false" outlineLevel="0" collapsed="false">
      <c r="A190" s="18"/>
      <c r="B190" s="19"/>
      <c r="C190" s="20"/>
      <c r="D190" s="20"/>
      <c r="E190" s="20"/>
      <c r="F190" s="18"/>
      <c r="G190" s="20"/>
      <c r="H190" s="18"/>
      <c r="I190" s="20"/>
      <c r="J190" s="18"/>
      <c r="K190" s="21" t="str">
        <f aca="false">IF(A190="","",IF(AND(H190&lt;&gt;"",J190&lt;&gt;""),"Both",IF(H190&lt;&gt;"","Builds a table",IF(J190&lt;&gt;"","Feeds a product","Nothing recorded"))))</f>
        <v/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customFormat="false" ht="15" hidden="false" customHeight="false" outlineLevel="0" collapsed="false">
      <c r="A191" s="18"/>
      <c r="B191" s="19"/>
      <c r="C191" s="20"/>
      <c r="D191" s="20"/>
      <c r="E191" s="20"/>
      <c r="F191" s="18"/>
      <c r="G191" s="20"/>
      <c r="H191" s="18"/>
      <c r="I191" s="20"/>
      <c r="J191" s="18"/>
      <c r="K191" s="21" t="str">
        <f aca="false">IF(A191="","",IF(AND(H191&lt;&gt;"",J191&lt;&gt;""),"Both",IF(H191&lt;&gt;"","Builds a table",IF(J191&lt;&gt;"","Feeds a product","Nothing recorded"))))</f>
        <v/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customFormat="false" ht="15" hidden="false" customHeight="false" outlineLevel="0" collapsed="false">
      <c r="A192" s="18"/>
      <c r="B192" s="19"/>
      <c r="C192" s="20"/>
      <c r="D192" s="20"/>
      <c r="E192" s="20"/>
      <c r="F192" s="18"/>
      <c r="G192" s="20"/>
      <c r="H192" s="18"/>
      <c r="I192" s="20"/>
      <c r="J192" s="18"/>
      <c r="K192" s="21" t="str">
        <f aca="false">IF(A192="","",IF(AND(H192&lt;&gt;"",J192&lt;&gt;""),"Both",IF(H192&lt;&gt;"","Builds a table",IF(J192&lt;&gt;"","Feeds a product","Nothing recorded"))))</f>
        <v/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customFormat="false" ht="15" hidden="false" customHeight="false" outlineLevel="0" collapsed="false">
      <c r="A193" s="18"/>
      <c r="B193" s="19"/>
      <c r="C193" s="20"/>
      <c r="D193" s="20"/>
      <c r="E193" s="20"/>
      <c r="F193" s="18"/>
      <c r="G193" s="20"/>
      <c r="H193" s="18"/>
      <c r="I193" s="20"/>
      <c r="J193" s="18"/>
      <c r="K193" s="21" t="str">
        <f aca="false">IF(A193="","",IF(AND(H193&lt;&gt;"",J193&lt;&gt;""),"Both",IF(H193&lt;&gt;"","Builds a table",IF(J193&lt;&gt;"","Feeds a product","Nothing recorded"))))</f>
        <v/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customFormat="false" ht="15" hidden="false" customHeight="false" outlineLevel="0" collapsed="false">
      <c r="A194" s="18"/>
      <c r="B194" s="19"/>
      <c r="C194" s="20"/>
      <c r="D194" s="20"/>
      <c r="E194" s="20"/>
      <c r="F194" s="18"/>
      <c r="G194" s="20"/>
      <c r="H194" s="18"/>
      <c r="I194" s="20"/>
      <c r="J194" s="18"/>
      <c r="K194" s="21" t="str">
        <f aca="false">IF(A194="","",IF(AND(H194&lt;&gt;"",J194&lt;&gt;""),"Both",IF(H194&lt;&gt;"","Builds a table",IF(J194&lt;&gt;"","Feeds a product","Nothing recorded"))))</f>
        <v/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customFormat="false" ht="15" hidden="false" customHeight="false" outlineLevel="0" collapsed="false">
      <c r="A195" s="18"/>
      <c r="B195" s="19"/>
      <c r="C195" s="20"/>
      <c r="D195" s="20"/>
      <c r="E195" s="20"/>
      <c r="F195" s="18"/>
      <c r="G195" s="20"/>
      <c r="H195" s="18"/>
      <c r="I195" s="20"/>
      <c r="J195" s="18"/>
      <c r="K195" s="21" t="str">
        <f aca="false">IF(A195="","",IF(AND(H195&lt;&gt;"",J195&lt;&gt;""),"Both",IF(H195&lt;&gt;"","Builds a table",IF(J195&lt;&gt;"","Feeds a product","Nothing recorded"))))</f>
        <v/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customFormat="false" ht="15" hidden="false" customHeight="false" outlineLevel="0" collapsed="false">
      <c r="A196" s="18"/>
      <c r="B196" s="19"/>
      <c r="C196" s="20"/>
      <c r="D196" s="20"/>
      <c r="E196" s="20"/>
      <c r="F196" s="18"/>
      <c r="G196" s="20"/>
      <c r="H196" s="18"/>
      <c r="I196" s="20"/>
      <c r="J196" s="18"/>
      <c r="K196" s="21" t="str">
        <f aca="false">IF(A196="","",IF(AND(H196&lt;&gt;"",J196&lt;&gt;""),"Both",IF(H196&lt;&gt;"","Builds a table",IF(J196&lt;&gt;"","Feeds a product","Nothing recorded"))))</f>
        <v/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customFormat="false" ht="15" hidden="false" customHeight="false" outlineLevel="0" collapsed="false">
      <c r="A197" s="18"/>
      <c r="B197" s="19"/>
      <c r="C197" s="20"/>
      <c r="D197" s="20"/>
      <c r="E197" s="20"/>
      <c r="F197" s="18"/>
      <c r="G197" s="20"/>
      <c r="H197" s="18"/>
      <c r="I197" s="20"/>
      <c r="J197" s="18"/>
      <c r="K197" s="21" t="str">
        <f aca="false">IF(A197="","",IF(AND(H197&lt;&gt;"",J197&lt;&gt;""),"Both",IF(H197&lt;&gt;"","Builds a table",IF(J197&lt;&gt;"","Feeds a product","Nothing recorded"))))</f>
        <v/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customFormat="false" ht="15" hidden="false" customHeight="false" outlineLevel="0" collapsed="false">
      <c r="A198" s="18"/>
      <c r="B198" s="19"/>
      <c r="C198" s="20"/>
      <c r="D198" s="20"/>
      <c r="E198" s="20"/>
      <c r="F198" s="18"/>
      <c r="G198" s="20"/>
      <c r="H198" s="18"/>
      <c r="I198" s="20"/>
      <c r="J198" s="18"/>
      <c r="K198" s="21" t="str">
        <f aca="false">IF(A198="","",IF(AND(H198&lt;&gt;"",J198&lt;&gt;""),"Both",IF(H198&lt;&gt;"","Builds a table",IF(J198&lt;&gt;"","Feeds a product","Nothing recorded"))))</f>
        <v/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customFormat="false" ht="15" hidden="false" customHeight="false" outlineLevel="0" collapsed="false">
      <c r="A199" s="18"/>
      <c r="B199" s="19"/>
      <c r="C199" s="20"/>
      <c r="D199" s="20"/>
      <c r="E199" s="20"/>
      <c r="F199" s="18"/>
      <c r="G199" s="20"/>
      <c r="H199" s="18"/>
      <c r="I199" s="20"/>
      <c r="J199" s="18"/>
      <c r="K199" s="21" t="str">
        <f aca="false">IF(A199="","",IF(AND(H199&lt;&gt;"",J199&lt;&gt;""),"Both",IF(H199&lt;&gt;"","Builds a table",IF(J199&lt;&gt;"","Feeds a product","Nothing recorded"))))</f>
        <v/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customFormat="false" ht="15" hidden="false" customHeight="false" outlineLevel="0" collapsed="false">
      <c r="A200" s="18"/>
      <c r="B200" s="19"/>
      <c r="C200" s="20"/>
      <c r="D200" s="20"/>
      <c r="E200" s="20"/>
      <c r="F200" s="18"/>
      <c r="G200" s="20"/>
      <c r="H200" s="18"/>
      <c r="I200" s="20"/>
      <c r="J200" s="18"/>
      <c r="K200" s="21" t="str">
        <f aca="false">IF(A200="","",IF(AND(H200&lt;&gt;"",J200&lt;&gt;""),"Both",IF(H200&lt;&gt;"","Builds a table",IF(J200&lt;&gt;"","Feeds a product","Nothing recorded"))))</f>
        <v/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customFormat="false" ht="15" hidden="false" customHeight="false" outlineLevel="0" collapsed="false">
      <c r="A201" s="18"/>
      <c r="B201" s="19"/>
      <c r="C201" s="20"/>
      <c r="D201" s="20"/>
      <c r="E201" s="20"/>
      <c r="F201" s="18"/>
      <c r="G201" s="20"/>
      <c r="H201" s="18"/>
      <c r="I201" s="20"/>
      <c r="J201" s="18"/>
      <c r="K201" s="21" t="str">
        <f aca="false">IF(A201="","",IF(AND(H201&lt;&gt;"",J201&lt;&gt;""),"Both",IF(H201&lt;&gt;"","Builds a table",IF(J201&lt;&gt;"","Feeds a product","Nothing recorded"))))</f>
        <v/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customFormat="false" ht="15" hidden="false" customHeight="false" outlineLevel="0" collapsed="false">
      <c r="A202" s="18"/>
      <c r="B202" s="19"/>
      <c r="C202" s="20"/>
      <c r="D202" s="20"/>
      <c r="E202" s="20"/>
      <c r="F202" s="18"/>
      <c r="G202" s="20"/>
      <c r="H202" s="18"/>
      <c r="I202" s="20"/>
      <c r="J202" s="18"/>
      <c r="K202" s="21" t="str">
        <f aca="false">IF(A202="","",IF(AND(H202&lt;&gt;"",J202&lt;&gt;""),"Both",IF(H202&lt;&gt;"","Builds a table",IF(J202&lt;&gt;"","Feeds a product","Nothing recorded"))))</f>
        <v/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customFormat="false" ht="15" hidden="false" customHeight="false" outlineLevel="0" collapsed="false">
      <c r="A203" s="18"/>
      <c r="B203" s="19"/>
      <c r="C203" s="20"/>
      <c r="D203" s="20"/>
      <c r="E203" s="20"/>
      <c r="F203" s="18"/>
      <c r="G203" s="20"/>
      <c r="H203" s="18"/>
      <c r="I203" s="20"/>
      <c r="J203" s="18"/>
      <c r="K203" s="21" t="str">
        <f aca="false">IF(A203="","",IF(AND(H203&lt;&gt;"",J203&lt;&gt;""),"Both",IF(H203&lt;&gt;"","Builds a table",IF(J203&lt;&gt;"","Feeds a product","Nothing recorded"))))</f>
        <v/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customFormat="false" ht="15" hidden="false" customHeight="false" outlineLevel="0" collapsed="false">
      <c r="A204" s="18"/>
      <c r="B204" s="19"/>
      <c r="C204" s="20"/>
      <c r="D204" s="20"/>
      <c r="E204" s="20"/>
      <c r="F204" s="18"/>
      <c r="G204" s="20"/>
      <c r="H204" s="18"/>
      <c r="I204" s="20"/>
      <c r="J204" s="18"/>
      <c r="K204" s="21" t="str">
        <f aca="false">IF(A204="","",IF(AND(H204&lt;&gt;"",J204&lt;&gt;""),"Both",IF(H204&lt;&gt;"","Builds a table",IF(J204&lt;&gt;"","Feeds a product","Nothing recorded"))))</f>
        <v/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customFormat="false" ht="15" hidden="false" customHeight="false" outlineLevel="0" collapsed="false">
      <c r="A205" s="18"/>
      <c r="B205" s="19"/>
      <c r="C205" s="20"/>
      <c r="D205" s="20"/>
      <c r="E205" s="20"/>
      <c r="F205" s="18"/>
      <c r="G205" s="20"/>
      <c r="H205" s="18"/>
      <c r="I205" s="20"/>
      <c r="J205" s="18"/>
      <c r="K205" s="21" t="str">
        <f aca="false">IF(A205="","",IF(AND(H205&lt;&gt;"",J205&lt;&gt;""),"Both",IF(H205&lt;&gt;"","Builds a table",IF(J205&lt;&gt;"","Feeds a product","Nothing recorded"))))</f>
        <v/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customFormat="false" ht="15" hidden="false" customHeight="false" outlineLevel="0" collapsed="false">
      <c r="A206" s="18"/>
      <c r="B206" s="19"/>
      <c r="C206" s="20"/>
      <c r="D206" s="20"/>
      <c r="E206" s="20"/>
      <c r="F206" s="18"/>
      <c r="G206" s="20"/>
      <c r="H206" s="18"/>
      <c r="I206" s="20"/>
      <c r="J206" s="18"/>
      <c r="K206" s="21" t="str">
        <f aca="false">IF(A206="","",IF(AND(H206&lt;&gt;"",J206&lt;&gt;""),"Both",IF(H206&lt;&gt;"","Builds a table",IF(J206&lt;&gt;"","Feeds a product","Nothing recorded"))))</f>
        <v/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customFormat="false" ht="15" hidden="false" customHeight="false" outlineLevel="0" collapsed="false">
      <c r="A207" s="18"/>
      <c r="B207" s="19"/>
      <c r="C207" s="20"/>
      <c r="D207" s="20"/>
      <c r="E207" s="20"/>
      <c r="F207" s="18"/>
      <c r="G207" s="20"/>
      <c r="H207" s="18"/>
      <c r="I207" s="20"/>
      <c r="J207" s="18"/>
      <c r="K207" s="21" t="str">
        <f aca="false">IF(A207="","",IF(AND(H207&lt;&gt;"",J207&lt;&gt;""),"Both",IF(H207&lt;&gt;"","Builds a table",IF(J207&lt;&gt;"","Feeds a product","Nothing recorded"))))</f>
        <v/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customFormat="false" ht="15" hidden="false" customHeight="false" outlineLevel="0" collapsed="false">
      <c r="A208" s="18"/>
      <c r="B208" s="19"/>
      <c r="C208" s="20"/>
      <c r="D208" s="20"/>
      <c r="E208" s="20"/>
      <c r="F208" s="18"/>
      <c r="G208" s="20"/>
      <c r="H208" s="18"/>
      <c r="I208" s="20"/>
      <c r="J208" s="18"/>
      <c r="K208" s="21" t="str">
        <f aca="false">IF(A208="","",IF(AND(H208&lt;&gt;"",J208&lt;&gt;""),"Both",IF(H208&lt;&gt;"","Builds a table",IF(J208&lt;&gt;"","Feeds a product","Nothing recorded"))))</f>
        <v/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customFormat="false" ht="15" hidden="false" customHeight="false" outlineLevel="0" collapsed="false">
      <c r="A209" s="18"/>
      <c r="B209" s="19"/>
      <c r="C209" s="20"/>
      <c r="D209" s="20"/>
      <c r="E209" s="20"/>
      <c r="F209" s="18"/>
      <c r="G209" s="20"/>
      <c r="H209" s="18"/>
      <c r="I209" s="20"/>
      <c r="J209" s="18"/>
      <c r="K209" s="21" t="str">
        <f aca="false">IF(A209="","",IF(AND(H209&lt;&gt;"",J209&lt;&gt;""),"Both",IF(H209&lt;&gt;"","Builds a table",IF(J209&lt;&gt;"","Feeds a product","Nothing recorded"))))</f>
        <v/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customFormat="false" ht="15" hidden="false" customHeight="false" outlineLevel="0" collapsed="false">
      <c r="A210" s="18"/>
      <c r="B210" s="19"/>
      <c r="C210" s="20"/>
      <c r="D210" s="20"/>
      <c r="E210" s="20"/>
      <c r="F210" s="18"/>
      <c r="G210" s="20"/>
      <c r="H210" s="18"/>
      <c r="I210" s="20"/>
      <c r="J210" s="18"/>
      <c r="K210" s="21" t="str">
        <f aca="false">IF(A210="","",IF(AND(H210&lt;&gt;"",J210&lt;&gt;""),"Both",IF(H210&lt;&gt;"","Builds a table",IF(J210&lt;&gt;"","Feeds a product","Nothing recorded"))))</f>
        <v/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customFormat="false" ht="15" hidden="false" customHeight="false" outlineLevel="0" collapsed="false">
      <c r="A211" s="18"/>
      <c r="B211" s="19"/>
      <c r="C211" s="20"/>
      <c r="D211" s="20"/>
      <c r="E211" s="20"/>
      <c r="F211" s="18"/>
      <c r="G211" s="20"/>
      <c r="H211" s="18"/>
      <c r="I211" s="20"/>
      <c r="J211" s="18"/>
      <c r="K211" s="21" t="str">
        <f aca="false">IF(A211="","",IF(AND(H211&lt;&gt;"",J211&lt;&gt;""),"Both",IF(H211&lt;&gt;"","Builds a table",IF(J211&lt;&gt;"","Feeds a product","Nothing recorded"))))</f>
        <v/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customFormat="false" ht="15" hidden="false" customHeight="false" outlineLevel="0" collapsed="false">
      <c r="A212" s="18"/>
      <c r="B212" s="19"/>
      <c r="C212" s="20"/>
      <c r="D212" s="20"/>
      <c r="E212" s="20"/>
      <c r="F212" s="18"/>
      <c r="G212" s="20"/>
      <c r="H212" s="18"/>
      <c r="I212" s="20"/>
      <c r="J212" s="18"/>
      <c r="K212" s="21" t="str">
        <f aca="false">IF(A212="","",IF(AND(H212&lt;&gt;"",J212&lt;&gt;""),"Both",IF(H212&lt;&gt;"","Builds a table",IF(J212&lt;&gt;"","Feeds a product","Nothing recorded"))))</f>
        <v/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customFormat="false" ht="15" hidden="false" customHeight="false" outlineLevel="0" collapsed="false">
      <c r="A213" s="18"/>
      <c r="B213" s="19"/>
      <c r="C213" s="20"/>
      <c r="D213" s="20"/>
      <c r="E213" s="20"/>
      <c r="F213" s="18"/>
      <c r="G213" s="20"/>
      <c r="H213" s="18"/>
      <c r="I213" s="20"/>
      <c r="J213" s="18"/>
      <c r="K213" s="21" t="str">
        <f aca="false">IF(A213="","",IF(AND(H213&lt;&gt;"",J213&lt;&gt;""),"Both",IF(H213&lt;&gt;"","Builds a table",IF(J213&lt;&gt;"","Feeds a product","Nothing recorded"))))</f>
        <v/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customFormat="false" ht="15" hidden="false" customHeight="false" outlineLevel="0" collapsed="false">
      <c r="A214" s="18"/>
      <c r="B214" s="19"/>
      <c r="C214" s="20"/>
      <c r="D214" s="20"/>
      <c r="E214" s="20"/>
      <c r="F214" s="18"/>
      <c r="G214" s="20"/>
      <c r="H214" s="18"/>
      <c r="I214" s="20"/>
      <c r="J214" s="18"/>
      <c r="K214" s="21" t="str">
        <f aca="false">IF(A214="","",IF(AND(H214&lt;&gt;"",J214&lt;&gt;""),"Both",IF(H214&lt;&gt;"","Builds a table",IF(J214&lt;&gt;"","Feeds a product","Nothing recorded"))))</f>
        <v/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customFormat="false" ht="15" hidden="false" customHeight="false" outlineLevel="0" collapsed="false">
      <c r="A215" s="18"/>
      <c r="B215" s="19"/>
      <c r="C215" s="20"/>
      <c r="D215" s="20"/>
      <c r="E215" s="20"/>
      <c r="F215" s="18"/>
      <c r="G215" s="20"/>
      <c r="H215" s="18"/>
      <c r="I215" s="20"/>
      <c r="J215" s="18"/>
      <c r="K215" s="21" t="str">
        <f aca="false">IF(A215="","",IF(AND(H215&lt;&gt;"",J215&lt;&gt;""),"Both",IF(H215&lt;&gt;"","Builds a table",IF(J215&lt;&gt;"","Feeds a product","Nothing recorded"))))</f>
        <v/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customFormat="false" ht="15" hidden="false" customHeight="false" outlineLevel="0" collapsed="false">
      <c r="A216" s="18"/>
      <c r="B216" s="19"/>
      <c r="C216" s="20"/>
      <c r="D216" s="20"/>
      <c r="E216" s="20"/>
      <c r="F216" s="18"/>
      <c r="G216" s="20"/>
      <c r="H216" s="18"/>
      <c r="I216" s="20"/>
      <c r="J216" s="18"/>
      <c r="K216" s="21" t="str">
        <f aca="false">IF(A216="","",IF(AND(H216&lt;&gt;"",J216&lt;&gt;""),"Both",IF(H216&lt;&gt;"","Builds a table",IF(J216&lt;&gt;"","Feeds a product","Nothing recorded"))))</f>
        <v/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customFormat="false" ht="15" hidden="false" customHeight="false" outlineLevel="0" collapsed="false">
      <c r="A217" s="18"/>
      <c r="B217" s="19"/>
      <c r="C217" s="20"/>
      <c r="D217" s="20"/>
      <c r="E217" s="20"/>
      <c r="F217" s="18"/>
      <c r="G217" s="20"/>
      <c r="H217" s="18"/>
      <c r="I217" s="20"/>
      <c r="J217" s="18"/>
      <c r="K217" s="21" t="str">
        <f aca="false">IF(A217="","",IF(AND(H217&lt;&gt;"",J217&lt;&gt;""),"Both",IF(H217&lt;&gt;"","Builds a table",IF(J217&lt;&gt;"","Feeds a product","Nothing recorded"))))</f>
        <v/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customFormat="false" ht="15" hidden="false" customHeight="false" outlineLevel="0" collapsed="false">
      <c r="A218" s="18"/>
      <c r="B218" s="19"/>
      <c r="C218" s="20"/>
      <c r="D218" s="20"/>
      <c r="E218" s="20"/>
      <c r="F218" s="18"/>
      <c r="G218" s="20"/>
      <c r="H218" s="18"/>
      <c r="I218" s="20"/>
      <c r="J218" s="18"/>
      <c r="K218" s="21" t="str">
        <f aca="false">IF(A218="","",IF(AND(H218&lt;&gt;"",J218&lt;&gt;""),"Both",IF(H218&lt;&gt;"","Builds a table",IF(J218&lt;&gt;"","Feeds a product","Nothing recorded"))))</f>
        <v/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customFormat="false" ht="15" hidden="false" customHeight="false" outlineLevel="0" collapsed="false">
      <c r="A219" s="18"/>
      <c r="B219" s="19"/>
      <c r="C219" s="20"/>
      <c r="D219" s="20"/>
      <c r="E219" s="20"/>
      <c r="F219" s="18"/>
      <c r="G219" s="20"/>
      <c r="H219" s="18"/>
      <c r="I219" s="20"/>
      <c r="J219" s="18"/>
      <c r="K219" s="21" t="str">
        <f aca="false">IF(A219="","",IF(AND(H219&lt;&gt;"",J219&lt;&gt;""),"Both",IF(H219&lt;&gt;"","Builds a table",IF(J219&lt;&gt;"","Feeds a product","Nothing recorded"))))</f>
        <v/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customFormat="false" ht="15" hidden="false" customHeight="false" outlineLevel="0" collapsed="false">
      <c r="A220" s="18"/>
      <c r="B220" s="19"/>
      <c r="C220" s="20"/>
      <c r="D220" s="20"/>
      <c r="E220" s="20"/>
      <c r="F220" s="18"/>
      <c r="G220" s="20"/>
      <c r="H220" s="18"/>
      <c r="I220" s="20"/>
      <c r="J220" s="18"/>
      <c r="K220" s="21" t="str">
        <f aca="false">IF(A220="","",IF(AND(H220&lt;&gt;"",J220&lt;&gt;""),"Both",IF(H220&lt;&gt;"","Builds a table",IF(J220&lt;&gt;"","Feeds a product","Nothing recorded"))))</f>
        <v/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customFormat="false" ht="15" hidden="false" customHeight="false" outlineLevel="0" collapsed="false">
      <c r="A221" s="18"/>
      <c r="B221" s="19"/>
      <c r="C221" s="20"/>
      <c r="D221" s="20"/>
      <c r="E221" s="20"/>
      <c r="F221" s="18"/>
      <c r="G221" s="20"/>
      <c r="H221" s="18"/>
      <c r="I221" s="20"/>
      <c r="J221" s="18"/>
      <c r="K221" s="21" t="str">
        <f aca="false">IF(A221="","",IF(AND(H221&lt;&gt;"",J221&lt;&gt;""),"Both",IF(H221&lt;&gt;"","Builds a table",IF(J221&lt;&gt;"","Feeds a product","Nothing recorded"))))</f>
        <v/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customFormat="false" ht="15" hidden="false" customHeight="false" outlineLevel="0" collapsed="false">
      <c r="A222" s="18"/>
      <c r="B222" s="19"/>
      <c r="C222" s="20"/>
      <c r="D222" s="20"/>
      <c r="E222" s="20"/>
      <c r="F222" s="18"/>
      <c r="G222" s="20"/>
      <c r="H222" s="18"/>
      <c r="I222" s="20"/>
      <c r="J222" s="18"/>
      <c r="K222" s="21" t="str">
        <f aca="false">IF(A222="","",IF(AND(H222&lt;&gt;"",J222&lt;&gt;""),"Both",IF(H222&lt;&gt;"","Builds a table",IF(J222&lt;&gt;"","Feeds a product","Nothing recorded"))))</f>
        <v/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customFormat="false" ht="15" hidden="false" customHeight="false" outlineLevel="0" collapsed="false">
      <c r="A223" s="18"/>
      <c r="B223" s="19"/>
      <c r="C223" s="20"/>
      <c r="D223" s="20"/>
      <c r="E223" s="20"/>
      <c r="F223" s="18"/>
      <c r="G223" s="20"/>
      <c r="H223" s="18"/>
      <c r="I223" s="20"/>
      <c r="J223" s="18"/>
      <c r="K223" s="21" t="str">
        <f aca="false">IF(A223="","",IF(AND(H223&lt;&gt;"",J223&lt;&gt;""),"Both",IF(H223&lt;&gt;"","Builds a table",IF(J223&lt;&gt;"","Feeds a product","Nothing recorded"))))</f>
        <v/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customFormat="false" ht="15" hidden="false" customHeight="false" outlineLevel="0" collapsed="false">
      <c r="A224" s="18"/>
      <c r="B224" s="19"/>
      <c r="C224" s="20"/>
      <c r="D224" s="20"/>
      <c r="E224" s="20"/>
      <c r="F224" s="18"/>
      <c r="G224" s="20"/>
      <c r="H224" s="18"/>
      <c r="I224" s="20"/>
      <c r="J224" s="18"/>
      <c r="K224" s="21" t="str">
        <f aca="false">IF(A224="","",IF(AND(H224&lt;&gt;"",J224&lt;&gt;""),"Both",IF(H224&lt;&gt;"","Builds a table",IF(J224&lt;&gt;"","Feeds a product","Nothing recorded"))))</f>
        <v/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customFormat="false" ht="15" hidden="false" customHeight="false" outlineLevel="0" collapsed="false">
      <c r="A225" s="18"/>
      <c r="B225" s="19"/>
      <c r="C225" s="20"/>
      <c r="D225" s="20"/>
      <c r="E225" s="20"/>
      <c r="F225" s="18"/>
      <c r="G225" s="20"/>
      <c r="H225" s="18"/>
      <c r="I225" s="20"/>
      <c r="J225" s="18"/>
      <c r="K225" s="21" t="str">
        <f aca="false">IF(A225="","",IF(AND(H225&lt;&gt;"",J225&lt;&gt;""),"Both",IF(H225&lt;&gt;"","Builds a table",IF(J225&lt;&gt;"","Feeds a product","Nothing recorded"))))</f>
        <v/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customFormat="false" ht="15" hidden="false" customHeight="false" outlineLevel="0" collapsed="false">
      <c r="A226" s="18"/>
      <c r="B226" s="19"/>
      <c r="C226" s="20"/>
      <c r="D226" s="20"/>
      <c r="E226" s="20"/>
      <c r="F226" s="18"/>
      <c r="G226" s="20"/>
      <c r="H226" s="18"/>
      <c r="I226" s="20"/>
      <c r="J226" s="18"/>
      <c r="K226" s="21" t="str">
        <f aca="false">IF(A226="","",IF(AND(H226&lt;&gt;"",J226&lt;&gt;""),"Both",IF(H226&lt;&gt;"","Builds a table",IF(J226&lt;&gt;"","Feeds a product","Nothing recorded"))))</f>
        <v/>
      </c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customFormat="false" ht="15" hidden="false" customHeight="false" outlineLevel="0" collapsed="false">
      <c r="A227" s="18"/>
      <c r="B227" s="19"/>
      <c r="C227" s="20"/>
      <c r="D227" s="20"/>
      <c r="E227" s="20"/>
      <c r="F227" s="18"/>
      <c r="G227" s="20"/>
      <c r="H227" s="18"/>
      <c r="I227" s="20"/>
      <c r="J227" s="18"/>
      <c r="K227" s="21" t="str">
        <f aca="false">IF(A227="","",IF(AND(H227&lt;&gt;"",J227&lt;&gt;""),"Both",IF(H227&lt;&gt;"","Builds a table",IF(J227&lt;&gt;"","Feeds a product","Nothing recorded"))))</f>
        <v/>
      </c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customFormat="false" ht="15" hidden="false" customHeight="false" outlineLevel="0" collapsed="false">
      <c r="A228" s="18"/>
      <c r="B228" s="19"/>
      <c r="C228" s="20"/>
      <c r="D228" s="20"/>
      <c r="E228" s="20"/>
      <c r="F228" s="18"/>
      <c r="G228" s="20"/>
      <c r="H228" s="18"/>
      <c r="I228" s="20"/>
      <c r="J228" s="18"/>
      <c r="K228" s="21" t="str">
        <f aca="false">IF(A228="","",IF(AND(H228&lt;&gt;"",J228&lt;&gt;""),"Both",IF(H228&lt;&gt;"","Builds a table",IF(J228&lt;&gt;"","Feeds a product","Nothing recorded"))))</f>
        <v/>
      </c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customFormat="false" ht="15" hidden="false" customHeight="false" outlineLevel="0" collapsed="false">
      <c r="A229" s="18"/>
      <c r="B229" s="19"/>
      <c r="C229" s="20"/>
      <c r="D229" s="20"/>
      <c r="E229" s="20"/>
      <c r="F229" s="18"/>
      <c r="G229" s="20"/>
      <c r="H229" s="18"/>
      <c r="I229" s="20"/>
      <c r="J229" s="18"/>
      <c r="K229" s="21" t="str">
        <f aca="false">IF(A229="","",IF(AND(H229&lt;&gt;"",J229&lt;&gt;""),"Both",IF(H229&lt;&gt;"","Builds a table",IF(J229&lt;&gt;"","Feeds a product","Nothing recorded"))))</f>
        <v/>
      </c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customFormat="false" ht="15" hidden="false" customHeight="false" outlineLevel="0" collapsed="false">
      <c r="A230" s="18"/>
      <c r="B230" s="19"/>
      <c r="C230" s="20"/>
      <c r="D230" s="20"/>
      <c r="E230" s="20"/>
      <c r="F230" s="18"/>
      <c r="G230" s="20"/>
      <c r="H230" s="18"/>
      <c r="I230" s="20"/>
      <c r="J230" s="18"/>
      <c r="K230" s="21" t="str">
        <f aca="false">IF(A230="","",IF(AND(H230&lt;&gt;"",J230&lt;&gt;""),"Both",IF(H230&lt;&gt;"","Builds a table",IF(J230&lt;&gt;"","Feeds a product","Nothing recorded"))))</f>
        <v/>
      </c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customFormat="false" ht="15" hidden="false" customHeight="false" outlineLevel="0" collapsed="false">
      <c r="A231" s="18"/>
      <c r="B231" s="19"/>
      <c r="C231" s="20"/>
      <c r="D231" s="20"/>
      <c r="E231" s="20"/>
      <c r="F231" s="18"/>
      <c r="G231" s="20"/>
      <c r="H231" s="18"/>
      <c r="I231" s="20"/>
      <c r="J231" s="18"/>
      <c r="K231" s="21" t="str">
        <f aca="false">IF(A231="","",IF(AND(H231&lt;&gt;"",J231&lt;&gt;""),"Both",IF(H231&lt;&gt;"","Builds a table",IF(J231&lt;&gt;"","Feeds a product","Nothing recorded"))))</f>
        <v/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customFormat="false" ht="15" hidden="false" customHeight="false" outlineLevel="0" collapsed="false">
      <c r="A232" s="18"/>
      <c r="B232" s="19"/>
      <c r="C232" s="20"/>
      <c r="D232" s="20"/>
      <c r="E232" s="20"/>
      <c r="F232" s="18"/>
      <c r="G232" s="20"/>
      <c r="H232" s="18"/>
      <c r="I232" s="20"/>
      <c r="J232" s="18"/>
      <c r="K232" s="21" t="str">
        <f aca="false">IF(A232="","",IF(AND(H232&lt;&gt;"",J232&lt;&gt;""),"Both",IF(H232&lt;&gt;"","Builds a table",IF(J232&lt;&gt;"","Feeds a product","Nothing recorded"))))</f>
        <v/>
      </c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customFormat="false" ht="15" hidden="false" customHeight="false" outlineLevel="0" collapsed="false">
      <c r="A233" s="18"/>
      <c r="B233" s="19"/>
      <c r="C233" s="20"/>
      <c r="D233" s="20"/>
      <c r="E233" s="20"/>
      <c r="F233" s="18"/>
      <c r="G233" s="20"/>
      <c r="H233" s="18"/>
      <c r="I233" s="20"/>
      <c r="J233" s="18"/>
      <c r="K233" s="21" t="str">
        <f aca="false">IF(A233="","",IF(AND(H233&lt;&gt;"",J233&lt;&gt;""),"Both",IF(H233&lt;&gt;"","Builds a table",IF(J233&lt;&gt;"","Feeds a product","Nothing recorded"))))</f>
        <v/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customFormat="false" ht="15" hidden="false" customHeight="false" outlineLevel="0" collapsed="false">
      <c r="A234" s="18"/>
      <c r="B234" s="19"/>
      <c r="C234" s="20"/>
      <c r="D234" s="20"/>
      <c r="E234" s="20"/>
      <c r="F234" s="18"/>
      <c r="G234" s="20"/>
      <c r="H234" s="18"/>
      <c r="I234" s="20"/>
      <c r="J234" s="18"/>
      <c r="K234" s="21" t="str">
        <f aca="false">IF(A234="","",IF(AND(H234&lt;&gt;"",J234&lt;&gt;""),"Both",IF(H234&lt;&gt;"","Builds a table",IF(J234&lt;&gt;"","Feeds a product","Nothing recorded"))))</f>
        <v/>
      </c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customFormat="false" ht="15" hidden="false" customHeight="false" outlineLevel="0" collapsed="false">
      <c r="A235" s="18"/>
      <c r="B235" s="19"/>
      <c r="C235" s="20"/>
      <c r="D235" s="20"/>
      <c r="E235" s="20"/>
      <c r="F235" s="18"/>
      <c r="G235" s="20"/>
      <c r="H235" s="18"/>
      <c r="I235" s="20"/>
      <c r="J235" s="18"/>
      <c r="K235" s="21" t="str">
        <f aca="false">IF(A235="","",IF(AND(H235&lt;&gt;"",J235&lt;&gt;""),"Both",IF(H235&lt;&gt;"","Builds a table",IF(J235&lt;&gt;"","Feeds a product","Nothing recorded"))))</f>
        <v/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customFormat="false" ht="15" hidden="false" customHeight="false" outlineLevel="0" collapsed="false">
      <c r="A236" s="18"/>
      <c r="B236" s="19"/>
      <c r="C236" s="20"/>
      <c r="D236" s="20"/>
      <c r="E236" s="20"/>
      <c r="F236" s="18"/>
      <c r="G236" s="20"/>
      <c r="H236" s="18"/>
      <c r="I236" s="20"/>
      <c r="J236" s="18"/>
      <c r="K236" s="21" t="str">
        <f aca="false">IF(A236="","",IF(AND(H236&lt;&gt;"",J236&lt;&gt;""),"Both",IF(H236&lt;&gt;"","Builds a table",IF(J236&lt;&gt;"","Feeds a product","Nothing recorded"))))</f>
        <v/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customFormat="false" ht="15" hidden="false" customHeight="false" outlineLevel="0" collapsed="false">
      <c r="A237" s="18"/>
      <c r="B237" s="19"/>
      <c r="C237" s="20"/>
      <c r="D237" s="20"/>
      <c r="E237" s="20"/>
      <c r="F237" s="18"/>
      <c r="G237" s="20"/>
      <c r="H237" s="18"/>
      <c r="I237" s="20"/>
      <c r="J237" s="18"/>
      <c r="K237" s="21" t="str">
        <f aca="false">IF(A237="","",IF(AND(H237&lt;&gt;"",J237&lt;&gt;""),"Both",IF(H237&lt;&gt;"","Builds a table",IF(J237&lt;&gt;"","Feeds a product","Nothing recorded"))))</f>
        <v/>
      </c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customFormat="false" ht="15" hidden="false" customHeight="false" outlineLevel="0" collapsed="false">
      <c r="A238" s="18"/>
      <c r="B238" s="19"/>
      <c r="C238" s="20"/>
      <c r="D238" s="20"/>
      <c r="E238" s="20"/>
      <c r="F238" s="18"/>
      <c r="G238" s="20"/>
      <c r="H238" s="18"/>
      <c r="I238" s="20"/>
      <c r="J238" s="18"/>
      <c r="K238" s="21" t="str">
        <f aca="false">IF(A238="","",IF(AND(H238&lt;&gt;"",J238&lt;&gt;""),"Both",IF(H238&lt;&gt;"","Builds a table",IF(J238&lt;&gt;"","Feeds a product","Nothing recorded"))))</f>
        <v/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customFormat="false" ht="15" hidden="false" customHeight="false" outlineLevel="0" collapsed="false">
      <c r="A239" s="18"/>
      <c r="B239" s="19"/>
      <c r="C239" s="20"/>
      <c r="D239" s="20"/>
      <c r="E239" s="20"/>
      <c r="F239" s="18"/>
      <c r="G239" s="20"/>
      <c r="H239" s="18"/>
      <c r="I239" s="20"/>
      <c r="J239" s="18"/>
      <c r="K239" s="21" t="str">
        <f aca="false">IF(A239="","",IF(AND(H239&lt;&gt;"",J239&lt;&gt;""),"Both",IF(H239&lt;&gt;"","Builds a table",IF(J239&lt;&gt;"","Feeds a product","Nothing recorded"))))</f>
        <v/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customFormat="false" ht="15" hidden="false" customHeight="false" outlineLevel="0" collapsed="false">
      <c r="A240" s="18"/>
      <c r="B240" s="19"/>
      <c r="C240" s="20"/>
      <c r="D240" s="20"/>
      <c r="E240" s="20"/>
      <c r="F240" s="18"/>
      <c r="G240" s="20"/>
      <c r="H240" s="18"/>
      <c r="I240" s="20"/>
      <c r="J240" s="18"/>
      <c r="K240" s="21" t="str">
        <f aca="false">IF(A240="","",IF(AND(H240&lt;&gt;"",J240&lt;&gt;""),"Both",IF(H240&lt;&gt;"","Builds a table",IF(J240&lt;&gt;"","Feeds a product","Nothing recorded"))))</f>
        <v/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customFormat="false" ht="15" hidden="false" customHeight="false" outlineLevel="0" collapsed="false">
      <c r="A241" s="18"/>
      <c r="B241" s="19"/>
      <c r="C241" s="20"/>
      <c r="D241" s="20"/>
      <c r="E241" s="20"/>
      <c r="F241" s="18"/>
      <c r="G241" s="20"/>
      <c r="H241" s="18"/>
      <c r="I241" s="20"/>
      <c r="J241" s="18"/>
      <c r="K241" s="21" t="str">
        <f aca="false">IF(A241="","",IF(AND(H241&lt;&gt;"",J241&lt;&gt;""),"Both",IF(H241&lt;&gt;"","Builds a table",IF(J241&lt;&gt;"","Feeds a product","Nothing recorded"))))</f>
        <v/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customFormat="false" ht="15" hidden="false" customHeight="false" outlineLevel="0" collapsed="false">
      <c r="A242" s="18"/>
      <c r="B242" s="19"/>
      <c r="C242" s="20"/>
      <c r="D242" s="20"/>
      <c r="E242" s="20"/>
      <c r="F242" s="18"/>
      <c r="G242" s="20"/>
      <c r="H242" s="18"/>
      <c r="I242" s="20"/>
      <c r="J242" s="18"/>
      <c r="K242" s="21" t="str">
        <f aca="false">IF(A242="","",IF(AND(H242&lt;&gt;"",J242&lt;&gt;""),"Both",IF(H242&lt;&gt;"","Builds a table",IF(J242&lt;&gt;"","Feeds a product","Nothing recorded"))))</f>
        <v/>
      </c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customFormat="false" ht="15" hidden="false" customHeight="false" outlineLevel="0" collapsed="false">
      <c r="A243" s="18"/>
      <c r="B243" s="19"/>
      <c r="C243" s="20"/>
      <c r="D243" s="20"/>
      <c r="E243" s="20"/>
      <c r="F243" s="18"/>
      <c r="G243" s="20"/>
      <c r="H243" s="18"/>
      <c r="I243" s="20"/>
      <c r="J243" s="18"/>
      <c r="K243" s="21" t="str">
        <f aca="false">IF(A243="","",IF(AND(H243&lt;&gt;"",J243&lt;&gt;""),"Both",IF(H243&lt;&gt;"","Builds a table",IF(J243&lt;&gt;"","Feeds a product","Nothing recorded"))))</f>
        <v/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customFormat="false" ht="15" hidden="false" customHeight="false" outlineLevel="0" collapsed="false">
      <c r="A244" s="18"/>
      <c r="B244" s="19"/>
      <c r="C244" s="20"/>
      <c r="D244" s="20"/>
      <c r="E244" s="20"/>
      <c r="F244" s="18"/>
      <c r="G244" s="20"/>
      <c r="H244" s="18"/>
      <c r="I244" s="20"/>
      <c r="J244" s="18"/>
      <c r="K244" s="21" t="str">
        <f aca="false">IF(A244="","",IF(AND(H244&lt;&gt;"",J244&lt;&gt;""),"Both",IF(H244&lt;&gt;"","Builds a table",IF(J244&lt;&gt;"","Feeds a product","Nothing recorded"))))</f>
        <v/>
      </c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customFormat="false" ht="15" hidden="false" customHeight="false" outlineLevel="0" collapsed="false">
      <c r="A245" s="18"/>
      <c r="B245" s="19"/>
      <c r="C245" s="20"/>
      <c r="D245" s="20"/>
      <c r="E245" s="20"/>
      <c r="F245" s="18"/>
      <c r="G245" s="20"/>
      <c r="H245" s="18"/>
      <c r="I245" s="20"/>
      <c r="J245" s="18"/>
      <c r="K245" s="21" t="str">
        <f aca="false">IF(A245="","",IF(AND(H245&lt;&gt;"",J245&lt;&gt;""),"Both",IF(H245&lt;&gt;"","Builds a table",IF(J245&lt;&gt;"","Feeds a product","Nothing recorded"))))</f>
        <v/>
      </c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customFormat="false" ht="15" hidden="false" customHeight="false" outlineLevel="0" collapsed="false">
      <c r="A246" s="18"/>
      <c r="B246" s="19"/>
      <c r="C246" s="20"/>
      <c r="D246" s="20"/>
      <c r="E246" s="20"/>
      <c r="F246" s="18"/>
      <c r="G246" s="20"/>
      <c r="H246" s="18"/>
      <c r="I246" s="20"/>
      <c r="J246" s="18"/>
      <c r="K246" s="21" t="str">
        <f aca="false">IF(A246="","",IF(AND(H246&lt;&gt;"",J246&lt;&gt;""),"Both",IF(H246&lt;&gt;"","Builds a table",IF(J246&lt;&gt;"","Feeds a product","Nothing recorded"))))</f>
        <v/>
      </c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customFormat="false" ht="15" hidden="false" customHeight="false" outlineLevel="0" collapsed="false">
      <c r="A247" s="18"/>
      <c r="B247" s="19"/>
      <c r="C247" s="20"/>
      <c r="D247" s="20"/>
      <c r="E247" s="20"/>
      <c r="F247" s="18"/>
      <c r="G247" s="20"/>
      <c r="H247" s="18"/>
      <c r="I247" s="20"/>
      <c r="J247" s="18"/>
      <c r="K247" s="21" t="str">
        <f aca="false">IF(A247="","",IF(AND(H247&lt;&gt;"",J247&lt;&gt;""),"Both",IF(H247&lt;&gt;"","Builds a table",IF(J247&lt;&gt;"","Feeds a product","Nothing recorded"))))</f>
        <v/>
      </c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customFormat="false" ht="15" hidden="false" customHeight="false" outlineLevel="0" collapsed="false">
      <c r="A248" s="18"/>
      <c r="B248" s="19"/>
      <c r="C248" s="20"/>
      <c r="D248" s="20"/>
      <c r="E248" s="20"/>
      <c r="F248" s="18"/>
      <c r="G248" s="20"/>
      <c r="H248" s="18"/>
      <c r="I248" s="20"/>
      <c r="J248" s="18"/>
      <c r="K248" s="21" t="str">
        <f aca="false">IF(A248="","",IF(AND(H248&lt;&gt;"",J248&lt;&gt;""),"Both",IF(H248&lt;&gt;"","Builds a table",IF(J248&lt;&gt;"","Feeds a product","Nothing recorded"))))</f>
        <v/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customFormat="false" ht="15" hidden="false" customHeight="false" outlineLevel="0" collapsed="false">
      <c r="A249" s="18"/>
      <c r="B249" s="19"/>
      <c r="C249" s="20"/>
      <c r="D249" s="20"/>
      <c r="E249" s="20"/>
      <c r="F249" s="18"/>
      <c r="G249" s="20"/>
      <c r="H249" s="18"/>
      <c r="I249" s="20"/>
      <c r="J249" s="18"/>
      <c r="K249" s="21" t="str">
        <f aca="false">IF(A249="","",IF(AND(H249&lt;&gt;"",J249&lt;&gt;""),"Both",IF(H249&lt;&gt;"","Builds a table",IF(J249&lt;&gt;"","Feeds a product","Nothing recorded"))))</f>
        <v/>
      </c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customFormat="false" ht="15" hidden="false" customHeight="false" outlineLevel="0" collapsed="false">
      <c r="A250" s="18"/>
      <c r="B250" s="19"/>
      <c r="C250" s="20"/>
      <c r="D250" s="20"/>
      <c r="E250" s="20"/>
      <c r="F250" s="18"/>
      <c r="G250" s="20"/>
      <c r="H250" s="18"/>
      <c r="I250" s="20"/>
      <c r="J250" s="18"/>
      <c r="K250" s="21" t="str">
        <f aca="false">IF(A250="","",IF(AND(H250&lt;&gt;"",J250&lt;&gt;""),"Both",IF(H250&lt;&gt;"","Builds a table",IF(J250&lt;&gt;"","Feeds a product","Nothing recorded"))))</f>
        <v/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customFormat="false" ht="15" hidden="false" customHeight="false" outlineLevel="0" collapsed="false">
      <c r="A251" s="18"/>
      <c r="B251" s="19"/>
      <c r="C251" s="20"/>
      <c r="D251" s="20"/>
      <c r="E251" s="20"/>
      <c r="F251" s="18"/>
      <c r="G251" s="20"/>
      <c r="H251" s="18"/>
      <c r="I251" s="20"/>
      <c r="J251" s="18"/>
      <c r="K251" s="21" t="str">
        <f aca="false">IF(A251="","",IF(AND(H251&lt;&gt;"",J251&lt;&gt;""),"Both",IF(H251&lt;&gt;"","Builds a table",IF(J251&lt;&gt;"","Feeds a product","Nothing recorded"))))</f>
        <v/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customFormat="false" ht="15" hidden="false" customHeight="false" outlineLevel="0" collapsed="false">
      <c r="A252" s="18"/>
      <c r="B252" s="19"/>
      <c r="C252" s="20"/>
      <c r="D252" s="20"/>
      <c r="E252" s="20"/>
      <c r="F252" s="18"/>
      <c r="G252" s="20"/>
      <c r="H252" s="18"/>
      <c r="I252" s="20"/>
      <c r="J252" s="18"/>
      <c r="K252" s="21" t="str">
        <f aca="false">IF(A252="","",IF(AND(H252&lt;&gt;"",J252&lt;&gt;""),"Both",IF(H252&lt;&gt;"","Builds a table",IF(J252&lt;&gt;"","Feeds a product","Nothing recorded"))))</f>
        <v/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customFormat="false" ht="15" hidden="false" customHeight="false" outlineLevel="0" collapsed="false">
      <c r="A253" s="18"/>
      <c r="B253" s="19"/>
      <c r="C253" s="20"/>
      <c r="D253" s="20"/>
      <c r="E253" s="20"/>
      <c r="F253" s="18"/>
      <c r="G253" s="20"/>
      <c r="H253" s="18"/>
      <c r="I253" s="20"/>
      <c r="J253" s="18"/>
      <c r="K253" s="21" t="str">
        <f aca="false">IF(A253="","",IF(AND(H253&lt;&gt;"",J253&lt;&gt;""),"Both",IF(H253&lt;&gt;"","Builds a table",IF(J253&lt;&gt;"","Feeds a product","Nothing recorded"))))</f>
        <v/>
      </c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customFormat="false" ht="15" hidden="false" customHeight="false" outlineLevel="0" collapsed="false">
      <c r="A254" s="18"/>
      <c r="B254" s="19"/>
      <c r="C254" s="20"/>
      <c r="D254" s="20"/>
      <c r="E254" s="20"/>
      <c r="F254" s="18"/>
      <c r="G254" s="20"/>
      <c r="H254" s="18"/>
      <c r="I254" s="20"/>
      <c r="J254" s="18"/>
      <c r="K254" s="21" t="str">
        <f aca="false">IF(A254="","",IF(AND(H254&lt;&gt;"",J254&lt;&gt;""),"Both",IF(H254&lt;&gt;"","Builds a table",IF(J254&lt;&gt;"","Feeds a product","Nothing recorded"))))</f>
        <v/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customFormat="false" ht="15" hidden="false" customHeight="false" outlineLevel="0" collapsed="false">
      <c r="A255" s="18"/>
      <c r="B255" s="19"/>
      <c r="C255" s="20"/>
      <c r="D255" s="20"/>
      <c r="E255" s="20"/>
      <c r="F255" s="18"/>
      <c r="G255" s="20"/>
      <c r="H255" s="18"/>
      <c r="I255" s="20"/>
      <c r="J255" s="18"/>
      <c r="K255" s="21" t="str">
        <f aca="false">IF(A255="","",IF(AND(H255&lt;&gt;"",J255&lt;&gt;""),"Both",IF(H255&lt;&gt;"","Builds a table",IF(J255&lt;&gt;"","Feeds a product","Nothing recorded"))))</f>
        <v/>
      </c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customFormat="false" ht="15" hidden="false" customHeight="false" outlineLevel="0" collapsed="false">
      <c r="A256" s="18"/>
      <c r="B256" s="19"/>
      <c r="C256" s="20"/>
      <c r="D256" s="20"/>
      <c r="E256" s="20"/>
      <c r="F256" s="18"/>
      <c r="G256" s="20"/>
      <c r="H256" s="18"/>
      <c r="I256" s="20"/>
      <c r="J256" s="18"/>
      <c r="K256" s="21" t="str">
        <f aca="false">IF(A256="","",IF(AND(H256&lt;&gt;"",J256&lt;&gt;""),"Both",IF(H256&lt;&gt;"","Builds a table",IF(J256&lt;&gt;"","Feeds a product","Nothing recorded"))))</f>
        <v/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customFormat="false" ht="15" hidden="false" customHeight="false" outlineLevel="0" collapsed="false">
      <c r="A257" s="18"/>
      <c r="B257" s="19"/>
      <c r="C257" s="20"/>
      <c r="D257" s="20"/>
      <c r="E257" s="20"/>
      <c r="F257" s="18"/>
      <c r="G257" s="20"/>
      <c r="H257" s="18"/>
      <c r="I257" s="20"/>
      <c r="J257" s="18"/>
      <c r="K257" s="21" t="str">
        <f aca="false">IF(A257="","",IF(AND(H257&lt;&gt;"",J257&lt;&gt;""),"Both",IF(H257&lt;&gt;"","Builds a table",IF(J257&lt;&gt;"","Feeds a product","Nothing recorded"))))</f>
        <v/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customFormat="false" ht="15" hidden="false" customHeight="false" outlineLevel="0" collapsed="false">
      <c r="A258" s="18"/>
      <c r="B258" s="19"/>
      <c r="C258" s="20"/>
      <c r="D258" s="20"/>
      <c r="E258" s="20"/>
      <c r="F258" s="18"/>
      <c r="G258" s="20"/>
      <c r="H258" s="18"/>
      <c r="I258" s="20"/>
      <c r="J258" s="18"/>
      <c r="K258" s="21" t="str">
        <f aca="false">IF(A258="","",IF(AND(H258&lt;&gt;"",J258&lt;&gt;""),"Both",IF(H258&lt;&gt;"","Builds a table",IF(J258&lt;&gt;"","Feeds a product","Nothing recorded"))))</f>
        <v/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customFormat="false" ht="15" hidden="false" customHeight="false" outlineLevel="0" collapsed="false">
      <c r="A259" s="18"/>
      <c r="B259" s="19"/>
      <c r="C259" s="20"/>
      <c r="D259" s="20"/>
      <c r="E259" s="20"/>
      <c r="F259" s="18"/>
      <c r="G259" s="20"/>
      <c r="H259" s="18"/>
      <c r="I259" s="20"/>
      <c r="J259" s="18"/>
      <c r="K259" s="21" t="str">
        <f aca="false">IF(A259="","",IF(AND(H259&lt;&gt;"",J259&lt;&gt;""),"Both",IF(H259&lt;&gt;"","Builds a table",IF(J259&lt;&gt;"","Feeds a product","Nothing recorded"))))</f>
        <v/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customFormat="false" ht="15" hidden="false" customHeight="false" outlineLevel="0" collapsed="false">
      <c r="A260" s="18"/>
      <c r="B260" s="19"/>
      <c r="C260" s="20"/>
      <c r="D260" s="20"/>
      <c r="E260" s="20"/>
      <c r="F260" s="18"/>
      <c r="G260" s="20"/>
      <c r="H260" s="18"/>
      <c r="I260" s="20"/>
      <c r="J260" s="18"/>
      <c r="K260" s="21" t="str">
        <f aca="false">IF(A260="","",IF(AND(H260&lt;&gt;"",J260&lt;&gt;""),"Both",IF(H260&lt;&gt;"","Builds a table",IF(J260&lt;&gt;"","Feeds a product","Nothing recorded"))))</f>
        <v/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customFormat="false" ht="15" hidden="false" customHeight="false" outlineLevel="0" collapsed="false">
      <c r="A261" s="18"/>
      <c r="B261" s="19"/>
      <c r="C261" s="20"/>
      <c r="D261" s="20"/>
      <c r="E261" s="20"/>
      <c r="F261" s="18"/>
      <c r="G261" s="20"/>
      <c r="H261" s="18"/>
      <c r="I261" s="20"/>
      <c r="J261" s="18"/>
      <c r="K261" s="21" t="str">
        <f aca="false">IF(A261="","",IF(AND(H261&lt;&gt;"",J261&lt;&gt;""),"Both",IF(H261&lt;&gt;"","Builds a table",IF(J261&lt;&gt;"","Feeds a product","Nothing recorded"))))</f>
        <v/>
      </c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customFormat="false" ht="15" hidden="false" customHeight="false" outlineLevel="0" collapsed="false">
      <c r="A262" s="18"/>
      <c r="B262" s="19"/>
      <c r="C262" s="20"/>
      <c r="D262" s="20"/>
      <c r="E262" s="20"/>
      <c r="F262" s="18"/>
      <c r="G262" s="20"/>
      <c r="H262" s="18"/>
      <c r="I262" s="20"/>
      <c r="J262" s="18"/>
      <c r="K262" s="21" t="str">
        <f aca="false">IF(A262="","",IF(AND(H262&lt;&gt;"",J262&lt;&gt;""),"Both",IF(H262&lt;&gt;"","Builds a table",IF(J262&lt;&gt;"","Feeds a product","Nothing recorded"))))</f>
        <v/>
      </c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customFormat="false" ht="15" hidden="false" customHeight="false" outlineLevel="0" collapsed="false">
      <c r="A263" s="18"/>
      <c r="B263" s="19"/>
      <c r="C263" s="20"/>
      <c r="D263" s="20"/>
      <c r="E263" s="20"/>
      <c r="F263" s="18"/>
      <c r="G263" s="20"/>
      <c r="H263" s="18"/>
      <c r="I263" s="20"/>
      <c r="J263" s="18"/>
      <c r="K263" s="21" t="str">
        <f aca="false">IF(A263="","",IF(AND(H263&lt;&gt;"",J263&lt;&gt;""),"Both",IF(H263&lt;&gt;"","Builds a table",IF(J263&lt;&gt;"","Feeds a product","Nothing recorded"))))</f>
        <v/>
      </c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customFormat="false" ht="15" hidden="false" customHeight="false" outlineLevel="0" collapsed="false">
      <c r="A264" s="18"/>
      <c r="B264" s="19"/>
      <c r="C264" s="20"/>
      <c r="D264" s="20"/>
      <c r="E264" s="20"/>
      <c r="F264" s="18"/>
      <c r="G264" s="20"/>
      <c r="H264" s="18"/>
      <c r="I264" s="20"/>
      <c r="J264" s="18"/>
      <c r="K264" s="21" t="str">
        <f aca="false">IF(A264="","",IF(AND(H264&lt;&gt;"",J264&lt;&gt;""),"Both",IF(H264&lt;&gt;"","Builds a table",IF(J264&lt;&gt;"","Feeds a product","Nothing recorded"))))</f>
        <v/>
      </c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customFormat="false" ht="15" hidden="false" customHeight="false" outlineLevel="0" collapsed="false">
      <c r="A265" s="18"/>
      <c r="B265" s="19"/>
      <c r="C265" s="20"/>
      <c r="D265" s="20"/>
      <c r="E265" s="20"/>
      <c r="F265" s="18"/>
      <c r="G265" s="20"/>
      <c r="H265" s="18"/>
      <c r="I265" s="20"/>
      <c r="J265" s="18"/>
      <c r="K265" s="21" t="str">
        <f aca="false">IF(A265="","",IF(AND(H265&lt;&gt;"",J265&lt;&gt;""),"Both",IF(H265&lt;&gt;"","Builds a table",IF(J265&lt;&gt;"","Feeds a product","Nothing recorded"))))</f>
        <v/>
      </c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customFormat="false" ht="15" hidden="false" customHeight="false" outlineLevel="0" collapsed="false">
      <c r="A266" s="18"/>
      <c r="B266" s="19"/>
      <c r="C266" s="20"/>
      <c r="D266" s="20"/>
      <c r="E266" s="20"/>
      <c r="F266" s="18"/>
      <c r="G266" s="20"/>
      <c r="H266" s="18"/>
      <c r="I266" s="20"/>
      <c r="J266" s="18"/>
      <c r="K266" s="21" t="str">
        <f aca="false">IF(A266="","",IF(AND(H266&lt;&gt;"",J266&lt;&gt;""),"Both",IF(H266&lt;&gt;"","Builds a table",IF(J266&lt;&gt;"","Feeds a product","Nothing recorded"))))</f>
        <v/>
      </c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customFormat="false" ht="15" hidden="false" customHeight="false" outlineLevel="0" collapsed="false">
      <c r="A267" s="18"/>
      <c r="B267" s="19"/>
      <c r="C267" s="20"/>
      <c r="D267" s="20"/>
      <c r="E267" s="20"/>
      <c r="F267" s="18"/>
      <c r="G267" s="20"/>
      <c r="H267" s="18"/>
      <c r="I267" s="20"/>
      <c r="J267" s="18"/>
      <c r="K267" s="21" t="str">
        <f aca="false">IF(A267="","",IF(AND(H267&lt;&gt;"",J267&lt;&gt;""),"Both",IF(H267&lt;&gt;"","Builds a table",IF(J267&lt;&gt;"","Feeds a product","Nothing recorded"))))</f>
        <v/>
      </c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customFormat="false" ht="15" hidden="false" customHeight="false" outlineLevel="0" collapsed="false">
      <c r="A268" s="18"/>
      <c r="B268" s="19"/>
      <c r="C268" s="20"/>
      <c r="D268" s="20"/>
      <c r="E268" s="20"/>
      <c r="F268" s="18"/>
      <c r="G268" s="20"/>
      <c r="H268" s="18"/>
      <c r="I268" s="20"/>
      <c r="J268" s="18"/>
      <c r="K268" s="21" t="str">
        <f aca="false">IF(A268="","",IF(AND(H268&lt;&gt;"",J268&lt;&gt;""),"Both",IF(H268&lt;&gt;"","Builds a table",IF(J268&lt;&gt;"","Feeds a product","Nothing recorded"))))</f>
        <v/>
      </c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customFormat="false" ht="15" hidden="false" customHeight="false" outlineLevel="0" collapsed="false">
      <c r="A269" s="18"/>
      <c r="B269" s="19"/>
      <c r="C269" s="20"/>
      <c r="D269" s="20"/>
      <c r="E269" s="20"/>
      <c r="F269" s="18"/>
      <c r="G269" s="20"/>
      <c r="H269" s="18"/>
      <c r="I269" s="20"/>
      <c r="J269" s="18"/>
      <c r="K269" s="21" t="str">
        <f aca="false">IF(A269="","",IF(AND(H269&lt;&gt;"",J269&lt;&gt;""),"Both",IF(H269&lt;&gt;"","Builds a table",IF(J269&lt;&gt;"","Feeds a product","Nothing recorded"))))</f>
        <v/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customFormat="false" ht="15" hidden="false" customHeight="false" outlineLevel="0" collapsed="false">
      <c r="A270" s="18"/>
      <c r="B270" s="19"/>
      <c r="C270" s="20"/>
      <c r="D270" s="20"/>
      <c r="E270" s="20"/>
      <c r="F270" s="18"/>
      <c r="G270" s="20"/>
      <c r="H270" s="18"/>
      <c r="I270" s="20"/>
      <c r="J270" s="18"/>
      <c r="K270" s="21" t="str">
        <f aca="false">IF(A270="","",IF(AND(H270&lt;&gt;"",J270&lt;&gt;""),"Both",IF(H270&lt;&gt;"","Builds a table",IF(J270&lt;&gt;"","Feeds a product","Nothing recorded"))))</f>
        <v/>
      </c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customFormat="false" ht="15" hidden="false" customHeight="false" outlineLevel="0" collapsed="false">
      <c r="A271" s="18"/>
      <c r="B271" s="19"/>
      <c r="C271" s="20"/>
      <c r="D271" s="20"/>
      <c r="E271" s="20"/>
      <c r="F271" s="18"/>
      <c r="G271" s="20"/>
      <c r="H271" s="18"/>
      <c r="I271" s="20"/>
      <c r="J271" s="18"/>
      <c r="K271" s="21" t="str">
        <f aca="false">IF(A271="","",IF(AND(H271&lt;&gt;"",J271&lt;&gt;""),"Both",IF(H271&lt;&gt;"","Builds a table",IF(J271&lt;&gt;"","Feeds a product","Nothing recorded"))))</f>
        <v/>
      </c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customFormat="false" ht="15" hidden="false" customHeight="false" outlineLevel="0" collapsed="false">
      <c r="A272" s="18"/>
      <c r="B272" s="19"/>
      <c r="C272" s="20"/>
      <c r="D272" s="20"/>
      <c r="E272" s="20"/>
      <c r="F272" s="18"/>
      <c r="G272" s="20"/>
      <c r="H272" s="18"/>
      <c r="I272" s="20"/>
      <c r="J272" s="18"/>
      <c r="K272" s="21" t="str">
        <f aca="false">IF(A272="","",IF(AND(H272&lt;&gt;"",J272&lt;&gt;""),"Both",IF(H272&lt;&gt;"","Builds a table",IF(J272&lt;&gt;"","Feeds a product","Nothing recorded"))))</f>
        <v/>
      </c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customFormat="false" ht="15" hidden="false" customHeight="false" outlineLevel="0" collapsed="false">
      <c r="A273" s="18"/>
      <c r="B273" s="19"/>
      <c r="C273" s="20"/>
      <c r="D273" s="20"/>
      <c r="E273" s="20"/>
      <c r="F273" s="18"/>
      <c r="G273" s="20"/>
      <c r="H273" s="18"/>
      <c r="I273" s="20"/>
      <c r="J273" s="18"/>
      <c r="K273" s="21" t="str">
        <f aca="false">IF(A273="","",IF(AND(H273&lt;&gt;"",J273&lt;&gt;""),"Both",IF(H273&lt;&gt;"","Builds a table",IF(J273&lt;&gt;"","Feeds a product","Nothing recorded"))))</f>
        <v/>
      </c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customFormat="false" ht="15" hidden="false" customHeight="false" outlineLevel="0" collapsed="false">
      <c r="A274" s="18"/>
      <c r="B274" s="19"/>
      <c r="C274" s="20"/>
      <c r="D274" s="20"/>
      <c r="E274" s="20"/>
      <c r="F274" s="18"/>
      <c r="G274" s="20"/>
      <c r="H274" s="18"/>
      <c r="I274" s="20"/>
      <c r="J274" s="18"/>
      <c r="K274" s="21" t="str">
        <f aca="false">IF(A274="","",IF(AND(H274&lt;&gt;"",J274&lt;&gt;""),"Both",IF(H274&lt;&gt;"","Builds a table",IF(J274&lt;&gt;"","Feeds a product","Nothing recorded"))))</f>
        <v/>
      </c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customFormat="false" ht="15" hidden="false" customHeight="false" outlineLevel="0" collapsed="false">
      <c r="A275" s="18"/>
      <c r="B275" s="19"/>
      <c r="C275" s="20"/>
      <c r="D275" s="20"/>
      <c r="E275" s="20"/>
      <c r="F275" s="18"/>
      <c r="G275" s="20"/>
      <c r="H275" s="18"/>
      <c r="I275" s="20"/>
      <c r="J275" s="18"/>
      <c r="K275" s="21" t="str">
        <f aca="false">IF(A275="","",IF(AND(H275&lt;&gt;"",J275&lt;&gt;""),"Both",IF(H275&lt;&gt;"","Builds a table",IF(J275&lt;&gt;"","Feeds a product","Nothing recorded"))))</f>
        <v/>
      </c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customFormat="false" ht="15" hidden="false" customHeight="false" outlineLevel="0" collapsed="false">
      <c r="A276" s="18"/>
      <c r="B276" s="19"/>
      <c r="C276" s="20"/>
      <c r="D276" s="20"/>
      <c r="E276" s="20"/>
      <c r="F276" s="18"/>
      <c r="G276" s="20"/>
      <c r="H276" s="18"/>
      <c r="I276" s="20"/>
      <c r="J276" s="18"/>
      <c r="K276" s="21" t="str">
        <f aca="false">IF(A276="","",IF(AND(H276&lt;&gt;"",J276&lt;&gt;""),"Both",IF(H276&lt;&gt;"","Builds a table",IF(J276&lt;&gt;"","Feeds a product","Nothing recorded"))))</f>
        <v/>
      </c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customFormat="false" ht="15" hidden="false" customHeight="false" outlineLevel="0" collapsed="false">
      <c r="A277" s="18"/>
      <c r="B277" s="19"/>
      <c r="C277" s="20"/>
      <c r="D277" s="20"/>
      <c r="E277" s="20"/>
      <c r="F277" s="18"/>
      <c r="G277" s="20"/>
      <c r="H277" s="18"/>
      <c r="I277" s="20"/>
      <c r="J277" s="18"/>
      <c r="K277" s="21" t="str">
        <f aca="false">IF(A277="","",IF(AND(H277&lt;&gt;"",J277&lt;&gt;""),"Both",IF(H277&lt;&gt;"","Builds a table",IF(J277&lt;&gt;"","Feeds a product","Nothing recorded"))))</f>
        <v/>
      </c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customFormat="false" ht="15" hidden="false" customHeight="false" outlineLevel="0" collapsed="false">
      <c r="A278" s="18"/>
      <c r="B278" s="19"/>
      <c r="C278" s="20"/>
      <c r="D278" s="20"/>
      <c r="E278" s="20"/>
      <c r="F278" s="18"/>
      <c r="G278" s="20"/>
      <c r="H278" s="18"/>
      <c r="I278" s="20"/>
      <c r="J278" s="18"/>
      <c r="K278" s="21" t="str">
        <f aca="false">IF(A278="","",IF(AND(H278&lt;&gt;"",J278&lt;&gt;""),"Both",IF(H278&lt;&gt;"","Builds a table",IF(J278&lt;&gt;"","Feeds a product","Nothing recorded"))))</f>
        <v/>
      </c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customFormat="false" ht="15" hidden="false" customHeight="false" outlineLevel="0" collapsed="false">
      <c r="A279" s="18"/>
      <c r="B279" s="19"/>
      <c r="C279" s="20"/>
      <c r="D279" s="20"/>
      <c r="E279" s="20"/>
      <c r="F279" s="18"/>
      <c r="G279" s="20"/>
      <c r="H279" s="18"/>
      <c r="I279" s="20"/>
      <c r="J279" s="18"/>
      <c r="K279" s="21" t="str">
        <f aca="false">IF(A279="","",IF(AND(H279&lt;&gt;"",J279&lt;&gt;""),"Both",IF(H279&lt;&gt;"","Builds a table",IF(J279&lt;&gt;"","Feeds a product","Nothing recorded"))))</f>
        <v/>
      </c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customFormat="false" ht="15" hidden="false" customHeight="false" outlineLevel="0" collapsed="false">
      <c r="A280" s="18"/>
      <c r="B280" s="19"/>
      <c r="C280" s="20"/>
      <c r="D280" s="20"/>
      <c r="E280" s="20"/>
      <c r="F280" s="18"/>
      <c r="G280" s="20"/>
      <c r="H280" s="18"/>
      <c r="I280" s="20"/>
      <c r="J280" s="18"/>
      <c r="K280" s="21" t="str">
        <f aca="false">IF(A280="","",IF(AND(H280&lt;&gt;"",J280&lt;&gt;""),"Both",IF(H280&lt;&gt;"","Builds a table",IF(J280&lt;&gt;"","Feeds a product","Nothing recorded"))))</f>
        <v/>
      </c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customFormat="false" ht="15" hidden="false" customHeight="false" outlineLevel="0" collapsed="false">
      <c r="A281" s="18"/>
      <c r="B281" s="19"/>
      <c r="C281" s="20"/>
      <c r="D281" s="20"/>
      <c r="E281" s="20"/>
      <c r="F281" s="18"/>
      <c r="G281" s="20"/>
      <c r="H281" s="18"/>
      <c r="I281" s="20"/>
      <c r="J281" s="18"/>
      <c r="K281" s="21" t="str">
        <f aca="false">IF(A281="","",IF(AND(H281&lt;&gt;"",J281&lt;&gt;""),"Both",IF(H281&lt;&gt;"","Builds a table",IF(J281&lt;&gt;"","Feeds a product","Nothing recorded"))))</f>
        <v/>
      </c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customFormat="false" ht="15" hidden="false" customHeight="false" outlineLevel="0" collapsed="false">
      <c r="A282" s="18"/>
      <c r="B282" s="19"/>
      <c r="C282" s="20"/>
      <c r="D282" s="20"/>
      <c r="E282" s="20"/>
      <c r="F282" s="18"/>
      <c r="G282" s="20"/>
      <c r="H282" s="18"/>
      <c r="I282" s="20"/>
      <c r="J282" s="18"/>
      <c r="K282" s="21" t="str">
        <f aca="false">IF(A282="","",IF(AND(H282&lt;&gt;"",J282&lt;&gt;""),"Both",IF(H282&lt;&gt;"","Builds a table",IF(J282&lt;&gt;"","Feeds a product","Nothing recorded"))))</f>
        <v/>
      </c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customFormat="false" ht="15" hidden="false" customHeight="false" outlineLevel="0" collapsed="false">
      <c r="A283" s="18"/>
      <c r="B283" s="19"/>
      <c r="C283" s="20"/>
      <c r="D283" s="20"/>
      <c r="E283" s="20"/>
      <c r="F283" s="18"/>
      <c r="G283" s="20"/>
      <c r="H283" s="18"/>
      <c r="I283" s="20"/>
      <c r="J283" s="18"/>
      <c r="K283" s="21" t="str">
        <f aca="false">IF(A283="","",IF(AND(H283&lt;&gt;"",J283&lt;&gt;""),"Both",IF(H283&lt;&gt;"","Builds a table",IF(J283&lt;&gt;"","Feeds a product","Nothing recorded"))))</f>
        <v/>
      </c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customFormat="false" ht="15" hidden="false" customHeight="false" outlineLevel="0" collapsed="false">
      <c r="A284" s="18"/>
      <c r="B284" s="19"/>
      <c r="C284" s="20"/>
      <c r="D284" s="20"/>
      <c r="E284" s="20"/>
      <c r="F284" s="18"/>
      <c r="G284" s="20"/>
      <c r="H284" s="18"/>
      <c r="I284" s="20"/>
      <c r="J284" s="18"/>
      <c r="K284" s="21" t="str">
        <f aca="false">IF(A284="","",IF(AND(H284&lt;&gt;"",J284&lt;&gt;""),"Both",IF(H284&lt;&gt;"","Builds a table",IF(J284&lt;&gt;"","Feeds a product","Nothing recorded"))))</f>
        <v/>
      </c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customFormat="false" ht="15" hidden="false" customHeight="false" outlineLevel="0" collapsed="false">
      <c r="A285" s="18"/>
      <c r="B285" s="19"/>
      <c r="C285" s="20"/>
      <c r="D285" s="20"/>
      <c r="E285" s="20"/>
      <c r="F285" s="18"/>
      <c r="G285" s="20"/>
      <c r="H285" s="18"/>
      <c r="I285" s="20"/>
      <c r="J285" s="18"/>
      <c r="K285" s="21" t="str">
        <f aca="false">IF(A285="","",IF(AND(H285&lt;&gt;"",J285&lt;&gt;""),"Both",IF(H285&lt;&gt;"","Builds a table",IF(J285&lt;&gt;"","Feeds a product","Nothing recorded"))))</f>
        <v/>
      </c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customFormat="false" ht="15" hidden="false" customHeight="false" outlineLevel="0" collapsed="false">
      <c r="A286" s="18"/>
      <c r="B286" s="19"/>
      <c r="C286" s="20"/>
      <c r="D286" s="20"/>
      <c r="E286" s="20"/>
      <c r="F286" s="18"/>
      <c r="G286" s="20"/>
      <c r="H286" s="18"/>
      <c r="I286" s="20"/>
      <c r="J286" s="18"/>
      <c r="K286" s="21" t="str">
        <f aca="false">IF(A286="","",IF(AND(H286&lt;&gt;"",J286&lt;&gt;""),"Both",IF(H286&lt;&gt;"","Builds a table",IF(J286&lt;&gt;"","Feeds a product","Nothing recorded"))))</f>
        <v/>
      </c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customFormat="false" ht="15" hidden="false" customHeight="false" outlineLevel="0" collapsed="false">
      <c r="A287" s="18"/>
      <c r="B287" s="19"/>
      <c r="C287" s="20"/>
      <c r="D287" s="20"/>
      <c r="E287" s="20"/>
      <c r="F287" s="18"/>
      <c r="G287" s="20"/>
      <c r="H287" s="18"/>
      <c r="I287" s="20"/>
      <c r="J287" s="18"/>
      <c r="K287" s="21" t="str">
        <f aca="false">IF(A287="","",IF(AND(H287&lt;&gt;"",J287&lt;&gt;""),"Both",IF(H287&lt;&gt;"","Builds a table",IF(J287&lt;&gt;"","Feeds a product","Nothing recorded"))))</f>
        <v/>
      </c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customFormat="false" ht="15" hidden="false" customHeight="false" outlineLevel="0" collapsed="false">
      <c r="A288" s="18"/>
      <c r="B288" s="19"/>
      <c r="C288" s="20"/>
      <c r="D288" s="20"/>
      <c r="E288" s="20"/>
      <c r="F288" s="18"/>
      <c r="G288" s="20"/>
      <c r="H288" s="18"/>
      <c r="I288" s="20"/>
      <c r="J288" s="18"/>
      <c r="K288" s="21" t="str">
        <f aca="false">IF(A288="","",IF(AND(H288&lt;&gt;"",J288&lt;&gt;""),"Both",IF(H288&lt;&gt;"","Builds a table",IF(J288&lt;&gt;"","Feeds a product","Nothing recorded"))))</f>
        <v/>
      </c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customFormat="false" ht="15" hidden="false" customHeight="false" outlineLevel="0" collapsed="false">
      <c r="A289" s="18"/>
      <c r="B289" s="19"/>
      <c r="C289" s="20"/>
      <c r="D289" s="20"/>
      <c r="E289" s="20"/>
      <c r="F289" s="18"/>
      <c r="G289" s="20"/>
      <c r="H289" s="18"/>
      <c r="I289" s="20"/>
      <c r="J289" s="18"/>
      <c r="K289" s="21" t="str">
        <f aca="false">IF(A289="","",IF(AND(H289&lt;&gt;"",J289&lt;&gt;""),"Both",IF(H289&lt;&gt;"","Builds a table",IF(J289&lt;&gt;"","Feeds a product","Nothing recorded"))))</f>
        <v/>
      </c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customFormat="false" ht="15" hidden="false" customHeight="false" outlineLevel="0" collapsed="false">
      <c r="A290" s="18"/>
      <c r="B290" s="19"/>
      <c r="C290" s="20"/>
      <c r="D290" s="20"/>
      <c r="E290" s="20"/>
      <c r="F290" s="18"/>
      <c r="G290" s="20"/>
      <c r="H290" s="18"/>
      <c r="I290" s="20"/>
      <c r="J290" s="18"/>
      <c r="K290" s="21" t="str">
        <f aca="false">IF(A290="","",IF(AND(H290&lt;&gt;"",J290&lt;&gt;""),"Both",IF(H290&lt;&gt;"","Builds a table",IF(J290&lt;&gt;"","Feeds a product","Nothing recorded"))))</f>
        <v/>
      </c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customFormat="false" ht="15" hidden="false" customHeight="false" outlineLevel="0" collapsed="false">
      <c r="A291" s="18"/>
      <c r="B291" s="19"/>
      <c r="C291" s="20"/>
      <c r="D291" s="20"/>
      <c r="E291" s="20"/>
      <c r="F291" s="18"/>
      <c r="G291" s="20"/>
      <c r="H291" s="18"/>
      <c r="I291" s="20"/>
      <c r="J291" s="18"/>
      <c r="K291" s="21" t="str">
        <f aca="false">IF(A291="","",IF(AND(H291&lt;&gt;"",J291&lt;&gt;""),"Both",IF(H291&lt;&gt;"","Builds a table",IF(J291&lt;&gt;"","Feeds a product","Nothing recorded"))))</f>
        <v/>
      </c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customFormat="false" ht="15" hidden="false" customHeight="false" outlineLevel="0" collapsed="false">
      <c r="A292" s="18"/>
      <c r="B292" s="19"/>
      <c r="C292" s="20"/>
      <c r="D292" s="20"/>
      <c r="E292" s="20"/>
      <c r="F292" s="18"/>
      <c r="G292" s="20"/>
      <c r="H292" s="18"/>
      <c r="I292" s="20"/>
      <c r="J292" s="18"/>
      <c r="K292" s="21" t="str">
        <f aca="false">IF(A292="","",IF(AND(H292&lt;&gt;"",J292&lt;&gt;""),"Both",IF(H292&lt;&gt;"","Builds a table",IF(J292&lt;&gt;"","Feeds a product","Nothing recorded"))))</f>
        <v/>
      </c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customFormat="false" ht="15" hidden="false" customHeight="false" outlineLevel="0" collapsed="false">
      <c r="A293" s="18"/>
      <c r="B293" s="19"/>
      <c r="C293" s="20"/>
      <c r="D293" s="20"/>
      <c r="E293" s="20"/>
      <c r="F293" s="18"/>
      <c r="G293" s="20"/>
      <c r="H293" s="18"/>
      <c r="I293" s="20"/>
      <c r="J293" s="18"/>
      <c r="K293" s="21" t="str">
        <f aca="false">IF(A293="","",IF(AND(H293&lt;&gt;"",J293&lt;&gt;""),"Both",IF(H293&lt;&gt;"","Builds a table",IF(J293&lt;&gt;"","Feeds a product","Nothing recorded"))))</f>
        <v/>
      </c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customFormat="false" ht="15" hidden="false" customHeight="false" outlineLevel="0" collapsed="false">
      <c r="A294" s="18"/>
      <c r="B294" s="19"/>
      <c r="C294" s="20"/>
      <c r="D294" s="20"/>
      <c r="E294" s="20"/>
      <c r="F294" s="18"/>
      <c r="G294" s="20"/>
      <c r="H294" s="18"/>
      <c r="I294" s="20"/>
      <c r="J294" s="18"/>
      <c r="K294" s="21" t="str">
        <f aca="false">IF(A294="","",IF(AND(H294&lt;&gt;"",J294&lt;&gt;""),"Both",IF(H294&lt;&gt;"","Builds a table",IF(J294&lt;&gt;"","Feeds a product","Nothing recorded"))))</f>
        <v/>
      </c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customFormat="false" ht="15" hidden="false" customHeight="false" outlineLevel="0" collapsed="false">
      <c r="A295" s="18"/>
      <c r="B295" s="19"/>
      <c r="C295" s="20"/>
      <c r="D295" s="20"/>
      <c r="E295" s="20"/>
      <c r="F295" s="18"/>
      <c r="G295" s="20"/>
      <c r="H295" s="18"/>
      <c r="I295" s="20"/>
      <c r="J295" s="18"/>
      <c r="K295" s="21" t="str">
        <f aca="false">IF(A295="","",IF(AND(H295&lt;&gt;"",J295&lt;&gt;""),"Both",IF(H295&lt;&gt;"","Builds a table",IF(J295&lt;&gt;"","Feeds a product","Nothing recorded"))))</f>
        <v/>
      </c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customFormat="false" ht="15" hidden="false" customHeight="false" outlineLevel="0" collapsed="false">
      <c r="A296" s="18"/>
      <c r="B296" s="19"/>
      <c r="C296" s="20"/>
      <c r="D296" s="20"/>
      <c r="E296" s="20"/>
      <c r="F296" s="18"/>
      <c r="G296" s="20"/>
      <c r="H296" s="18"/>
      <c r="I296" s="20"/>
      <c r="J296" s="18"/>
      <c r="K296" s="21" t="str">
        <f aca="false">IF(A296="","",IF(AND(H296&lt;&gt;"",J296&lt;&gt;""),"Both",IF(H296&lt;&gt;"","Builds a table",IF(J296&lt;&gt;"","Feeds a product","Nothing recorded"))))</f>
        <v/>
      </c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customFormat="false" ht="15" hidden="false" customHeight="false" outlineLevel="0" collapsed="false">
      <c r="A297" s="18"/>
      <c r="B297" s="19"/>
      <c r="C297" s="20"/>
      <c r="D297" s="20"/>
      <c r="E297" s="20"/>
      <c r="F297" s="18"/>
      <c r="G297" s="20"/>
      <c r="H297" s="18"/>
      <c r="I297" s="20"/>
      <c r="J297" s="18"/>
      <c r="K297" s="21" t="str">
        <f aca="false">IF(A297="","",IF(AND(H297&lt;&gt;"",J297&lt;&gt;""),"Both",IF(H297&lt;&gt;"","Builds a table",IF(J297&lt;&gt;"","Feeds a product","Nothing recorded"))))</f>
        <v/>
      </c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customFormat="false" ht="15" hidden="false" customHeight="false" outlineLevel="0" collapsed="false">
      <c r="A298" s="18"/>
      <c r="B298" s="19"/>
      <c r="C298" s="20"/>
      <c r="D298" s="20"/>
      <c r="E298" s="20"/>
      <c r="F298" s="18"/>
      <c r="G298" s="20"/>
      <c r="H298" s="18"/>
      <c r="I298" s="20"/>
      <c r="J298" s="18"/>
      <c r="K298" s="21" t="str">
        <f aca="false">IF(A298="","",IF(AND(H298&lt;&gt;"",J298&lt;&gt;""),"Both",IF(H298&lt;&gt;"","Builds a table",IF(J298&lt;&gt;"","Feeds a product","Nothing recorded"))))</f>
        <v/>
      </c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customFormat="false" ht="15" hidden="false" customHeight="false" outlineLevel="0" collapsed="false">
      <c r="A299" s="18"/>
      <c r="B299" s="19"/>
      <c r="C299" s="20"/>
      <c r="D299" s="20"/>
      <c r="E299" s="20"/>
      <c r="F299" s="18"/>
      <c r="G299" s="20"/>
      <c r="H299" s="18"/>
      <c r="I299" s="20"/>
      <c r="J299" s="18"/>
      <c r="K299" s="21" t="str">
        <f aca="false">IF(A299="","",IF(AND(H299&lt;&gt;"",J299&lt;&gt;""),"Both",IF(H299&lt;&gt;"","Builds a table",IF(J299&lt;&gt;"","Feeds a product","Nothing recorded"))))</f>
        <v/>
      </c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customFormat="false" ht="15" hidden="false" customHeight="false" outlineLevel="0" collapsed="false">
      <c r="A300" s="18"/>
      <c r="B300" s="19"/>
      <c r="C300" s="20"/>
      <c r="D300" s="20"/>
      <c r="E300" s="20"/>
      <c r="F300" s="18"/>
      <c r="G300" s="20"/>
      <c r="H300" s="18"/>
      <c r="I300" s="20"/>
      <c r="J300" s="18"/>
      <c r="K300" s="21" t="str">
        <f aca="false">IF(A300="","",IF(AND(H300&lt;&gt;"",J300&lt;&gt;""),"Both",IF(H300&lt;&gt;"","Builds a table",IF(J300&lt;&gt;"","Feeds a product","Nothing recorded"))))</f>
        <v/>
      </c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customFormat="false" ht="15" hidden="false" customHeight="false" outlineLevel="0" collapsed="false">
      <c r="A301" s="18"/>
      <c r="B301" s="19"/>
      <c r="C301" s="20"/>
      <c r="D301" s="20"/>
      <c r="E301" s="20"/>
      <c r="F301" s="18"/>
      <c r="G301" s="20"/>
      <c r="H301" s="18"/>
      <c r="I301" s="20"/>
      <c r="J301" s="18"/>
      <c r="K301" s="21" t="str">
        <f aca="false">IF(A301="","",IF(AND(H301&lt;&gt;"",J301&lt;&gt;""),"Both",IF(H301&lt;&gt;"","Builds a table",IF(J301&lt;&gt;"","Feeds a product","Nothing recorded"))))</f>
        <v/>
      </c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customFormat="false" ht="15" hidden="false" customHeight="false" outlineLevel="0" collapsed="false">
      <c r="A302" s="18"/>
      <c r="B302" s="19"/>
      <c r="C302" s="20"/>
      <c r="D302" s="20"/>
      <c r="E302" s="20"/>
      <c r="F302" s="18"/>
      <c r="G302" s="20"/>
      <c r="H302" s="18"/>
      <c r="I302" s="20"/>
      <c r="J302" s="18"/>
      <c r="K302" s="21" t="str">
        <f aca="false">IF(A302="","",IF(AND(H302&lt;&gt;"",J302&lt;&gt;""),"Both",IF(H302&lt;&gt;"","Builds a table",IF(J302&lt;&gt;"","Feeds a product","Nothing recorded"))))</f>
        <v/>
      </c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customFormat="false" ht="15" hidden="false" customHeight="false" outlineLevel="0" collapsed="false">
      <c r="A303" s="18"/>
      <c r="B303" s="19"/>
      <c r="C303" s="20"/>
      <c r="D303" s="20"/>
      <c r="E303" s="20"/>
      <c r="F303" s="18"/>
      <c r="G303" s="20"/>
      <c r="H303" s="18"/>
      <c r="I303" s="20"/>
      <c r="J303" s="18"/>
      <c r="K303" s="21" t="str">
        <f aca="false">IF(A303="","",IF(AND(H303&lt;&gt;"",J303&lt;&gt;""),"Both",IF(H303&lt;&gt;"","Builds a table",IF(J303&lt;&gt;"","Feeds a product","Nothing recorded"))))</f>
        <v/>
      </c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customFormat="false" ht="15" hidden="false" customHeight="false" outlineLevel="0" collapsed="false">
      <c r="A304" s="18"/>
      <c r="B304" s="19"/>
      <c r="C304" s="20"/>
      <c r="D304" s="20"/>
      <c r="E304" s="20"/>
      <c r="F304" s="18"/>
      <c r="G304" s="20"/>
      <c r="H304" s="18"/>
      <c r="I304" s="20"/>
      <c r="J304" s="18"/>
      <c r="K304" s="21" t="str">
        <f aca="false">IF(A304="","",IF(AND(H304&lt;&gt;"",J304&lt;&gt;""),"Both",IF(H304&lt;&gt;"","Builds a table",IF(J304&lt;&gt;"","Feeds a product","Nothing recorded"))))</f>
        <v/>
      </c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</sheetData>
  <autoFilter ref="A4:V304"/>
  <conditionalFormatting sqref="M5:M304">
    <cfRule type="cellIs" priority="2" operator="equal" aboveAverage="0" equalAverage="0" bottom="0" percent="0" rank="0" text="" dxfId="9">
      <formula>"Manual run"</formula>
    </cfRule>
    <cfRule type="cellIs" priority="3" operator="equal" aboveAverage="0" equalAverage="0" bottom="0" percent="0" rank="0" text="" dxfId="10">
      <formula>"Unknown"</formula>
    </cfRule>
  </conditionalFormatting>
  <conditionalFormatting sqref="O5:O304">
    <cfRule type="cellIs" priority="4" operator="equal" aboveAverage="0" equalAverage="0" bottom="0" percent="0" rank="0" text="" dxfId="9">
      <formula>"Nobody is told"</formula>
    </cfRule>
  </conditionalFormatting>
  <conditionalFormatting sqref="K5:K304">
    <cfRule type="cellIs" priority="5" operator="equal" aboveAverage="0" equalAverage="0" bottom="0" percent="0" rank="0" text="" dxfId="10">
      <formula>"Nothing recorded"</formula>
    </cfRule>
  </conditionalFormatting>
  <conditionalFormatting sqref="R5:R304">
    <cfRule type="cellIs" priority="6" operator="equal" aboveAverage="0" equalAverage="0" bottom="0" percent="0" rank="0" text="" dxfId="10">
      <formula>"Proposed"</formula>
    </cfRule>
  </conditionalFormatting>
  <dataValidations count="5">
    <dataValidation allowBlank="true" errorStyle="stop" operator="between" showDropDown="false" showErrorMessage="false" showInputMessage="false" sqref="C5:C304" type="list">
      <formula1>"Databricks notebook,Databricks workflow,Airflow DAG,SQL file,SQL in dbt,Python script,Tableau extract refresh,Manual process,Other"</formula1>
      <formula2>0</formula2>
    </dataValidation>
    <dataValidation allowBlank="true" errorStyle="stop" operator="between" showDropDown="false" showErrorMessage="false" showInputMessage="false" sqref="M5:M304" type="list">
      <formula1>"Scheduled,Manual run,On demand,Unknown"</formula1>
      <formula2>0</formula2>
    </dataValidation>
    <dataValidation allowBlank="true" errorStyle="stop" operator="between" showDropDown="false" showErrorMessage="false" showInputMessage="false" sqref="O5:O304" type="list">
      <formula1>"Alert to team channel,Email,Nobody is told,Unknown"</formula1>
      <formula2>0</formula2>
    </dataValidation>
    <dataValidation allowBlank="true" errorStyle="stop" operator="between" showDropDown="false" showErrorMessage="false" showInputMessage="false" sqref="R5:R304" type="list">
      <formula1>"Proposed,Accepted,Corrected,Rejected"</formula1>
      <formula2>0</formula2>
    </dataValidation>
    <dataValidation allowBlank="true" errorStyle="stop" operator="between" showDropDown="false" showErrorMessage="false" showInputMessage="false" sqref="T5:T304" type="list">
      <formula1>"Found,Inferred,Proposed,Human"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7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30"/>
    <col collapsed="false" customWidth="true" hidden="false" outlineLevel="0" max="8" min="8" style="0" width="8"/>
    <col collapsed="false" customWidth="true" hidden="false" outlineLevel="0" max="9" min="9" style="0" width="48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36"/>
    <col collapsed="false" customWidth="true" hidden="false" outlineLevel="0" max="14" min="14" style="0" width="15"/>
    <col collapsed="false" customWidth="true" hidden="false" outlineLevel="0" max="15" min="15" style="0" width="20"/>
    <col collapsed="false" customWidth="true" hidden="false" outlineLevel="0" max="16" min="16" style="0" width="30"/>
    <col collapsed="false" customWidth="true" hidden="false" outlineLevel="0" max="18" min="17" style="0" width="8"/>
    <col collapsed="false" customWidth="true" hidden="false" outlineLevel="0" max="19" min="19" style="0" width="11"/>
    <col collapsed="false" customWidth="true" hidden="false" outlineLevel="0" max="20" min="20" style="0" width="26"/>
    <col collapsed="false" customWidth="true" hidden="false" outlineLevel="0" max="21" min="21" style="0" width="11"/>
    <col collapsed="false" customWidth="true" hidden="false" outlineLevel="0" max="22" min="22" style="0" width="12"/>
    <col collapsed="false" customWidth="true" hidden="false" outlineLevel="0" max="23" min="23" style="0" width="14"/>
  </cols>
  <sheetData>
    <row r="1" customFormat="false" ht="17.35" hidden="false" customHeight="false" outlineLevel="0" collapsed="false">
      <c r="A1" s="1" t="s">
        <v>318</v>
      </c>
    </row>
    <row r="2" customFormat="false" ht="15" hidden="false" customHeight="false" outlineLevel="0" collapsed="false">
      <c r="A2" s="2" t="s">
        <v>472</v>
      </c>
    </row>
    <row r="4" customFormat="false" ht="33.75" hidden="false" customHeight="true" outlineLevel="0" collapsed="false">
      <c r="A4" s="16" t="s">
        <v>319</v>
      </c>
      <c r="B4" s="17" t="s">
        <v>321</v>
      </c>
      <c r="C4" s="17" t="s">
        <v>170</v>
      </c>
      <c r="D4" s="16" t="s">
        <v>456</v>
      </c>
      <c r="E4" s="17" t="s">
        <v>173</v>
      </c>
      <c r="F4" s="17" t="s">
        <v>104</v>
      </c>
      <c r="G4" s="17" t="s">
        <v>328</v>
      </c>
      <c r="H4" s="16" t="s">
        <v>473</v>
      </c>
      <c r="I4" s="17" t="s">
        <v>331</v>
      </c>
      <c r="J4" s="17" t="s">
        <v>334</v>
      </c>
      <c r="K4" s="17" t="s">
        <v>337</v>
      </c>
      <c r="L4" s="17" t="s">
        <v>340</v>
      </c>
      <c r="M4" s="17" t="s">
        <v>343</v>
      </c>
      <c r="N4" s="17" t="s">
        <v>275</v>
      </c>
      <c r="O4" s="17" t="s">
        <v>278</v>
      </c>
      <c r="P4" s="17" t="s">
        <v>75</v>
      </c>
      <c r="Q4" s="17" t="s">
        <v>348</v>
      </c>
      <c r="R4" s="17" t="s">
        <v>349</v>
      </c>
      <c r="S4" s="17" t="s">
        <v>153</v>
      </c>
      <c r="T4" s="17" t="s">
        <v>156</v>
      </c>
      <c r="U4" s="17" t="s">
        <v>159</v>
      </c>
      <c r="V4" s="17" t="s">
        <v>162</v>
      </c>
      <c r="W4" s="17" t="s">
        <v>165</v>
      </c>
    </row>
    <row r="5" customFormat="false" ht="15" hidden="false" customHeight="false" outlineLevel="0" collapsed="false">
      <c r="A5" s="18"/>
      <c r="B5" s="19"/>
      <c r="C5" s="20"/>
      <c r="D5" s="18" t="str">
        <f aca="false">IF(C5="","",IFERROR(INDEX(Tables!$A:$A,MATCH(C5,Tables!$B:$B,0)),"Not found"))</f>
        <v/>
      </c>
      <c r="E5" s="21" t="str">
        <f aca="false">IF(D5="","",IFERROR(INDEX(Tables!$D:$D,MATCH(D5,Tables!$A:$A,0)),""))</f>
        <v/>
      </c>
      <c r="F5" s="20"/>
      <c r="G5" s="20"/>
      <c r="H5" s="18"/>
      <c r="I5" s="20"/>
      <c r="J5" s="20"/>
      <c r="K5" s="20"/>
      <c r="L5" s="20"/>
      <c r="M5" s="20"/>
      <c r="N5" s="20"/>
      <c r="O5" s="20"/>
      <c r="P5" s="20"/>
      <c r="Q5" s="21" t="str">
        <f aca="false">IF(A5="","",COUNTIF('Metric to Field'!$B:$B,A5))</f>
        <v/>
      </c>
      <c r="R5" s="21" t="str">
        <f aca="false">IF(A5="","",SUMIF('Metric to Field'!$B:$B,A5,'Metric to Field'!$G:$G))</f>
        <v/>
      </c>
      <c r="S5" s="20"/>
      <c r="T5" s="20"/>
      <c r="U5" s="20"/>
      <c r="V5" s="20"/>
      <c r="W5" s="20"/>
    </row>
    <row r="6" customFormat="false" ht="15" hidden="false" customHeight="false" outlineLevel="0" collapsed="false">
      <c r="A6" s="18"/>
      <c r="B6" s="19"/>
      <c r="C6" s="20"/>
      <c r="D6" s="18" t="str">
        <f aca="false">IF(C6="","",IFERROR(INDEX(Tables!$A:$A,MATCH(C6,Tables!$B:$B,0)),"Not found"))</f>
        <v/>
      </c>
      <c r="E6" s="21" t="str">
        <f aca="false">IF(D6="","",IFERROR(INDEX(Tables!$D:$D,MATCH(D6,Tables!$A:$A,0)),""))</f>
        <v/>
      </c>
      <c r="F6" s="20"/>
      <c r="G6" s="20"/>
      <c r="H6" s="18"/>
      <c r="I6" s="20"/>
      <c r="J6" s="20"/>
      <c r="K6" s="20"/>
      <c r="L6" s="20"/>
      <c r="M6" s="20"/>
      <c r="N6" s="20"/>
      <c r="O6" s="20"/>
      <c r="P6" s="20"/>
      <c r="Q6" s="21" t="str">
        <f aca="false">IF(A6="","",COUNTIF('Metric to Field'!$B:$B,A6))</f>
        <v/>
      </c>
      <c r="R6" s="21" t="str">
        <f aca="false">IF(A6="","",SUMIF('Metric to Field'!$B:$B,A6,'Metric to Field'!$G:$G))</f>
        <v/>
      </c>
      <c r="S6" s="20"/>
      <c r="T6" s="20"/>
      <c r="U6" s="20"/>
      <c r="V6" s="20"/>
      <c r="W6" s="20"/>
    </row>
    <row r="7" customFormat="false" ht="15" hidden="false" customHeight="false" outlineLevel="0" collapsed="false">
      <c r="A7" s="18"/>
      <c r="B7" s="19"/>
      <c r="C7" s="20"/>
      <c r="D7" s="18" t="str">
        <f aca="false">IF(C7="","",IFERROR(INDEX(Tables!$A:$A,MATCH(C7,Tables!$B:$B,0)),"Not found"))</f>
        <v/>
      </c>
      <c r="E7" s="21" t="str">
        <f aca="false">IF(D7="","",IFERROR(INDEX(Tables!$D:$D,MATCH(D7,Tables!$A:$A,0)),""))</f>
        <v/>
      </c>
      <c r="F7" s="20"/>
      <c r="G7" s="20"/>
      <c r="H7" s="18"/>
      <c r="I7" s="20"/>
      <c r="J7" s="20"/>
      <c r="K7" s="20"/>
      <c r="L7" s="20"/>
      <c r="M7" s="20"/>
      <c r="N7" s="20"/>
      <c r="O7" s="20"/>
      <c r="P7" s="20"/>
      <c r="Q7" s="21" t="str">
        <f aca="false">IF(A7="","",COUNTIF('Metric to Field'!$B:$B,A7))</f>
        <v/>
      </c>
      <c r="R7" s="21" t="str">
        <f aca="false">IF(A7="","",SUMIF('Metric to Field'!$B:$B,A7,'Metric to Field'!$G:$G))</f>
        <v/>
      </c>
      <c r="S7" s="20"/>
      <c r="T7" s="20"/>
      <c r="U7" s="20"/>
      <c r="V7" s="20"/>
      <c r="W7" s="20"/>
    </row>
    <row r="8" customFormat="false" ht="15" hidden="false" customHeight="false" outlineLevel="0" collapsed="false">
      <c r="A8" s="18"/>
      <c r="B8" s="19"/>
      <c r="C8" s="20"/>
      <c r="D8" s="18" t="str">
        <f aca="false">IF(C8="","",IFERROR(INDEX(Tables!$A:$A,MATCH(C8,Tables!$B:$B,0)),"Not found"))</f>
        <v/>
      </c>
      <c r="E8" s="21" t="str">
        <f aca="false">IF(D8="","",IFERROR(INDEX(Tables!$D:$D,MATCH(D8,Tables!$A:$A,0)),""))</f>
        <v/>
      </c>
      <c r="F8" s="20"/>
      <c r="G8" s="20"/>
      <c r="H8" s="18"/>
      <c r="I8" s="20"/>
      <c r="J8" s="20"/>
      <c r="K8" s="20"/>
      <c r="L8" s="20"/>
      <c r="M8" s="20"/>
      <c r="N8" s="20"/>
      <c r="O8" s="20"/>
      <c r="P8" s="20"/>
      <c r="Q8" s="21" t="str">
        <f aca="false">IF(A8="","",COUNTIF('Metric to Field'!$B:$B,A8))</f>
        <v/>
      </c>
      <c r="R8" s="21" t="str">
        <f aca="false">IF(A8="","",SUMIF('Metric to Field'!$B:$B,A8,'Metric to Field'!$G:$G))</f>
        <v/>
      </c>
      <c r="S8" s="20"/>
      <c r="T8" s="20"/>
      <c r="U8" s="20"/>
      <c r="V8" s="20"/>
      <c r="W8" s="20"/>
    </row>
    <row r="9" customFormat="false" ht="15" hidden="false" customHeight="false" outlineLevel="0" collapsed="false">
      <c r="A9" s="18"/>
      <c r="B9" s="19"/>
      <c r="C9" s="20"/>
      <c r="D9" s="18" t="str">
        <f aca="false">IF(C9="","",IFERROR(INDEX(Tables!$A:$A,MATCH(C9,Tables!$B:$B,0)),"Not found"))</f>
        <v/>
      </c>
      <c r="E9" s="21" t="str">
        <f aca="false">IF(D9="","",IFERROR(INDEX(Tables!$D:$D,MATCH(D9,Tables!$A:$A,0)),""))</f>
        <v/>
      </c>
      <c r="F9" s="20"/>
      <c r="G9" s="20"/>
      <c r="H9" s="18"/>
      <c r="I9" s="20"/>
      <c r="J9" s="20"/>
      <c r="K9" s="20"/>
      <c r="L9" s="20"/>
      <c r="M9" s="20"/>
      <c r="N9" s="20"/>
      <c r="O9" s="20"/>
      <c r="P9" s="20"/>
      <c r="Q9" s="21" t="str">
        <f aca="false">IF(A9="","",COUNTIF('Metric to Field'!$B:$B,A9))</f>
        <v/>
      </c>
      <c r="R9" s="21" t="str">
        <f aca="false">IF(A9="","",SUMIF('Metric to Field'!$B:$B,A9,'Metric to Field'!$G:$G))</f>
        <v/>
      </c>
      <c r="S9" s="20"/>
      <c r="T9" s="20"/>
      <c r="U9" s="20"/>
      <c r="V9" s="20"/>
      <c r="W9" s="20"/>
    </row>
    <row r="10" customFormat="false" ht="15" hidden="false" customHeight="false" outlineLevel="0" collapsed="false">
      <c r="A10" s="18"/>
      <c r="B10" s="19"/>
      <c r="C10" s="20"/>
      <c r="D10" s="18" t="str">
        <f aca="false">IF(C10="","",IFERROR(INDEX(Tables!$A:$A,MATCH(C10,Tables!$B:$B,0)),"Not found"))</f>
        <v/>
      </c>
      <c r="E10" s="21" t="str">
        <f aca="false">IF(D10="","",IFERROR(INDEX(Tables!$D:$D,MATCH(D10,Tables!$A:$A,0)),""))</f>
        <v/>
      </c>
      <c r="F10" s="20"/>
      <c r="G10" s="20"/>
      <c r="H10" s="18"/>
      <c r="I10" s="20"/>
      <c r="J10" s="20"/>
      <c r="K10" s="20"/>
      <c r="L10" s="20"/>
      <c r="M10" s="20"/>
      <c r="N10" s="20"/>
      <c r="O10" s="20"/>
      <c r="P10" s="20"/>
      <c r="Q10" s="21" t="str">
        <f aca="false">IF(A10="","",COUNTIF('Metric to Field'!$B:$B,A10))</f>
        <v/>
      </c>
      <c r="R10" s="21" t="str">
        <f aca="false">IF(A10="","",SUMIF('Metric to Field'!$B:$B,A10,'Metric to Field'!$G:$G))</f>
        <v/>
      </c>
      <c r="S10" s="20"/>
      <c r="T10" s="20"/>
      <c r="U10" s="20"/>
      <c r="V10" s="20"/>
      <c r="W10" s="20"/>
    </row>
    <row r="11" customFormat="false" ht="15" hidden="false" customHeight="false" outlineLevel="0" collapsed="false">
      <c r="A11" s="18"/>
      <c r="B11" s="19"/>
      <c r="C11" s="20"/>
      <c r="D11" s="18" t="str">
        <f aca="false">IF(C11="","",IFERROR(INDEX(Tables!$A:$A,MATCH(C11,Tables!$B:$B,0)),"Not found"))</f>
        <v/>
      </c>
      <c r="E11" s="21" t="str">
        <f aca="false">IF(D11="","",IFERROR(INDEX(Tables!$D:$D,MATCH(D11,Tables!$A:$A,0)),""))</f>
        <v/>
      </c>
      <c r="F11" s="20"/>
      <c r="G11" s="20"/>
      <c r="H11" s="18"/>
      <c r="I11" s="20"/>
      <c r="J11" s="20"/>
      <c r="K11" s="20"/>
      <c r="L11" s="20"/>
      <c r="M11" s="20"/>
      <c r="N11" s="20"/>
      <c r="O11" s="20"/>
      <c r="P11" s="20"/>
      <c r="Q11" s="21" t="str">
        <f aca="false">IF(A11="","",COUNTIF('Metric to Field'!$B:$B,A11))</f>
        <v/>
      </c>
      <c r="R11" s="21" t="str">
        <f aca="false">IF(A11="","",SUMIF('Metric to Field'!$B:$B,A11,'Metric to Field'!$G:$G))</f>
        <v/>
      </c>
      <c r="S11" s="20"/>
      <c r="T11" s="20"/>
      <c r="U11" s="20"/>
      <c r="V11" s="20"/>
      <c r="W11" s="20"/>
    </row>
    <row r="12" customFormat="false" ht="15" hidden="false" customHeight="false" outlineLevel="0" collapsed="false">
      <c r="A12" s="18"/>
      <c r="B12" s="19"/>
      <c r="C12" s="20"/>
      <c r="D12" s="18" t="str">
        <f aca="false">IF(C12="","",IFERROR(INDEX(Tables!$A:$A,MATCH(C12,Tables!$B:$B,0)),"Not found"))</f>
        <v/>
      </c>
      <c r="E12" s="21" t="str">
        <f aca="false">IF(D12="","",IFERROR(INDEX(Tables!$D:$D,MATCH(D12,Tables!$A:$A,0)),""))</f>
        <v/>
      </c>
      <c r="F12" s="20"/>
      <c r="G12" s="20"/>
      <c r="H12" s="18"/>
      <c r="I12" s="20"/>
      <c r="J12" s="20"/>
      <c r="K12" s="20"/>
      <c r="L12" s="20"/>
      <c r="M12" s="20"/>
      <c r="N12" s="20"/>
      <c r="O12" s="20"/>
      <c r="P12" s="20"/>
      <c r="Q12" s="21" t="str">
        <f aca="false">IF(A12="","",COUNTIF('Metric to Field'!$B:$B,A12))</f>
        <v/>
      </c>
      <c r="R12" s="21" t="str">
        <f aca="false">IF(A12="","",SUMIF('Metric to Field'!$B:$B,A12,'Metric to Field'!$G:$G))</f>
        <v/>
      </c>
      <c r="S12" s="20"/>
      <c r="T12" s="20"/>
      <c r="U12" s="20"/>
      <c r="V12" s="20"/>
      <c r="W12" s="20"/>
    </row>
    <row r="13" customFormat="false" ht="15" hidden="false" customHeight="false" outlineLevel="0" collapsed="false">
      <c r="A13" s="18"/>
      <c r="B13" s="19"/>
      <c r="C13" s="20"/>
      <c r="D13" s="18" t="str">
        <f aca="false">IF(C13="","",IFERROR(INDEX(Tables!$A:$A,MATCH(C13,Tables!$B:$B,0)),"Not found"))</f>
        <v/>
      </c>
      <c r="E13" s="21" t="str">
        <f aca="false">IF(D13="","",IFERROR(INDEX(Tables!$D:$D,MATCH(D13,Tables!$A:$A,0)),""))</f>
        <v/>
      </c>
      <c r="F13" s="20"/>
      <c r="G13" s="20"/>
      <c r="H13" s="18"/>
      <c r="I13" s="20"/>
      <c r="J13" s="20"/>
      <c r="K13" s="20"/>
      <c r="L13" s="20"/>
      <c r="M13" s="20"/>
      <c r="N13" s="20"/>
      <c r="O13" s="20"/>
      <c r="P13" s="20"/>
      <c r="Q13" s="21" t="str">
        <f aca="false">IF(A13="","",COUNTIF('Metric to Field'!$B:$B,A13))</f>
        <v/>
      </c>
      <c r="R13" s="21" t="str">
        <f aca="false">IF(A13="","",SUMIF('Metric to Field'!$B:$B,A13,'Metric to Field'!$G:$G))</f>
        <v/>
      </c>
      <c r="S13" s="20"/>
      <c r="T13" s="20"/>
      <c r="U13" s="20"/>
      <c r="V13" s="20"/>
      <c r="W13" s="20"/>
    </row>
    <row r="14" customFormat="false" ht="15" hidden="false" customHeight="false" outlineLevel="0" collapsed="false">
      <c r="A14" s="18"/>
      <c r="B14" s="19"/>
      <c r="C14" s="20"/>
      <c r="D14" s="18" t="str">
        <f aca="false">IF(C14="","",IFERROR(INDEX(Tables!$A:$A,MATCH(C14,Tables!$B:$B,0)),"Not found"))</f>
        <v/>
      </c>
      <c r="E14" s="21" t="str">
        <f aca="false">IF(D14="","",IFERROR(INDEX(Tables!$D:$D,MATCH(D14,Tables!$A:$A,0)),""))</f>
        <v/>
      </c>
      <c r="F14" s="20"/>
      <c r="G14" s="20"/>
      <c r="H14" s="18"/>
      <c r="I14" s="20"/>
      <c r="J14" s="20"/>
      <c r="K14" s="20"/>
      <c r="L14" s="20"/>
      <c r="M14" s="20"/>
      <c r="N14" s="20"/>
      <c r="O14" s="20"/>
      <c r="P14" s="20"/>
      <c r="Q14" s="21" t="str">
        <f aca="false">IF(A14="","",COUNTIF('Metric to Field'!$B:$B,A14))</f>
        <v/>
      </c>
      <c r="R14" s="21" t="str">
        <f aca="false">IF(A14="","",SUMIF('Metric to Field'!$B:$B,A14,'Metric to Field'!$G:$G))</f>
        <v/>
      </c>
      <c r="S14" s="20"/>
      <c r="T14" s="20"/>
      <c r="U14" s="20"/>
      <c r="V14" s="20"/>
      <c r="W14" s="20"/>
    </row>
    <row r="15" customFormat="false" ht="15" hidden="false" customHeight="false" outlineLevel="0" collapsed="false">
      <c r="A15" s="18"/>
      <c r="B15" s="19"/>
      <c r="C15" s="20"/>
      <c r="D15" s="18" t="str">
        <f aca="false">IF(C15="","",IFERROR(INDEX(Tables!$A:$A,MATCH(C15,Tables!$B:$B,0)),"Not found"))</f>
        <v/>
      </c>
      <c r="E15" s="21" t="str">
        <f aca="false">IF(D15="","",IFERROR(INDEX(Tables!$D:$D,MATCH(D15,Tables!$A:$A,0)),""))</f>
        <v/>
      </c>
      <c r="F15" s="20"/>
      <c r="G15" s="20"/>
      <c r="H15" s="18"/>
      <c r="I15" s="20"/>
      <c r="J15" s="20"/>
      <c r="K15" s="20"/>
      <c r="L15" s="20"/>
      <c r="M15" s="20"/>
      <c r="N15" s="20"/>
      <c r="O15" s="20"/>
      <c r="P15" s="20"/>
      <c r="Q15" s="21" t="str">
        <f aca="false">IF(A15="","",COUNTIF('Metric to Field'!$B:$B,A15))</f>
        <v/>
      </c>
      <c r="R15" s="21" t="str">
        <f aca="false">IF(A15="","",SUMIF('Metric to Field'!$B:$B,A15,'Metric to Field'!$G:$G))</f>
        <v/>
      </c>
      <c r="S15" s="20"/>
      <c r="T15" s="20"/>
      <c r="U15" s="20"/>
      <c r="V15" s="20"/>
      <c r="W15" s="20"/>
    </row>
    <row r="16" customFormat="false" ht="15" hidden="false" customHeight="false" outlineLevel="0" collapsed="false">
      <c r="A16" s="18"/>
      <c r="B16" s="19"/>
      <c r="C16" s="20"/>
      <c r="D16" s="18" t="str">
        <f aca="false">IF(C16="","",IFERROR(INDEX(Tables!$A:$A,MATCH(C16,Tables!$B:$B,0)),"Not found"))</f>
        <v/>
      </c>
      <c r="E16" s="21" t="str">
        <f aca="false">IF(D16="","",IFERROR(INDEX(Tables!$D:$D,MATCH(D16,Tables!$A:$A,0)),""))</f>
        <v/>
      </c>
      <c r="F16" s="20"/>
      <c r="G16" s="20"/>
      <c r="H16" s="18"/>
      <c r="I16" s="20"/>
      <c r="J16" s="20"/>
      <c r="K16" s="20"/>
      <c r="L16" s="20"/>
      <c r="M16" s="20"/>
      <c r="N16" s="20"/>
      <c r="O16" s="20"/>
      <c r="P16" s="20"/>
      <c r="Q16" s="21" t="str">
        <f aca="false">IF(A16="","",COUNTIF('Metric to Field'!$B:$B,A16))</f>
        <v/>
      </c>
      <c r="R16" s="21" t="str">
        <f aca="false">IF(A16="","",SUMIF('Metric to Field'!$B:$B,A16,'Metric to Field'!$G:$G))</f>
        <v/>
      </c>
      <c r="S16" s="20"/>
      <c r="T16" s="20"/>
      <c r="U16" s="20"/>
      <c r="V16" s="20"/>
      <c r="W16" s="20"/>
    </row>
    <row r="17" customFormat="false" ht="15" hidden="false" customHeight="false" outlineLevel="0" collapsed="false">
      <c r="A17" s="18"/>
      <c r="B17" s="19"/>
      <c r="C17" s="20"/>
      <c r="D17" s="18" t="str">
        <f aca="false">IF(C17="","",IFERROR(INDEX(Tables!$A:$A,MATCH(C17,Tables!$B:$B,0)),"Not found"))</f>
        <v/>
      </c>
      <c r="E17" s="21" t="str">
        <f aca="false">IF(D17="","",IFERROR(INDEX(Tables!$D:$D,MATCH(D17,Tables!$A:$A,0)),""))</f>
        <v/>
      </c>
      <c r="F17" s="20"/>
      <c r="G17" s="20"/>
      <c r="H17" s="18"/>
      <c r="I17" s="20"/>
      <c r="J17" s="20"/>
      <c r="K17" s="20"/>
      <c r="L17" s="20"/>
      <c r="M17" s="20"/>
      <c r="N17" s="20"/>
      <c r="O17" s="20"/>
      <c r="P17" s="20"/>
      <c r="Q17" s="21" t="str">
        <f aca="false">IF(A17="","",COUNTIF('Metric to Field'!$B:$B,A17))</f>
        <v/>
      </c>
      <c r="R17" s="21" t="str">
        <f aca="false">IF(A17="","",SUMIF('Metric to Field'!$B:$B,A17,'Metric to Field'!$G:$G))</f>
        <v/>
      </c>
      <c r="S17" s="20"/>
      <c r="T17" s="20"/>
      <c r="U17" s="20"/>
      <c r="V17" s="20"/>
      <c r="W17" s="20"/>
    </row>
    <row r="18" customFormat="false" ht="15" hidden="false" customHeight="false" outlineLevel="0" collapsed="false">
      <c r="A18" s="18"/>
      <c r="B18" s="19"/>
      <c r="C18" s="20"/>
      <c r="D18" s="18" t="str">
        <f aca="false">IF(C18="","",IFERROR(INDEX(Tables!$A:$A,MATCH(C18,Tables!$B:$B,0)),"Not found"))</f>
        <v/>
      </c>
      <c r="E18" s="21" t="str">
        <f aca="false">IF(D18="","",IFERROR(INDEX(Tables!$D:$D,MATCH(D18,Tables!$A:$A,0)),""))</f>
        <v/>
      </c>
      <c r="F18" s="20"/>
      <c r="G18" s="20"/>
      <c r="H18" s="18"/>
      <c r="I18" s="20"/>
      <c r="J18" s="20"/>
      <c r="K18" s="20"/>
      <c r="L18" s="20"/>
      <c r="M18" s="20"/>
      <c r="N18" s="20"/>
      <c r="O18" s="20"/>
      <c r="P18" s="20"/>
      <c r="Q18" s="21" t="str">
        <f aca="false">IF(A18="","",COUNTIF('Metric to Field'!$B:$B,A18))</f>
        <v/>
      </c>
      <c r="R18" s="21" t="str">
        <f aca="false">IF(A18="","",SUMIF('Metric to Field'!$B:$B,A18,'Metric to Field'!$G:$G))</f>
        <v/>
      </c>
      <c r="S18" s="20"/>
      <c r="T18" s="20"/>
      <c r="U18" s="20"/>
      <c r="V18" s="20"/>
      <c r="W18" s="20"/>
    </row>
    <row r="19" customFormat="false" ht="15" hidden="false" customHeight="false" outlineLevel="0" collapsed="false">
      <c r="A19" s="18"/>
      <c r="B19" s="19"/>
      <c r="C19" s="20"/>
      <c r="D19" s="18" t="str">
        <f aca="false">IF(C19="","",IFERROR(INDEX(Tables!$A:$A,MATCH(C19,Tables!$B:$B,0)),"Not found"))</f>
        <v/>
      </c>
      <c r="E19" s="21" t="str">
        <f aca="false">IF(D19="","",IFERROR(INDEX(Tables!$D:$D,MATCH(D19,Tables!$A:$A,0)),""))</f>
        <v/>
      </c>
      <c r="F19" s="20"/>
      <c r="G19" s="20"/>
      <c r="H19" s="18"/>
      <c r="I19" s="20"/>
      <c r="J19" s="20"/>
      <c r="K19" s="20"/>
      <c r="L19" s="20"/>
      <c r="M19" s="20"/>
      <c r="N19" s="20"/>
      <c r="O19" s="20"/>
      <c r="P19" s="20"/>
      <c r="Q19" s="21" t="str">
        <f aca="false">IF(A19="","",COUNTIF('Metric to Field'!$B:$B,A19))</f>
        <v/>
      </c>
      <c r="R19" s="21" t="str">
        <f aca="false">IF(A19="","",SUMIF('Metric to Field'!$B:$B,A19,'Metric to Field'!$G:$G))</f>
        <v/>
      </c>
      <c r="S19" s="20"/>
      <c r="T19" s="20"/>
      <c r="U19" s="20"/>
      <c r="V19" s="20"/>
      <c r="W19" s="20"/>
    </row>
    <row r="20" customFormat="false" ht="15" hidden="false" customHeight="false" outlineLevel="0" collapsed="false">
      <c r="A20" s="18"/>
      <c r="B20" s="19"/>
      <c r="C20" s="20"/>
      <c r="D20" s="18" t="str">
        <f aca="false">IF(C20="","",IFERROR(INDEX(Tables!$A:$A,MATCH(C20,Tables!$B:$B,0)),"Not found"))</f>
        <v/>
      </c>
      <c r="E20" s="21" t="str">
        <f aca="false">IF(D20="","",IFERROR(INDEX(Tables!$D:$D,MATCH(D20,Tables!$A:$A,0)),""))</f>
        <v/>
      </c>
      <c r="F20" s="20"/>
      <c r="G20" s="20"/>
      <c r="H20" s="18"/>
      <c r="I20" s="20"/>
      <c r="J20" s="20"/>
      <c r="K20" s="20"/>
      <c r="L20" s="20"/>
      <c r="M20" s="20"/>
      <c r="N20" s="20"/>
      <c r="O20" s="20"/>
      <c r="P20" s="20"/>
      <c r="Q20" s="21" t="str">
        <f aca="false">IF(A20="","",COUNTIF('Metric to Field'!$B:$B,A20))</f>
        <v/>
      </c>
      <c r="R20" s="21" t="str">
        <f aca="false">IF(A20="","",SUMIF('Metric to Field'!$B:$B,A20,'Metric to Field'!$G:$G))</f>
        <v/>
      </c>
      <c r="S20" s="20"/>
      <c r="T20" s="20"/>
      <c r="U20" s="20"/>
      <c r="V20" s="20"/>
      <c r="W20" s="20"/>
    </row>
    <row r="21" customFormat="false" ht="15" hidden="false" customHeight="false" outlineLevel="0" collapsed="false">
      <c r="A21" s="18"/>
      <c r="B21" s="19"/>
      <c r="C21" s="20"/>
      <c r="D21" s="18" t="str">
        <f aca="false">IF(C21="","",IFERROR(INDEX(Tables!$A:$A,MATCH(C21,Tables!$B:$B,0)),"Not found"))</f>
        <v/>
      </c>
      <c r="E21" s="21" t="str">
        <f aca="false">IF(D21="","",IFERROR(INDEX(Tables!$D:$D,MATCH(D21,Tables!$A:$A,0)),""))</f>
        <v/>
      </c>
      <c r="F21" s="20"/>
      <c r="G21" s="20"/>
      <c r="H21" s="18"/>
      <c r="I21" s="20"/>
      <c r="J21" s="20"/>
      <c r="K21" s="20"/>
      <c r="L21" s="20"/>
      <c r="M21" s="20"/>
      <c r="N21" s="20"/>
      <c r="O21" s="20"/>
      <c r="P21" s="20"/>
      <c r="Q21" s="21" t="str">
        <f aca="false">IF(A21="","",COUNTIF('Metric to Field'!$B:$B,A21))</f>
        <v/>
      </c>
      <c r="R21" s="21" t="str">
        <f aca="false">IF(A21="","",SUMIF('Metric to Field'!$B:$B,A21,'Metric to Field'!$G:$G))</f>
        <v/>
      </c>
      <c r="S21" s="20"/>
      <c r="T21" s="20"/>
      <c r="U21" s="20"/>
      <c r="V21" s="20"/>
      <c r="W21" s="20"/>
    </row>
    <row r="22" customFormat="false" ht="15" hidden="false" customHeight="false" outlineLevel="0" collapsed="false">
      <c r="A22" s="18"/>
      <c r="B22" s="19"/>
      <c r="C22" s="20"/>
      <c r="D22" s="18" t="str">
        <f aca="false">IF(C22="","",IFERROR(INDEX(Tables!$A:$A,MATCH(C22,Tables!$B:$B,0)),"Not found"))</f>
        <v/>
      </c>
      <c r="E22" s="21" t="str">
        <f aca="false">IF(D22="","",IFERROR(INDEX(Tables!$D:$D,MATCH(D22,Tables!$A:$A,0)),""))</f>
        <v/>
      </c>
      <c r="F22" s="20"/>
      <c r="G22" s="20"/>
      <c r="H22" s="18"/>
      <c r="I22" s="20"/>
      <c r="J22" s="20"/>
      <c r="K22" s="20"/>
      <c r="L22" s="20"/>
      <c r="M22" s="20"/>
      <c r="N22" s="20"/>
      <c r="O22" s="20"/>
      <c r="P22" s="20"/>
      <c r="Q22" s="21" t="str">
        <f aca="false">IF(A22="","",COUNTIF('Metric to Field'!$B:$B,A22))</f>
        <v/>
      </c>
      <c r="R22" s="21" t="str">
        <f aca="false">IF(A22="","",SUMIF('Metric to Field'!$B:$B,A22,'Metric to Field'!$G:$G))</f>
        <v/>
      </c>
      <c r="S22" s="20"/>
      <c r="T22" s="20"/>
      <c r="U22" s="20"/>
      <c r="V22" s="20"/>
      <c r="W22" s="20"/>
    </row>
    <row r="23" customFormat="false" ht="15" hidden="false" customHeight="false" outlineLevel="0" collapsed="false">
      <c r="A23" s="18"/>
      <c r="B23" s="19"/>
      <c r="C23" s="20"/>
      <c r="D23" s="18" t="str">
        <f aca="false">IF(C23="","",IFERROR(INDEX(Tables!$A:$A,MATCH(C23,Tables!$B:$B,0)),"Not found"))</f>
        <v/>
      </c>
      <c r="E23" s="21" t="str">
        <f aca="false">IF(D23="","",IFERROR(INDEX(Tables!$D:$D,MATCH(D23,Tables!$A:$A,0)),""))</f>
        <v/>
      </c>
      <c r="F23" s="20"/>
      <c r="G23" s="20"/>
      <c r="H23" s="18"/>
      <c r="I23" s="20"/>
      <c r="J23" s="20"/>
      <c r="K23" s="20"/>
      <c r="L23" s="20"/>
      <c r="M23" s="20"/>
      <c r="N23" s="20"/>
      <c r="O23" s="20"/>
      <c r="P23" s="20"/>
      <c r="Q23" s="21" t="str">
        <f aca="false">IF(A23="","",COUNTIF('Metric to Field'!$B:$B,A23))</f>
        <v/>
      </c>
      <c r="R23" s="21" t="str">
        <f aca="false">IF(A23="","",SUMIF('Metric to Field'!$B:$B,A23,'Metric to Field'!$G:$G))</f>
        <v/>
      </c>
      <c r="S23" s="20"/>
      <c r="T23" s="20"/>
      <c r="U23" s="20"/>
      <c r="V23" s="20"/>
      <c r="W23" s="20"/>
    </row>
    <row r="24" customFormat="false" ht="15" hidden="false" customHeight="false" outlineLevel="0" collapsed="false">
      <c r="A24" s="18"/>
      <c r="B24" s="19"/>
      <c r="C24" s="20"/>
      <c r="D24" s="18" t="str">
        <f aca="false">IF(C24="","",IFERROR(INDEX(Tables!$A:$A,MATCH(C24,Tables!$B:$B,0)),"Not found"))</f>
        <v/>
      </c>
      <c r="E24" s="21" t="str">
        <f aca="false">IF(D24="","",IFERROR(INDEX(Tables!$D:$D,MATCH(D24,Tables!$A:$A,0)),""))</f>
        <v/>
      </c>
      <c r="F24" s="20"/>
      <c r="G24" s="20"/>
      <c r="H24" s="18"/>
      <c r="I24" s="20"/>
      <c r="J24" s="20"/>
      <c r="K24" s="20"/>
      <c r="L24" s="20"/>
      <c r="M24" s="20"/>
      <c r="N24" s="20"/>
      <c r="O24" s="20"/>
      <c r="P24" s="20"/>
      <c r="Q24" s="21" t="str">
        <f aca="false">IF(A24="","",COUNTIF('Metric to Field'!$B:$B,A24))</f>
        <v/>
      </c>
      <c r="R24" s="21" t="str">
        <f aca="false">IF(A24="","",SUMIF('Metric to Field'!$B:$B,A24,'Metric to Field'!$G:$G))</f>
        <v/>
      </c>
      <c r="S24" s="20"/>
      <c r="T24" s="20"/>
      <c r="U24" s="20"/>
      <c r="V24" s="20"/>
      <c r="W24" s="20"/>
    </row>
    <row r="25" customFormat="false" ht="15" hidden="false" customHeight="false" outlineLevel="0" collapsed="false">
      <c r="A25" s="18"/>
      <c r="B25" s="19"/>
      <c r="C25" s="20"/>
      <c r="D25" s="18" t="str">
        <f aca="false">IF(C25="","",IFERROR(INDEX(Tables!$A:$A,MATCH(C25,Tables!$B:$B,0)),"Not found"))</f>
        <v/>
      </c>
      <c r="E25" s="21" t="str">
        <f aca="false">IF(D25="","",IFERROR(INDEX(Tables!$D:$D,MATCH(D25,Tables!$A:$A,0)),""))</f>
        <v/>
      </c>
      <c r="F25" s="20"/>
      <c r="G25" s="20"/>
      <c r="H25" s="18"/>
      <c r="I25" s="20"/>
      <c r="J25" s="20"/>
      <c r="K25" s="20"/>
      <c r="L25" s="20"/>
      <c r="M25" s="20"/>
      <c r="N25" s="20"/>
      <c r="O25" s="20"/>
      <c r="P25" s="20"/>
      <c r="Q25" s="21" t="str">
        <f aca="false">IF(A25="","",COUNTIF('Metric to Field'!$B:$B,A25))</f>
        <v/>
      </c>
      <c r="R25" s="21" t="str">
        <f aca="false">IF(A25="","",SUMIF('Metric to Field'!$B:$B,A25,'Metric to Field'!$G:$G))</f>
        <v/>
      </c>
      <c r="S25" s="20"/>
      <c r="T25" s="20"/>
      <c r="U25" s="20"/>
      <c r="V25" s="20"/>
      <c r="W25" s="20"/>
    </row>
    <row r="26" customFormat="false" ht="15" hidden="false" customHeight="false" outlineLevel="0" collapsed="false">
      <c r="A26" s="18"/>
      <c r="B26" s="19"/>
      <c r="C26" s="20"/>
      <c r="D26" s="18" t="str">
        <f aca="false">IF(C26="","",IFERROR(INDEX(Tables!$A:$A,MATCH(C26,Tables!$B:$B,0)),"Not found"))</f>
        <v/>
      </c>
      <c r="E26" s="21" t="str">
        <f aca="false">IF(D26="","",IFERROR(INDEX(Tables!$D:$D,MATCH(D26,Tables!$A:$A,0)),""))</f>
        <v/>
      </c>
      <c r="F26" s="20"/>
      <c r="G26" s="20"/>
      <c r="H26" s="18"/>
      <c r="I26" s="20"/>
      <c r="J26" s="20"/>
      <c r="K26" s="20"/>
      <c r="L26" s="20"/>
      <c r="M26" s="20"/>
      <c r="N26" s="20"/>
      <c r="O26" s="20"/>
      <c r="P26" s="20"/>
      <c r="Q26" s="21" t="str">
        <f aca="false">IF(A26="","",COUNTIF('Metric to Field'!$B:$B,A26))</f>
        <v/>
      </c>
      <c r="R26" s="21" t="str">
        <f aca="false">IF(A26="","",SUMIF('Metric to Field'!$B:$B,A26,'Metric to Field'!$G:$G))</f>
        <v/>
      </c>
      <c r="S26" s="20"/>
      <c r="T26" s="20"/>
      <c r="U26" s="20"/>
      <c r="V26" s="20"/>
      <c r="W26" s="20"/>
    </row>
    <row r="27" customFormat="false" ht="15" hidden="false" customHeight="false" outlineLevel="0" collapsed="false">
      <c r="A27" s="18"/>
      <c r="B27" s="19"/>
      <c r="C27" s="20"/>
      <c r="D27" s="18" t="str">
        <f aca="false">IF(C27="","",IFERROR(INDEX(Tables!$A:$A,MATCH(C27,Tables!$B:$B,0)),"Not found"))</f>
        <v/>
      </c>
      <c r="E27" s="21" t="str">
        <f aca="false">IF(D27="","",IFERROR(INDEX(Tables!$D:$D,MATCH(D27,Tables!$A:$A,0)),""))</f>
        <v/>
      </c>
      <c r="F27" s="20"/>
      <c r="G27" s="20"/>
      <c r="H27" s="18"/>
      <c r="I27" s="20"/>
      <c r="J27" s="20"/>
      <c r="K27" s="20"/>
      <c r="L27" s="20"/>
      <c r="M27" s="20"/>
      <c r="N27" s="20"/>
      <c r="O27" s="20"/>
      <c r="P27" s="20"/>
      <c r="Q27" s="21" t="str">
        <f aca="false">IF(A27="","",COUNTIF('Metric to Field'!$B:$B,A27))</f>
        <v/>
      </c>
      <c r="R27" s="21" t="str">
        <f aca="false">IF(A27="","",SUMIF('Metric to Field'!$B:$B,A27,'Metric to Field'!$G:$G))</f>
        <v/>
      </c>
      <c r="S27" s="20"/>
      <c r="T27" s="20"/>
      <c r="U27" s="20"/>
      <c r="V27" s="20"/>
      <c r="W27" s="20"/>
    </row>
    <row r="28" customFormat="false" ht="15" hidden="false" customHeight="false" outlineLevel="0" collapsed="false">
      <c r="A28" s="18"/>
      <c r="B28" s="19"/>
      <c r="C28" s="20"/>
      <c r="D28" s="18" t="str">
        <f aca="false">IF(C28="","",IFERROR(INDEX(Tables!$A:$A,MATCH(C28,Tables!$B:$B,0)),"Not found"))</f>
        <v/>
      </c>
      <c r="E28" s="21" t="str">
        <f aca="false">IF(D28="","",IFERROR(INDEX(Tables!$D:$D,MATCH(D28,Tables!$A:$A,0)),""))</f>
        <v/>
      </c>
      <c r="F28" s="20"/>
      <c r="G28" s="20"/>
      <c r="H28" s="18"/>
      <c r="I28" s="20"/>
      <c r="J28" s="20"/>
      <c r="K28" s="20"/>
      <c r="L28" s="20"/>
      <c r="M28" s="20"/>
      <c r="N28" s="20"/>
      <c r="O28" s="20"/>
      <c r="P28" s="20"/>
      <c r="Q28" s="21" t="str">
        <f aca="false">IF(A28="","",COUNTIF('Metric to Field'!$B:$B,A28))</f>
        <v/>
      </c>
      <c r="R28" s="21" t="str">
        <f aca="false">IF(A28="","",SUMIF('Metric to Field'!$B:$B,A28,'Metric to Field'!$G:$G))</f>
        <v/>
      </c>
      <c r="S28" s="20"/>
      <c r="T28" s="20"/>
      <c r="U28" s="20"/>
      <c r="V28" s="20"/>
      <c r="W28" s="20"/>
    </row>
    <row r="29" customFormat="false" ht="15" hidden="false" customHeight="false" outlineLevel="0" collapsed="false">
      <c r="A29" s="18"/>
      <c r="B29" s="19"/>
      <c r="C29" s="20"/>
      <c r="D29" s="18" t="str">
        <f aca="false">IF(C29="","",IFERROR(INDEX(Tables!$A:$A,MATCH(C29,Tables!$B:$B,0)),"Not found"))</f>
        <v/>
      </c>
      <c r="E29" s="21" t="str">
        <f aca="false">IF(D29="","",IFERROR(INDEX(Tables!$D:$D,MATCH(D29,Tables!$A:$A,0)),""))</f>
        <v/>
      </c>
      <c r="F29" s="20"/>
      <c r="G29" s="20"/>
      <c r="H29" s="18"/>
      <c r="I29" s="20"/>
      <c r="J29" s="20"/>
      <c r="K29" s="20"/>
      <c r="L29" s="20"/>
      <c r="M29" s="20"/>
      <c r="N29" s="20"/>
      <c r="O29" s="20"/>
      <c r="P29" s="20"/>
      <c r="Q29" s="21" t="str">
        <f aca="false">IF(A29="","",COUNTIF('Metric to Field'!$B:$B,A29))</f>
        <v/>
      </c>
      <c r="R29" s="21" t="str">
        <f aca="false">IF(A29="","",SUMIF('Metric to Field'!$B:$B,A29,'Metric to Field'!$G:$G))</f>
        <v/>
      </c>
      <c r="S29" s="20"/>
      <c r="T29" s="20"/>
      <c r="U29" s="20"/>
      <c r="V29" s="20"/>
      <c r="W29" s="20"/>
    </row>
    <row r="30" customFormat="false" ht="15" hidden="false" customHeight="false" outlineLevel="0" collapsed="false">
      <c r="A30" s="18"/>
      <c r="B30" s="19"/>
      <c r="C30" s="20"/>
      <c r="D30" s="18" t="str">
        <f aca="false">IF(C30="","",IFERROR(INDEX(Tables!$A:$A,MATCH(C30,Tables!$B:$B,0)),"Not found"))</f>
        <v/>
      </c>
      <c r="E30" s="21" t="str">
        <f aca="false">IF(D30="","",IFERROR(INDEX(Tables!$D:$D,MATCH(D30,Tables!$A:$A,0)),""))</f>
        <v/>
      </c>
      <c r="F30" s="20"/>
      <c r="G30" s="20"/>
      <c r="H30" s="18"/>
      <c r="I30" s="20"/>
      <c r="J30" s="20"/>
      <c r="K30" s="20"/>
      <c r="L30" s="20"/>
      <c r="M30" s="20"/>
      <c r="N30" s="20"/>
      <c r="O30" s="20"/>
      <c r="P30" s="20"/>
      <c r="Q30" s="21" t="str">
        <f aca="false">IF(A30="","",COUNTIF('Metric to Field'!$B:$B,A30))</f>
        <v/>
      </c>
      <c r="R30" s="21" t="str">
        <f aca="false">IF(A30="","",SUMIF('Metric to Field'!$B:$B,A30,'Metric to Field'!$G:$G))</f>
        <v/>
      </c>
      <c r="S30" s="20"/>
      <c r="T30" s="20"/>
      <c r="U30" s="20"/>
      <c r="V30" s="20"/>
      <c r="W30" s="20"/>
    </row>
    <row r="31" customFormat="false" ht="15" hidden="false" customHeight="false" outlineLevel="0" collapsed="false">
      <c r="A31" s="18"/>
      <c r="B31" s="19"/>
      <c r="C31" s="20"/>
      <c r="D31" s="18" t="str">
        <f aca="false">IF(C31="","",IFERROR(INDEX(Tables!$A:$A,MATCH(C31,Tables!$B:$B,0)),"Not found"))</f>
        <v/>
      </c>
      <c r="E31" s="21" t="str">
        <f aca="false">IF(D31="","",IFERROR(INDEX(Tables!$D:$D,MATCH(D31,Tables!$A:$A,0)),""))</f>
        <v/>
      </c>
      <c r="F31" s="20"/>
      <c r="G31" s="20"/>
      <c r="H31" s="18"/>
      <c r="I31" s="20"/>
      <c r="J31" s="20"/>
      <c r="K31" s="20"/>
      <c r="L31" s="20"/>
      <c r="M31" s="20"/>
      <c r="N31" s="20"/>
      <c r="O31" s="20"/>
      <c r="P31" s="20"/>
      <c r="Q31" s="21" t="str">
        <f aca="false">IF(A31="","",COUNTIF('Metric to Field'!$B:$B,A31))</f>
        <v/>
      </c>
      <c r="R31" s="21" t="str">
        <f aca="false">IF(A31="","",SUMIF('Metric to Field'!$B:$B,A31,'Metric to Field'!$G:$G))</f>
        <v/>
      </c>
      <c r="S31" s="20"/>
      <c r="T31" s="20"/>
      <c r="U31" s="20"/>
      <c r="V31" s="20"/>
      <c r="W31" s="20"/>
    </row>
    <row r="32" customFormat="false" ht="15" hidden="false" customHeight="false" outlineLevel="0" collapsed="false">
      <c r="A32" s="18"/>
      <c r="B32" s="19"/>
      <c r="C32" s="20"/>
      <c r="D32" s="18" t="str">
        <f aca="false">IF(C32="","",IFERROR(INDEX(Tables!$A:$A,MATCH(C32,Tables!$B:$B,0)),"Not found"))</f>
        <v/>
      </c>
      <c r="E32" s="21" t="str">
        <f aca="false">IF(D32="","",IFERROR(INDEX(Tables!$D:$D,MATCH(D32,Tables!$A:$A,0)),""))</f>
        <v/>
      </c>
      <c r="F32" s="20"/>
      <c r="G32" s="20"/>
      <c r="H32" s="18"/>
      <c r="I32" s="20"/>
      <c r="J32" s="20"/>
      <c r="K32" s="20"/>
      <c r="L32" s="20"/>
      <c r="M32" s="20"/>
      <c r="N32" s="20"/>
      <c r="O32" s="20"/>
      <c r="P32" s="20"/>
      <c r="Q32" s="21" t="str">
        <f aca="false">IF(A32="","",COUNTIF('Metric to Field'!$B:$B,A32))</f>
        <v/>
      </c>
      <c r="R32" s="21" t="str">
        <f aca="false">IF(A32="","",SUMIF('Metric to Field'!$B:$B,A32,'Metric to Field'!$G:$G))</f>
        <v/>
      </c>
      <c r="S32" s="20"/>
      <c r="T32" s="20"/>
      <c r="U32" s="20"/>
      <c r="V32" s="20"/>
      <c r="W32" s="20"/>
    </row>
    <row r="33" customFormat="false" ht="15" hidden="false" customHeight="false" outlineLevel="0" collapsed="false">
      <c r="A33" s="18"/>
      <c r="B33" s="19"/>
      <c r="C33" s="20"/>
      <c r="D33" s="18" t="str">
        <f aca="false">IF(C33="","",IFERROR(INDEX(Tables!$A:$A,MATCH(C33,Tables!$B:$B,0)),"Not found"))</f>
        <v/>
      </c>
      <c r="E33" s="21" t="str">
        <f aca="false">IF(D33="","",IFERROR(INDEX(Tables!$D:$D,MATCH(D33,Tables!$A:$A,0)),""))</f>
        <v/>
      </c>
      <c r="F33" s="20"/>
      <c r="G33" s="20"/>
      <c r="H33" s="18"/>
      <c r="I33" s="20"/>
      <c r="J33" s="20"/>
      <c r="K33" s="20"/>
      <c r="L33" s="20"/>
      <c r="M33" s="20"/>
      <c r="N33" s="20"/>
      <c r="O33" s="20"/>
      <c r="P33" s="20"/>
      <c r="Q33" s="21" t="str">
        <f aca="false">IF(A33="","",COUNTIF('Metric to Field'!$B:$B,A33))</f>
        <v/>
      </c>
      <c r="R33" s="21" t="str">
        <f aca="false">IF(A33="","",SUMIF('Metric to Field'!$B:$B,A33,'Metric to Field'!$G:$G))</f>
        <v/>
      </c>
      <c r="S33" s="20"/>
      <c r="T33" s="20"/>
      <c r="U33" s="20"/>
      <c r="V33" s="20"/>
      <c r="W33" s="20"/>
    </row>
    <row r="34" customFormat="false" ht="15" hidden="false" customHeight="false" outlineLevel="0" collapsed="false">
      <c r="A34" s="18"/>
      <c r="B34" s="19"/>
      <c r="C34" s="20"/>
      <c r="D34" s="18" t="str">
        <f aca="false">IF(C34="","",IFERROR(INDEX(Tables!$A:$A,MATCH(C34,Tables!$B:$B,0)),"Not found"))</f>
        <v/>
      </c>
      <c r="E34" s="21" t="str">
        <f aca="false">IF(D34="","",IFERROR(INDEX(Tables!$D:$D,MATCH(D34,Tables!$A:$A,0)),""))</f>
        <v/>
      </c>
      <c r="F34" s="20"/>
      <c r="G34" s="20"/>
      <c r="H34" s="18"/>
      <c r="I34" s="20"/>
      <c r="J34" s="20"/>
      <c r="K34" s="20"/>
      <c r="L34" s="20"/>
      <c r="M34" s="20"/>
      <c r="N34" s="20"/>
      <c r="O34" s="20"/>
      <c r="P34" s="20"/>
      <c r="Q34" s="21" t="str">
        <f aca="false">IF(A34="","",COUNTIF('Metric to Field'!$B:$B,A34))</f>
        <v/>
      </c>
      <c r="R34" s="21" t="str">
        <f aca="false">IF(A34="","",SUMIF('Metric to Field'!$B:$B,A34,'Metric to Field'!$G:$G))</f>
        <v/>
      </c>
      <c r="S34" s="20"/>
      <c r="T34" s="20"/>
      <c r="U34" s="20"/>
      <c r="V34" s="20"/>
      <c r="W34" s="20"/>
    </row>
    <row r="35" customFormat="false" ht="15" hidden="false" customHeight="false" outlineLevel="0" collapsed="false">
      <c r="A35" s="18"/>
      <c r="B35" s="19"/>
      <c r="C35" s="20"/>
      <c r="D35" s="18" t="str">
        <f aca="false">IF(C35="","",IFERROR(INDEX(Tables!$A:$A,MATCH(C35,Tables!$B:$B,0)),"Not found"))</f>
        <v/>
      </c>
      <c r="E35" s="21" t="str">
        <f aca="false">IF(D35="","",IFERROR(INDEX(Tables!$D:$D,MATCH(D35,Tables!$A:$A,0)),""))</f>
        <v/>
      </c>
      <c r="F35" s="20"/>
      <c r="G35" s="20"/>
      <c r="H35" s="18"/>
      <c r="I35" s="20"/>
      <c r="J35" s="20"/>
      <c r="K35" s="20"/>
      <c r="L35" s="20"/>
      <c r="M35" s="20"/>
      <c r="N35" s="20"/>
      <c r="O35" s="20"/>
      <c r="P35" s="20"/>
      <c r="Q35" s="21" t="str">
        <f aca="false">IF(A35="","",COUNTIF('Metric to Field'!$B:$B,A35))</f>
        <v/>
      </c>
      <c r="R35" s="21" t="str">
        <f aca="false">IF(A35="","",SUMIF('Metric to Field'!$B:$B,A35,'Metric to Field'!$G:$G))</f>
        <v/>
      </c>
      <c r="S35" s="20"/>
      <c r="T35" s="20"/>
      <c r="U35" s="20"/>
      <c r="V35" s="20"/>
      <c r="W35" s="20"/>
    </row>
    <row r="36" customFormat="false" ht="15" hidden="false" customHeight="false" outlineLevel="0" collapsed="false">
      <c r="A36" s="18"/>
      <c r="B36" s="19"/>
      <c r="C36" s="20"/>
      <c r="D36" s="18" t="str">
        <f aca="false">IF(C36="","",IFERROR(INDEX(Tables!$A:$A,MATCH(C36,Tables!$B:$B,0)),"Not found"))</f>
        <v/>
      </c>
      <c r="E36" s="21" t="str">
        <f aca="false">IF(D36="","",IFERROR(INDEX(Tables!$D:$D,MATCH(D36,Tables!$A:$A,0)),""))</f>
        <v/>
      </c>
      <c r="F36" s="20"/>
      <c r="G36" s="20"/>
      <c r="H36" s="18"/>
      <c r="I36" s="20"/>
      <c r="J36" s="20"/>
      <c r="K36" s="20"/>
      <c r="L36" s="20"/>
      <c r="M36" s="20"/>
      <c r="N36" s="20"/>
      <c r="O36" s="20"/>
      <c r="P36" s="20"/>
      <c r="Q36" s="21" t="str">
        <f aca="false">IF(A36="","",COUNTIF('Metric to Field'!$B:$B,A36))</f>
        <v/>
      </c>
      <c r="R36" s="21" t="str">
        <f aca="false">IF(A36="","",SUMIF('Metric to Field'!$B:$B,A36,'Metric to Field'!$G:$G))</f>
        <v/>
      </c>
      <c r="S36" s="20"/>
      <c r="T36" s="20"/>
      <c r="U36" s="20"/>
      <c r="V36" s="20"/>
      <c r="W36" s="20"/>
    </row>
    <row r="37" customFormat="false" ht="15" hidden="false" customHeight="false" outlineLevel="0" collapsed="false">
      <c r="A37" s="18"/>
      <c r="B37" s="19"/>
      <c r="C37" s="20"/>
      <c r="D37" s="18" t="str">
        <f aca="false">IF(C37="","",IFERROR(INDEX(Tables!$A:$A,MATCH(C37,Tables!$B:$B,0)),"Not found"))</f>
        <v/>
      </c>
      <c r="E37" s="21" t="str">
        <f aca="false">IF(D37="","",IFERROR(INDEX(Tables!$D:$D,MATCH(D37,Tables!$A:$A,0)),""))</f>
        <v/>
      </c>
      <c r="F37" s="20"/>
      <c r="G37" s="20"/>
      <c r="H37" s="18"/>
      <c r="I37" s="20"/>
      <c r="J37" s="20"/>
      <c r="K37" s="20"/>
      <c r="L37" s="20"/>
      <c r="M37" s="20"/>
      <c r="N37" s="20"/>
      <c r="O37" s="20"/>
      <c r="P37" s="20"/>
      <c r="Q37" s="21" t="str">
        <f aca="false">IF(A37="","",COUNTIF('Metric to Field'!$B:$B,A37))</f>
        <v/>
      </c>
      <c r="R37" s="21" t="str">
        <f aca="false">IF(A37="","",SUMIF('Metric to Field'!$B:$B,A37,'Metric to Field'!$G:$G))</f>
        <v/>
      </c>
      <c r="S37" s="20"/>
      <c r="T37" s="20"/>
      <c r="U37" s="20"/>
      <c r="V37" s="20"/>
      <c r="W37" s="20"/>
    </row>
    <row r="38" customFormat="false" ht="15" hidden="false" customHeight="false" outlineLevel="0" collapsed="false">
      <c r="A38" s="18"/>
      <c r="B38" s="19"/>
      <c r="C38" s="20"/>
      <c r="D38" s="18" t="str">
        <f aca="false">IF(C38="","",IFERROR(INDEX(Tables!$A:$A,MATCH(C38,Tables!$B:$B,0)),"Not found"))</f>
        <v/>
      </c>
      <c r="E38" s="21" t="str">
        <f aca="false">IF(D38="","",IFERROR(INDEX(Tables!$D:$D,MATCH(D38,Tables!$A:$A,0)),""))</f>
        <v/>
      </c>
      <c r="F38" s="20"/>
      <c r="G38" s="20"/>
      <c r="H38" s="18"/>
      <c r="I38" s="20"/>
      <c r="J38" s="20"/>
      <c r="K38" s="20"/>
      <c r="L38" s="20"/>
      <c r="M38" s="20"/>
      <c r="N38" s="20"/>
      <c r="O38" s="20"/>
      <c r="P38" s="20"/>
      <c r="Q38" s="21" t="str">
        <f aca="false">IF(A38="","",COUNTIF('Metric to Field'!$B:$B,A38))</f>
        <v/>
      </c>
      <c r="R38" s="21" t="str">
        <f aca="false">IF(A38="","",SUMIF('Metric to Field'!$B:$B,A38,'Metric to Field'!$G:$G))</f>
        <v/>
      </c>
      <c r="S38" s="20"/>
      <c r="T38" s="20"/>
      <c r="U38" s="20"/>
      <c r="V38" s="20"/>
      <c r="W38" s="20"/>
    </row>
    <row r="39" customFormat="false" ht="15" hidden="false" customHeight="false" outlineLevel="0" collapsed="false">
      <c r="A39" s="18"/>
      <c r="B39" s="19"/>
      <c r="C39" s="20"/>
      <c r="D39" s="18" t="str">
        <f aca="false">IF(C39="","",IFERROR(INDEX(Tables!$A:$A,MATCH(C39,Tables!$B:$B,0)),"Not found"))</f>
        <v/>
      </c>
      <c r="E39" s="21" t="str">
        <f aca="false">IF(D39="","",IFERROR(INDEX(Tables!$D:$D,MATCH(D39,Tables!$A:$A,0)),""))</f>
        <v/>
      </c>
      <c r="F39" s="20"/>
      <c r="G39" s="20"/>
      <c r="H39" s="18"/>
      <c r="I39" s="20"/>
      <c r="J39" s="20"/>
      <c r="K39" s="20"/>
      <c r="L39" s="20"/>
      <c r="M39" s="20"/>
      <c r="N39" s="20"/>
      <c r="O39" s="20"/>
      <c r="P39" s="20"/>
      <c r="Q39" s="21" t="str">
        <f aca="false">IF(A39="","",COUNTIF('Metric to Field'!$B:$B,A39))</f>
        <v/>
      </c>
      <c r="R39" s="21" t="str">
        <f aca="false">IF(A39="","",SUMIF('Metric to Field'!$B:$B,A39,'Metric to Field'!$G:$G))</f>
        <v/>
      </c>
      <c r="S39" s="20"/>
      <c r="T39" s="20"/>
      <c r="U39" s="20"/>
      <c r="V39" s="20"/>
      <c r="W39" s="20"/>
    </row>
    <row r="40" customFormat="false" ht="15" hidden="false" customHeight="false" outlineLevel="0" collapsed="false">
      <c r="A40" s="18"/>
      <c r="B40" s="19"/>
      <c r="C40" s="20"/>
      <c r="D40" s="18" t="str">
        <f aca="false">IF(C40="","",IFERROR(INDEX(Tables!$A:$A,MATCH(C40,Tables!$B:$B,0)),"Not found"))</f>
        <v/>
      </c>
      <c r="E40" s="21" t="str">
        <f aca="false">IF(D40="","",IFERROR(INDEX(Tables!$D:$D,MATCH(D40,Tables!$A:$A,0)),""))</f>
        <v/>
      </c>
      <c r="F40" s="20"/>
      <c r="G40" s="20"/>
      <c r="H40" s="18"/>
      <c r="I40" s="20"/>
      <c r="J40" s="20"/>
      <c r="K40" s="20"/>
      <c r="L40" s="20"/>
      <c r="M40" s="20"/>
      <c r="N40" s="20"/>
      <c r="O40" s="20"/>
      <c r="P40" s="20"/>
      <c r="Q40" s="21" t="str">
        <f aca="false">IF(A40="","",COUNTIF('Metric to Field'!$B:$B,A40))</f>
        <v/>
      </c>
      <c r="R40" s="21" t="str">
        <f aca="false">IF(A40="","",SUMIF('Metric to Field'!$B:$B,A40,'Metric to Field'!$G:$G))</f>
        <v/>
      </c>
      <c r="S40" s="20"/>
      <c r="T40" s="20"/>
      <c r="U40" s="20"/>
      <c r="V40" s="20"/>
      <c r="W40" s="20"/>
    </row>
    <row r="41" customFormat="false" ht="15" hidden="false" customHeight="false" outlineLevel="0" collapsed="false">
      <c r="A41" s="18"/>
      <c r="B41" s="19"/>
      <c r="C41" s="20"/>
      <c r="D41" s="18" t="str">
        <f aca="false">IF(C41="","",IFERROR(INDEX(Tables!$A:$A,MATCH(C41,Tables!$B:$B,0)),"Not found"))</f>
        <v/>
      </c>
      <c r="E41" s="21" t="str">
        <f aca="false">IF(D41="","",IFERROR(INDEX(Tables!$D:$D,MATCH(D41,Tables!$A:$A,0)),""))</f>
        <v/>
      </c>
      <c r="F41" s="20"/>
      <c r="G41" s="20"/>
      <c r="H41" s="18"/>
      <c r="I41" s="20"/>
      <c r="J41" s="20"/>
      <c r="K41" s="20"/>
      <c r="L41" s="20"/>
      <c r="M41" s="20"/>
      <c r="N41" s="20"/>
      <c r="O41" s="20"/>
      <c r="P41" s="20"/>
      <c r="Q41" s="21" t="str">
        <f aca="false">IF(A41="","",COUNTIF('Metric to Field'!$B:$B,A41))</f>
        <v/>
      </c>
      <c r="R41" s="21" t="str">
        <f aca="false">IF(A41="","",SUMIF('Metric to Field'!$B:$B,A41,'Metric to Field'!$G:$G))</f>
        <v/>
      </c>
      <c r="S41" s="20"/>
      <c r="T41" s="20"/>
      <c r="U41" s="20"/>
      <c r="V41" s="20"/>
      <c r="W41" s="20"/>
    </row>
    <row r="42" customFormat="false" ht="15" hidden="false" customHeight="false" outlineLevel="0" collapsed="false">
      <c r="A42" s="18"/>
      <c r="B42" s="19"/>
      <c r="C42" s="20"/>
      <c r="D42" s="18" t="str">
        <f aca="false">IF(C42="","",IFERROR(INDEX(Tables!$A:$A,MATCH(C42,Tables!$B:$B,0)),"Not found"))</f>
        <v/>
      </c>
      <c r="E42" s="21" t="str">
        <f aca="false">IF(D42="","",IFERROR(INDEX(Tables!$D:$D,MATCH(D42,Tables!$A:$A,0)),""))</f>
        <v/>
      </c>
      <c r="F42" s="20"/>
      <c r="G42" s="20"/>
      <c r="H42" s="18"/>
      <c r="I42" s="20"/>
      <c r="J42" s="20"/>
      <c r="K42" s="20"/>
      <c r="L42" s="20"/>
      <c r="M42" s="20"/>
      <c r="N42" s="20"/>
      <c r="O42" s="20"/>
      <c r="P42" s="20"/>
      <c r="Q42" s="21" t="str">
        <f aca="false">IF(A42="","",COUNTIF('Metric to Field'!$B:$B,A42))</f>
        <v/>
      </c>
      <c r="R42" s="21" t="str">
        <f aca="false">IF(A42="","",SUMIF('Metric to Field'!$B:$B,A42,'Metric to Field'!$G:$G))</f>
        <v/>
      </c>
      <c r="S42" s="20"/>
      <c r="T42" s="20"/>
      <c r="U42" s="20"/>
      <c r="V42" s="20"/>
      <c r="W42" s="20"/>
    </row>
    <row r="43" customFormat="false" ht="15" hidden="false" customHeight="false" outlineLevel="0" collapsed="false">
      <c r="A43" s="18"/>
      <c r="B43" s="19"/>
      <c r="C43" s="20"/>
      <c r="D43" s="18" t="str">
        <f aca="false">IF(C43="","",IFERROR(INDEX(Tables!$A:$A,MATCH(C43,Tables!$B:$B,0)),"Not found"))</f>
        <v/>
      </c>
      <c r="E43" s="21" t="str">
        <f aca="false">IF(D43="","",IFERROR(INDEX(Tables!$D:$D,MATCH(D43,Tables!$A:$A,0)),""))</f>
        <v/>
      </c>
      <c r="F43" s="20"/>
      <c r="G43" s="20"/>
      <c r="H43" s="18"/>
      <c r="I43" s="20"/>
      <c r="J43" s="20"/>
      <c r="K43" s="20"/>
      <c r="L43" s="20"/>
      <c r="M43" s="20"/>
      <c r="N43" s="20"/>
      <c r="O43" s="20"/>
      <c r="P43" s="20"/>
      <c r="Q43" s="21" t="str">
        <f aca="false">IF(A43="","",COUNTIF('Metric to Field'!$B:$B,A43))</f>
        <v/>
      </c>
      <c r="R43" s="21" t="str">
        <f aca="false">IF(A43="","",SUMIF('Metric to Field'!$B:$B,A43,'Metric to Field'!$G:$G))</f>
        <v/>
      </c>
      <c r="S43" s="20"/>
      <c r="T43" s="20"/>
      <c r="U43" s="20"/>
      <c r="V43" s="20"/>
      <c r="W43" s="20"/>
    </row>
    <row r="44" customFormat="false" ht="15" hidden="false" customHeight="false" outlineLevel="0" collapsed="false">
      <c r="A44" s="18"/>
      <c r="B44" s="19"/>
      <c r="C44" s="20"/>
      <c r="D44" s="18" t="str">
        <f aca="false">IF(C44="","",IFERROR(INDEX(Tables!$A:$A,MATCH(C44,Tables!$B:$B,0)),"Not found"))</f>
        <v/>
      </c>
      <c r="E44" s="21" t="str">
        <f aca="false">IF(D44="","",IFERROR(INDEX(Tables!$D:$D,MATCH(D44,Tables!$A:$A,0)),""))</f>
        <v/>
      </c>
      <c r="F44" s="20"/>
      <c r="G44" s="20"/>
      <c r="H44" s="18"/>
      <c r="I44" s="20"/>
      <c r="J44" s="20"/>
      <c r="K44" s="20"/>
      <c r="L44" s="20"/>
      <c r="M44" s="20"/>
      <c r="N44" s="20"/>
      <c r="O44" s="20"/>
      <c r="P44" s="20"/>
      <c r="Q44" s="21" t="str">
        <f aca="false">IF(A44="","",COUNTIF('Metric to Field'!$B:$B,A44))</f>
        <v/>
      </c>
      <c r="R44" s="21" t="str">
        <f aca="false">IF(A44="","",SUMIF('Metric to Field'!$B:$B,A44,'Metric to Field'!$G:$G))</f>
        <v/>
      </c>
      <c r="S44" s="20"/>
      <c r="T44" s="20"/>
      <c r="U44" s="20"/>
      <c r="V44" s="20"/>
      <c r="W44" s="20"/>
    </row>
    <row r="45" customFormat="false" ht="15" hidden="false" customHeight="false" outlineLevel="0" collapsed="false">
      <c r="A45" s="18"/>
      <c r="B45" s="19"/>
      <c r="C45" s="20"/>
      <c r="D45" s="18" t="str">
        <f aca="false">IF(C45="","",IFERROR(INDEX(Tables!$A:$A,MATCH(C45,Tables!$B:$B,0)),"Not found"))</f>
        <v/>
      </c>
      <c r="E45" s="21" t="str">
        <f aca="false">IF(D45="","",IFERROR(INDEX(Tables!$D:$D,MATCH(D45,Tables!$A:$A,0)),""))</f>
        <v/>
      </c>
      <c r="F45" s="20"/>
      <c r="G45" s="20"/>
      <c r="H45" s="18"/>
      <c r="I45" s="20"/>
      <c r="J45" s="20"/>
      <c r="K45" s="20"/>
      <c r="L45" s="20"/>
      <c r="M45" s="20"/>
      <c r="N45" s="20"/>
      <c r="O45" s="20"/>
      <c r="P45" s="20"/>
      <c r="Q45" s="21" t="str">
        <f aca="false">IF(A45="","",COUNTIF('Metric to Field'!$B:$B,A45))</f>
        <v/>
      </c>
      <c r="R45" s="21" t="str">
        <f aca="false">IF(A45="","",SUMIF('Metric to Field'!$B:$B,A45,'Metric to Field'!$G:$G))</f>
        <v/>
      </c>
      <c r="S45" s="20"/>
      <c r="T45" s="20"/>
      <c r="U45" s="20"/>
      <c r="V45" s="20"/>
      <c r="W45" s="20"/>
    </row>
    <row r="46" customFormat="false" ht="15" hidden="false" customHeight="false" outlineLevel="0" collapsed="false">
      <c r="A46" s="18"/>
      <c r="B46" s="19"/>
      <c r="C46" s="20"/>
      <c r="D46" s="18" t="str">
        <f aca="false">IF(C46="","",IFERROR(INDEX(Tables!$A:$A,MATCH(C46,Tables!$B:$B,0)),"Not found"))</f>
        <v/>
      </c>
      <c r="E46" s="21" t="str">
        <f aca="false">IF(D46="","",IFERROR(INDEX(Tables!$D:$D,MATCH(D46,Tables!$A:$A,0)),""))</f>
        <v/>
      </c>
      <c r="F46" s="20"/>
      <c r="G46" s="20"/>
      <c r="H46" s="18"/>
      <c r="I46" s="20"/>
      <c r="J46" s="20"/>
      <c r="K46" s="20"/>
      <c r="L46" s="20"/>
      <c r="M46" s="20"/>
      <c r="N46" s="20"/>
      <c r="O46" s="20"/>
      <c r="P46" s="20"/>
      <c r="Q46" s="21" t="str">
        <f aca="false">IF(A46="","",COUNTIF('Metric to Field'!$B:$B,A46))</f>
        <v/>
      </c>
      <c r="R46" s="21" t="str">
        <f aca="false">IF(A46="","",SUMIF('Metric to Field'!$B:$B,A46,'Metric to Field'!$G:$G))</f>
        <v/>
      </c>
      <c r="S46" s="20"/>
      <c r="T46" s="20"/>
      <c r="U46" s="20"/>
      <c r="V46" s="20"/>
      <c r="W46" s="20"/>
    </row>
    <row r="47" customFormat="false" ht="15" hidden="false" customHeight="false" outlineLevel="0" collapsed="false">
      <c r="A47" s="18"/>
      <c r="B47" s="19"/>
      <c r="C47" s="20"/>
      <c r="D47" s="18" t="str">
        <f aca="false">IF(C47="","",IFERROR(INDEX(Tables!$A:$A,MATCH(C47,Tables!$B:$B,0)),"Not found"))</f>
        <v/>
      </c>
      <c r="E47" s="21" t="str">
        <f aca="false">IF(D47="","",IFERROR(INDEX(Tables!$D:$D,MATCH(D47,Tables!$A:$A,0)),""))</f>
        <v/>
      </c>
      <c r="F47" s="20"/>
      <c r="G47" s="20"/>
      <c r="H47" s="18"/>
      <c r="I47" s="20"/>
      <c r="J47" s="20"/>
      <c r="K47" s="20"/>
      <c r="L47" s="20"/>
      <c r="M47" s="20"/>
      <c r="N47" s="20"/>
      <c r="O47" s="20"/>
      <c r="P47" s="20"/>
      <c r="Q47" s="21" t="str">
        <f aca="false">IF(A47="","",COUNTIF('Metric to Field'!$B:$B,A47))</f>
        <v/>
      </c>
      <c r="R47" s="21" t="str">
        <f aca="false">IF(A47="","",SUMIF('Metric to Field'!$B:$B,A47,'Metric to Field'!$G:$G))</f>
        <v/>
      </c>
      <c r="S47" s="20"/>
      <c r="T47" s="20"/>
      <c r="U47" s="20"/>
      <c r="V47" s="20"/>
      <c r="W47" s="20"/>
    </row>
    <row r="48" customFormat="false" ht="15" hidden="false" customHeight="false" outlineLevel="0" collapsed="false">
      <c r="A48" s="18"/>
      <c r="B48" s="19"/>
      <c r="C48" s="20"/>
      <c r="D48" s="18" t="str">
        <f aca="false">IF(C48="","",IFERROR(INDEX(Tables!$A:$A,MATCH(C48,Tables!$B:$B,0)),"Not found"))</f>
        <v/>
      </c>
      <c r="E48" s="21" t="str">
        <f aca="false">IF(D48="","",IFERROR(INDEX(Tables!$D:$D,MATCH(D48,Tables!$A:$A,0)),""))</f>
        <v/>
      </c>
      <c r="F48" s="20"/>
      <c r="G48" s="20"/>
      <c r="H48" s="18"/>
      <c r="I48" s="20"/>
      <c r="J48" s="20"/>
      <c r="K48" s="20"/>
      <c r="L48" s="20"/>
      <c r="M48" s="20"/>
      <c r="N48" s="20"/>
      <c r="O48" s="20"/>
      <c r="P48" s="20"/>
      <c r="Q48" s="21" t="str">
        <f aca="false">IF(A48="","",COUNTIF('Metric to Field'!$B:$B,A48))</f>
        <v/>
      </c>
      <c r="R48" s="21" t="str">
        <f aca="false">IF(A48="","",SUMIF('Metric to Field'!$B:$B,A48,'Metric to Field'!$G:$G))</f>
        <v/>
      </c>
      <c r="S48" s="20"/>
      <c r="T48" s="20"/>
      <c r="U48" s="20"/>
      <c r="V48" s="20"/>
      <c r="W48" s="20"/>
    </row>
    <row r="49" customFormat="false" ht="15" hidden="false" customHeight="false" outlineLevel="0" collapsed="false">
      <c r="A49" s="18"/>
      <c r="B49" s="19"/>
      <c r="C49" s="20"/>
      <c r="D49" s="18" t="str">
        <f aca="false">IF(C49="","",IFERROR(INDEX(Tables!$A:$A,MATCH(C49,Tables!$B:$B,0)),"Not found"))</f>
        <v/>
      </c>
      <c r="E49" s="21" t="str">
        <f aca="false">IF(D49="","",IFERROR(INDEX(Tables!$D:$D,MATCH(D49,Tables!$A:$A,0)),""))</f>
        <v/>
      </c>
      <c r="F49" s="20"/>
      <c r="G49" s="20"/>
      <c r="H49" s="18"/>
      <c r="I49" s="20"/>
      <c r="J49" s="20"/>
      <c r="K49" s="20"/>
      <c r="L49" s="20"/>
      <c r="M49" s="20"/>
      <c r="N49" s="20"/>
      <c r="O49" s="20"/>
      <c r="P49" s="20"/>
      <c r="Q49" s="21" t="str">
        <f aca="false">IF(A49="","",COUNTIF('Metric to Field'!$B:$B,A49))</f>
        <v/>
      </c>
      <c r="R49" s="21" t="str">
        <f aca="false">IF(A49="","",SUMIF('Metric to Field'!$B:$B,A49,'Metric to Field'!$G:$G))</f>
        <v/>
      </c>
      <c r="S49" s="20"/>
      <c r="T49" s="20"/>
      <c r="U49" s="20"/>
      <c r="V49" s="20"/>
      <c r="W49" s="20"/>
    </row>
    <row r="50" customFormat="false" ht="15" hidden="false" customHeight="false" outlineLevel="0" collapsed="false">
      <c r="A50" s="18"/>
      <c r="B50" s="19"/>
      <c r="C50" s="20"/>
      <c r="D50" s="18" t="str">
        <f aca="false">IF(C50="","",IFERROR(INDEX(Tables!$A:$A,MATCH(C50,Tables!$B:$B,0)),"Not found"))</f>
        <v/>
      </c>
      <c r="E50" s="21" t="str">
        <f aca="false">IF(D50="","",IFERROR(INDEX(Tables!$D:$D,MATCH(D50,Tables!$A:$A,0)),""))</f>
        <v/>
      </c>
      <c r="F50" s="20"/>
      <c r="G50" s="20"/>
      <c r="H50" s="18"/>
      <c r="I50" s="20"/>
      <c r="J50" s="20"/>
      <c r="K50" s="20"/>
      <c r="L50" s="20"/>
      <c r="M50" s="20"/>
      <c r="N50" s="20"/>
      <c r="O50" s="20"/>
      <c r="P50" s="20"/>
      <c r="Q50" s="21" t="str">
        <f aca="false">IF(A50="","",COUNTIF('Metric to Field'!$B:$B,A50))</f>
        <v/>
      </c>
      <c r="R50" s="21" t="str">
        <f aca="false">IF(A50="","",SUMIF('Metric to Field'!$B:$B,A50,'Metric to Field'!$G:$G))</f>
        <v/>
      </c>
      <c r="S50" s="20"/>
      <c r="T50" s="20"/>
      <c r="U50" s="20"/>
      <c r="V50" s="20"/>
      <c r="W50" s="20"/>
    </row>
    <row r="51" customFormat="false" ht="15" hidden="false" customHeight="false" outlineLevel="0" collapsed="false">
      <c r="A51" s="18"/>
      <c r="B51" s="19"/>
      <c r="C51" s="20"/>
      <c r="D51" s="18" t="str">
        <f aca="false">IF(C51="","",IFERROR(INDEX(Tables!$A:$A,MATCH(C51,Tables!$B:$B,0)),"Not found"))</f>
        <v/>
      </c>
      <c r="E51" s="21" t="str">
        <f aca="false">IF(D51="","",IFERROR(INDEX(Tables!$D:$D,MATCH(D51,Tables!$A:$A,0)),""))</f>
        <v/>
      </c>
      <c r="F51" s="20"/>
      <c r="G51" s="20"/>
      <c r="H51" s="18"/>
      <c r="I51" s="20"/>
      <c r="J51" s="20"/>
      <c r="K51" s="20"/>
      <c r="L51" s="20"/>
      <c r="M51" s="20"/>
      <c r="N51" s="20"/>
      <c r="O51" s="20"/>
      <c r="P51" s="20"/>
      <c r="Q51" s="21" t="str">
        <f aca="false">IF(A51="","",COUNTIF('Metric to Field'!$B:$B,A51))</f>
        <v/>
      </c>
      <c r="R51" s="21" t="str">
        <f aca="false">IF(A51="","",SUMIF('Metric to Field'!$B:$B,A51,'Metric to Field'!$G:$G))</f>
        <v/>
      </c>
      <c r="S51" s="20"/>
      <c r="T51" s="20"/>
      <c r="U51" s="20"/>
      <c r="V51" s="20"/>
      <c r="W51" s="20"/>
    </row>
    <row r="52" customFormat="false" ht="15" hidden="false" customHeight="false" outlineLevel="0" collapsed="false">
      <c r="A52" s="18"/>
      <c r="B52" s="19"/>
      <c r="C52" s="20"/>
      <c r="D52" s="18" t="str">
        <f aca="false">IF(C52="","",IFERROR(INDEX(Tables!$A:$A,MATCH(C52,Tables!$B:$B,0)),"Not found"))</f>
        <v/>
      </c>
      <c r="E52" s="21" t="str">
        <f aca="false">IF(D52="","",IFERROR(INDEX(Tables!$D:$D,MATCH(D52,Tables!$A:$A,0)),""))</f>
        <v/>
      </c>
      <c r="F52" s="20"/>
      <c r="G52" s="20"/>
      <c r="H52" s="18"/>
      <c r="I52" s="20"/>
      <c r="J52" s="20"/>
      <c r="K52" s="20"/>
      <c r="L52" s="20"/>
      <c r="M52" s="20"/>
      <c r="N52" s="20"/>
      <c r="O52" s="20"/>
      <c r="P52" s="20"/>
      <c r="Q52" s="21" t="str">
        <f aca="false">IF(A52="","",COUNTIF('Metric to Field'!$B:$B,A52))</f>
        <v/>
      </c>
      <c r="R52" s="21" t="str">
        <f aca="false">IF(A52="","",SUMIF('Metric to Field'!$B:$B,A52,'Metric to Field'!$G:$G))</f>
        <v/>
      </c>
      <c r="S52" s="20"/>
      <c r="T52" s="20"/>
      <c r="U52" s="20"/>
      <c r="V52" s="20"/>
      <c r="W52" s="20"/>
    </row>
    <row r="53" customFormat="false" ht="15" hidden="false" customHeight="false" outlineLevel="0" collapsed="false">
      <c r="A53" s="18"/>
      <c r="B53" s="19"/>
      <c r="C53" s="20"/>
      <c r="D53" s="18" t="str">
        <f aca="false">IF(C53="","",IFERROR(INDEX(Tables!$A:$A,MATCH(C53,Tables!$B:$B,0)),"Not found"))</f>
        <v/>
      </c>
      <c r="E53" s="21" t="str">
        <f aca="false">IF(D53="","",IFERROR(INDEX(Tables!$D:$D,MATCH(D53,Tables!$A:$A,0)),""))</f>
        <v/>
      </c>
      <c r="F53" s="20"/>
      <c r="G53" s="20"/>
      <c r="H53" s="18"/>
      <c r="I53" s="20"/>
      <c r="J53" s="20"/>
      <c r="K53" s="20"/>
      <c r="L53" s="20"/>
      <c r="M53" s="20"/>
      <c r="N53" s="20"/>
      <c r="O53" s="20"/>
      <c r="P53" s="20"/>
      <c r="Q53" s="21" t="str">
        <f aca="false">IF(A53="","",COUNTIF('Metric to Field'!$B:$B,A53))</f>
        <v/>
      </c>
      <c r="R53" s="21" t="str">
        <f aca="false">IF(A53="","",SUMIF('Metric to Field'!$B:$B,A53,'Metric to Field'!$G:$G))</f>
        <v/>
      </c>
      <c r="S53" s="20"/>
      <c r="T53" s="20"/>
      <c r="U53" s="20"/>
      <c r="V53" s="20"/>
      <c r="W53" s="20"/>
    </row>
    <row r="54" customFormat="false" ht="15" hidden="false" customHeight="false" outlineLevel="0" collapsed="false">
      <c r="A54" s="18"/>
      <c r="B54" s="19"/>
      <c r="C54" s="20"/>
      <c r="D54" s="18" t="str">
        <f aca="false">IF(C54="","",IFERROR(INDEX(Tables!$A:$A,MATCH(C54,Tables!$B:$B,0)),"Not found"))</f>
        <v/>
      </c>
      <c r="E54" s="21" t="str">
        <f aca="false">IF(D54="","",IFERROR(INDEX(Tables!$D:$D,MATCH(D54,Tables!$A:$A,0)),""))</f>
        <v/>
      </c>
      <c r="F54" s="20"/>
      <c r="G54" s="20"/>
      <c r="H54" s="18"/>
      <c r="I54" s="20"/>
      <c r="J54" s="20"/>
      <c r="K54" s="20"/>
      <c r="L54" s="20"/>
      <c r="M54" s="20"/>
      <c r="N54" s="20"/>
      <c r="O54" s="20"/>
      <c r="P54" s="20"/>
      <c r="Q54" s="21" t="str">
        <f aca="false">IF(A54="","",COUNTIF('Metric to Field'!$B:$B,A54))</f>
        <v/>
      </c>
      <c r="R54" s="21" t="str">
        <f aca="false">IF(A54="","",SUMIF('Metric to Field'!$B:$B,A54,'Metric to Field'!$G:$G))</f>
        <v/>
      </c>
      <c r="S54" s="20"/>
      <c r="T54" s="20"/>
      <c r="U54" s="20"/>
      <c r="V54" s="20"/>
      <c r="W54" s="20"/>
    </row>
    <row r="55" customFormat="false" ht="15" hidden="false" customHeight="false" outlineLevel="0" collapsed="false">
      <c r="A55" s="18"/>
      <c r="B55" s="19"/>
      <c r="C55" s="20"/>
      <c r="D55" s="18" t="str">
        <f aca="false">IF(C55="","",IFERROR(INDEX(Tables!$A:$A,MATCH(C55,Tables!$B:$B,0)),"Not found"))</f>
        <v/>
      </c>
      <c r="E55" s="21" t="str">
        <f aca="false">IF(D55="","",IFERROR(INDEX(Tables!$D:$D,MATCH(D55,Tables!$A:$A,0)),""))</f>
        <v/>
      </c>
      <c r="F55" s="20"/>
      <c r="G55" s="20"/>
      <c r="H55" s="18"/>
      <c r="I55" s="20"/>
      <c r="J55" s="20"/>
      <c r="K55" s="20"/>
      <c r="L55" s="20"/>
      <c r="M55" s="20"/>
      <c r="N55" s="20"/>
      <c r="O55" s="20"/>
      <c r="P55" s="20"/>
      <c r="Q55" s="21" t="str">
        <f aca="false">IF(A55="","",COUNTIF('Metric to Field'!$B:$B,A55))</f>
        <v/>
      </c>
      <c r="R55" s="21" t="str">
        <f aca="false">IF(A55="","",SUMIF('Metric to Field'!$B:$B,A55,'Metric to Field'!$G:$G))</f>
        <v/>
      </c>
      <c r="S55" s="20"/>
      <c r="T55" s="20"/>
      <c r="U55" s="20"/>
      <c r="V55" s="20"/>
      <c r="W55" s="20"/>
    </row>
    <row r="56" customFormat="false" ht="15" hidden="false" customHeight="false" outlineLevel="0" collapsed="false">
      <c r="A56" s="18"/>
      <c r="B56" s="19"/>
      <c r="C56" s="20"/>
      <c r="D56" s="18" t="str">
        <f aca="false">IF(C56="","",IFERROR(INDEX(Tables!$A:$A,MATCH(C56,Tables!$B:$B,0)),"Not found"))</f>
        <v/>
      </c>
      <c r="E56" s="21" t="str">
        <f aca="false">IF(D56="","",IFERROR(INDEX(Tables!$D:$D,MATCH(D56,Tables!$A:$A,0)),""))</f>
        <v/>
      </c>
      <c r="F56" s="20"/>
      <c r="G56" s="20"/>
      <c r="H56" s="18"/>
      <c r="I56" s="20"/>
      <c r="J56" s="20"/>
      <c r="K56" s="20"/>
      <c r="L56" s="20"/>
      <c r="M56" s="20"/>
      <c r="N56" s="20"/>
      <c r="O56" s="20"/>
      <c r="P56" s="20"/>
      <c r="Q56" s="21" t="str">
        <f aca="false">IF(A56="","",COUNTIF('Metric to Field'!$B:$B,A56))</f>
        <v/>
      </c>
      <c r="R56" s="21" t="str">
        <f aca="false">IF(A56="","",SUMIF('Metric to Field'!$B:$B,A56,'Metric to Field'!$G:$G))</f>
        <v/>
      </c>
      <c r="S56" s="20"/>
      <c r="T56" s="20"/>
      <c r="U56" s="20"/>
      <c r="V56" s="20"/>
      <c r="W56" s="20"/>
    </row>
    <row r="57" customFormat="false" ht="15" hidden="false" customHeight="false" outlineLevel="0" collapsed="false">
      <c r="A57" s="18"/>
      <c r="B57" s="19"/>
      <c r="C57" s="20"/>
      <c r="D57" s="18" t="str">
        <f aca="false">IF(C57="","",IFERROR(INDEX(Tables!$A:$A,MATCH(C57,Tables!$B:$B,0)),"Not found"))</f>
        <v/>
      </c>
      <c r="E57" s="21" t="str">
        <f aca="false">IF(D57="","",IFERROR(INDEX(Tables!$D:$D,MATCH(D57,Tables!$A:$A,0)),""))</f>
        <v/>
      </c>
      <c r="F57" s="20"/>
      <c r="G57" s="20"/>
      <c r="H57" s="18"/>
      <c r="I57" s="20"/>
      <c r="J57" s="20"/>
      <c r="K57" s="20"/>
      <c r="L57" s="20"/>
      <c r="M57" s="20"/>
      <c r="N57" s="20"/>
      <c r="O57" s="20"/>
      <c r="P57" s="20"/>
      <c r="Q57" s="21" t="str">
        <f aca="false">IF(A57="","",COUNTIF('Metric to Field'!$B:$B,A57))</f>
        <v/>
      </c>
      <c r="R57" s="21" t="str">
        <f aca="false">IF(A57="","",SUMIF('Metric to Field'!$B:$B,A57,'Metric to Field'!$G:$G))</f>
        <v/>
      </c>
      <c r="S57" s="20"/>
      <c r="T57" s="20"/>
      <c r="U57" s="20"/>
      <c r="V57" s="20"/>
      <c r="W57" s="20"/>
    </row>
    <row r="58" customFormat="false" ht="15" hidden="false" customHeight="false" outlineLevel="0" collapsed="false">
      <c r="A58" s="18"/>
      <c r="B58" s="19"/>
      <c r="C58" s="20"/>
      <c r="D58" s="18" t="str">
        <f aca="false">IF(C58="","",IFERROR(INDEX(Tables!$A:$A,MATCH(C58,Tables!$B:$B,0)),"Not found"))</f>
        <v/>
      </c>
      <c r="E58" s="21" t="str">
        <f aca="false">IF(D58="","",IFERROR(INDEX(Tables!$D:$D,MATCH(D58,Tables!$A:$A,0)),""))</f>
        <v/>
      </c>
      <c r="F58" s="20"/>
      <c r="G58" s="20"/>
      <c r="H58" s="18"/>
      <c r="I58" s="20"/>
      <c r="J58" s="20"/>
      <c r="K58" s="20"/>
      <c r="L58" s="20"/>
      <c r="M58" s="20"/>
      <c r="N58" s="20"/>
      <c r="O58" s="20"/>
      <c r="P58" s="20"/>
      <c r="Q58" s="21" t="str">
        <f aca="false">IF(A58="","",COUNTIF('Metric to Field'!$B:$B,A58))</f>
        <v/>
      </c>
      <c r="R58" s="21" t="str">
        <f aca="false">IF(A58="","",SUMIF('Metric to Field'!$B:$B,A58,'Metric to Field'!$G:$G))</f>
        <v/>
      </c>
      <c r="S58" s="20"/>
      <c r="T58" s="20"/>
      <c r="U58" s="20"/>
      <c r="V58" s="20"/>
      <c r="W58" s="20"/>
    </row>
    <row r="59" customFormat="false" ht="15" hidden="false" customHeight="false" outlineLevel="0" collapsed="false">
      <c r="A59" s="18"/>
      <c r="B59" s="19"/>
      <c r="C59" s="20"/>
      <c r="D59" s="18" t="str">
        <f aca="false">IF(C59="","",IFERROR(INDEX(Tables!$A:$A,MATCH(C59,Tables!$B:$B,0)),"Not found"))</f>
        <v/>
      </c>
      <c r="E59" s="21" t="str">
        <f aca="false">IF(D59="","",IFERROR(INDEX(Tables!$D:$D,MATCH(D59,Tables!$A:$A,0)),""))</f>
        <v/>
      </c>
      <c r="F59" s="20"/>
      <c r="G59" s="20"/>
      <c r="H59" s="18"/>
      <c r="I59" s="20"/>
      <c r="J59" s="20"/>
      <c r="K59" s="20"/>
      <c r="L59" s="20"/>
      <c r="M59" s="20"/>
      <c r="N59" s="20"/>
      <c r="O59" s="20"/>
      <c r="P59" s="20"/>
      <c r="Q59" s="21" t="str">
        <f aca="false">IF(A59="","",COUNTIF('Metric to Field'!$B:$B,A59))</f>
        <v/>
      </c>
      <c r="R59" s="21" t="str">
        <f aca="false">IF(A59="","",SUMIF('Metric to Field'!$B:$B,A59,'Metric to Field'!$G:$G))</f>
        <v/>
      </c>
      <c r="S59" s="20"/>
      <c r="T59" s="20"/>
      <c r="U59" s="20"/>
      <c r="V59" s="20"/>
      <c r="W59" s="20"/>
    </row>
    <row r="60" customFormat="false" ht="15" hidden="false" customHeight="false" outlineLevel="0" collapsed="false">
      <c r="A60" s="18"/>
      <c r="B60" s="19"/>
      <c r="C60" s="20"/>
      <c r="D60" s="18" t="str">
        <f aca="false">IF(C60="","",IFERROR(INDEX(Tables!$A:$A,MATCH(C60,Tables!$B:$B,0)),"Not found"))</f>
        <v/>
      </c>
      <c r="E60" s="21" t="str">
        <f aca="false">IF(D60="","",IFERROR(INDEX(Tables!$D:$D,MATCH(D60,Tables!$A:$A,0)),""))</f>
        <v/>
      </c>
      <c r="F60" s="20"/>
      <c r="G60" s="20"/>
      <c r="H60" s="18"/>
      <c r="I60" s="20"/>
      <c r="J60" s="20"/>
      <c r="K60" s="20"/>
      <c r="L60" s="20"/>
      <c r="M60" s="20"/>
      <c r="N60" s="20"/>
      <c r="O60" s="20"/>
      <c r="P60" s="20"/>
      <c r="Q60" s="21" t="str">
        <f aca="false">IF(A60="","",COUNTIF('Metric to Field'!$B:$B,A60))</f>
        <v/>
      </c>
      <c r="R60" s="21" t="str">
        <f aca="false">IF(A60="","",SUMIF('Metric to Field'!$B:$B,A60,'Metric to Field'!$G:$G))</f>
        <v/>
      </c>
      <c r="S60" s="20"/>
      <c r="T60" s="20"/>
      <c r="U60" s="20"/>
      <c r="V60" s="20"/>
      <c r="W60" s="20"/>
    </row>
    <row r="61" customFormat="false" ht="15" hidden="false" customHeight="false" outlineLevel="0" collapsed="false">
      <c r="A61" s="18"/>
      <c r="B61" s="19"/>
      <c r="C61" s="20"/>
      <c r="D61" s="18" t="str">
        <f aca="false">IF(C61="","",IFERROR(INDEX(Tables!$A:$A,MATCH(C61,Tables!$B:$B,0)),"Not found"))</f>
        <v/>
      </c>
      <c r="E61" s="21" t="str">
        <f aca="false">IF(D61="","",IFERROR(INDEX(Tables!$D:$D,MATCH(D61,Tables!$A:$A,0)),""))</f>
        <v/>
      </c>
      <c r="F61" s="20"/>
      <c r="G61" s="20"/>
      <c r="H61" s="18"/>
      <c r="I61" s="20"/>
      <c r="J61" s="20"/>
      <c r="K61" s="20"/>
      <c r="L61" s="20"/>
      <c r="M61" s="20"/>
      <c r="N61" s="20"/>
      <c r="O61" s="20"/>
      <c r="P61" s="20"/>
      <c r="Q61" s="21" t="str">
        <f aca="false">IF(A61="","",COUNTIF('Metric to Field'!$B:$B,A61))</f>
        <v/>
      </c>
      <c r="R61" s="21" t="str">
        <f aca="false">IF(A61="","",SUMIF('Metric to Field'!$B:$B,A61,'Metric to Field'!$G:$G))</f>
        <v/>
      </c>
      <c r="S61" s="20"/>
      <c r="T61" s="20"/>
      <c r="U61" s="20"/>
      <c r="V61" s="20"/>
      <c r="W61" s="20"/>
    </row>
    <row r="62" customFormat="false" ht="15" hidden="false" customHeight="false" outlineLevel="0" collapsed="false">
      <c r="A62" s="18"/>
      <c r="B62" s="19"/>
      <c r="C62" s="20"/>
      <c r="D62" s="18" t="str">
        <f aca="false">IF(C62="","",IFERROR(INDEX(Tables!$A:$A,MATCH(C62,Tables!$B:$B,0)),"Not found"))</f>
        <v/>
      </c>
      <c r="E62" s="21" t="str">
        <f aca="false">IF(D62="","",IFERROR(INDEX(Tables!$D:$D,MATCH(D62,Tables!$A:$A,0)),""))</f>
        <v/>
      </c>
      <c r="F62" s="20"/>
      <c r="G62" s="20"/>
      <c r="H62" s="18"/>
      <c r="I62" s="20"/>
      <c r="J62" s="20"/>
      <c r="K62" s="20"/>
      <c r="L62" s="20"/>
      <c r="M62" s="20"/>
      <c r="N62" s="20"/>
      <c r="O62" s="20"/>
      <c r="P62" s="20"/>
      <c r="Q62" s="21" t="str">
        <f aca="false">IF(A62="","",COUNTIF('Metric to Field'!$B:$B,A62))</f>
        <v/>
      </c>
      <c r="R62" s="21" t="str">
        <f aca="false">IF(A62="","",SUMIF('Metric to Field'!$B:$B,A62,'Metric to Field'!$G:$G))</f>
        <v/>
      </c>
      <c r="S62" s="20"/>
      <c r="T62" s="20"/>
      <c r="U62" s="20"/>
      <c r="V62" s="20"/>
      <c r="W62" s="20"/>
    </row>
    <row r="63" customFormat="false" ht="15" hidden="false" customHeight="false" outlineLevel="0" collapsed="false">
      <c r="A63" s="18"/>
      <c r="B63" s="19"/>
      <c r="C63" s="20"/>
      <c r="D63" s="18" t="str">
        <f aca="false">IF(C63="","",IFERROR(INDEX(Tables!$A:$A,MATCH(C63,Tables!$B:$B,0)),"Not found"))</f>
        <v/>
      </c>
      <c r="E63" s="21" t="str">
        <f aca="false">IF(D63="","",IFERROR(INDEX(Tables!$D:$D,MATCH(D63,Tables!$A:$A,0)),""))</f>
        <v/>
      </c>
      <c r="F63" s="20"/>
      <c r="G63" s="20"/>
      <c r="H63" s="18"/>
      <c r="I63" s="20"/>
      <c r="J63" s="20"/>
      <c r="K63" s="20"/>
      <c r="L63" s="20"/>
      <c r="M63" s="20"/>
      <c r="N63" s="20"/>
      <c r="O63" s="20"/>
      <c r="P63" s="20"/>
      <c r="Q63" s="21" t="str">
        <f aca="false">IF(A63="","",COUNTIF('Metric to Field'!$B:$B,A63))</f>
        <v/>
      </c>
      <c r="R63" s="21" t="str">
        <f aca="false">IF(A63="","",SUMIF('Metric to Field'!$B:$B,A63,'Metric to Field'!$G:$G))</f>
        <v/>
      </c>
      <c r="S63" s="20"/>
      <c r="T63" s="20"/>
      <c r="U63" s="20"/>
      <c r="V63" s="20"/>
      <c r="W63" s="20"/>
    </row>
    <row r="64" customFormat="false" ht="15" hidden="false" customHeight="false" outlineLevel="0" collapsed="false">
      <c r="A64" s="18"/>
      <c r="B64" s="19"/>
      <c r="C64" s="20"/>
      <c r="D64" s="18" t="str">
        <f aca="false">IF(C64="","",IFERROR(INDEX(Tables!$A:$A,MATCH(C64,Tables!$B:$B,0)),"Not found"))</f>
        <v/>
      </c>
      <c r="E64" s="21" t="str">
        <f aca="false">IF(D64="","",IFERROR(INDEX(Tables!$D:$D,MATCH(D64,Tables!$A:$A,0)),""))</f>
        <v/>
      </c>
      <c r="F64" s="20"/>
      <c r="G64" s="20"/>
      <c r="H64" s="18"/>
      <c r="I64" s="20"/>
      <c r="J64" s="20"/>
      <c r="K64" s="20"/>
      <c r="L64" s="20"/>
      <c r="M64" s="20"/>
      <c r="N64" s="20"/>
      <c r="O64" s="20"/>
      <c r="P64" s="20"/>
      <c r="Q64" s="21" t="str">
        <f aca="false">IF(A64="","",COUNTIF('Metric to Field'!$B:$B,A64))</f>
        <v/>
      </c>
      <c r="R64" s="21" t="str">
        <f aca="false">IF(A64="","",SUMIF('Metric to Field'!$B:$B,A64,'Metric to Field'!$G:$G))</f>
        <v/>
      </c>
      <c r="S64" s="20"/>
      <c r="T64" s="20"/>
      <c r="U64" s="20"/>
      <c r="V64" s="20"/>
      <c r="W64" s="20"/>
    </row>
    <row r="65" customFormat="false" ht="15" hidden="false" customHeight="false" outlineLevel="0" collapsed="false">
      <c r="A65" s="18"/>
      <c r="B65" s="19"/>
      <c r="C65" s="20"/>
      <c r="D65" s="18" t="str">
        <f aca="false">IF(C65="","",IFERROR(INDEX(Tables!$A:$A,MATCH(C65,Tables!$B:$B,0)),"Not found"))</f>
        <v/>
      </c>
      <c r="E65" s="21" t="str">
        <f aca="false">IF(D65="","",IFERROR(INDEX(Tables!$D:$D,MATCH(D65,Tables!$A:$A,0)),""))</f>
        <v/>
      </c>
      <c r="F65" s="20"/>
      <c r="G65" s="20"/>
      <c r="H65" s="18"/>
      <c r="I65" s="20"/>
      <c r="J65" s="20"/>
      <c r="K65" s="20"/>
      <c r="L65" s="20"/>
      <c r="M65" s="20"/>
      <c r="N65" s="20"/>
      <c r="O65" s="20"/>
      <c r="P65" s="20"/>
      <c r="Q65" s="21" t="str">
        <f aca="false">IF(A65="","",COUNTIF('Metric to Field'!$B:$B,A65))</f>
        <v/>
      </c>
      <c r="R65" s="21" t="str">
        <f aca="false">IF(A65="","",SUMIF('Metric to Field'!$B:$B,A65,'Metric to Field'!$G:$G))</f>
        <v/>
      </c>
      <c r="S65" s="20"/>
      <c r="T65" s="20"/>
      <c r="U65" s="20"/>
      <c r="V65" s="20"/>
      <c r="W65" s="20"/>
    </row>
    <row r="66" customFormat="false" ht="15" hidden="false" customHeight="false" outlineLevel="0" collapsed="false">
      <c r="A66" s="18"/>
      <c r="B66" s="19"/>
      <c r="C66" s="20"/>
      <c r="D66" s="18" t="str">
        <f aca="false">IF(C66="","",IFERROR(INDEX(Tables!$A:$A,MATCH(C66,Tables!$B:$B,0)),"Not found"))</f>
        <v/>
      </c>
      <c r="E66" s="21" t="str">
        <f aca="false">IF(D66="","",IFERROR(INDEX(Tables!$D:$D,MATCH(D66,Tables!$A:$A,0)),""))</f>
        <v/>
      </c>
      <c r="F66" s="20"/>
      <c r="G66" s="20"/>
      <c r="H66" s="18"/>
      <c r="I66" s="20"/>
      <c r="J66" s="20"/>
      <c r="K66" s="20"/>
      <c r="L66" s="20"/>
      <c r="M66" s="20"/>
      <c r="N66" s="20"/>
      <c r="O66" s="20"/>
      <c r="P66" s="20"/>
      <c r="Q66" s="21" t="str">
        <f aca="false">IF(A66="","",COUNTIF('Metric to Field'!$B:$B,A66))</f>
        <v/>
      </c>
      <c r="R66" s="21" t="str">
        <f aca="false">IF(A66="","",SUMIF('Metric to Field'!$B:$B,A66,'Metric to Field'!$G:$G))</f>
        <v/>
      </c>
      <c r="S66" s="20"/>
      <c r="T66" s="20"/>
      <c r="U66" s="20"/>
      <c r="V66" s="20"/>
      <c r="W66" s="20"/>
    </row>
    <row r="67" customFormat="false" ht="15" hidden="false" customHeight="false" outlineLevel="0" collapsed="false">
      <c r="A67" s="18"/>
      <c r="B67" s="19"/>
      <c r="C67" s="20"/>
      <c r="D67" s="18" t="str">
        <f aca="false">IF(C67="","",IFERROR(INDEX(Tables!$A:$A,MATCH(C67,Tables!$B:$B,0)),"Not found"))</f>
        <v/>
      </c>
      <c r="E67" s="21" t="str">
        <f aca="false">IF(D67="","",IFERROR(INDEX(Tables!$D:$D,MATCH(D67,Tables!$A:$A,0)),""))</f>
        <v/>
      </c>
      <c r="F67" s="20"/>
      <c r="G67" s="20"/>
      <c r="H67" s="18"/>
      <c r="I67" s="20"/>
      <c r="J67" s="20"/>
      <c r="K67" s="20"/>
      <c r="L67" s="20"/>
      <c r="M67" s="20"/>
      <c r="N67" s="20"/>
      <c r="O67" s="20"/>
      <c r="P67" s="20"/>
      <c r="Q67" s="21" t="str">
        <f aca="false">IF(A67="","",COUNTIF('Metric to Field'!$B:$B,A67))</f>
        <v/>
      </c>
      <c r="R67" s="21" t="str">
        <f aca="false">IF(A67="","",SUMIF('Metric to Field'!$B:$B,A67,'Metric to Field'!$G:$G))</f>
        <v/>
      </c>
      <c r="S67" s="20"/>
      <c r="T67" s="20"/>
      <c r="U67" s="20"/>
      <c r="V67" s="20"/>
      <c r="W67" s="20"/>
    </row>
    <row r="68" customFormat="false" ht="15" hidden="false" customHeight="false" outlineLevel="0" collapsed="false">
      <c r="A68" s="18"/>
      <c r="B68" s="19"/>
      <c r="C68" s="20"/>
      <c r="D68" s="18" t="str">
        <f aca="false">IF(C68="","",IFERROR(INDEX(Tables!$A:$A,MATCH(C68,Tables!$B:$B,0)),"Not found"))</f>
        <v/>
      </c>
      <c r="E68" s="21" t="str">
        <f aca="false">IF(D68="","",IFERROR(INDEX(Tables!$D:$D,MATCH(D68,Tables!$A:$A,0)),""))</f>
        <v/>
      </c>
      <c r="F68" s="20"/>
      <c r="G68" s="20"/>
      <c r="H68" s="18"/>
      <c r="I68" s="20"/>
      <c r="J68" s="20"/>
      <c r="K68" s="20"/>
      <c r="L68" s="20"/>
      <c r="M68" s="20"/>
      <c r="N68" s="20"/>
      <c r="O68" s="20"/>
      <c r="P68" s="20"/>
      <c r="Q68" s="21" t="str">
        <f aca="false">IF(A68="","",COUNTIF('Metric to Field'!$B:$B,A68))</f>
        <v/>
      </c>
      <c r="R68" s="21" t="str">
        <f aca="false">IF(A68="","",SUMIF('Metric to Field'!$B:$B,A68,'Metric to Field'!$G:$G))</f>
        <v/>
      </c>
      <c r="S68" s="20"/>
      <c r="T68" s="20"/>
      <c r="U68" s="20"/>
      <c r="V68" s="20"/>
      <c r="W68" s="20"/>
    </row>
    <row r="69" customFormat="false" ht="15" hidden="false" customHeight="false" outlineLevel="0" collapsed="false">
      <c r="A69" s="18"/>
      <c r="B69" s="19"/>
      <c r="C69" s="20"/>
      <c r="D69" s="18" t="str">
        <f aca="false">IF(C69="","",IFERROR(INDEX(Tables!$A:$A,MATCH(C69,Tables!$B:$B,0)),"Not found"))</f>
        <v/>
      </c>
      <c r="E69" s="21" t="str">
        <f aca="false">IF(D69="","",IFERROR(INDEX(Tables!$D:$D,MATCH(D69,Tables!$A:$A,0)),""))</f>
        <v/>
      </c>
      <c r="F69" s="20"/>
      <c r="G69" s="20"/>
      <c r="H69" s="18"/>
      <c r="I69" s="20"/>
      <c r="J69" s="20"/>
      <c r="K69" s="20"/>
      <c r="L69" s="20"/>
      <c r="M69" s="20"/>
      <c r="N69" s="20"/>
      <c r="O69" s="20"/>
      <c r="P69" s="20"/>
      <c r="Q69" s="21" t="str">
        <f aca="false">IF(A69="","",COUNTIF('Metric to Field'!$B:$B,A69))</f>
        <v/>
      </c>
      <c r="R69" s="21" t="str">
        <f aca="false">IF(A69="","",SUMIF('Metric to Field'!$B:$B,A69,'Metric to Field'!$G:$G))</f>
        <v/>
      </c>
      <c r="S69" s="20"/>
      <c r="T69" s="20"/>
      <c r="U69" s="20"/>
      <c r="V69" s="20"/>
      <c r="W69" s="20"/>
    </row>
    <row r="70" customFormat="false" ht="15" hidden="false" customHeight="false" outlineLevel="0" collapsed="false">
      <c r="A70" s="18"/>
      <c r="B70" s="19"/>
      <c r="C70" s="20"/>
      <c r="D70" s="18" t="str">
        <f aca="false">IF(C70="","",IFERROR(INDEX(Tables!$A:$A,MATCH(C70,Tables!$B:$B,0)),"Not found"))</f>
        <v/>
      </c>
      <c r="E70" s="21" t="str">
        <f aca="false">IF(D70="","",IFERROR(INDEX(Tables!$D:$D,MATCH(D70,Tables!$A:$A,0)),""))</f>
        <v/>
      </c>
      <c r="F70" s="20"/>
      <c r="G70" s="20"/>
      <c r="H70" s="18"/>
      <c r="I70" s="20"/>
      <c r="J70" s="20"/>
      <c r="K70" s="20"/>
      <c r="L70" s="20"/>
      <c r="M70" s="20"/>
      <c r="N70" s="20"/>
      <c r="O70" s="20"/>
      <c r="P70" s="20"/>
      <c r="Q70" s="21" t="str">
        <f aca="false">IF(A70="","",COUNTIF('Metric to Field'!$B:$B,A70))</f>
        <v/>
      </c>
      <c r="R70" s="21" t="str">
        <f aca="false">IF(A70="","",SUMIF('Metric to Field'!$B:$B,A70,'Metric to Field'!$G:$G))</f>
        <v/>
      </c>
      <c r="S70" s="20"/>
      <c r="T70" s="20"/>
      <c r="U70" s="20"/>
      <c r="V70" s="20"/>
      <c r="W70" s="20"/>
    </row>
    <row r="71" customFormat="false" ht="15" hidden="false" customHeight="false" outlineLevel="0" collapsed="false">
      <c r="A71" s="18"/>
      <c r="B71" s="19"/>
      <c r="C71" s="20"/>
      <c r="D71" s="18" t="str">
        <f aca="false">IF(C71="","",IFERROR(INDEX(Tables!$A:$A,MATCH(C71,Tables!$B:$B,0)),"Not found"))</f>
        <v/>
      </c>
      <c r="E71" s="21" t="str">
        <f aca="false">IF(D71="","",IFERROR(INDEX(Tables!$D:$D,MATCH(D71,Tables!$A:$A,0)),""))</f>
        <v/>
      </c>
      <c r="F71" s="20"/>
      <c r="G71" s="20"/>
      <c r="H71" s="18"/>
      <c r="I71" s="20"/>
      <c r="J71" s="20"/>
      <c r="K71" s="20"/>
      <c r="L71" s="20"/>
      <c r="M71" s="20"/>
      <c r="N71" s="20"/>
      <c r="O71" s="20"/>
      <c r="P71" s="20"/>
      <c r="Q71" s="21" t="str">
        <f aca="false">IF(A71="","",COUNTIF('Metric to Field'!$B:$B,A71))</f>
        <v/>
      </c>
      <c r="R71" s="21" t="str">
        <f aca="false">IF(A71="","",SUMIF('Metric to Field'!$B:$B,A71,'Metric to Field'!$G:$G))</f>
        <v/>
      </c>
      <c r="S71" s="20"/>
      <c r="T71" s="20"/>
      <c r="U71" s="20"/>
      <c r="V71" s="20"/>
      <c r="W71" s="20"/>
    </row>
    <row r="72" customFormat="false" ht="15" hidden="false" customHeight="false" outlineLevel="0" collapsed="false">
      <c r="A72" s="18"/>
      <c r="B72" s="19"/>
      <c r="C72" s="20"/>
      <c r="D72" s="18" t="str">
        <f aca="false">IF(C72="","",IFERROR(INDEX(Tables!$A:$A,MATCH(C72,Tables!$B:$B,0)),"Not found"))</f>
        <v/>
      </c>
      <c r="E72" s="21" t="str">
        <f aca="false">IF(D72="","",IFERROR(INDEX(Tables!$D:$D,MATCH(D72,Tables!$A:$A,0)),""))</f>
        <v/>
      </c>
      <c r="F72" s="20"/>
      <c r="G72" s="20"/>
      <c r="H72" s="18"/>
      <c r="I72" s="20"/>
      <c r="J72" s="20"/>
      <c r="K72" s="20"/>
      <c r="L72" s="20"/>
      <c r="M72" s="20"/>
      <c r="N72" s="20"/>
      <c r="O72" s="20"/>
      <c r="P72" s="20"/>
      <c r="Q72" s="21" t="str">
        <f aca="false">IF(A72="","",COUNTIF('Metric to Field'!$B:$B,A72))</f>
        <v/>
      </c>
      <c r="R72" s="21" t="str">
        <f aca="false">IF(A72="","",SUMIF('Metric to Field'!$B:$B,A72,'Metric to Field'!$G:$G))</f>
        <v/>
      </c>
      <c r="S72" s="20"/>
      <c r="T72" s="20"/>
      <c r="U72" s="20"/>
      <c r="V72" s="20"/>
      <c r="W72" s="20"/>
    </row>
    <row r="73" customFormat="false" ht="15" hidden="false" customHeight="false" outlineLevel="0" collapsed="false">
      <c r="A73" s="18"/>
      <c r="B73" s="19"/>
      <c r="C73" s="20"/>
      <c r="D73" s="18" t="str">
        <f aca="false">IF(C73="","",IFERROR(INDEX(Tables!$A:$A,MATCH(C73,Tables!$B:$B,0)),"Not found"))</f>
        <v/>
      </c>
      <c r="E73" s="21" t="str">
        <f aca="false">IF(D73="","",IFERROR(INDEX(Tables!$D:$D,MATCH(D73,Tables!$A:$A,0)),""))</f>
        <v/>
      </c>
      <c r="F73" s="20"/>
      <c r="G73" s="20"/>
      <c r="H73" s="18"/>
      <c r="I73" s="20"/>
      <c r="J73" s="20"/>
      <c r="K73" s="20"/>
      <c r="L73" s="20"/>
      <c r="M73" s="20"/>
      <c r="N73" s="20"/>
      <c r="O73" s="20"/>
      <c r="P73" s="20"/>
      <c r="Q73" s="21" t="str">
        <f aca="false">IF(A73="","",COUNTIF('Metric to Field'!$B:$B,A73))</f>
        <v/>
      </c>
      <c r="R73" s="21" t="str">
        <f aca="false">IF(A73="","",SUMIF('Metric to Field'!$B:$B,A73,'Metric to Field'!$G:$G))</f>
        <v/>
      </c>
      <c r="S73" s="20"/>
      <c r="T73" s="20"/>
      <c r="U73" s="20"/>
      <c r="V73" s="20"/>
      <c r="W73" s="20"/>
    </row>
    <row r="74" customFormat="false" ht="15" hidden="false" customHeight="false" outlineLevel="0" collapsed="false">
      <c r="A74" s="18"/>
      <c r="B74" s="19"/>
      <c r="C74" s="20"/>
      <c r="D74" s="18" t="str">
        <f aca="false">IF(C74="","",IFERROR(INDEX(Tables!$A:$A,MATCH(C74,Tables!$B:$B,0)),"Not found"))</f>
        <v/>
      </c>
      <c r="E74" s="21" t="str">
        <f aca="false">IF(D74="","",IFERROR(INDEX(Tables!$D:$D,MATCH(D74,Tables!$A:$A,0)),""))</f>
        <v/>
      </c>
      <c r="F74" s="20"/>
      <c r="G74" s="20"/>
      <c r="H74" s="18"/>
      <c r="I74" s="20"/>
      <c r="J74" s="20"/>
      <c r="K74" s="20"/>
      <c r="L74" s="20"/>
      <c r="M74" s="20"/>
      <c r="N74" s="20"/>
      <c r="O74" s="20"/>
      <c r="P74" s="20"/>
      <c r="Q74" s="21" t="str">
        <f aca="false">IF(A74="","",COUNTIF('Metric to Field'!$B:$B,A74))</f>
        <v/>
      </c>
      <c r="R74" s="21" t="str">
        <f aca="false">IF(A74="","",SUMIF('Metric to Field'!$B:$B,A74,'Metric to Field'!$G:$G))</f>
        <v/>
      </c>
      <c r="S74" s="20"/>
      <c r="T74" s="20"/>
      <c r="U74" s="20"/>
      <c r="V74" s="20"/>
      <c r="W74" s="20"/>
    </row>
    <row r="75" customFormat="false" ht="15" hidden="false" customHeight="false" outlineLevel="0" collapsed="false">
      <c r="A75" s="18"/>
      <c r="B75" s="19"/>
      <c r="C75" s="20"/>
      <c r="D75" s="18" t="str">
        <f aca="false">IF(C75="","",IFERROR(INDEX(Tables!$A:$A,MATCH(C75,Tables!$B:$B,0)),"Not found"))</f>
        <v/>
      </c>
      <c r="E75" s="21" t="str">
        <f aca="false">IF(D75="","",IFERROR(INDEX(Tables!$D:$D,MATCH(D75,Tables!$A:$A,0)),""))</f>
        <v/>
      </c>
      <c r="F75" s="20"/>
      <c r="G75" s="20"/>
      <c r="H75" s="18"/>
      <c r="I75" s="20"/>
      <c r="J75" s="20"/>
      <c r="K75" s="20"/>
      <c r="L75" s="20"/>
      <c r="M75" s="20"/>
      <c r="N75" s="20"/>
      <c r="O75" s="20"/>
      <c r="P75" s="20"/>
      <c r="Q75" s="21" t="str">
        <f aca="false">IF(A75="","",COUNTIF('Metric to Field'!$B:$B,A75))</f>
        <v/>
      </c>
      <c r="R75" s="21" t="str">
        <f aca="false">IF(A75="","",SUMIF('Metric to Field'!$B:$B,A75,'Metric to Field'!$G:$G))</f>
        <v/>
      </c>
      <c r="S75" s="20"/>
      <c r="T75" s="20"/>
      <c r="U75" s="20"/>
      <c r="V75" s="20"/>
      <c r="W75" s="20"/>
    </row>
    <row r="76" customFormat="false" ht="15" hidden="false" customHeight="false" outlineLevel="0" collapsed="false">
      <c r="A76" s="18"/>
      <c r="B76" s="19"/>
      <c r="C76" s="20"/>
      <c r="D76" s="18" t="str">
        <f aca="false">IF(C76="","",IFERROR(INDEX(Tables!$A:$A,MATCH(C76,Tables!$B:$B,0)),"Not found"))</f>
        <v/>
      </c>
      <c r="E76" s="21" t="str">
        <f aca="false">IF(D76="","",IFERROR(INDEX(Tables!$D:$D,MATCH(D76,Tables!$A:$A,0)),""))</f>
        <v/>
      </c>
      <c r="F76" s="20"/>
      <c r="G76" s="20"/>
      <c r="H76" s="18"/>
      <c r="I76" s="20"/>
      <c r="J76" s="20"/>
      <c r="K76" s="20"/>
      <c r="L76" s="20"/>
      <c r="M76" s="20"/>
      <c r="N76" s="20"/>
      <c r="O76" s="20"/>
      <c r="P76" s="20"/>
      <c r="Q76" s="21" t="str">
        <f aca="false">IF(A76="","",COUNTIF('Metric to Field'!$B:$B,A76))</f>
        <v/>
      </c>
      <c r="R76" s="21" t="str">
        <f aca="false">IF(A76="","",SUMIF('Metric to Field'!$B:$B,A76,'Metric to Field'!$G:$G))</f>
        <v/>
      </c>
      <c r="S76" s="20"/>
      <c r="T76" s="20"/>
      <c r="U76" s="20"/>
      <c r="V76" s="20"/>
      <c r="W76" s="20"/>
    </row>
    <row r="77" customFormat="false" ht="15" hidden="false" customHeight="false" outlineLevel="0" collapsed="false">
      <c r="A77" s="18"/>
      <c r="B77" s="19"/>
      <c r="C77" s="20"/>
      <c r="D77" s="18" t="str">
        <f aca="false">IF(C77="","",IFERROR(INDEX(Tables!$A:$A,MATCH(C77,Tables!$B:$B,0)),"Not found"))</f>
        <v/>
      </c>
      <c r="E77" s="21" t="str">
        <f aca="false">IF(D77="","",IFERROR(INDEX(Tables!$D:$D,MATCH(D77,Tables!$A:$A,0)),""))</f>
        <v/>
      </c>
      <c r="F77" s="20"/>
      <c r="G77" s="20"/>
      <c r="H77" s="18"/>
      <c r="I77" s="20"/>
      <c r="J77" s="20"/>
      <c r="K77" s="20"/>
      <c r="L77" s="20"/>
      <c r="M77" s="20"/>
      <c r="N77" s="20"/>
      <c r="O77" s="20"/>
      <c r="P77" s="20"/>
      <c r="Q77" s="21" t="str">
        <f aca="false">IF(A77="","",COUNTIF('Metric to Field'!$B:$B,A77))</f>
        <v/>
      </c>
      <c r="R77" s="21" t="str">
        <f aca="false">IF(A77="","",SUMIF('Metric to Field'!$B:$B,A77,'Metric to Field'!$G:$G))</f>
        <v/>
      </c>
      <c r="S77" s="20"/>
      <c r="T77" s="20"/>
      <c r="U77" s="20"/>
      <c r="V77" s="20"/>
      <c r="W77" s="20"/>
    </row>
    <row r="78" customFormat="false" ht="15" hidden="false" customHeight="false" outlineLevel="0" collapsed="false">
      <c r="A78" s="18"/>
      <c r="B78" s="19"/>
      <c r="C78" s="20"/>
      <c r="D78" s="18" t="str">
        <f aca="false">IF(C78="","",IFERROR(INDEX(Tables!$A:$A,MATCH(C78,Tables!$B:$B,0)),"Not found"))</f>
        <v/>
      </c>
      <c r="E78" s="21" t="str">
        <f aca="false">IF(D78="","",IFERROR(INDEX(Tables!$D:$D,MATCH(D78,Tables!$A:$A,0)),""))</f>
        <v/>
      </c>
      <c r="F78" s="20"/>
      <c r="G78" s="20"/>
      <c r="H78" s="18"/>
      <c r="I78" s="20"/>
      <c r="J78" s="20"/>
      <c r="K78" s="20"/>
      <c r="L78" s="20"/>
      <c r="M78" s="20"/>
      <c r="N78" s="20"/>
      <c r="O78" s="20"/>
      <c r="P78" s="20"/>
      <c r="Q78" s="21" t="str">
        <f aca="false">IF(A78="","",COUNTIF('Metric to Field'!$B:$B,A78))</f>
        <v/>
      </c>
      <c r="R78" s="21" t="str">
        <f aca="false">IF(A78="","",SUMIF('Metric to Field'!$B:$B,A78,'Metric to Field'!$G:$G))</f>
        <v/>
      </c>
      <c r="S78" s="20"/>
      <c r="T78" s="20"/>
      <c r="U78" s="20"/>
      <c r="V78" s="20"/>
      <c r="W78" s="20"/>
    </row>
    <row r="79" customFormat="false" ht="15" hidden="false" customHeight="false" outlineLevel="0" collapsed="false">
      <c r="A79" s="18"/>
      <c r="B79" s="19"/>
      <c r="C79" s="20"/>
      <c r="D79" s="18" t="str">
        <f aca="false">IF(C79="","",IFERROR(INDEX(Tables!$A:$A,MATCH(C79,Tables!$B:$B,0)),"Not found"))</f>
        <v/>
      </c>
      <c r="E79" s="21" t="str">
        <f aca="false">IF(D79="","",IFERROR(INDEX(Tables!$D:$D,MATCH(D79,Tables!$A:$A,0)),""))</f>
        <v/>
      </c>
      <c r="F79" s="20"/>
      <c r="G79" s="20"/>
      <c r="H79" s="18"/>
      <c r="I79" s="20"/>
      <c r="J79" s="20"/>
      <c r="K79" s="20"/>
      <c r="L79" s="20"/>
      <c r="M79" s="20"/>
      <c r="N79" s="20"/>
      <c r="O79" s="20"/>
      <c r="P79" s="20"/>
      <c r="Q79" s="21" t="str">
        <f aca="false">IF(A79="","",COUNTIF('Metric to Field'!$B:$B,A79))</f>
        <v/>
      </c>
      <c r="R79" s="21" t="str">
        <f aca="false">IF(A79="","",SUMIF('Metric to Field'!$B:$B,A79,'Metric to Field'!$G:$G))</f>
        <v/>
      </c>
      <c r="S79" s="20"/>
      <c r="T79" s="20"/>
      <c r="U79" s="20"/>
      <c r="V79" s="20"/>
      <c r="W79" s="20"/>
    </row>
    <row r="80" customFormat="false" ht="15" hidden="false" customHeight="false" outlineLevel="0" collapsed="false">
      <c r="A80" s="18"/>
      <c r="B80" s="19"/>
      <c r="C80" s="20"/>
      <c r="D80" s="18" t="str">
        <f aca="false">IF(C80="","",IFERROR(INDEX(Tables!$A:$A,MATCH(C80,Tables!$B:$B,0)),"Not found"))</f>
        <v/>
      </c>
      <c r="E80" s="21" t="str">
        <f aca="false">IF(D80="","",IFERROR(INDEX(Tables!$D:$D,MATCH(D80,Tables!$A:$A,0)),""))</f>
        <v/>
      </c>
      <c r="F80" s="20"/>
      <c r="G80" s="20"/>
      <c r="H80" s="18"/>
      <c r="I80" s="20"/>
      <c r="J80" s="20"/>
      <c r="K80" s="20"/>
      <c r="L80" s="20"/>
      <c r="M80" s="20"/>
      <c r="N80" s="20"/>
      <c r="O80" s="20"/>
      <c r="P80" s="20"/>
      <c r="Q80" s="21" t="str">
        <f aca="false">IF(A80="","",COUNTIF('Metric to Field'!$B:$B,A80))</f>
        <v/>
      </c>
      <c r="R80" s="21" t="str">
        <f aca="false">IF(A80="","",SUMIF('Metric to Field'!$B:$B,A80,'Metric to Field'!$G:$G))</f>
        <v/>
      </c>
      <c r="S80" s="20"/>
      <c r="T80" s="20"/>
      <c r="U80" s="20"/>
      <c r="V80" s="20"/>
      <c r="W80" s="20"/>
    </row>
    <row r="81" customFormat="false" ht="15" hidden="false" customHeight="false" outlineLevel="0" collapsed="false">
      <c r="A81" s="18"/>
      <c r="B81" s="19"/>
      <c r="C81" s="20"/>
      <c r="D81" s="18" t="str">
        <f aca="false">IF(C81="","",IFERROR(INDEX(Tables!$A:$A,MATCH(C81,Tables!$B:$B,0)),"Not found"))</f>
        <v/>
      </c>
      <c r="E81" s="21" t="str">
        <f aca="false">IF(D81="","",IFERROR(INDEX(Tables!$D:$D,MATCH(D81,Tables!$A:$A,0)),""))</f>
        <v/>
      </c>
      <c r="F81" s="20"/>
      <c r="G81" s="20"/>
      <c r="H81" s="18"/>
      <c r="I81" s="20"/>
      <c r="J81" s="20"/>
      <c r="K81" s="20"/>
      <c r="L81" s="20"/>
      <c r="M81" s="20"/>
      <c r="N81" s="20"/>
      <c r="O81" s="20"/>
      <c r="P81" s="20"/>
      <c r="Q81" s="21" t="str">
        <f aca="false">IF(A81="","",COUNTIF('Metric to Field'!$B:$B,A81))</f>
        <v/>
      </c>
      <c r="R81" s="21" t="str">
        <f aca="false">IF(A81="","",SUMIF('Metric to Field'!$B:$B,A81,'Metric to Field'!$G:$G))</f>
        <v/>
      </c>
      <c r="S81" s="20"/>
      <c r="T81" s="20"/>
      <c r="U81" s="20"/>
      <c r="V81" s="20"/>
      <c r="W81" s="20"/>
    </row>
    <row r="82" customFormat="false" ht="15" hidden="false" customHeight="false" outlineLevel="0" collapsed="false">
      <c r="A82" s="18"/>
      <c r="B82" s="19"/>
      <c r="C82" s="20"/>
      <c r="D82" s="18" t="str">
        <f aca="false">IF(C82="","",IFERROR(INDEX(Tables!$A:$A,MATCH(C82,Tables!$B:$B,0)),"Not found"))</f>
        <v/>
      </c>
      <c r="E82" s="21" t="str">
        <f aca="false">IF(D82="","",IFERROR(INDEX(Tables!$D:$D,MATCH(D82,Tables!$A:$A,0)),""))</f>
        <v/>
      </c>
      <c r="F82" s="20"/>
      <c r="G82" s="20"/>
      <c r="H82" s="18"/>
      <c r="I82" s="20"/>
      <c r="J82" s="20"/>
      <c r="K82" s="20"/>
      <c r="L82" s="20"/>
      <c r="M82" s="20"/>
      <c r="N82" s="20"/>
      <c r="O82" s="20"/>
      <c r="P82" s="20"/>
      <c r="Q82" s="21" t="str">
        <f aca="false">IF(A82="","",COUNTIF('Metric to Field'!$B:$B,A82))</f>
        <v/>
      </c>
      <c r="R82" s="21" t="str">
        <f aca="false">IF(A82="","",SUMIF('Metric to Field'!$B:$B,A82,'Metric to Field'!$G:$G))</f>
        <v/>
      </c>
      <c r="S82" s="20"/>
      <c r="T82" s="20"/>
      <c r="U82" s="20"/>
      <c r="V82" s="20"/>
      <c r="W82" s="20"/>
    </row>
    <row r="83" customFormat="false" ht="15" hidden="false" customHeight="false" outlineLevel="0" collapsed="false">
      <c r="A83" s="18"/>
      <c r="B83" s="19"/>
      <c r="C83" s="20"/>
      <c r="D83" s="18" t="str">
        <f aca="false">IF(C83="","",IFERROR(INDEX(Tables!$A:$A,MATCH(C83,Tables!$B:$B,0)),"Not found"))</f>
        <v/>
      </c>
      <c r="E83" s="21" t="str">
        <f aca="false">IF(D83="","",IFERROR(INDEX(Tables!$D:$D,MATCH(D83,Tables!$A:$A,0)),""))</f>
        <v/>
      </c>
      <c r="F83" s="20"/>
      <c r="G83" s="20"/>
      <c r="H83" s="18"/>
      <c r="I83" s="20"/>
      <c r="J83" s="20"/>
      <c r="K83" s="20"/>
      <c r="L83" s="20"/>
      <c r="M83" s="20"/>
      <c r="N83" s="20"/>
      <c r="O83" s="20"/>
      <c r="P83" s="20"/>
      <c r="Q83" s="21" t="str">
        <f aca="false">IF(A83="","",COUNTIF('Metric to Field'!$B:$B,A83))</f>
        <v/>
      </c>
      <c r="R83" s="21" t="str">
        <f aca="false">IF(A83="","",SUMIF('Metric to Field'!$B:$B,A83,'Metric to Field'!$G:$G))</f>
        <v/>
      </c>
      <c r="S83" s="20"/>
      <c r="T83" s="20"/>
      <c r="U83" s="20"/>
      <c r="V83" s="20"/>
      <c r="W83" s="20"/>
    </row>
    <row r="84" customFormat="false" ht="15" hidden="false" customHeight="false" outlineLevel="0" collapsed="false">
      <c r="A84" s="18"/>
      <c r="B84" s="19"/>
      <c r="C84" s="20"/>
      <c r="D84" s="18" t="str">
        <f aca="false">IF(C84="","",IFERROR(INDEX(Tables!$A:$A,MATCH(C84,Tables!$B:$B,0)),"Not found"))</f>
        <v/>
      </c>
      <c r="E84" s="21" t="str">
        <f aca="false">IF(D84="","",IFERROR(INDEX(Tables!$D:$D,MATCH(D84,Tables!$A:$A,0)),""))</f>
        <v/>
      </c>
      <c r="F84" s="20"/>
      <c r="G84" s="20"/>
      <c r="H84" s="18"/>
      <c r="I84" s="20"/>
      <c r="J84" s="20"/>
      <c r="K84" s="20"/>
      <c r="L84" s="20"/>
      <c r="M84" s="20"/>
      <c r="N84" s="20"/>
      <c r="O84" s="20"/>
      <c r="P84" s="20"/>
      <c r="Q84" s="21" t="str">
        <f aca="false">IF(A84="","",COUNTIF('Metric to Field'!$B:$B,A84))</f>
        <v/>
      </c>
      <c r="R84" s="21" t="str">
        <f aca="false">IF(A84="","",SUMIF('Metric to Field'!$B:$B,A84,'Metric to Field'!$G:$G))</f>
        <v/>
      </c>
      <c r="S84" s="20"/>
      <c r="T84" s="20"/>
      <c r="U84" s="20"/>
      <c r="V84" s="20"/>
      <c r="W84" s="20"/>
    </row>
    <row r="85" customFormat="false" ht="15" hidden="false" customHeight="false" outlineLevel="0" collapsed="false">
      <c r="A85" s="18"/>
      <c r="B85" s="19"/>
      <c r="C85" s="20"/>
      <c r="D85" s="18" t="str">
        <f aca="false">IF(C85="","",IFERROR(INDEX(Tables!$A:$A,MATCH(C85,Tables!$B:$B,0)),"Not found"))</f>
        <v/>
      </c>
      <c r="E85" s="21" t="str">
        <f aca="false">IF(D85="","",IFERROR(INDEX(Tables!$D:$D,MATCH(D85,Tables!$A:$A,0)),""))</f>
        <v/>
      </c>
      <c r="F85" s="20"/>
      <c r="G85" s="20"/>
      <c r="H85" s="18"/>
      <c r="I85" s="20"/>
      <c r="J85" s="20"/>
      <c r="K85" s="20"/>
      <c r="L85" s="20"/>
      <c r="M85" s="20"/>
      <c r="N85" s="20"/>
      <c r="O85" s="20"/>
      <c r="P85" s="20"/>
      <c r="Q85" s="21" t="str">
        <f aca="false">IF(A85="","",COUNTIF('Metric to Field'!$B:$B,A85))</f>
        <v/>
      </c>
      <c r="R85" s="21" t="str">
        <f aca="false">IF(A85="","",SUMIF('Metric to Field'!$B:$B,A85,'Metric to Field'!$G:$G))</f>
        <v/>
      </c>
      <c r="S85" s="20"/>
      <c r="T85" s="20"/>
      <c r="U85" s="20"/>
      <c r="V85" s="20"/>
      <c r="W85" s="20"/>
    </row>
    <row r="86" customFormat="false" ht="15" hidden="false" customHeight="false" outlineLevel="0" collapsed="false">
      <c r="A86" s="18"/>
      <c r="B86" s="19"/>
      <c r="C86" s="20"/>
      <c r="D86" s="18" t="str">
        <f aca="false">IF(C86="","",IFERROR(INDEX(Tables!$A:$A,MATCH(C86,Tables!$B:$B,0)),"Not found"))</f>
        <v/>
      </c>
      <c r="E86" s="21" t="str">
        <f aca="false">IF(D86="","",IFERROR(INDEX(Tables!$D:$D,MATCH(D86,Tables!$A:$A,0)),""))</f>
        <v/>
      </c>
      <c r="F86" s="20"/>
      <c r="G86" s="20"/>
      <c r="H86" s="18"/>
      <c r="I86" s="20"/>
      <c r="J86" s="20"/>
      <c r="K86" s="20"/>
      <c r="L86" s="20"/>
      <c r="M86" s="20"/>
      <c r="N86" s="20"/>
      <c r="O86" s="20"/>
      <c r="P86" s="20"/>
      <c r="Q86" s="21" t="str">
        <f aca="false">IF(A86="","",COUNTIF('Metric to Field'!$B:$B,A86))</f>
        <v/>
      </c>
      <c r="R86" s="21" t="str">
        <f aca="false">IF(A86="","",SUMIF('Metric to Field'!$B:$B,A86,'Metric to Field'!$G:$G))</f>
        <v/>
      </c>
      <c r="S86" s="20"/>
      <c r="T86" s="20"/>
      <c r="U86" s="20"/>
      <c r="V86" s="20"/>
      <c r="W86" s="20"/>
    </row>
    <row r="87" customFormat="false" ht="15" hidden="false" customHeight="false" outlineLevel="0" collapsed="false">
      <c r="A87" s="18"/>
      <c r="B87" s="19"/>
      <c r="C87" s="20"/>
      <c r="D87" s="18" t="str">
        <f aca="false">IF(C87="","",IFERROR(INDEX(Tables!$A:$A,MATCH(C87,Tables!$B:$B,0)),"Not found"))</f>
        <v/>
      </c>
      <c r="E87" s="21" t="str">
        <f aca="false">IF(D87="","",IFERROR(INDEX(Tables!$D:$D,MATCH(D87,Tables!$A:$A,0)),""))</f>
        <v/>
      </c>
      <c r="F87" s="20"/>
      <c r="G87" s="20"/>
      <c r="H87" s="18"/>
      <c r="I87" s="20"/>
      <c r="J87" s="20"/>
      <c r="K87" s="20"/>
      <c r="L87" s="20"/>
      <c r="M87" s="20"/>
      <c r="N87" s="20"/>
      <c r="O87" s="20"/>
      <c r="P87" s="20"/>
      <c r="Q87" s="21" t="str">
        <f aca="false">IF(A87="","",COUNTIF('Metric to Field'!$B:$B,A87))</f>
        <v/>
      </c>
      <c r="R87" s="21" t="str">
        <f aca="false">IF(A87="","",SUMIF('Metric to Field'!$B:$B,A87,'Metric to Field'!$G:$G))</f>
        <v/>
      </c>
      <c r="S87" s="20"/>
      <c r="T87" s="20"/>
      <c r="U87" s="20"/>
      <c r="V87" s="20"/>
      <c r="W87" s="20"/>
    </row>
    <row r="88" customFormat="false" ht="15" hidden="false" customHeight="false" outlineLevel="0" collapsed="false">
      <c r="A88" s="18"/>
      <c r="B88" s="19"/>
      <c r="C88" s="20"/>
      <c r="D88" s="18" t="str">
        <f aca="false">IF(C88="","",IFERROR(INDEX(Tables!$A:$A,MATCH(C88,Tables!$B:$B,0)),"Not found"))</f>
        <v/>
      </c>
      <c r="E88" s="21" t="str">
        <f aca="false">IF(D88="","",IFERROR(INDEX(Tables!$D:$D,MATCH(D88,Tables!$A:$A,0)),""))</f>
        <v/>
      </c>
      <c r="F88" s="20"/>
      <c r="G88" s="20"/>
      <c r="H88" s="18"/>
      <c r="I88" s="20"/>
      <c r="J88" s="20"/>
      <c r="K88" s="20"/>
      <c r="L88" s="20"/>
      <c r="M88" s="20"/>
      <c r="N88" s="20"/>
      <c r="O88" s="20"/>
      <c r="P88" s="20"/>
      <c r="Q88" s="21" t="str">
        <f aca="false">IF(A88="","",COUNTIF('Metric to Field'!$B:$B,A88))</f>
        <v/>
      </c>
      <c r="R88" s="21" t="str">
        <f aca="false">IF(A88="","",SUMIF('Metric to Field'!$B:$B,A88,'Metric to Field'!$G:$G))</f>
        <v/>
      </c>
      <c r="S88" s="20"/>
      <c r="T88" s="20"/>
      <c r="U88" s="20"/>
      <c r="V88" s="20"/>
      <c r="W88" s="20"/>
    </row>
    <row r="89" customFormat="false" ht="15" hidden="false" customHeight="false" outlineLevel="0" collapsed="false">
      <c r="A89" s="18"/>
      <c r="B89" s="19"/>
      <c r="C89" s="20"/>
      <c r="D89" s="18" t="str">
        <f aca="false">IF(C89="","",IFERROR(INDEX(Tables!$A:$A,MATCH(C89,Tables!$B:$B,0)),"Not found"))</f>
        <v/>
      </c>
      <c r="E89" s="21" t="str">
        <f aca="false">IF(D89="","",IFERROR(INDEX(Tables!$D:$D,MATCH(D89,Tables!$A:$A,0)),""))</f>
        <v/>
      </c>
      <c r="F89" s="20"/>
      <c r="G89" s="20"/>
      <c r="H89" s="18"/>
      <c r="I89" s="20"/>
      <c r="J89" s="20"/>
      <c r="K89" s="20"/>
      <c r="L89" s="20"/>
      <c r="M89" s="20"/>
      <c r="N89" s="20"/>
      <c r="O89" s="20"/>
      <c r="P89" s="20"/>
      <c r="Q89" s="21" t="str">
        <f aca="false">IF(A89="","",COUNTIF('Metric to Field'!$B:$B,A89))</f>
        <v/>
      </c>
      <c r="R89" s="21" t="str">
        <f aca="false">IF(A89="","",SUMIF('Metric to Field'!$B:$B,A89,'Metric to Field'!$G:$G))</f>
        <v/>
      </c>
      <c r="S89" s="20"/>
      <c r="T89" s="20"/>
      <c r="U89" s="20"/>
      <c r="V89" s="20"/>
      <c r="W89" s="20"/>
    </row>
    <row r="90" customFormat="false" ht="15" hidden="false" customHeight="false" outlineLevel="0" collapsed="false">
      <c r="A90" s="18"/>
      <c r="B90" s="19"/>
      <c r="C90" s="20"/>
      <c r="D90" s="18" t="str">
        <f aca="false">IF(C90="","",IFERROR(INDEX(Tables!$A:$A,MATCH(C90,Tables!$B:$B,0)),"Not found"))</f>
        <v/>
      </c>
      <c r="E90" s="21" t="str">
        <f aca="false">IF(D90="","",IFERROR(INDEX(Tables!$D:$D,MATCH(D90,Tables!$A:$A,0)),""))</f>
        <v/>
      </c>
      <c r="F90" s="20"/>
      <c r="G90" s="20"/>
      <c r="H90" s="18"/>
      <c r="I90" s="20"/>
      <c r="J90" s="20"/>
      <c r="K90" s="20"/>
      <c r="L90" s="20"/>
      <c r="M90" s="20"/>
      <c r="N90" s="20"/>
      <c r="O90" s="20"/>
      <c r="P90" s="20"/>
      <c r="Q90" s="21" t="str">
        <f aca="false">IF(A90="","",COUNTIF('Metric to Field'!$B:$B,A90))</f>
        <v/>
      </c>
      <c r="R90" s="21" t="str">
        <f aca="false">IF(A90="","",SUMIF('Metric to Field'!$B:$B,A90,'Metric to Field'!$G:$G))</f>
        <v/>
      </c>
      <c r="S90" s="20"/>
      <c r="T90" s="20"/>
      <c r="U90" s="20"/>
      <c r="V90" s="20"/>
      <c r="W90" s="20"/>
    </row>
    <row r="91" customFormat="false" ht="15" hidden="false" customHeight="false" outlineLevel="0" collapsed="false">
      <c r="A91" s="18"/>
      <c r="B91" s="19"/>
      <c r="C91" s="20"/>
      <c r="D91" s="18" t="str">
        <f aca="false">IF(C91="","",IFERROR(INDEX(Tables!$A:$A,MATCH(C91,Tables!$B:$B,0)),"Not found"))</f>
        <v/>
      </c>
      <c r="E91" s="21" t="str">
        <f aca="false">IF(D91="","",IFERROR(INDEX(Tables!$D:$D,MATCH(D91,Tables!$A:$A,0)),""))</f>
        <v/>
      </c>
      <c r="F91" s="20"/>
      <c r="G91" s="20"/>
      <c r="H91" s="18"/>
      <c r="I91" s="20"/>
      <c r="J91" s="20"/>
      <c r="K91" s="20"/>
      <c r="L91" s="20"/>
      <c r="M91" s="20"/>
      <c r="N91" s="20"/>
      <c r="O91" s="20"/>
      <c r="P91" s="20"/>
      <c r="Q91" s="21" t="str">
        <f aca="false">IF(A91="","",COUNTIF('Metric to Field'!$B:$B,A91))</f>
        <v/>
      </c>
      <c r="R91" s="21" t="str">
        <f aca="false">IF(A91="","",SUMIF('Metric to Field'!$B:$B,A91,'Metric to Field'!$G:$G))</f>
        <v/>
      </c>
      <c r="S91" s="20"/>
      <c r="T91" s="20"/>
      <c r="U91" s="20"/>
      <c r="V91" s="20"/>
      <c r="W91" s="20"/>
    </row>
    <row r="92" customFormat="false" ht="15" hidden="false" customHeight="false" outlineLevel="0" collapsed="false">
      <c r="A92" s="18"/>
      <c r="B92" s="19"/>
      <c r="C92" s="20"/>
      <c r="D92" s="18" t="str">
        <f aca="false">IF(C92="","",IFERROR(INDEX(Tables!$A:$A,MATCH(C92,Tables!$B:$B,0)),"Not found"))</f>
        <v/>
      </c>
      <c r="E92" s="21" t="str">
        <f aca="false">IF(D92="","",IFERROR(INDEX(Tables!$D:$D,MATCH(D92,Tables!$A:$A,0)),""))</f>
        <v/>
      </c>
      <c r="F92" s="20"/>
      <c r="G92" s="20"/>
      <c r="H92" s="18"/>
      <c r="I92" s="20"/>
      <c r="J92" s="20"/>
      <c r="K92" s="20"/>
      <c r="L92" s="20"/>
      <c r="M92" s="20"/>
      <c r="N92" s="20"/>
      <c r="O92" s="20"/>
      <c r="P92" s="20"/>
      <c r="Q92" s="21" t="str">
        <f aca="false">IF(A92="","",COUNTIF('Metric to Field'!$B:$B,A92))</f>
        <v/>
      </c>
      <c r="R92" s="21" t="str">
        <f aca="false">IF(A92="","",SUMIF('Metric to Field'!$B:$B,A92,'Metric to Field'!$G:$G))</f>
        <v/>
      </c>
      <c r="S92" s="20"/>
      <c r="T92" s="20"/>
      <c r="U92" s="20"/>
      <c r="V92" s="20"/>
      <c r="W92" s="20"/>
    </row>
    <row r="93" customFormat="false" ht="15" hidden="false" customHeight="false" outlineLevel="0" collapsed="false">
      <c r="A93" s="18"/>
      <c r="B93" s="19"/>
      <c r="C93" s="20"/>
      <c r="D93" s="18" t="str">
        <f aca="false">IF(C93="","",IFERROR(INDEX(Tables!$A:$A,MATCH(C93,Tables!$B:$B,0)),"Not found"))</f>
        <v/>
      </c>
      <c r="E93" s="21" t="str">
        <f aca="false">IF(D93="","",IFERROR(INDEX(Tables!$D:$D,MATCH(D93,Tables!$A:$A,0)),""))</f>
        <v/>
      </c>
      <c r="F93" s="20"/>
      <c r="G93" s="20"/>
      <c r="H93" s="18"/>
      <c r="I93" s="20"/>
      <c r="J93" s="20"/>
      <c r="K93" s="20"/>
      <c r="L93" s="20"/>
      <c r="M93" s="20"/>
      <c r="N93" s="20"/>
      <c r="O93" s="20"/>
      <c r="P93" s="20"/>
      <c r="Q93" s="21" t="str">
        <f aca="false">IF(A93="","",COUNTIF('Metric to Field'!$B:$B,A93))</f>
        <v/>
      </c>
      <c r="R93" s="21" t="str">
        <f aca="false">IF(A93="","",SUMIF('Metric to Field'!$B:$B,A93,'Metric to Field'!$G:$G))</f>
        <v/>
      </c>
      <c r="S93" s="20"/>
      <c r="T93" s="20"/>
      <c r="U93" s="20"/>
      <c r="V93" s="20"/>
      <c r="W93" s="20"/>
    </row>
    <row r="94" customFormat="false" ht="15" hidden="false" customHeight="false" outlineLevel="0" collapsed="false">
      <c r="A94" s="18"/>
      <c r="B94" s="19"/>
      <c r="C94" s="20"/>
      <c r="D94" s="18" t="str">
        <f aca="false">IF(C94="","",IFERROR(INDEX(Tables!$A:$A,MATCH(C94,Tables!$B:$B,0)),"Not found"))</f>
        <v/>
      </c>
      <c r="E94" s="21" t="str">
        <f aca="false">IF(D94="","",IFERROR(INDEX(Tables!$D:$D,MATCH(D94,Tables!$A:$A,0)),""))</f>
        <v/>
      </c>
      <c r="F94" s="20"/>
      <c r="G94" s="20"/>
      <c r="H94" s="18"/>
      <c r="I94" s="20"/>
      <c r="J94" s="20"/>
      <c r="K94" s="20"/>
      <c r="L94" s="20"/>
      <c r="M94" s="20"/>
      <c r="N94" s="20"/>
      <c r="O94" s="20"/>
      <c r="P94" s="20"/>
      <c r="Q94" s="21" t="str">
        <f aca="false">IF(A94="","",COUNTIF('Metric to Field'!$B:$B,A94))</f>
        <v/>
      </c>
      <c r="R94" s="21" t="str">
        <f aca="false">IF(A94="","",SUMIF('Metric to Field'!$B:$B,A94,'Metric to Field'!$G:$G))</f>
        <v/>
      </c>
      <c r="S94" s="20"/>
      <c r="T94" s="20"/>
      <c r="U94" s="20"/>
      <c r="V94" s="20"/>
      <c r="W94" s="20"/>
    </row>
    <row r="95" customFormat="false" ht="15" hidden="false" customHeight="false" outlineLevel="0" collapsed="false">
      <c r="A95" s="18"/>
      <c r="B95" s="19"/>
      <c r="C95" s="20"/>
      <c r="D95" s="18" t="str">
        <f aca="false">IF(C95="","",IFERROR(INDEX(Tables!$A:$A,MATCH(C95,Tables!$B:$B,0)),"Not found"))</f>
        <v/>
      </c>
      <c r="E95" s="21" t="str">
        <f aca="false">IF(D95="","",IFERROR(INDEX(Tables!$D:$D,MATCH(D95,Tables!$A:$A,0)),""))</f>
        <v/>
      </c>
      <c r="F95" s="20"/>
      <c r="G95" s="20"/>
      <c r="H95" s="18"/>
      <c r="I95" s="20"/>
      <c r="J95" s="20"/>
      <c r="K95" s="20"/>
      <c r="L95" s="20"/>
      <c r="M95" s="20"/>
      <c r="N95" s="20"/>
      <c r="O95" s="20"/>
      <c r="P95" s="20"/>
      <c r="Q95" s="21" t="str">
        <f aca="false">IF(A95="","",COUNTIF('Metric to Field'!$B:$B,A95))</f>
        <v/>
      </c>
      <c r="R95" s="21" t="str">
        <f aca="false">IF(A95="","",SUMIF('Metric to Field'!$B:$B,A95,'Metric to Field'!$G:$G))</f>
        <v/>
      </c>
      <c r="S95" s="20"/>
      <c r="T95" s="20"/>
      <c r="U95" s="20"/>
      <c r="V95" s="20"/>
      <c r="W95" s="20"/>
    </row>
    <row r="96" customFormat="false" ht="15" hidden="false" customHeight="false" outlineLevel="0" collapsed="false">
      <c r="A96" s="18"/>
      <c r="B96" s="19"/>
      <c r="C96" s="20"/>
      <c r="D96" s="18" t="str">
        <f aca="false">IF(C96="","",IFERROR(INDEX(Tables!$A:$A,MATCH(C96,Tables!$B:$B,0)),"Not found"))</f>
        <v/>
      </c>
      <c r="E96" s="21" t="str">
        <f aca="false">IF(D96="","",IFERROR(INDEX(Tables!$D:$D,MATCH(D96,Tables!$A:$A,0)),""))</f>
        <v/>
      </c>
      <c r="F96" s="20"/>
      <c r="G96" s="20"/>
      <c r="H96" s="18"/>
      <c r="I96" s="20"/>
      <c r="J96" s="20"/>
      <c r="K96" s="20"/>
      <c r="L96" s="20"/>
      <c r="M96" s="20"/>
      <c r="N96" s="20"/>
      <c r="O96" s="20"/>
      <c r="P96" s="20"/>
      <c r="Q96" s="21" t="str">
        <f aca="false">IF(A96="","",COUNTIF('Metric to Field'!$B:$B,A96))</f>
        <v/>
      </c>
      <c r="R96" s="21" t="str">
        <f aca="false">IF(A96="","",SUMIF('Metric to Field'!$B:$B,A96,'Metric to Field'!$G:$G))</f>
        <v/>
      </c>
      <c r="S96" s="20"/>
      <c r="T96" s="20"/>
      <c r="U96" s="20"/>
      <c r="V96" s="20"/>
      <c r="W96" s="20"/>
    </row>
    <row r="97" customFormat="false" ht="15" hidden="false" customHeight="false" outlineLevel="0" collapsed="false">
      <c r="A97" s="18"/>
      <c r="B97" s="19"/>
      <c r="C97" s="20"/>
      <c r="D97" s="18" t="str">
        <f aca="false">IF(C97="","",IFERROR(INDEX(Tables!$A:$A,MATCH(C97,Tables!$B:$B,0)),"Not found"))</f>
        <v/>
      </c>
      <c r="E97" s="21" t="str">
        <f aca="false">IF(D97="","",IFERROR(INDEX(Tables!$D:$D,MATCH(D97,Tables!$A:$A,0)),""))</f>
        <v/>
      </c>
      <c r="F97" s="20"/>
      <c r="G97" s="20"/>
      <c r="H97" s="18"/>
      <c r="I97" s="20"/>
      <c r="J97" s="20"/>
      <c r="K97" s="20"/>
      <c r="L97" s="20"/>
      <c r="M97" s="20"/>
      <c r="N97" s="20"/>
      <c r="O97" s="20"/>
      <c r="P97" s="20"/>
      <c r="Q97" s="21" t="str">
        <f aca="false">IF(A97="","",COUNTIF('Metric to Field'!$B:$B,A97))</f>
        <v/>
      </c>
      <c r="R97" s="21" t="str">
        <f aca="false">IF(A97="","",SUMIF('Metric to Field'!$B:$B,A97,'Metric to Field'!$G:$G))</f>
        <v/>
      </c>
      <c r="S97" s="20"/>
      <c r="T97" s="20"/>
      <c r="U97" s="20"/>
      <c r="V97" s="20"/>
      <c r="W97" s="20"/>
    </row>
    <row r="98" customFormat="false" ht="15" hidden="false" customHeight="false" outlineLevel="0" collapsed="false">
      <c r="A98" s="18"/>
      <c r="B98" s="19"/>
      <c r="C98" s="20"/>
      <c r="D98" s="18" t="str">
        <f aca="false">IF(C98="","",IFERROR(INDEX(Tables!$A:$A,MATCH(C98,Tables!$B:$B,0)),"Not found"))</f>
        <v/>
      </c>
      <c r="E98" s="21" t="str">
        <f aca="false">IF(D98="","",IFERROR(INDEX(Tables!$D:$D,MATCH(D98,Tables!$A:$A,0)),""))</f>
        <v/>
      </c>
      <c r="F98" s="20"/>
      <c r="G98" s="20"/>
      <c r="H98" s="18"/>
      <c r="I98" s="20"/>
      <c r="J98" s="20"/>
      <c r="K98" s="20"/>
      <c r="L98" s="20"/>
      <c r="M98" s="20"/>
      <c r="N98" s="20"/>
      <c r="O98" s="20"/>
      <c r="P98" s="20"/>
      <c r="Q98" s="21" t="str">
        <f aca="false">IF(A98="","",COUNTIF('Metric to Field'!$B:$B,A98))</f>
        <v/>
      </c>
      <c r="R98" s="21" t="str">
        <f aca="false">IF(A98="","",SUMIF('Metric to Field'!$B:$B,A98,'Metric to Field'!$G:$G))</f>
        <v/>
      </c>
      <c r="S98" s="20"/>
      <c r="T98" s="20"/>
      <c r="U98" s="20"/>
      <c r="V98" s="20"/>
      <c r="W98" s="20"/>
    </row>
    <row r="99" customFormat="false" ht="15" hidden="false" customHeight="false" outlineLevel="0" collapsed="false">
      <c r="A99" s="18"/>
      <c r="B99" s="19"/>
      <c r="C99" s="20"/>
      <c r="D99" s="18" t="str">
        <f aca="false">IF(C99="","",IFERROR(INDEX(Tables!$A:$A,MATCH(C99,Tables!$B:$B,0)),"Not found"))</f>
        <v/>
      </c>
      <c r="E99" s="21" t="str">
        <f aca="false">IF(D99="","",IFERROR(INDEX(Tables!$D:$D,MATCH(D99,Tables!$A:$A,0)),""))</f>
        <v/>
      </c>
      <c r="F99" s="20"/>
      <c r="G99" s="20"/>
      <c r="H99" s="18"/>
      <c r="I99" s="20"/>
      <c r="J99" s="20"/>
      <c r="K99" s="20"/>
      <c r="L99" s="20"/>
      <c r="M99" s="20"/>
      <c r="N99" s="20"/>
      <c r="O99" s="20"/>
      <c r="P99" s="20"/>
      <c r="Q99" s="21" t="str">
        <f aca="false">IF(A99="","",COUNTIF('Metric to Field'!$B:$B,A99))</f>
        <v/>
      </c>
      <c r="R99" s="21" t="str">
        <f aca="false">IF(A99="","",SUMIF('Metric to Field'!$B:$B,A99,'Metric to Field'!$G:$G))</f>
        <v/>
      </c>
      <c r="S99" s="20"/>
      <c r="T99" s="20"/>
      <c r="U99" s="20"/>
      <c r="V99" s="20"/>
      <c r="W99" s="20"/>
    </row>
    <row r="100" customFormat="false" ht="15" hidden="false" customHeight="false" outlineLevel="0" collapsed="false">
      <c r="A100" s="18"/>
      <c r="B100" s="19"/>
      <c r="C100" s="20"/>
      <c r="D100" s="18" t="str">
        <f aca="false">IF(C100="","",IFERROR(INDEX(Tables!$A:$A,MATCH(C100,Tables!$B:$B,0)),"Not found"))</f>
        <v/>
      </c>
      <c r="E100" s="21" t="str">
        <f aca="false">IF(D100="","",IFERROR(INDEX(Tables!$D:$D,MATCH(D100,Tables!$A:$A,0)),""))</f>
        <v/>
      </c>
      <c r="F100" s="20"/>
      <c r="G100" s="20"/>
      <c r="H100" s="18"/>
      <c r="I100" s="20"/>
      <c r="J100" s="20"/>
      <c r="K100" s="20"/>
      <c r="L100" s="20"/>
      <c r="M100" s="20"/>
      <c r="N100" s="20"/>
      <c r="O100" s="20"/>
      <c r="P100" s="20"/>
      <c r="Q100" s="21" t="str">
        <f aca="false">IF(A100="","",COUNTIF('Metric to Field'!$B:$B,A100))</f>
        <v/>
      </c>
      <c r="R100" s="21" t="str">
        <f aca="false">IF(A100="","",SUMIF('Metric to Field'!$B:$B,A100,'Metric to Field'!$G:$G))</f>
        <v/>
      </c>
      <c r="S100" s="20"/>
      <c r="T100" s="20"/>
      <c r="U100" s="20"/>
      <c r="V100" s="20"/>
      <c r="W100" s="20"/>
    </row>
    <row r="101" customFormat="false" ht="15" hidden="false" customHeight="false" outlineLevel="0" collapsed="false">
      <c r="A101" s="18"/>
      <c r="B101" s="19"/>
      <c r="C101" s="20"/>
      <c r="D101" s="18" t="str">
        <f aca="false">IF(C101="","",IFERROR(INDEX(Tables!$A:$A,MATCH(C101,Tables!$B:$B,0)),"Not found"))</f>
        <v/>
      </c>
      <c r="E101" s="21" t="str">
        <f aca="false">IF(D101="","",IFERROR(INDEX(Tables!$D:$D,MATCH(D101,Tables!$A:$A,0)),""))</f>
        <v/>
      </c>
      <c r="F101" s="20"/>
      <c r="G101" s="20"/>
      <c r="H101" s="18"/>
      <c r="I101" s="20"/>
      <c r="J101" s="20"/>
      <c r="K101" s="20"/>
      <c r="L101" s="20"/>
      <c r="M101" s="20"/>
      <c r="N101" s="20"/>
      <c r="O101" s="20"/>
      <c r="P101" s="20"/>
      <c r="Q101" s="21" t="str">
        <f aca="false">IF(A101="","",COUNTIF('Metric to Field'!$B:$B,A101))</f>
        <v/>
      </c>
      <c r="R101" s="21" t="str">
        <f aca="false">IF(A101="","",SUMIF('Metric to Field'!$B:$B,A101,'Metric to Field'!$G:$G))</f>
        <v/>
      </c>
      <c r="S101" s="20"/>
      <c r="T101" s="20"/>
      <c r="U101" s="20"/>
      <c r="V101" s="20"/>
      <c r="W101" s="20"/>
    </row>
    <row r="102" customFormat="false" ht="15" hidden="false" customHeight="false" outlineLevel="0" collapsed="false">
      <c r="A102" s="18"/>
      <c r="B102" s="19"/>
      <c r="C102" s="20"/>
      <c r="D102" s="18" t="str">
        <f aca="false">IF(C102="","",IFERROR(INDEX(Tables!$A:$A,MATCH(C102,Tables!$B:$B,0)),"Not found"))</f>
        <v/>
      </c>
      <c r="E102" s="21" t="str">
        <f aca="false">IF(D102="","",IFERROR(INDEX(Tables!$D:$D,MATCH(D102,Tables!$A:$A,0)),""))</f>
        <v/>
      </c>
      <c r="F102" s="20"/>
      <c r="G102" s="20"/>
      <c r="H102" s="18"/>
      <c r="I102" s="20"/>
      <c r="J102" s="20"/>
      <c r="K102" s="20"/>
      <c r="L102" s="20"/>
      <c r="M102" s="20"/>
      <c r="N102" s="20"/>
      <c r="O102" s="20"/>
      <c r="P102" s="20"/>
      <c r="Q102" s="21" t="str">
        <f aca="false">IF(A102="","",COUNTIF('Metric to Field'!$B:$B,A102))</f>
        <v/>
      </c>
      <c r="R102" s="21" t="str">
        <f aca="false">IF(A102="","",SUMIF('Metric to Field'!$B:$B,A102,'Metric to Field'!$G:$G))</f>
        <v/>
      </c>
      <c r="S102" s="20"/>
      <c r="T102" s="20"/>
      <c r="U102" s="20"/>
      <c r="V102" s="20"/>
      <c r="W102" s="20"/>
    </row>
    <row r="103" customFormat="false" ht="15" hidden="false" customHeight="false" outlineLevel="0" collapsed="false">
      <c r="A103" s="18"/>
      <c r="B103" s="19"/>
      <c r="C103" s="20"/>
      <c r="D103" s="18" t="str">
        <f aca="false">IF(C103="","",IFERROR(INDEX(Tables!$A:$A,MATCH(C103,Tables!$B:$B,0)),"Not found"))</f>
        <v/>
      </c>
      <c r="E103" s="21" t="str">
        <f aca="false">IF(D103="","",IFERROR(INDEX(Tables!$D:$D,MATCH(D103,Tables!$A:$A,0)),""))</f>
        <v/>
      </c>
      <c r="F103" s="20"/>
      <c r="G103" s="20"/>
      <c r="H103" s="18"/>
      <c r="I103" s="20"/>
      <c r="J103" s="20"/>
      <c r="K103" s="20"/>
      <c r="L103" s="20"/>
      <c r="M103" s="20"/>
      <c r="N103" s="20"/>
      <c r="O103" s="20"/>
      <c r="P103" s="20"/>
      <c r="Q103" s="21" t="str">
        <f aca="false">IF(A103="","",COUNTIF('Metric to Field'!$B:$B,A103))</f>
        <v/>
      </c>
      <c r="R103" s="21" t="str">
        <f aca="false">IF(A103="","",SUMIF('Metric to Field'!$B:$B,A103,'Metric to Field'!$G:$G))</f>
        <v/>
      </c>
      <c r="S103" s="20"/>
      <c r="T103" s="20"/>
      <c r="U103" s="20"/>
      <c r="V103" s="20"/>
      <c r="W103" s="20"/>
    </row>
    <row r="104" customFormat="false" ht="15" hidden="false" customHeight="false" outlineLevel="0" collapsed="false">
      <c r="A104" s="18"/>
      <c r="B104" s="19"/>
      <c r="C104" s="20"/>
      <c r="D104" s="18" t="str">
        <f aca="false">IF(C104="","",IFERROR(INDEX(Tables!$A:$A,MATCH(C104,Tables!$B:$B,0)),"Not found"))</f>
        <v/>
      </c>
      <c r="E104" s="21" t="str">
        <f aca="false">IF(D104="","",IFERROR(INDEX(Tables!$D:$D,MATCH(D104,Tables!$A:$A,0)),""))</f>
        <v/>
      </c>
      <c r="F104" s="20"/>
      <c r="G104" s="20"/>
      <c r="H104" s="18"/>
      <c r="I104" s="20"/>
      <c r="J104" s="20"/>
      <c r="K104" s="20"/>
      <c r="L104" s="20"/>
      <c r="M104" s="20"/>
      <c r="N104" s="20"/>
      <c r="O104" s="20"/>
      <c r="P104" s="20"/>
      <c r="Q104" s="21" t="str">
        <f aca="false">IF(A104="","",COUNTIF('Metric to Field'!$B:$B,A104))</f>
        <v/>
      </c>
      <c r="R104" s="21" t="str">
        <f aca="false">IF(A104="","",SUMIF('Metric to Field'!$B:$B,A104,'Metric to Field'!$G:$G))</f>
        <v/>
      </c>
      <c r="S104" s="20"/>
      <c r="T104" s="20"/>
      <c r="U104" s="20"/>
      <c r="V104" s="20"/>
      <c r="W104" s="20"/>
    </row>
    <row r="105" customFormat="false" ht="15" hidden="false" customHeight="false" outlineLevel="0" collapsed="false">
      <c r="A105" s="18"/>
      <c r="B105" s="19"/>
      <c r="C105" s="20"/>
      <c r="D105" s="18" t="str">
        <f aca="false">IF(C105="","",IFERROR(INDEX(Tables!$A:$A,MATCH(C105,Tables!$B:$B,0)),"Not found"))</f>
        <v/>
      </c>
      <c r="E105" s="21" t="str">
        <f aca="false">IF(D105="","",IFERROR(INDEX(Tables!$D:$D,MATCH(D105,Tables!$A:$A,0)),""))</f>
        <v/>
      </c>
      <c r="F105" s="20"/>
      <c r="G105" s="20"/>
      <c r="H105" s="18"/>
      <c r="I105" s="20"/>
      <c r="J105" s="20"/>
      <c r="K105" s="20"/>
      <c r="L105" s="20"/>
      <c r="M105" s="20"/>
      <c r="N105" s="20"/>
      <c r="O105" s="20"/>
      <c r="P105" s="20"/>
      <c r="Q105" s="21" t="str">
        <f aca="false">IF(A105="","",COUNTIF('Metric to Field'!$B:$B,A105))</f>
        <v/>
      </c>
      <c r="R105" s="21" t="str">
        <f aca="false">IF(A105="","",SUMIF('Metric to Field'!$B:$B,A105,'Metric to Field'!$G:$G))</f>
        <v/>
      </c>
      <c r="S105" s="20"/>
      <c r="T105" s="20"/>
      <c r="U105" s="20"/>
      <c r="V105" s="20"/>
      <c r="W105" s="20"/>
    </row>
    <row r="106" customFormat="false" ht="15" hidden="false" customHeight="false" outlineLevel="0" collapsed="false">
      <c r="A106" s="18"/>
      <c r="B106" s="19"/>
      <c r="C106" s="20"/>
      <c r="D106" s="18" t="str">
        <f aca="false">IF(C106="","",IFERROR(INDEX(Tables!$A:$A,MATCH(C106,Tables!$B:$B,0)),"Not found"))</f>
        <v/>
      </c>
      <c r="E106" s="21" t="str">
        <f aca="false">IF(D106="","",IFERROR(INDEX(Tables!$D:$D,MATCH(D106,Tables!$A:$A,0)),""))</f>
        <v/>
      </c>
      <c r="F106" s="20"/>
      <c r="G106" s="20"/>
      <c r="H106" s="18"/>
      <c r="I106" s="20"/>
      <c r="J106" s="20"/>
      <c r="K106" s="20"/>
      <c r="L106" s="20"/>
      <c r="M106" s="20"/>
      <c r="N106" s="20"/>
      <c r="O106" s="20"/>
      <c r="P106" s="20"/>
      <c r="Q106" s="21" t="str">
        <f aca="false">IF(A106="","",COUNTIF('Metric to Field'!$B:$B,A106))</f>
        <v/>
      </c>
      <c r="R106" s="21" t="str">
        <f aca="false">IF(A106="","",SUMIF('Metric to Field'!$B:$B,A106,'Metric to Field'!$G:$G))</f>
        <v/>
      </c>
      <c r="S106" s="20"/>
      <c r="T106" s="20"/>
      <c r="U106" s="20"/>
      <c r="V106" s="20"/>
      <c r="W106" s="20"/>
    </row>
    <row r="107" customFormat="false" ht="15" hidden="false" customHeight="false" outlineLevel="0" collapsed="false">
      <c r="A107" s="18"/>
      <c r="B107" s="19"/>
      <c r="C107" s="20"/>
      <c r="D107" s="18" t="str">
        <f aca="false">IF(C107="","",IFERROR(INDEX(Tables!$A:$A,MATCH(C107,Tables!$B:$B,0)),"Not found"))</f>
        <v/>
      </c>
      <c r="E107" s="21" t="str">
        <f aca="false">IF(D107="","",IFERROR(INDEX(Tables!$D:$D,MATCH(D107,Tables!$A:$A,0)),""))</f>
        <v/>
      </c>
      <c r="F107" s="20"/>
      <c r="G107" s="20"/>
      <c r="H107" s="18"/>
      <c r="I107" s="20"/>
      <c r="J107" s="20"/>
      <c r="K107" s="20"/>
      <c r="L107" s="20"/>
      <c r="M107" s="20"/>
      <c r="N107" s="20"/>
      <c r="O107" s="20"/>
      <c r="P107" s="20"/>
      <c r="Q107" s="21" t="str">
        <f aca="false">IF(A107="","",COUNTIF('Metric to Field'!$B:$B,A107))</f>
        <v/>
      </c>
      <c r="R107" s="21" t="str">
        <f aca="false">IF(A107="","",SUMIF('Metric to Field'!$B:$B,A107,'Metric to Field'!$G:$G))</f>
        <v/>
      </c>
      <c r="S107" s="20"/>
      <c r="T107" s="20"/>
      <c r="U107" s="20"/>
      <c r="V107" s="20"/>
      <c r="W107" s="20"/>
    </row>
    <row r="108" customFormat="false" ht="15" hidden="false" customHeight="false" outlineLevel="0" collapsed="false">
      <c r="A108" s="18"/>
      <c r="B108" s="19"/>
      <c r="C108" s="20"/>
      <c r="D108" s="18" t="str">
        <f aca="false">IF(C108="","",IFERROR(INDEX(Tables!$A:$A,MATCH(C108,Tables!$B:$B,0)),"Not found"))</f>
        <v/>
      </c>
      <c r="E108" s="21" t="str">
        <f aca="false">IF(D108="","",IFERROR(INDEX(Tables!$D:$D,MATCH(D108,Tables!$A:$A,0)),""))</f>
        <v/>
      </c>
      <c r="F108" s="20"/>
      <c r="G108" s="20"/>
      <c r="H108" s="18"/>
      <c r="I108" s="20"/>
      <c r="J108" s="20"/>
      <c r="K108" s="20"/>
      <c r="L108" s="20"/>
      <c r="M108" s="20"/>
      <c r="N108" s="20"/>
      <c r="O108" s="20"/>
      <c r="P108" s="20"/>
      <c r="Q108" s="21" t="str">
        <f aca="false">IF(A108="","",COUNTIF('Metric to Field'!$B:$B,A108))</f>
        <v/>
      </c>
      <c r="R108" s="21" t="str">
        <f aca="false">IF(A108="","",SUMIF('Metric to Field'!$B:$B,A108,'Metric to Field'!$G:$G))</f>
        <v/>
      </c>
      <c r="S108" s="20"/>
      <c r="T108" s="20"/>
      <c r="U108" s="20"/>
      <c r="V108" s="20"/>
      <c r="W108" s="20"/>
    </row>
    <row r="109" customFormat="false" ht="15" hidden="false" customHeight="false" outlineLevel="0" collapsed="false">
      <c r="A109" s="18"/>
      <c r="B109" s="19"/>
      <c r="C109" s="20"/>
      <c r="D109" s="18" t="str">
        <f aca="false">IF(C109="","",IFERROR(INDEX(Tables!$A:$A,MATCH(C109,Tables!$B:$B,0)),"Not found"))</f>
        <v/>
      </c>
      <c r="E109" s="21" t="str">
        <f aca="false">IF(D109="","",IFERROR(INDEX(Tables!$D:$D,MATCH(D109,Tables!$A:$A,0)),""))</f>
        <v/>
      </c>
      <c r="F109" s="20"/>
      <c r="G109" s="20"/>
      <c r="H109" s="18"/>
      <c r="I109" s="20"/>
      <c r="J109" s="20"/>
      <c r="K109" s="20"/>
      <c r="L109" s="20"/>
      <c r="M109" s="20"/>
      <c r="N109" s="20"/>
      <c r="O109" s="20"/>
      <c r="P109" s="20"/>
      <c r="Q109" s="21" t="str">
        <f aca="false">IF(A109="","",COUNTIF('Metric to Field'!$B:$B,A109))</f>
        <v/>
      </c>
      <c r="R109" s="21" t="str">
        <f aca="false">IF(A109="","",SUMIF('Metric to Field'!$B:$B,A109,'Metric to Field'!$G:$G))</f>
        <v/>
      </c>
      <c r="S109" s="20"/>
      <c r="T109" s="20"/>
      <c r="U109" s="20"/>
      <c r="V109" s="20"/>
      <c r="W109" s="20"/>
    </row>
    <row r="110" customFormat="false" ht="15" hidden="false" customHeight="false" outlineLevel="0" collapsed="false">
      <c r="A110" s="18"/>
      <c r="B110" s="19"/>
      <c r="C110" s="20"/>
      <c r="D110" s="18" t="str">
        <f aca="false">IF(C110="","",IFERROR(INDEX(Tables!$A:$A,MATCH(C110,Tables!$B:$B,0)),"Not found"))</f>
        <v/>
      </c>
      <c r="E110" s="21" t="str">
        <f aca="false">IF(D110="","",IFERROR(INDEX(Tables!$D:$D,MATCH(D110,Tables!$A:$A,0)),""))</f>
        <v/>
      </c>
      <c r="F110" s="20"/>
      <c r="G110" s="20"/>
      <c r="H110" s="18"/>
      <c r="I110" s="20"/>
      <c r="J110" s="20"/>
      <c r="K110" s="20"/>
      <c r="L110" s="20"/>
      <c r="M110" s="20"/>
      <c r="N110" s="20"/>
      <c r="O110" s="20"/>
      <c r="P110" s="20"/>
      <c r="Q110" s="21" t="str">
        <f aca="false">IF(A110="","",COUNTIF('Metric to Field'!$B:$B,A110))</f>
        <v/>
      </c>
      <c r="R110" s="21" t="str">
        <f aca="false">IF(A110="","",SUMIF('Metric to Field'!$B:$B,A110,'Metric to Field'!$G:$G))</f>
        <v/>
      </c>
      <c r="S110" s="20"/>
      <c r="T110" s="20"/>
      <c r="U110" s="20"/>
      <c r="V110" s="20"/>
      <c r="W110" s="20"/>
    </row>
    <row r="111" customFormat="false" ht="15" hidden="false" customHeight="false" outlineLevel="0" collapsed="false">
      <c r="A111" s="18"/>
      <c r="B111" s="19"/>
      <c r="C111" s="20"/>
      <c r="D111" s="18" t="str">
        <f aca="false">IF(C111="","",IFERROR(INDEX(Tables!$A:$A,MATCH(C111,Tables!$B:$B,0)),"Not found"))</f>
        <v/>
      </c>
      <c r="E111" s="21" t="str">
        <f aca="false">IF(D111="","",IFERROR(INDEX(Tables!$D:$D,MATCH(D111,Tables!$A:$A,0)),""))</f>
        <v/>
      </c>
      <c r="F111" s="20"/>
      <c r="G111" s="20"/>
      <c r="H111" s="18"/>
      <c r="I111" s="20"/>
      <c r="J111" s="20"/>
      <c r="K111" s="20"/>
      <c r="L111" s="20"/>
      <c r="M111" s="20"/>
      <c r="N111" s="20"/>
      <c r="O111" s="20"/>
      <c r="P111" s="20"/>
      <c r="Q111" s="21" t="str">
        <f aca="false">IF(A111="","",COUNTIF('Metric to Field'!$B:$B,A111))</f>
        <v/>
      </c>
      <c r="R111" s="21" t="str">
        <f aca="false">IF(A111="","",SUMIF('Metric to Field'!$B:$B,A111,'Metric to Field'!$G:$G))</f>
        <v/>
      </c>
      <c r="S111" s="20"/>
      <c r="T111" s="20"/>
      <c r="U111" s="20"/>
      <c r="V111" s="20"/>
      <c r="W111" s="20"/>
    </row>
    <row r="112" customFormat="false" ht="15" hidden="false" customHeight="false" outlineLevel="0" collapsed="false">
      <c r="A112" s="18"/>
      <c r="B112" s="19"/>
      <c r="C112" s="20"/>
      <c r="D112" s="18" t="str">
        <f aca="false">IF(C112="","",IFERROR(INDEX(Tables!$A:$A,MATCH(C112,Tables!$B:$B,0)),"Not found"))</f>
        <v/>
      </c>
      <c r="E112" s="21" t="str">
        <f aca="false">IF(D112="","",IFERROR(INDEX(Tables!$D:$D,MATCH(D112,Tables!$A:$A,0)),""))</f>
        <v/>
      </c>
      <c r="F112" s="20"/>
      <c r="G112" s="20"/>
      <c r="H112" s="18"/>
      <c r="I112" s="20"/>
      <c r="J112" s="20"/>
      <c r="K112" s="20"/>
      <c r="L112" s="20"/>
      <c r="M112" s="20"/>
      <c r="N112" s="20"/>
      <c r="O112" s="20"/>
      <c r="P112" s="20"/>
      <c r="Q112" s="21" t="str">
        <f aca="false">IF(A112="","",COUNTIF('Metric to Field'!$B:$B,A112))</f>
        <v/>
      </c>
      <c r="R112" s="21" t="str">
        <f aca="false">IF(A112="","",SUMIF('Metric to Field'!$B:$B,A112,'Metric to Field'!$G:$G))</f>
        <v/>
      </c>
      <c r="S112" s="20"/>
      <c r="T112" s="20"/>
      <c r="U112" s="20"/>
      <c r="V112" s="20"/>
      <c r="W112" s="20"/>
    </row>
    <row r="113" customFormat="false" ht="15" hidden="false" customHeight="false" outlineLevel="0" collapsed="false">
      <c r="A113" s="18"/>
      <c r="B113" s="19"/>
      <c r="C113" s="20"/>
      <c r="D113" s="18" t="str">
        <f aca="false">IF(C113="","",IFERROR(INDEX(Tables!$A:$A,MATCH(C113,Tables!$B:$B,0)),"Not found"))</f>
        <v/>
      </c>
      <c r="E113" s="21" t="str">
        <f aca="false">IF(D113="","",IFERROR(INDEX(Tables!$D:$D,MATCH(D113,Tables!$A:$A,0)),""))</f>
        <v/>
      </c>
      <c r="F113" s="20"/>
      <c r="G113" s="20"/>
      <c r="H113" s="18"/>
      <c r="I113" s="20"/>
      <c r="J113" s="20"/>
      <c r="K113" s="20"/>
      <c r="L113" s="20"/>
      <c r="M113" s="20"/>
      <c r="N113" s="20"/>
      <c r="O113" s="20"/>
      <c r="P113" s="20"/>
      <c r="Q113" s="21" t="str">
        <f aca="false">IF(A113="","",COUNTIF('Metric to Field'!$B:$B,A113))</f>
        <v/>
      </c>
      <c r="R113" s="21" t="str">
        <f aca="false">IF(A113="","",SUMIF('Metric to Field'!$B:$B,A113,'Metric to Field'!$G:$G))</f>
        <v/>
      </c>
      <c r="S113" s="20"/>
      <c r="T113" s="20"/>
      <c r="U113" s="20"/>
      <c r="V113" s="20"/>
      <c r="W113" s="20"/>
    </row>
    <row r="114" customFormat="false" ht="15" hidden="false" customHeight="false" outlineLevel="0" collapsed="false">
      <c r="A114" s="18"/>
      <c r="B114" s="19"/>
      <c r="C114" s="20"/>
      <c r="D114" s="18" t="str">
        <f aca="false">IF(C114="","",IFERROR(INDEX(Tables!$A:$A,MATCH(C114,Tables!$B:$B,0)),"Not found"))</f>
        <v/>
      </c>
      <c r="E114" s="21" t="str">
        <f aca="false">IF(D114="","",IFERROR(INDEX(Tables!$D:$D,MATCH(D114,Tables!$A:$A,0)),""))</f>
        <v/>
      </c>
      <c r="F114" s="20"/>
      <c r="G114" s="20"/>
      <c r="H114" s="18"/>
      <c r="I114" s="20"/>
      <c r="J114" s="20"/>
      <c r="K114" s="20"/>
      <c r="L114" s="20"/>
      <c r="M114" s="20"/>
      <c r="N114" s="20"/>
      <c r="O114" s="20"/>
      <c r="P114" s="20"/>
      <c r="Q114" s="21" t="str">
        <f aca="false">IF(A114="","",COUNTIF('Metric to Field'!$B:$B,A114))</f>
        <v/>
      </c>
      <c r="R114" s="21" t="str">
        <f aca="false">IF(A114="","",SUMIF('Metric to Field'!$B:$B,A114,'Metric to Field'!$G:$G))</f>
        <v/>
      </c>
      <c r="S114" s="20"/>
      <c r="T114" s="20"/>
      <c r="U114" s="20"/>
      <c r="V114" s="20"/>
      <c r="W114" s="20"/>
    </row>
    <row r="115" customFormat="false" ht="15" hidden="false" customHeight="false" outlineLevel="0" collapsed="false">
      <c r="A115" s="18"/>
      <c r="B115" s="19"/>
      <c r="C115" s="20"/>
      <c r="D115" s="18" t="str">
        <f aca="false">IF(C115="","",IFERROR(INDEX(Tables!$A:$A,MATCH(C115,Tables!$B:$B,0)),"Not found"))</f>
        <v/>
      </c>
      <c r="E115" s="21" t="str">
        <f aca="false">IF(D115="","",IFERROR(INDEX(Tables!$D:$D,MATCH(D115,Tables!$A:$A,0)),""))</f>
        <v/>
      </c>
      <c r="F115" s="20"/>
      <c r="G115" s="20"/>
      <c r="H115" s="18"/>
      <c r="I115" s="20"/>
      <c r="J115" s="20"/>
      <c r="K115" s="20"/>
      <c r="L115" s="20"/>
      <c r="M115" s="20"/>
      <c r="N115" s="20"/>
      <c r="O115" s="20"/>
      <c r="P115" s="20"/>
      <c r="Q115" s="21" t="str">
        <f aca="false">IF(A115="","",COUNTIF('Metric to Field'!$B:$B,A115))</f>
        <v/>
      </c>
      <c r="R115" s="21" t="str">
        <f aca="false">IF(A115="","",SUMIF('Metric to Field'!$B:$B,A115,'Metric to Field'!$G:$G))</f>
        <v/>
      </c>
      <c r="S115" s="20"/>
      <c r="T115" s="20"/>
      <c r="U115" s="20"/>
      <c r="V115" s="20"/>
      <c r="W115" s="20"/>
    </row>
    <row r="116" customFormat="false" ht="15" hidden="false" customHeight="false" outlineLevel="0" collapsed="false">
      <c r="A116" s="18"/>
      <c r="B116" s="19"/>
      <c r="C116" s="20"/>
      <c r="D116" s="18" t="str">
        <f aca="false">IF(C116="","",IFERROR(INDEX(Tables!$A:$A,MATCH(C116,Tables!$B:$B,0)),"Not found"))</f>
        <v/>
      </c>
      <c r="E116" s="21" t="str">
        <f aca="false">IF(D116="","",IFERROR(INDEX(Tables!$D:$D,MATCH(D116,Tables!$A:$A,0)),""))</f>
        <v/>
      </c>
      <c r="F116" s="20"/>
      <c r="G116" s="20"/>
      <c r="H116" s="18"/>
      <c r="I116" s="20"/>
      <c r="J116" s="20"/>
      <c r="K116" s="20"/>
      <c r="L116" s="20"/>
      <c r="M116" s="20"/>
      <c r="N116" s="20"/>
      <c r="O116" s="20"/>
      <c r="P116" s="20"/>
      <c r="Q116" s="21" t="str">
        <f aca="false">IF(A116="","",COUNTIF('Metric to Field'!$B:$B,A116))</f>
        <v/>
      </c>
      <c r="R116" s="21" t="str">
        <f aca="false">IF(A116="","",SUMIF('Metric to Field'!$B:$B,A116,'Metric to Field'!$G:$G))</f>
        <v/>
      </c>
      <c r="S116" s="20"/>
      <c r="T116" s="20"/>
      <c r="U116" s="20"/>
      <c r="V116" s="20"/>
      <c r="W116" s="20"/>
    </row>
    <row r="117" customFormat="false" ht="15" hidden="false" customHeight="false" outlineLevel="0" collapsed="false">
      <c r="A117" s="18"/>
      <c r="B117" s="19"/>
      <c r="C117" s="20"/>
      <c r="D117" s="18" t="str">
        <f aca="false">IF(C117="","",IFERROR(INDEX(Tables!$A:$A,MATCH(C117,Tables!$B:$B,0)),"Not found"))</f>
        <v/>
      </c>
      <c r="E117" s="21" t="str">
        <f aca="false">IF(D117="","",IFERROR(INDEX(Tables!$D:$D,MATCH(D117,Tables!$A:$A,0)),""))</f>
        <v/>
      </c>
      <c r="F117" s="20"/>
      <c r="G117" s="20"/>
      <c r="H117" s="18"/>
      <c r="I117" s="20"/>
      <c r="J117" s="20"/>
      <c r="K117" s="20"/>
      <c r="L117" s="20"/>
      <c r="M117" s="20"/>
      <c r="N117" s="20"/>
      <c r="O117" s="20"/>
      <c r="P117" s="20"/>
      <c r="Q117" s="21" t="str">
        <f aca="false">IF(A117="","",COUNTIF('Metric to Field'!$B:$B,A117))</f>
        <v/>
      </c>
      <c r="R117" s="21" t="str">
        <f aca="false">IF(A117="","",SUMIF('Metric to Field'!$B:$B,A117,'Metric to Field'!$G:$G))</f>
        <v/>
      </c>
      <c r="S117" s="20"/>
      <c r="T117" s="20"/>
      <c r="U117" s="20"/>
      <c r="V117" s="20"/>
      <c r="W117" s="20"/>
    </row>
    <row r="118" customFormat="false" ht="15" hidden="false" customHeight="false" outlineLevel="0" collapsed="false">
      <c r="A118" s="18"/>
      <c r="B118" s="19"/>
      <c r="C118" s="20"/>
      <c r="D118" s="18" t="str">
        <f aca="false">IF(C118="","",IFERROR(INDEX(Tables!$A:$A,MATCH(C118,Tables!$B:$B,0)),"Not found"))</f>
        <v/>
      </c>
      <c r="E118" s="21" t="str">
        <f aca="false">IF(D118="","",IFERROR(INDEX(Tables!$D:$D,MATCH(D118,Tables!$A:$A,0)),""))</f>
        <v/>
      </c>
      <c r="F118" s="20"/>
      <c r="G118" s="20"/>
      <c r="H118" s="18"/>
      <c r="I118" s="20"/>
      <c r="J118" s="20"/>
      <c r="K118" s="20"/>
      <c r="L118" s="20"/>
      <c r="M118" s="20"/>
      <c r="N118" s="20"/>
      <c r="O118" s="20"/>
      <c r="P118" s="20"/>
      <c r="Q118" s="21" t="str">
        <f aca="false">IF(A118="","",COUNTIF('Metric to Field'!$B:$B,A118))</f>
        <v/>
      </c>
      <c r="R118" s="21" t="str">
        <f aca="false">IF(A118="","",SUMIF('Metric to Field'!$B:$B,A118,'Metric to Field'!$G:$G))</f>
        <v/>
      </c>
      <c r="S118" s="20"/>
      <c r="T118" s="20"/>
      <c r="U118" s="20"/>
      <c r="V118" s="20"/>
      <c r="W118" s="20"/>
    </row>
    <row r="119" customFormat="false" ht="15" hidden="false" customHeight="false" outlineLevel="0" collapsed="false">
      <c r="A119" s="18"/>
      <c r="B119" s="19"/>
      <c r="C119" s="20"/>
      <c r="D119" s="18" t="str">
        <f aca="false">IF(C119="","",IFERROR(INDEX(Tables!$A:$A,MATCH(C119,Tables!$B:$B,0)),"Not found"))</f>
        <v/>
      </c>
      <c r="E119" s="21" t="str">
        <f aca="false">IF(D119="","",IFERROR(INDEX(Tables!$D:$D,MATCH(D119,Tables!$A:$A,0)),""))</f>
        <v/>
      </c>
      <c r="F119" s="20"/>
      <c r="G119" s="20"/>
      <c r="H119" s="18"/>
      <c r="I119" s="20"/>
      <c r="J119" s="20"/>
      <c r="K119" s="20"/>
      <c r="L119" s="20"/>
      <c r="M119" s="20"/>
      <c r="N119" s="20"/>
      <c r="O119" s="20"/>
      <c r="P119" s="20"/>
      <c r="Q119" s="21" t="str">
        <f aca="false">IF(A119="","",COUNTIF('Metric to Field'!$B:$B,A119))</f>
        <v/>
      </c>
      <c r="R119" s="21" t="str">
        <f aca="false">IF(A119="","",SUMIF('Metric to Field'!$B:$B,A119,'Metric to Field'!$G:$G))</f>
        <v/>
      </c>
      <c r="S119" s="20"/>
      <c r="T119" s="20"/>
      <c r="U119" s="20"/>
      <c r="V119" s="20"/>
      <c r="W119" s="20"/>
    </row>
    <row r="120" customFormat="false" ht="15" hidden="false" customHeight="false" outlineLevel="0" collapsed="false">
      <c r="A120" s="18"/>
      <c r="B120" s="19"/>
      <c r="C120" s="20"/>
      <c r="D120" s="18" t="str">
        <f aca="false">IF(C120="","",IFERROR(INDEX(Tables!$A:$A,MATCH(C120,Tables!$B:$B,0)),"Not found"))</f>
        <v/>
      </c>
      <c r="E120" s="21" t="str">
        <f aca="false">IF(D120="","",IFERROR(INDEX(Tables!$D:$D,MATCH(D120,Tables!$A:$A,0)),""))</f>
        <v/>
      </c>
      <c r="F120" s="20"/>
      <c r="G120" s="20"/>
      <c r="H120" s="18"/>
      <c r="I120" s="20"/>
      <c r="J120" s="20"/>
      <c r="K120" s="20"/>
      <c r="L120" s="20"/>
      <c r="M120" s="20"/>
      <c r="N120" s="20"/>
      <c r="O120" s="20"/>
      <c r="P120" s="20"/>
      <c r="Q120" s="21" t="str">
        <f aca="false">IF(A120="","",COUNTIF('Metric to Field'!$B:$B,A120))</f>
        <v/>
      </c>
      <c r="R120" s="21" t="str">
        <f aca="false">IF(A120="","",SUMIF('Metric to Field'!$B:$B,A120,'Metric to Field'!$G:$G))</f>
        <v/>
      </c>
      <c r="S120" s="20"/>
      <c r="T120" s="20"/>
      <c r="U120" s="20"/>
      <c r="V120" s="20"/>
      <c r="W120" s="20"/>
    </row>
    <row r="121" customFormat="false" ht="15" hidden="false" customHeight="false" outlineLevel="0" collapsed="false">
      <c r="A121" s="18"/>
      <c r="B121" s="19"/>
      <c r="C121" s="20"/>
      <c r="D121" s="18" t="str">
        <f aca="false">IF(C121="","",IFERROR(INDEX(Tables!$A:$A,MATCH(C121,Tables!$B:$B,0)),"Not found"))</f>
        <v/>
      </c>
      <c r="E121" s="21" t="str">
        <f aca="false">IF(D121="","",IFERROR(INDEX(Tables!$D:$D,MATCH(D121,Tables!$A:$A,0)),""))</f>
        <v/>
      </c>
      <c r="F121" s="20"/>
      <c r="G121" s="20"/>
      <c r="H121" s="18"/>
      <c r="I121" s="20"/>
      <c r="J121" s="20"/>
      <c r="K121" s="20"/>
      <c r="L121" s="20"/>
      <c r="M121" s="20"/>
      <c r="N121" s="20"/>
      <c r="O121" s="20"/>
      <c r="P121" s="20"/>
      <c r="Q121" s="21" t="str">
        <f aca="false">IF(A121="","",COUNTIF('Metric to Field'!$B:$B,A121))</f>
        <v/>
      </c>
      <c r="R121" s="21" t="str">
        <f aca="false">IF(A121="","",SUMIF('Metric to Field'!$B:$B,A121,'Metric to Field'!$G:$G))</f>
        <v/>
      </c>
      <c r="S121" s="20"/>
      <c r="T121" s="20"/>
      <c r="U121" s="20"/>
      <c r="V121" s="20"/>
      <c r="W121" s="20"/>
    </row>
    <row r="122" customFormat="false" ht="15" hidden="false" customHeight="false" outlineLevel="0" collapsed="false">
      <c r="A122" s="18"/>
      <c r="B122" s="19"/>
      <c r="C122" s="20"/>
      <c r="D122" s="18" t="str">
        <f aca="false">IF(C122="","",IFERROR(INDEX(Tables!$A:$A,MATCH(C122,Tables!$B:$B,0)),"Not found"))</f>
        <v/>
      </c>
      <c r="E122" s="21" t="str">
        <f aca="false">IF(D122="","",IFERROR(INDEX(Tables!$D:$D,MATCH(D122,Tables!$A:$A,0)),""))</f>
        <v/>
      </c>
      <c r="F122" s="20"/>
      <c r="G122" s="20"/>
      <c r="H122" s="18"/>
      <c r="I122" s="20"/>
      <c r="J122" s="20"/>
      <c r="K122" s="20"/>
      <c r="L122" s="20"/>
      <c r="M122" s="20"/>
      <c r="N122" s="20"/>
      <c r="O122" s="20"/>
      <c r="P122" s="20"/>
      <c r="Q122" s="21" t="str">
        <f aca="false">IF(A122="","",COUNTIF('Metric to Field'!$B:$B,A122))</f>
        <v/>
      </c>
      <c r="R122" s="21" t="str">
        <f aca="false">IF(A122="","",SUMIF('Metric to Field'!$B:$B,A122,'Metric to Field'!$G:$G))</f>
        <v/>
      </c>
      <c r="S122" s="20"/>
      <c r="T122" s="20"/>
      <c r="U122" s="20"/>
      <c r="V122" s="20"/>
      <c r="W122" s="20"/>
    </row>
    <row r="123" customFormat="false" ht="15" hidden="false" customHeight="false" outlineLevel="0" collapsed="false">
      <c r="A123" s="18"/>
      <c r="B123" s="19"/>
      <c r="C123" s="20"/>
      <c r="D123" s="18" t="str">
        <f aca="false">IF(C123="","",IFERROR(INDEX(Tables!$A:$A,MATCH(C123,Tables!$B:$B,0)),"Not found"))</f>
        <v/>
      </c>
      <c r="E123" s="21" t="str">
        <f aca="false">IF(D123="","",IFERROR(INDEX(Tables!$D:$D,MATCH(D123,Tables!$A:$A,0)),""))</f>
        <v/>
      </c>
      <c r="F123" s="20"/>
      <c r="G123" s="20"/>
      <c r="H123" s="18"/>
      <c r="I123" s="20"/>
      <c r="J123" s="20"/>
      <c r="K123" s="20"/>
      <c r="L123" s="20"/>
      <c r="M123" s="20"/>
      <c r="N123" s="20"/>
      <c r="O123" s="20"/>
      <c r="P123" s="20"/>
      <c r="Q123" s="21" t="str">
        <f aca="false">IF(A123="","",COUNTIF('Metric to Field'!$B:$B,A123))</f>
        <v/>
      </c>
      <c r="R123" s="21" t="str">
        <f aca="false">IF(A123="","",SUMIF('Metric to Field'!$B:$B,A123,'Metric to Field'!$G:$G))</f>
        <v/>
      </c>
      <c r="S123" s="20"/>
      <c r="T123" s="20"/>
      <c r="U123" s="20"/>
      <c r="V123" s="20"/>
      <c r="W123" s="20"/>
    </row>
    <row r="124" customFormat="false" ht="15" hidden="false" customHeight="false" outlineLevel="0" collapsed="false">
      <c r="A124" s="18"/>
      <c r="B124" s="19"/>
      <c r="C124" s="20"/>
      <c r="D124" s="18" t="str">
        <f aca="false">IF(C124="","",IFERROR(INDEX(Tables!$A:$A,MATCH(C124,Tables!$B:$B,0)),"Not found"))</f>
        <v/>
      </c>
      <c r="E124" s="21" t="str">
        <f aca="false">IF(D124="","",IFERROR(INDEX(Tables!$D:$D,MATCH(D124,Tables!$A:$A,0)),""))</f>
        <v/>
      </c>
      <c r="F124" s="20"/>
      <c r="G124" s="20"/>
      <c r="H124" s="18"/>
      <c r="I124" s="20"/>
      <c r="J124" s="20"/>
      <c r="K124" s="20"/>
      <c r="L124" s="20"/>
      <c r="M124" s="20"/>
      <c r="N124" s="20"/>
      <c r="O124" s="20"/>
      <c r="P124" s="20"/>
      <c r="Q124" s="21" t="str">
        <f aca="false">IF(A124="","",COUNTIF('Metric to Field'!$B:$B,A124))</f>
        <v/>
      </c>
      <c r="R124" s="21" t="str">
        <f aca="false">IF(A124="","",SUMIF('Metric to Field'!$B:$B,A124,'Metric to Field'!$G:$G))</f>
        <v/>
      </c>
      <c r="S124" s="20"/>
      <c r="T124" s="20"/>
      <c r="U124" s="20"/>
      <c r="V124" s="20"/>
      <c r="W124" s="20"/>
    </row>
    <row r="125" customFormat="false" ht="15" hidden="false" customHeight="false" outlineLevel="0" collapsed="false">
      <c r="A125" s="18"/>
      <c r="B125" s="19"/>
      <c r="C125" s="20"/>
      <c r="D125" s="18" t="str">
        <f aca="false">IF(C125="","",IFERROR(INDEX(Tables!$A:$A,MATCH(C125,Tables!$B:$B,0)),"Not found"))</f>
        <v/>
      </c>
      <c r="E125" s="21" t="str">
        <f aca="false">IF(D125="","",IFERROR(INDEX(Tables!$D:$D,MATCH(D125,Tables!$A:$A,0)),""))</f>
        <v/>
      </c>
      <c r="F125" s="20"/>
      <c r="G125" s="20"/>
      <c r="H125" s="18"/>
      <c r="I125" s="20"/>
      <c r="J125" s="20"/>
      <c r="K125" s="20"/>
      <c r="L125" s="20"/>
      <c r="M125" s="20"/>
      <c r="N125" s="20"/>
      <c r="O125" s="20"/>
      <c r="P125" s="20"/>
      <c r="Q125" s="21" t="str">
        <f aca="false">IF(A125="","",COUNTIF('Metric to Field'!$B:$B,A125))</f>
        <v/>
      </c>
      <c r="R125" s="21" t="str">
        <f aca="false">IF(A125="","",SUMIF('Metric to Field'!$B:$B,A125,'Metric to Field'!$G:$G))</f>
        <v/>
      </c>
      <c r="S125" s="20"/>
      <c r="T125" s="20"/>
      <c r="U125" s="20"/>
      <c r="V125" s="20"/>
      <c r="W125" s="20"/>
    </row>
    <row r="126" customFormat="false" ht="15" hidden="false" customHeight="false" outlineLevel="0" collapsed="false">
      <c r="A126" s="18"/>
      <c r="B126" s="19"/>
      <c r="C126" s="20"/>
      <c r="D126" s="18" t="str">
        <f aca="false">IF(C126="","",IFERROR(INDEX(Tables!$A:$A,MATCH(C126,Tables!$B:$B,0)),"Not found"))</f>
        <v/>
      </c>
      <c r="E126" s="21" t="str">
        <f aca="false">IF(D126="","",IFERROR(INDEX(Tables!$D:$D,MATCH(D126,Tables!$A:$A,0)),""))</f>
        <v/>
      </c>
      <c r="F126" s="20"/>
      <c r="G126" s="20"/>
      <c r="H126" s="18"/>
      <c r="I126" s="20"/>
      <c r="J126" s="20"/>
      <c r="K126" s="20"/>
      <c r="L126" s="20"/>
      <c r="M126" s="20"/>
      <c r="N126" s="20"/>
      <c r="O126" s="20"/>
      <c r="P126" s="20"/>
      <c r="Q126" s="21" t="str">
        <f aca="false">IF(A126="","",COUNTIF('Metric to Field'!$B:$B,A126))</f>
        <v/>
      </c>
      <c r="R126" s="21" t="str">
        <f aca="false">IF(A126="","",SUMIF('Metric to Field'!$B:$B,A126,'Metric to Field'!$G:$G))</f>
        <v/>
      </c>
      <c r="S126" s="20"/>
      <c r="T126" s="20"/>
      <c r="U126" s="20"/>
      <c r="V126" s="20"/>
      <c r="W126" s="20"/>
    </row>
    <row r="127" customFormat="false" ht="15" hidden="false" customHeight="false" outlineLevel="0" collapsed="false">
      <c r="A127" s="18"/>
      <c r="B127" s="19"/>
      <c r="C127" s="20"/>
      <c r="D127" s="18" t="str">
        <f aca="false">IF(C127="","",IFERROR(INDEX(Tables!$A:$A,MATCH(C127,Tables!$B:$B,0)),"Not found"))</f>
        <v/>
      </c>
      <c r="E127" s="21" t="str">
        <f aca="false">IF(D127="","",IFERROR(INDEX(Tables!$D:$D,MATCH(D127,Tables!$A:$A,0)),""))</f>
        <v/>
      </c>
      <c r="F127" s="20"/>
      <c r="G127" s="20"/>
      <c r="H127" s="18"/>
      <c r="I127" s="20"/>
      <c r="J127" s="20"/>
      <c r="K127" s="20"/>
      <c r="L127" s="20"/>
      <c r="M127" s="20"/>
      <c r="N127" s="20"/>
      <c r="O127" s="20"/>
      <c r="P127" s="20"/>
      <c r="Q127" s="21" t="str">
        <f aca="false">IF(A127="","",COUNTIF('Metric to Field'!$B:$B,A127))</f>
        <v/>
      </c>
      <c r="R127" s="21" t="str">
        <f aca="false">IF(A127="","",SUMIF('Metric to Field'!$B:$B,A127,'Metric to Field'!$G:$G))</f>
        <v/>
      </c>
      <c r="S127" s="20"/>
      <c r="T127" s="20"/>
      <c r="U127" s="20"/>
      <c r="V127" s="20"/>
      <c r="W127" s="20"/>
    </row>
    <row r="128" customFormat="false" ht="15" hidden="false" customHeight="false" outlineLevel="0" collapsed="false">
      <c r="A128" s="18"/>
      <c r="B128" s="19"/>
      <c r="C128" s="20"/>
      <c r="D128" s="18" t="str">
        <f aca="false">IF(C128="","",IFERROR(INDEX(Tables!$A:$A,MATCH(C128,Tables!$B:$B,0)),"Not found"))</f>
        <v/>
      </c>
      <c r="E128" s="21" t="str">
        <f aca="false">IF(D128="","",IFERROR(INDEX(Tables!$D:$D,MATCH(D128,Tables!$A:$A,0)),""))</f>
        <v/>
      </c>
      <c r="F128" s="20"/>
      <c r="G128" s="20"/>
      <c r="H128" s="18"/>
      <c r="I128" s="20"/>
      <c r="J128" s="20"/>
      <c r="K128" s="20"/>
      <c r="L128" s="20"/>
      <c r="M128" s="20"/>
      <c r="N128" s="20"/>
      <c r="O128" s="20"/>
      <c r="P128" s="20"/>
      <c r="Q128" s="21" t="str">
        <f aca="false">IF(A128="","",COUNTIF('Metric to Field'!$B:$B,A128))</f>
        <v/>
      </c>
      <c r="R128" s="21" t="str">
        <f aca="false">IF(A128="","",SUMIF('Metric to Field'!$B:$B,A128,'Metric to Field'!$G:$G))</f>
        <v/>
      </c>
      <c r="S128" s="20"/>
      <c r="T128" s="20"/>
      <c r="U128" s="20"/>
      <c r="V128" s="20"/>
      <c r="W128" s="20"/>
    </row>
    <row r="129" customFormat="false" ht="15" hidden="false" customHeight="false" outlineLevel="0" collapsed="false">
      <c r="A129" s="18"/>
      <c r="B129" s="19"/>
      <c r="C129" s="20"/>
      <c r="D129" s="18" t="str">
        <f aca="false">IF(C129="","",IFERROR(INDEX(Tables!$A:$A,MATCH(C129,Tables!$B:$B,0)),"Not found"))</f>
        <v/>
      </c>
      <c r="E129" s="21" t="str">
        <f aca="false">IF(D129="","",IFERROR(INDEX(Tables!$D:$D,MATCH(D129,Tables!$A:$A,0)),""))</f>
        <v/>
      </c>
      <c r="F129" s="20"/>
      <c r="G129" s="20"/>
      <c r="H129" s="18"/>
      <c r="I129" s="20"/>
      <c r="J129" s="20"/>
      <c r="K129" s="20"/>
      <c r="L129" s="20"/>
      <c r="M129" s="20"/>
      <c r="N129" s="20"/>
      <c r="O129" s="20"/>
      <c r="P129" s="20"/>
      <c r="Q129" s="21" t="str">
        <f aca="false">IF(A129="","",COUNTIF('Metric to Field'!$B:$B,A129))</f>
        <v/>
      </c>
      <c r="R129" s="21" t="str">
        <f aca="false">IF(A129="","",SUMIF('Metric to Field'!$B:$B,A129,'Metric to Field'!$G:$G))</f>
        <v/>
      </c>
      <c r="S129" s="20"/>
      <c r="T129" s="20"/>
      <c r="U129" s="20"/>
      <c r="V129" s="20"/>
      <c r="W129" s="20"/>
    </row>
    <row r="130" customFormat="false" ht="15" hidden="false" customHeight="false" outlineLevel="0" collapsed="false">
      <c r="A130" s="18"/>
      <c r="B130" s="19"/>
      <c r="C130" s="20"/>
      <c r="D130" s="18" t="str">
        <f aca="false">IF(C130="","",IFERROR(INDEX(Tables!$A:$A,MATCH(C130,Tables!$B:$B,0)),"Not found"))</f>
        <v/>
      </c>
      <c r="E130" s="21" t="str">
        <f aca="false">IF(D130="","",IFERROR(INDEX(Tables!$D:$D,MATCH(D130,Tables!$A:$A,0)),""))</f>
        <v/>
      </c>
      <c r="F130" s="20"/>
      <c r="G130" s="20"/>
      <c r="H130" s="18"/>
      <c r="I130" s="20"/>
      <c r="J130" s="20"/>
      <c r="K130" s="20"/>
      <c r="L130" s="20"/>
      <c r="M130" s="20"/>
      <c r="N130" s="20"/>
      <c r="O130" s="20"/>
      <c r="P130" s="20"/>
      <c r="Q130" s="21" t="str">
        <f aca="false">IF(A130="","",COUNTIF('Metric to Field'!$B:$B,A130))</f>
        <v/>
      </c>
      <c r="R130" s="21" t="str">
        <f aca="false">IF(A130="","",SUMIF('Metric to Field'!$B:$B,A130,'Metric to Field'!$G:$G))</f>
        <v/>
      </c>
      <c r="S130" s="20"/>
      <c r="T130" s="20"/>
      <c r="U130" s="20"/>
      <c r="V130" s="20"/>
      <c r="W130" s="20"/>
    </row>
    <row r="131" customFormat="false" ht="15" hidden="false" customHeight="false" outlineLevel="0" collapsed="false">
      <c r="A131" s="18"/>
      <c r="B131" s="19"/>
      <c r="C131" s="20"/>
      <c r="D131" s="18" t="str">
        <f aca="false">IF(C131="","",IFERROR(INDEX(Tables!$A:$A,MATCH(C131,Tables!$B:$B,0)),"Not found"))</f>
        <v/>
      </c>
      <c r="E131" s="21" t="str">
        <f aca="false">IF(D131="","",IFERROR(INDEX(Tables!$D:$D,MATCH(D131,Tables!$A:$A,0)),""))</f>
        <v/>
      </c>
      <c r="F131" s="20"/>
      <c r="G131" s="20"/>
      <c r="H131" s="18"/>
      <c r="I131" s="20"/>
      <c r="J131" s="20"/>
      <c r="K131" s="20"/>
      <c r="L131" s="20"/>
      <c r="M131" s="20"/>
      <c r="N131" s="20"/>
      <c r="O131" s="20"/>
      <c r="P131" s="20"/>
      <c r="Q131" s="21" t="str">
        <f aca="false">IF(A131="","",COUNTIF('Metric to Field'!$B:$B,A131))</f>
        <v/>
      </c>
      <c r="R131" s="21" t="str">
        <f aca="false">IF(A131="","",SUMIF('Metric to Field'!$B:$B,A131,'Metric to Field'!$G:$G))</f>
        <v/>
      </c>
      <c r="S131" s="20"/>
      <c r="T131" s="20"/>
      <c r="U131" s="20"/>
      <c r="V131" s="20"/>
      <c r="W131" s="20"/>
    </row>
    <row r="132" customFormat="false" ht="15" hidden="false" customHeight="false" outlineLevel="0" collapsed="false">
      <c r="A132" s="18"/>
      <c r="B132" s="19"/>
      <c r="C132" s="20"/>
      <c r="D132" s="18" t="str">
        <f aca="false">IF(C132="","",IFERROR(INDEX(Tables!$A:$A,MATCH(C132,Tables!$B:$B,0)),"Not found"))</f>
        <v/>
      </c>
      <c r="E132" s="21" t="str">
        <f aca="false">IF(D132="","",IFERROR(INDEX(Tables!$D:$D,MATCH(D132,Tables!$A:$A,0)),""))</f>
        <v/>
      </c>
      <c r="F132" s="20"/>
      <c r="G132" s="20"/>
      <c r="H132" s="18"/>
      <c r="I132" s="20"/>
      <c r="J132" s="20"/>
      <c r="K132" s="20"/>
      <c r="L132" s="20"/>
      <c r="M132" s="20"/>
      <c r="N132" s="20"/>
      <c r="O132" s="20"/>
      <c r="P132" s="20"/>
      <c r="Q132" s="21" t="str">
        <f aca="false">IF(A132="","",COUNTIF('Metric to Field'!$B:$B,A132))</f>
        <v/>
      </c>
      <c r="R132" s="21" t="str">
        <f aca="false">IF(A132="","",SUMIF('Metric to Field'!$B:$B,A132,'Metric to Field'!$G:$G))</f>
        <v/>
      </c>
      <c r="S132" s="20"/>
      <c r="T132" s="20"/>
      <c r="U132" s="20"/>
      <c r="V132" s="20"/>
      <c r="W132" s="20"/>
    </row>
    <row r="133" customFormat="false" ht="15" hidden="false" customHeight="false" outlineLevel="0" collapsed="false">
      <c r="A133" s="18"/>
      <c r="B133" s="19"/>
      <c r="C133" s="20"/>
      <c r="D133" s="18" t="str">
        <f aca="false">IF(C133="","",IFERROR(INDEX(Tables!$A:$A,MATCH(C133,Tables!$B:$B,0)),"Not found"))</f>
        <v/>
      </c>
      <c r="E133" s="21" t="str">
        <f aca="false">IF(D133="","",IFERROR(INDEX(Tables!$D:$D,MATCH(D133,Tables!$A:$A,0)),""))</f>
        <v/>
      </c>
      <c r="F133" s="20"/>
      <c r="G133" s="20"/>
      <c r="H133" s="18"/>
      <c r="I133" s="20"/>
      <c r="J133" s="20"/>
      <c r="K133" s="20"/>
      <c r="L133" s="20"/>
      <c r="M133" s="20"/>
      <c r="N133" s="20"/>
      <c r="O133" s="20"/>
      <c r="P133" s="20"/>
      <c r="Q133" s="21" t="str">
        <f aca="false">IF(A133="","",COUNTIF('Metric to Field'!$B:$B,A133))</f>
        <v/>
      </c>
      <c r="R133" s="21" t="str">
        <f aca="false">IF(A133="","",SUMIF('Metric to Field'!$B:$B,A133,'Metric to Field'!$G:$G))</f>
        <v/>
      </c>
      <c r="S133" s="20"/>
      <c r="T133" s="20"/>
      <c r="U133" s="20"/>
      <c r="V133" s="20"/>
      <c r="W133" s="20"/>
    </row>
    <row r="134" customFormat="false" ht="15" hidden="false" customHeight="false" outlineLevel="0" collapsed="false">
      <c r="A134" s="18"/>
      <c r="B134" s="19"/>
      <c r="C134" s="20"/>
      <c r="D134" s="18" t="str">
        <f aca="false">IF(C134="","",IFERROR(INDEX(Tables!$A:$A,MATCH(C134,Tables!$B:$B,0)),"Not found"))</f>
        <v/>
      </c>
      <c r="E134" s="21" t="str">
        <f aca="false">IF(D134="","",IFERROR(INDEX(Tables!$D:$D,MATCH(D134,Tables!$A:$A,0)),""))</f>
        <v/>
      </c>
      <c r="F134" s="20"/>
      <c r="G134" s="20"/>
      <c r="H134" s="18"/>
      <c r="I134" s="20"/>
      <c r="J134" s="20"/>
      <c r="K134" s="20"/>
      <c r="L134" s="20"/>
      <c r="M134" s="20"/>
      <c r="N134" s="20"/>
      <c r="O134" s="20"/>
      <c r="P134" s="20"/>
      <c r="Q134" s="21" t="str">
        <f aca="false">IF(A134="","",COUNTIF('Metric to Field'!$B:$B,A134))</f>
        <v/>
      </c>
      <c r="R134" s="21" t="str">
        <f aca="false">IF(A134="","",SUMIF('Metric to Field'!$B:$B,A134,'Metric to Field'!$G:$G))</f>
        <v/>
      </c>
      <c r="S134" s="20"/>
      <c r="T134" s="20"/>
      <c r="U134" s="20"/>
      <c r="V134" s="20"/>
      <c r="W134" s="20"/>
    </row>
    <row r="135" customFormat="false" ht="15" hidden="false" customHeight="false" outlineLevel="0" collapsed="false">
      <c r="A135" s="18"/>
      <c r="B135" s="19"/>
      <c r="C135" s="20"/>
      <c r="D135" s="18" t="str">
        <f aca="false">IF(C135="","",IFERROR(INDEX(Tables!$A:$A,MATCH(C135,Tables!$B:$B,0)),"Not found"))</f>
        <v/>
      </c>
      <c r="E135" s="21" t="str">
        <f aca="false">IF(D135="","",IFERROR(INDEX(Tables!$D:$D,MATCH(D135,Tables!$A:$A,0)),""))</f>
        <v/>
      </c>
      <c r="F135" s="20"/>
      <c r="G135" s="20"/>
      <c r="H135" s="18"/>
      <c r="I135" s="20"/>
      <c r="J135" s="20"/>
      <c r="K135" s="20"/>
      <c r="L135" s="20"/>
      <c r="M135" s="20"/>
      <c r="N135" s="20"/>
      <c r="O135" s="20"/>
      <c r="P135" s="20"/>
      <c r="Q135" s="21" t="str">
        <f aca="false">IF(A135="","",COUNTIF('Metric to Field'!$B:$B,A135))</f>
        <v/>
      </c>
      <c r="R135" s="21" t="str">
        <f aca="false">IF(A135="","",SUMIF('Metric to Field'!$B:$B,A135,'Metric to Field'!$G:$G))</f>
        <v/>
      </c>
      <c r="S135" s="20"/>
      <c r="T135" s="20"/>
      <c r="U135" s="20"/>
      <c r="V135" s="20"/>
      <c r="W135" s="20"/>
    </row>
    <row r="136" customFormat="false" ht="15" hidden="false" customHeight="false" outlineLevel="0" collapsed="false">
      <c r="A136" s="18"/>
      <c r="B136" s="19"/>
      <c r="C136" s="20"/>
      <c r="D136" s="18" t="str">
        <f aca="false">IF(C136="","",IFERROR(INDEX(Tables!$A:$A,MATCH(C136,Tables!$B:$B,0)),"Not found"))</f>
        <v/>
      </c>
      <c r="E136" s="21" t="str">
        <f aca="false">IF(D136="","",IFERROR(INDEX(Tables!$D:$D,MATCH(D136,Tables!$A:$A,0)),""))</f>
        <v/>
      </c>
      <c r="F136" s="20"/>
      <c r="G136" s="20"/>
      <c r="H136" s="18"/>
      <c r="I136" s="20"/>
      <c r="J136" s="20"/>
      <c r="K136" s="20"/>
      <c r="L136" s="20"/>
      <c r="M136" s="20"/>
      <c r="N136" s="20"/>
      <c r="O136" s="20"/>
      <c r="P136" s="20"/>
      <c r="Q136" s="21" t="str">
        <f aca="false">IF(A136="","",COUNTIF('Metric to Field'!$B:$B,A136))</f>
        <v/>
      </c>
      <c r="R136" s="21" t="str">
        <f aca="false">IF(A136="","",SUMIF('Metric to Field'!$B:$B,A136,'Metric to Field'!$G:$G))</f>
        <v/>
      </c>
      <c r="S136" s="20"/>
      <c r="T136" s="20"/>
      <c r="U136" s="20"/>
      <c r="V136" s="20"/>
      <c r="W136" s="20"/>
    </row>
    <row r="137" customFormat="false" ht="15" hidden="false" customHeight="false" outlineLevel="0" collapsed="false">
      <c r="A137" s="18"/>
      <c r="B137" s="19"/>
      <c r="C137" s="20"/>
      <c r="D137" s="18" t="str">
        <f aca="false">IF(C137="","",IFERROR(INDEX(Tables!$A:$A,MATCH(C137,Tables!$B:$B,0)),"Not found"))</f>
        <v/>
      </c>
      <c r="E137" s="21" t="str">
        <f aca="false">IF(D137="","",IFERROR(INDEX(Tables!$D:$D,MATCH(D137,Tables!$A:$A,0)),""))</f>
        <v/>
      </c>
      <c r="F137" s="20"/>
      <c r="G137" s="20"/>
      <c r="H137" s="18"/>
      <c r="I137" s="20"/>
      <c r="J137" s="20"/>
      <c r="K137" s="20"/>
      <c r="L137" s="20"/>
      <c r="M137" s="20"/>
      <c r="N137" s="20"/>
      <c r="O137" s="20"/>
      <c r="P137" s="20"/>
      <c r="Q137" s="21" t="str">
        <f aca="false">IF(A137="","",COUNTIF('Metric to Field'!$B:$B,A137))</f>
        <v/>
      </c>
      <c r="R137" s="21" t="str">
        <f aca="false">IF(A137="","",SUMIF('Metric to Field'!$B:$B,A137,'Metric to Field'!$G:$G))</f>
        <v/>
      </c>
      <c r="S137" s="20"/>
      <c r="T137" s="20"/>
      <c r="U137" s="20"/>
      <c r="V137" s="20"/>
      <c r="W137" s="20"/>
    </row>
    <row r="138" customFormat="false" ht="15" hidden="false" customHeight="false" outlineLevel="0" collapsed="false">
      <c r="A138" s="18"/>
      <c r="B138" s="19"/>
      <c r="C138" s="20"/>
      <c r="D138" s="18" t="str">
        <f aca="false">IF(C138="","",IFERROR(INDEX(Tables!$A:$A,MATCH(C138,Tables!$B:$B,0)),"Not found"))</f>
        <v/>
      </c>
      <c r="E138" s="21" t="str">
        <f aca="false">IF(D138="","",IFERROR(INDEX(Tables!$D:$D,MATCH(D138,Tables!$A:$A,0)),""))</f>
        <v/>
      </c>
      <c r="F138" s="20"/>
      <c r="G138" s="20"/>
      <c r="H138" s="18"/>
      <c r="I138" s="20"/>
      <c r="J138" s="20"/>
      <c r="K138" s="20"/>
      <c r="L138" s="20"/>
      <c r="M138" s="20"/>
      <c r="N138" s="20"/>
      <c r="O138" s="20"/>
      <c r="P138" s="20"/>
      <c r="Q138" s="21" t="str">
        <f aca="false">IF(A138="","",COUNTIF('Metric to Field'!$B:$B,A138))</f>
        <v/>
      </c>
      <c r="R138" s="21" t="str">
        <f aca="false">IF(A138="","",SUMIF('Metric to Field'!$B:$B,A138,'Metric to Field'!$G:$G))</f>
        <v/>
      </c>
      <c r="S138" s="20"/>
      <c r="T138" s="20"/>
      <c r="U138" s="20"/>
      <c r="V138" s="20"/>
      <c r="W138" s="20"/>
    </row>
    <row r="139" customFormat="false" ht="15" hidden="false" customHeight="false" outlineLevel="0" collapsed="false">
      <c r="A139" s="18"/>
      <c r="B139" s="19"/>
      <c r="C139" s="20"/>
      <c r="D139" s="18" t="str">
        <f aca="false">IF(C139="","",IFERROR(INDEX(Tables!$A:$A,MATCH(C139,Tables!$B:$B,0)),"Not found"))</f>
        <v/>
      </c>
      <c r="E139" s="21" t="str">
        <f aca="false">IF(D139="","",IFERROR(INDEX(Tables!$D:$D,MATCH(D139,Tables!$A:$A,0)),""))</f>
        <v/>
      </c>
      <c r="F139" s="20"/>
      <c r="G139" s="20"/>
      <c r="H139" s="18"/>
      <c r="I139" s="20"/>
      <c r="J139" s="20"/>
      <c r="K139" s="20"/>
      <c r="L139" s="20"/>
      <c r="M139" s="20"/>
      <c r="N139" s="20"/>
      <c r="O139" s="20"/>
      <c r="P139" s="20"/>
      <c r="Q139" s="21" t="str">
        <f aca="false">IF(A139="","",COUNTIF('Metric to Field'!$B:$B,A139))</f>
        <v/>
      </c>
      <c r="R139" s="21" t="str">
        <f aca="false">IF(A139="","",SUMIF('Metric to Field'!$B:$B,A139,'Metric to Field'!$G:$G))</f>
        <v/>
      </c>
      <c r="S139" s="20"/>
      <c r="T139" s="20"/>
      <c r="U139" s="20"/>
      <c r="V139" s="20"/>
      <c r="W139" s="20"/>
    </row>
    <row r="140" customFormat="false" ht="15" hidden="false" customHeight="false" outlineLevel="0" collapsed="false">
      <c r="A140" s="18"/>
      <c r="B140" s="19"/>
      <c r="C140" s="20"/>
      <c r="D140" s="18" t="str">
        <f aca="false">IF(C140="","",IFERROR(INDEX(Tables!$A:$A,MATCH(C140,Tables!$B:$B,0)),"Not found"))</f>
        <v/>
      </c>
      <c r="E140" s="21" t="str">
        <f aca="false">IF(D140="","",IFERROR(INDEX(Tables!$D:$D,MATCH(D140,Tables!$A:$A,0)),""))</f>
        <v/>
      </c>
      <c r="F140" s="20"/>
      <c r="G140" s="20"/>
      <c r="H140" s="18"/>
      <c r="I140" s="20"/>
      <c r="J140" s="20"/>
      <c r="K140" s="20"/>
      <c r="L140" s="20"/>
      <c r="M140" s="20"/>
      <c r="N140" s="20"/>
      <c r="O140" s="20"/>
      <c r="P140" s="20"/>
      <c r="Q140" s="21" t="str">
        <f aca="false">IF(A140="","",COUNTIF('Metric to Field'!$B:$B,A140))</f>
        <v/>
      </c>
      <c r="R140" s="21" t="str">
        <f aca="false">IF(A140="","",SUMIF('Metric to Field'!$B:$B,A140,'Metric to Field'!$G:$G))</f>
        <v/>
      </c>
      <c r="S140" s="20"/>
      <c r="T140" s="20"/>
      <c r="U140" s="20"/>
      <c r="V140" s="20"/>
      <c r="W140" s="20"/>
    </row>
    <row r="141" customFormat="false" ht="15" hidden="false" customHeight="false" outlineLevel="0" collapsed="false">
      <c r="A141" s="18"/>
      <c r="B141" s="19"/>
      <c r="C141" s="20"/>
      <c r="D141" s="18" t="str">
        <f aca="false">IF(C141="","",IFERROR(INDEX(Tables!$A:$A,MATCH(C141,Tables!$B:$B,0)),"Not found"))</f>
        <v/>
      </c>
      <c r="E141" s="21" t="str">
        <f aca="false">IF(D141="","",IFERROR(INDEX(Tables!$D:$D,MATCH(D141,Tables!$A:$A,0)),""))</f>
        <v/>
      </c>
      <c r="F141" s="20"/>
      <c r="G141" s="20"/>
      <c r="H141" s="18"/>
      <c r="I141" s="20"/>
      <c r="J141" s="20"/>
      <c r="K141" s="20"/>
      <c r="L141" s="20"/>
      <c r="M141" s="20"/>
      <c r="N141" s="20"/>
      <c r="O141" s="20"/>
      <c r="P141" s="20"/>
      <c r="Q141" s="21" t="str">
        <f aca="false">IF(A141="","",COUNTIF('Metric to Field'!$B:$B,A141))</f>
        <v/>
      </c>
      <c r="R141" s="21" t="str">
        <f aca="false">IF(A141="","",SUMIF('Metric to Field'!$B:$B,A141,'Metric to Field'!$G:$G))</f>
        <v/>
      </c>
      <c r="S141" s="20"/>
      <c r="T141" s="20"/>
      <c r="U141" s="20"/>
      <c r="V141" s="20"/>
      <c r="W141" s="20"/>
    </row>
    <row r="142" customFormat="false" ht="15" hidden="false" customHeight="false" outlineLevel="0" collapsed="false">
      <c r="A142" s="18"/>
      <c r="B142" s="19"/>
      <c r="C142" s="20"/>
      <c r="D142" s="18" t="str">
        <f aca="false">IF(C142="","",IFERROR(INDEX(Tables!$A:$A,MATCH(C142,Tables!$B:$B,0)),"Not found"))</f>
        <v/>
      </c>
      <c r="E142" s="21" t="str">
        <f aca="false">IF(D142="","",IFERROR(INDEX(Tables!$D:$D,MATCH(D142,Tables!$A:$A,0)),""))</f>
        <v/>
      </c>
      <c r="F142" s="20"/>
      <c r="G142" s="20"/>
      <c r="H142" s="18"/>
      <c r="I142" s="20"/>
      <c r="J142" s="20"/>
      <c r="K142" s="20"/>
      <c r="L142" s="20"/>
      <c r="M142" s="20"/>
      <c r="N142" s="20"/>
      <c r="O142" s="20"/>
      <c r="P142" s="20"/>
      <c r="Q142" s="21" t="str">
        <f aca="false">IF(A142="","",COUNTIF('Metric to Field'!$B:$B,A142))</f>
        <v/>
      </c>
      <c r="R142" s="21" t="str">
        <f aca="false">IF(A142="","",SUMIF('Metric to Field'!$B:$B,A142,'Metric to Field'!$G:$G))</f>
        <v/>
      </c>
      <c r="S142" s="20"/>
      <c r="T142" s="20"/>
      <c r="U142" s="20"/>
      <c r="V142" s="20"/>
      <c r="W142" s="20"/>
    </row>
    <row r="143" customFormat="false" ht="15" hidden="false" customHeight="false" outlineLevel="0" collapsed="false">
      <c r="A143" s="18"/>
      <c r="B143" s="19"/>
      <c r="C143" s="20"/>
      <c r="D143" s="18" t="str">
        <f aca="false">IF(C143="","",IFERROR(INDEX(Tables!$A:$A,MATCH(C143,Tables!$B:$B,0)),"Not found"))</f>
        <v/>
      </c>
      <c r="E143" s="21" t="str">
        <f aca="false">IF(D143="","",IFERROR(INDEX(Tables!$D:$D,MATCH(D143,Tables!$A:$A,0)),""))</f>
        <v/>
      </c>
      <c r="F143" s="20"/>
      <c r="G143" s="20"/>
      <c r="H143" s="18"/>
      <c r="I143" s="20"/>
      <c r="J143" s="20"/>
      <c r="K143" s="20"/>
      <c r="L143" s="20"/>
      <c r="M143" s="20"/>
      <c r="N143" s="20"/>
      <c r="O143" s="20"/>
      <c r="P143" s="20"/>
      <c r="Q143" s="21" t="str">
        <f aca="false">IF(A143="","",COUNTIF('Metric to Field'!$B:$B,A143))</f>
        <v/>
      </c>
      <c r="R143" s="21" t="str">
        <f aca="false">IF(A143="","",SUMIF('Metric to Field'!$B:$B,A143,'Metric to Field'!$G:$G))</f>
        <v/>
      </c>
      <c r="S143" s="20"/>
      <c r="T143" s="20"/>
      <c r="U143" s="20"/>
      <c r="V143" s="20"/>
      <c r="W143" s="20"/>
    </row>
    <row r="144" customFormat="false" ht="15" hidden="false" customHeight="false" outlineLevel="0" collapsed="false">
      <c r="A144" s="18"/>
      <c r="B144" s="19"/>
      <c r="C144" s="20"/>
      <c r="D144" s="18" t="str">
        <f aca="false">IF(C144="","",IFERROR(INDEX(Tables!$A:$A,MATCH(C144,Tables!$B:$B,0)),"Not found"))</f>
        <v/>
      </c>
      <c r="E144" s="21" t="str">
        <f aca="false">IF(D144="","",IFERROR(INDEX(Tables!$D:$D,MATCH(D144,Tables!$A:$A,0)),""))</f>
        <v/>
      </c>
      <c r="F144" s="20"/>
      <c r="G144" s="20"/>
      <c r="H144" s="18"/>
      <c r="I144" s="20"/>
      <c r="J144" s="20"/>
      <c r="K144" s="20"/>
      <c r="L144" s="20"/>
      <c r="M144" s="20"/>
      <c r="N144" s="20"/>
      <c r="O144" s="20"/>
      <c r="P144" s="20"/>
      <c r="Q144" s="21" t="str">
        <f aca="false">IF(A144="","",COUNTIF('Metric to Field'!$B:$B,A144))</f>
        <v/>
      </c>
      <c r="R144" s="21" t="str">
        <f aca="false">IF(A144="","",SUMIF('Metric to Field'!$B:$B,A144,'Metric to Field'!$G:$G))</f>
        <v/>
      </c>
      <c r="S144" s="20"/>
      <c r="T144" s="20"/>
      <c r="U144" s="20"/>
      <c r="V144" s="20"/>
      <c r="W144" s="20"/>
    </row>
    <row r="145" customFormat="false" ht="15" hidden="false" customHeight="false" outlineLevel="0" collapsed="false">
      <c r="A145" s="18"/>
      <c r="B145" s="19"/>
      <c r="C145" s="20"/>
      <c r="D145" s="18" t="str">
        <f aca="false">IF(C145="","",IFERROR(INDEX(Tables!$A:$A,MATCH(C145,Tables!$B:$B,0)),"Not found"))</f>
        <v/>
      </c>
      <c r="E145" s="21" t="str">
        <f aca="false">IF(D145="","",IFERROR(INDEX(Tables!$D:$D,MATCH(D145,Tables!$A:$A,0)),""))</f>
        <v/>
      </c>
      <c r="F145" s="20"/>
      <c r="G145" s="20"/>
      <c r="H145" s="18"/>
      <c r="I145" s="20"/>
      <c r="J145" s="20"/>
      <c r="K145" s="20"/>
      <c r="L145" s="20"/>
      <c r="M145" s="20"/>
      <c r="N145" s="20"/>
      <c r="O145" s="20"/>
      <c r="P145" s="20"/>
      <c r="Q145" s="21" t="str">
        <f aca="false">IF(A145="","",COUNTIF('Metric to Field'!$B:$B,A145))</f>
        <v/>
      </c>
      <c r="R145" s="21" t="str">
        <f aca="false">IF(A145="","",SUMIF('Metric to Field'!$B:$B,A145,'Metric to Field'!$G:$G))</f>
        <v/>
      </c>
      <c r="S145" s="20"/>
      <c r="T145" s="20"/>
      <c r="U145" s="20"/>
      <c r="V145" s="20"/>
      <c r="W145" s="20"/>
    </row>
    <row r="146" customFormat="false" ht="15" hidden="false" customHeight="false" outlineLevel="0" collapsed="false">
      <c r="A146" s="18"/>
      <c r="B146" s="19"/>
      <c r="C146" s="20"/>
      <c r="D146" s="18" t="str">
        <f aca="false">IF(C146="","",IFERROR(INDEX(Tables!$A:$A,MATCH(C146,Tables!$B:$B,0)),"Not found"))</f>
        <v/>
      </c>
      <c r="E146" s="21" t="str">
        <f aca="false">IF(D146="","",IFERROR(INDEX(Tables!$D:$D,MATCH(D146,Tables!$A:$A,0)),""))</f>
        <v/>
      </c>
      <c r="F146" s="20"/>
      <c r="G146" s="20"/>
      <c r="H146" s="18"/>
      <c r="I146" s="20"/>
      <c r="J146" s="20"/>
      <c r="K146" s="20"/>
      <c r="L146" s="20"/>
      <c r="M146" s="20"/>
      <c r="N146" s="20"/>
      <c r="O146" s="20"/>
      <c r="P146" s="20"/>
      <c r="Q146" s="21" t="str">
        <f aca="false">IF(A146="","",COUNTIF('Metric to Field'!$B:$B,A146))</f>
        <v/>
      </c>
      <c r="R146" s="21" t="str">
        <f aca="false">IF(A146="","",SUMIF('Metric to Field'!$B:$B,A146,'Metric to Field'!$G:$G))</f>
        <v/>
      </c>
      <c r="S146" s="20"/>
      <c r="T146" s="20"/>
      <c r="U146" s="20"/>
      <c r="V146" s="20"/>
      <c r="W146" s="20"/>
    </row>
    <row r="147" customFormat="false" ht="15" hidden="false" customHeight="false" outlineLevel="0" collapsed="false">
      <c r="A147" s="18"/>
      <c r="B147" s="19"/>
      <c r="C147" s="20"/>
      <c r="D147" s="18" t="str">
        <f aca="false">IF(C147="","",IFERROR(INDEX(Tables!$A:$A,MATCH(C147,Tables!$B:$B,0)),"Not found"))</f>
        <v/>
      </c>
      <c r="E147" s="21" t="str">
        <f aca="false">IF(D147="","",IFERROR(INDEX(Tables!$D:$D,MATCH(D147,Tables!$A:$A,0)),""))</f>
        <v/>
      </c>
      <c r="F147" s="20"/>
      <c r="G147" s="20"/>
      <c r="H147" s="18"/>
      <c r="I147" s="20"/>
      <c r="J147" s="20"/>
      <c r="K147" s="20"/>
      <c r="L147" s="20"/>
      <c r="M147" s="20"/>
      <c r="N147" s="20"/>
      <c r="O147" s="20"/>
      <c r="P147" s="20"/>
      <c r="Q147" s="21" t="str">
        <f aca="false">IF(A147="","",COUNTIF('Metric to Field'!$B:$B,A147))</f>
        <v/>
      </c>
      <c r="R147" s="21" t="str">
        <f aca="false">IF(A147="","",SUMIF('Metric to Field'!$B:$B,A147,'Metric to Field'!$G:$G))</f>
        <v/>
      </c>
      <c r="S147" s="20"/>
      <c r="T147" s="20"/>
      <c r="U147" s="20"/>
      <c r="V147" s="20"/>
      <c r="W147" s="20"/>
    </row>
    <row r="148" customFormat="false" ht="15" hidden="false" customHeight="false" outlineLevel="0" collapsed="false">
      <c r="A148" s="18"/>
      <c r="B148" s="19"/>
      <c r="C148" s="20"/>
      <c r="D148" s="18" t="str">
        <f aca="false">IF(C148="","",IFERROR(INDEX(Tables!$A:$A,MATCH(C148,Tables!$B:$B,0)),"Not found"))</f>
        <v/>
      </c>
      <c r="E148" s="21" t="str">
        <f aca="false">IF(D148="","",IFERROR(INDEX(Tables!$D:$D,MATCH(D148,Tables!$A:$A,0)),""))</f>
        <v/>
      </c>
      <c r="F148" s="20"/>
      <c r="G148" s="20"/>
      <c r="H148" s="18"/>
      <c r="I148" s="20"/>
      <c r="J148" s="20"/>
      <c r="K148" s="20"/>
      <c r="L148" s="20"/>
      <c r="M148" s="20"/>
      <c r="N148" s="20"/>
      <c r="O148" s="20"/>
      <c r="P148" s="20"/>
      <c r="Q148" s="21" t="str">
        <f aca="false">IF(A148="","",COUNTIF('Metric to Field'!$B:$B,A148))</f>
        <v/>
      </c>
      <c r="R148" s="21" t="str">
        <f aca="false">IF(A148="","",SUMIF('Metric to Field'!$B:$B,A148,'Metric to Field'!$G:$G))</f>
        <v/>
      </c>
      <c r="S148" s="20"/>
      <c r="T148" s="20"/>
      <c r="U148" s="20"/>
      <c r="V148" s="20"/>
      <c r="W148" s="20"/>
    </row>
    <row r="149" customFormat="false" ht="15" hidden="false" customHeight="false" outlineLevel="0" collapsed="false">
      <c r="A149" s="18"/>
      <c r="B149" s="19"/>
      <c r="C149" s="20"/>
      <c r="D149" s="18" t="str">
        <f aca="false">IF(C149="","",IFERROR(INDEX(Tables!$A:$A,MATCH(C149,Tables!$B:$B,0)),"Not found"))</f>
        <v/>
      </c>
      <c r="E149" s="21" t="str">
        <f aca="false">IF(D149="","",IFERROR(INDEX(Tables!$D:$D,MATCH(D149,Tables!$A:$A,0)),""))</f>
        <v/>
      </c>
      <c r="F149" s="20"/>
      <c r="G149" s="20"/>
      <c r="H149" s="18"/>
      <c r="I149" s="20"/>
      <c r="J149" s="20"/>
      <c r="K149" s="20"/>
      <c r="L149" s="20"/>
      <c r="M149" s="20"/>
      <c r="N149" s="20"/>
      <c r="O149" s="20"/>
      <c r="P149" s="20"/>
      <c r="Q149" s="21" t="str">
        <f aca="false">IF(A149="","",COUNTIF('Metric to Field'!$B:$B,A149))</f>
        <v/>
      </c>
      <c r="R149" s="21" t="str">
        <f aca="false">IF(A149="","",SUMIF('Metric to Field'!$B:$B,A149,'Metric to Field'!$G:$G))</f>
        <v/>
      </c>
      <c r="S149" s="20"/>
      <c r="T149" s="20"/>
      <c r="U149" s="20"/>
      <c r="V149" s="20"/>
      <c r="W149" s="20"/>
    </row>
    <row r="150" customFormat="false" ht="15" hidden="false" customHeight="false" outlineLevel="0" collapsed="false">
      <c r="A150" s="18"/>
      <c r="B150" s="19"/>
      <c r="C150" s="20"/>
      <c r="D150" s="18" t="str">
        <f aca="false">IF(C150="","",IFERROR(INDEX(Tables!$A:$A,MATCH(C150,Tables!$B:$B,0)),"Not found"))</f>
        <v/>
      </c>
      <c r="E150" s="21" t="str">
        <f aca="false">IF(D150="","",IFERROR(INDEX(Tables!$D:$D,MATCH(D150,Tables!$A:$A,0)),""))</f>
        <v/>
      </c>
      <c r="F150" s="20"/>
      <c r="G150" s="20"/>
      <c r="H150" s="18"/>
      <c r="I150" s="20"/>
      <c r="J150" s="20"/>
      <c r="K150" s="20"/>
      <c r="L150" s="20"/>
      <c r="M150" s="20"/>
      <c r="N150" s="20"/>
      <c r="O150" s="20"/>
      <c r="P150" s="20"/>
      <c r="Q150" s="21" t="str">
        <f aca="false">IF(A150="","",COUNTIF('Metric to Field'!$B:$B,A150))</f>
        <v/>
      </c>
      <c r="R150" s="21" t="str">
        <f aca="false">IF(A150="","",SUMIF('Metric to Field'!$B:$B,A150,'Metric to Field'!$G:$G))</f>
        <v/>
      </c>
      <c r="S150" s="20"/>
      <c r="T150" s="20"/>
      <c r="U150" s="20"/>
      <c r="V150" s="20"/>
      <c r="W150" s="20"/>
    </row>
    <row r="151" customFormat="false" ht="15" hidden="false" customHeight="false" outlineLevel="0" collapsed="false">
      <c r="A151" s="18"/>
      <c r="B151" s="19"/>
      <c r="C151" s="20"/>
      <c r="D151" s="18" t="str">
        <f aca="false">IF(C151="","",IFERROR(INDEX(Tables!$A:$A,MATCH(C151,Tables!$B:$B,0)),"Not found"))</f>
        <v/>
      </c>
      <c r="E151" s="21" t="str">
        <f aca="false">IF(D151="","",IFERROR(INDEX(Tables!$D:$D,MATCH(D151,Tables!$A:$A,0)),""))</f>
        <v/>
      </c>
      <c r="F151" s="20"/>
      <c r="G151" s="20"/>
      <c r="H151" s="18"/>
      <c r="I151" s="20"/>
      <c r="J151" s="20"/>
      <c r="K151" s="20"/>
      <c r="L151" s="20"/>
      <c r="M151" s="20"/>
      <c r="N151" s="20"/>
      <c r="O151" s="20"/>
      <c r="P151" s="20"/>
      <c r="Q151" s="21" t="str">
        <f aca="false">IF(A151="","",COUNTIF('Metric to Field'!$B:$B,A151))</f>
        <v/>
      </c>
      <c r="R151" s="21" t="str">
        <f aca="false">IF(A151="","",SUMIF('Metric to Field'!$B:$B,A151,'Metric to Field'!$G:$G))</f>
        <v/>
      </c>
      <c r="S151" s="20"/>
      <c r="T151" s="20"/>
      <c r="U151" s="20"/>
      <c r="V151" s="20"/>
      <c r="W151" s="20"/>
    </row>
    <row r="152" customFormat="false" ht="15" hidden="false" customHeight="false" outlineLevel="0" collapsed="false">
      <c r="A152" s="18"/>
      <c r="B152" s="19"/>
      <c r="C152" s="20"/>
      <c r="D152" s="18" t="str">
        <f aca="false">IF(C152="","",IFERROR(INDEX(Tables!$A:$A,MATCH(C152,Tables!$B:$B,0)),"Not found"))</f>
        <v/>
      </c>
      <c r="E152" s="21" t="str">
        <f aca="false">IF(D152="","",IFERROR(INDEX(Tables!$D:$D,MATCH(D152,Tables!$A:$A,0)),""))</f>
        <v/>
      </c>
      <c r="F152" s="20"/>
      <c r="G152" s="20"/>
      <c r="H152" s="18"/>
      <c r="I152" s="20"/>
      <c r="J152" s="20"/>
      <c r="K152" s="20"/>
      <c r="L152" s="20"/>
      <c r="M152" s="20"/>
      <c r="N152" s="20"/>
      <c r="O152" s="20"/>
      <c r="P152" s="20"/>
      <c r="Q152" s="21" t="str">
        <f aca="false">IF(A152="","",COUNTIF('Metric to Field'!$B:$B,A152))</f>
        <v/>
      </c>
      <c r="R152" s="21" t="str">
        <f aca="false">IF(A152="","",SUMIF('Metric to Field'!$B:$B,A152,'Metric to Field'!$G:$G))</f>
        <v/>
      </c>
      <c r="S152" s="20"/>
      <c r="T152" s="20"/>
      <c r="U152" s="20"/>
      <c r="V152" s="20"/>
      <c r="W152" s="20"/>
    </row>
    <row r="153" customFormat="false" ht="15" hidden="false" customHeight="false" outlineLevel="0" collapsed="false">
      <c r="A153" s="18"/>
      <c r="B153" s="19"/>
      <c r="C153" s="20"/>
      <c r="D153" s="18" t="str">
        <f aca="false">IF(C153="","",IFERROR(INDEX(Tables!$A:$A,MATCH(C153,Tables!$B:$B,0)),"Not found"))</f>
        <v/>
      </c>
      <c r="E153" s="21" t="str">
        <f aca="false">IF(D153="","",IFERROR(INDEX(Tables!$D:$D,MATCH(D153,Tables!$A:$A,0)),""))</f>
        <v/>
      </c>
      <c r="F153" s="20"/>
      <c r="G153" s="20"/>
      <c r="H153" s="18"/>
      <c r="I153" s="20"/>
      <c r="J153" s="20"/>
      <c r="K153" s="20"/>
      <c r="L153" s="20"/>
      <c r="M153" s="20"/>
      <c r="N153" s="20"/>
      <c r="O153" s="20"/>
      <c r="P153" s="20"/>
      <c r="Q153" s="21" t="str">
        <f aca="false">IF(A153="","",COUNTIF('Metric to Field'!$B:$B,A153))</f>
        <v/>
      </c>
      <c r="R153" s="21" t="str">
        <f aca="false">IF(A153="","",SUMIF('Metric to Field'!$B:$B,A153,'Metric to Field'!$G:$G))</f>
        <v/>
      </c>
      <c r="S153" s="20"/>
      <c r="T153" s="20"/>
      <c r="U153" s="20"/>
      <c r="V153" s="20"/>
      <c r="W153" s="20"/>
    </row>
    <row r="154" customFormat="false" ht="15" hidden="false" customHeight="false" outlineLevel="0" collapsed="false">
      <c r="A154" s="18"/>
      <c r="B154" s="19"/>
      <c r="C154" s="20"/>
      <c r="D154" s="18" t="str">
        <f aca="false">IF(C154="","",IFERROR(INDEX(Tables!$A:$A,MATCH(C154,Tables!$B:$B,0)),"Not found"))</f>
        <v/>
      </c>
      <c r="E154" s="21" t="str">
        <f aca="false">IF(D154="","",IFERROR(INDEX(Tables!$D:$D,MATCH(D154,Tables!$A:$A,0)),""))</f>
        <v/>
      </c>
      <c r="F154" s="20"/>
      <c r="G154" s="20"/>
      <c r="H154" s="18"/>
      <c r="I154" s="20"/>
      <c r="J154" s="20"/>
      <c r="K154" s="20"/>
      <c r="L154" s="20"/>
      <c r="M154" s="20"/>
      <c r="N154" s="20"/>
      <c r="O154" s="20"/>
      <c r="P154" s="20"/>
      <c r="Q154" s="21" t="str">
        <f aca="false">IF(A154="","",COUNTIF('Metric to Field'!$B:$B,A154))</f>
        <v/>
      </c>
      <c r="R154" s="21" t="str">
        <f aca="false">IF(A154="","",SUMIF('Metric to Field'!$B:$B,A154,'Metric to Field'!$G:$G))</f>
        <v/>
      </c>
      <c r="S154" s="20"/>
      <c r="T154" s="20"/>
      <c r="U154" s="20"/>
      <c r="V154" s="20"/>
      <c r="W154" s="20"/>
    </row>
    <row r="155" customFormat="false" ht="15" hidden="false" customHeight="false" outlineLevel="0" collapsed="false">
      <c r="A155" s="18"/>
      <c r="B155" s="19"/>
      <c r="C155" s="20"/>
      <c r="D155" s="18" t="str">
        <f aca="false">IF(C155="","",IFERROR(INDEX(Tables!$A:$A,MATCH(C155,Tables!$B:$B,0)),"Not found"))</f>
        <v/>
      </c>
      <c r="E155" s="21" t="str">
        <f aca="false">IF(D155="","",IFERROR(INDEX(Tables!$D:$D,MATCH(D155,Tables!$A:$A,0)),""))</f>
        <v/>
      </c>
      <c r="F155" s="20"/>
      <c r="G155" s="20"/>
      <c r="H155" s="18"/>
      <c r="I155" s="20"/>
      <c r="J155" s="20"/>
      <c r="K155" s="20"/>
      <c r="L155" s="20"/>
      <c r="M155" s="20"/>
      <c r="N155" s="20"/>
      <c r="O155" s="20"/>
      <c r="P155" s="20"/>
      <c r="Q155" s="21" t="str">
        <f aca="false">IF(A155="","",COUNTIF('Metric to Field'!$B:$B,A155))</f>
        <v/>
      </c>
      <c r="R155" s="21" t="str">
        <f aca="false">IF(A155="","",SUMIF('Metric to Field'!$B:$B,A155,'Metric to Field'!$G:$G))</f>
        <v/>
      </c>
      <c r="S155" s="20"/>
      <c r="T155" s="20"/>
      <c r="U155" s="20"/>
      <c r="V155" s="20"/>
      <c r="W155" s="20"/>
    </row>
    <row r="156" customFormat="false" ht="15" hidden="false" customHeight="false" outlineLevel="0" collapsed="false">
      <c r="A156" s="18"/>
      <c r="B156" s="19"/>
      <c r="C156" s="20"/>
      <c r="D156" s="18" t="str">
        <f aca="false">IF(C156="","",IFERROR(INDEX(Tables!$A:$A,MATCH(C156,Tables!$B:$B,0)),"Not found"))</f>
        <v/>
      </c>
      <c r="E156" s="21" t="str">
        <f aca="false">IF(D156="","",IFERROR(INDEX(Tables!$D:$D,MATCH(D156,Tables!$A:$A,0)),""))</f>
        <v/>
      </c>
      <c r="F156" s="20"/>
      <c r="G156" s="20"/>
      <c r="H156" s="18"/>
      <c r="I156" s="20"/>
      <c r="J156" s="20"/>
      <c r="K156" s="20"/>
      <c r="L156" s="20"/>
      <c r="M156" s="20"/>
      <c r="N156" s="20"/>
      <c r="O156" s="20"/>
      <c r="P156" s="20"/>
      <c r="Q156" s="21" t="str">
        <f aca="false">IF(A156="","",COUNTIF('Metric to Field'!$B:$B,A156))</f>
        <v/>
      </c>
      <c r="R156" s="21" t="str">
        <f aca="false">IF(A156="","",SUMIF('Metric to Field'!$B:$B,A156,'Metric to Field'!$G:$G))</f>
        <v/>
      </c>
      <c r="S156" s="20"/>
      <c r="T156" s="20"/>
      <c r="U156" s="20"/>
      <c r="V156" s="20"/>
      <c r="W156" s="20"/>
    </row>
    <row r="157" customFormat="false" ht="15" hidden="false" customHeight="false" outlineLevel="0" collapsed="false">
      <c r="A157" s="18"/>
      <c r="B157" s="19"/>
      <c r="C157" s="20"/>
      <c r="D157" s="18" t="str">
        <f aca="false">IF(C157="","",IFERROR(INDEX(Tables!$A:$A,MATCH(C157,Tables!$B:$B,0)),"Not found"))</f>
        <v/>
      </c>
      <c r="E157" s="21" t="str">
        <f aca="false">IF(D157="","",IFERROR(INDEX(Tables!$D:$D,MATCH(D157,Tables!$A:$A,0)),""))</f>
        <v/>
      </c>
      <c r="F157" s="20"/>
      <c r="G157" s="20"/>
      <c r="H157" s="18"/>
      <c r="I157" s="20"/>
      <c r="J157" s="20"/>
      <c r="K157" s="20"/>
      <c r="L157" s="20"/>
      <c r="M157" s="20"/>
      <c r="N157" s="20"/>
      <c r="O157" s="20"/>
      <c r="P157" s="20"/>
      <c r="Q157" s="21" t="str">
        <f aca="false">IF(A157="","",COUNTIF('Metric to Field'!$B:$B,A157))</f>
        <v/>
      </c>
      <c r="R157" s="21" t="str">
        <f aca="false">IF(A157="","",SUMIF('Metric to Field'!$B:$B,A157,'Metric to Field'!$G:$G))</f>
        <v/>
      </c>
      <c r="S157" s="20"/>
      <c r="T157" s="20"/>
      <c r="U157" s="20"/>
      <c r="V157" s="20"/>
      <c r="W157" s="20"/>
    </row>
    <row r="158" customFormat="false" ht="15" hidden="false" customHeight="false" outlineLevel="0" collapsed="false">
      <c r="A158" s="18"/>
      <c r="B158" s="19"/>
      <c r="C158" s="20"/>
      <c r="D158" s="18" t="str">
        <f aca="false">IF(C158="","",IFERROR(INDEX(Tables!$A:$A,MATCH(C158,Tables!$B:$B,0)),"Not found"))</f>
        <v/>
      </c>
      <c r="E158" s="21" t="str">
        <f aca="false">IF(D158="","",IFERROR(INDEX(Tables!$D:$D,MATCH(D158,Tables!$A:$A,0)),""))</f>
        <v/>
      </c>
      <c r="F158" s="20"/>
      <c r="G158" s="20"/>
      <c r="H158" s="18"/>
      <c r="I158" s="20"/>
      <c r="J158" s="20"/>
      <c r="K158" s="20"/>
      <c r="L158" s="20"/>
      <c r="M158" s="20"/>
      <c r="N158" s="20"/>
      <c r="O158" s="20"/>
      <c r="P158" s="20"/>
      <c r="Q158" s="21" t="str">
        <f aca="false">IF(A158="","",COUNTIF('Metric to Field'!$B:$B,A158))</f>
        <v/>
      </c>
      <c r="R158" s="21" t="str">
        <f aca="false">IF(A158="","",SUMIF('Metric to Field'!$B:$B,A158,'Metric to Field'!$G:$G))</f>
        <v/>
      </c>
      <c r="S158" s="20"/>
      <c r="T158" s="20"/>
      <c r="U158" s="20"/>
      <c r="V158" s="20"/>
      <c r="W158" s="20"/>
    </row>
    <row r="159" customFormat="false" ht="15" hidden="false" customHeight="false" outlineLevel="0" collapsed="false">
      <c r="A159" s="18"/>
      <c r="B159" s="19"/>
      <c r="C159" s="20"/>
      <c r="D159" s="18" t="str">
        <f aca="false">IF(C159="","",IFERROR(INDEX(Tables!$A:$A,MATCH(C159,Tables!$B:$B,0)),"Not found"))</f>
        <v/>
      </c>
      <c r="E159" s="21" t="str">
        <f aca="false">IF(D159="","",IFERROR(INDEX(Tables!$D:$D,MATCH(D159,Tables!$A:$A,0)),""))</f>
        <v/>
      </c>
      <c r="F159" s="20"/>
      <c r="G159" s="20"/>
      <c r="H159" s="18"/>
      <c r="I159" s="20"/>
      <c r="J159" s="20"/>
      <c r="K159" s="20"/>
      <c r="L159" s="20"/>
      <c r="M159" s="20"/>
      <c r="N159" s="20"/>
      <c r="O159" s="20"/>
      <c r="P159" s="20"/>
      <c r="Q159" s="21" t="str">
        <f aca="false">IF(A159="","",COUNTIF('Metric to Field'!$B:$B,A159))</f>
        <v/>
      </c>
      <c r="R159" s="21" t="str">
        <f aca="false">IF(A159="","",SUMIF('Metric to Field'!$B:$B,A159,'Metric to Field'!$G:$G))</f>
        <v/>
      </c>
      <c r="S159" s="20"/>
      <c r="T159" s="20"/>
      <c r="U159" s="20"/>
      <c r="V159" s="20"/>
      <c r="W159" s="20"/>
    </row>
    <row r="160" customFormat="false" ht="15" hidden="false" customHeight="false" outlineLevel="0" collapsed="false">
      <c r="A160" s="18"/>
      <c r="B160" s="19"/>
      <c r="C160" s="20"/>
      <c r="D160" s="18" t="str">
        <f aca="false">IF(C160="","",IFERROR(INDEX(Tables!$A:$A,MATCH(C160,Tables!$B:$B,0)),"Not found"))</f>
        <v/>
      </c>
      <c r="E160" s="21" t="str">
        <f aca="false">IF(D160="","",IFERROR(INDEX(Tables!$D:$D,MATCH(D160,Tables!$A:$A,0)),""))</f>
        <v/>
      </c>
      <c r="F160" s="20"/>
      <c r="G160" s="20"/>
      <c r="H160" s="18"/>
      <c r="I160" s="20"/>
      <c r="J160" s="20"/>
      <c r="K160" s="20"/>
      <c r="L160" s="20"/>
      <c r="M160" s="20"/>
      <c r="N160" s="20"/>
      <c r="O160" s="20"/>
      <c r="P160" s="20"/>
      <c r="Q160" s="21" t="str">
        <f aca="false">IF(A160="","",COUNTIF('Metric to Field'!$B:$B,A160))</f>
        <v/>
      </c>
      <c r="R160" s="21" t="str">
        <f aca="false">IF(A160="","",SUMIF('Metric to Field'!$B:$B,A160,'Metric to Field'!$G:$G))</f>
        <v/>
      </c>
      <c r="S160" s="20"/>
      <c r="T160" s="20"/>
      <c r="U160" s="20"/>
      <c r="V160" s="20"/>
      <c r="W160" s="20"/>
    </row>
    <row r="161" customFormat="false" ht="15" hidden="false" customHeight="false" outlineLevel="0" collapsed="false">
      <c r="A161" s="18"/>
      <c r="B161" s="19"/>
      <c r="C161" s="20"/>
      <c r="D161" s="18" t="str">
        <f aca="false">IF(C161="","",IFERROR(INDEX(Tables!$A:$A,MATCH(C161,Tables!$B:$B,0)),"Not found"))</f>
        <v/>
      </c>
      <c r="E161" s="21" t="str">
        <f aca="false">IF(D161="","",IFERROR(INDEX(Tables!$D:$D,MATCH(D161,Tables!$A:$A,0)),""))</f>
        <v/>
      </c>
      <c r="F161" s="20"/>
      <c r="G161" s="20"/>
      <c r="H161" s="18"/>
      <c r="I161" s="20"/>
      <c r="J161" s="20"/>
      <c r="K161" s="20"/>
      <c r="L161" s="20"/>
      <c r="M161" s="20"/>
      <c r="N161" s="20"/>
      <c r="O161" s="20"/>
      <c r="P161" s="20"/>
      <c r="Q161" s="21" t="str">
        <f aca="false">IF(A161="","",COUNTIF('Metric to Field'!$B:$B,A161))</f>
        <v/>
      </c>
      <c r="R161" s="21" t="str">
        <f aca="false">IF(A161="","",SUMIF('Metric to Field'!$B:$B,A161,'Metric to Field'!$G:$G))</f>
        <v/>
      </c>
      <c r="S161" s="20"/>
      <c r="T161" s="20"/>
      <c r="U161" s="20"/>
      <c r="V161" s="20"/>
      <c r="W161" s="20"/>
    </row>
    <row r="162" customFormat="false" ht="15" hidden="false" customHeight="false" outlineLevel="0" collapsed="false">
      <c r="A162" s="18"/>
      <c r="B162" s="19"/>
      <c r="C162" s="20"/>
      <c r="D162" s="18" t="str">
        <f aca="false">IF(C162="","",IFERROR(INDEX(Tables!$A:$A,MATCH(C162,Tables!$B:$B,0)),"Not found"))</f>
        <v/>
      </c>
      <c r="E162" s="21" t="str">
        <f aca="false">IF(D162="","",IFERROR(INDEX(Tables!$D:$D,MATCH(D162,Tables!$A:$A,0)),""))</f>
        <v/>
      </c>
      <c r="F162" s="20"/>
      <c r="G162" s="20"/>
      <c r="H162" s="18"/>
      <c r="I162" s="20"/>
      <c r="J162" s="20"/>
      <c r="K162" s="20"/>
      <c r="L162" s="20"/>
      <c r="M162" s="20"/>
      <c r="N162" s="20"/>
      <c r="O162" s="20"/>
      <c r="P162" s="20"/>
      <c r="Q162" s="21" t="str">
        <f aca="false">IF(A162="","",COUNTIF('Metric to Field'!$B:$B,A162))</f>
        <v/>
      </c>
      <c r="R162" s="21" t="str">
        <f aca="false">IF(A162="","",SUMIF('Metric to Field'!$B:$B,A162,'Metric to Field'!$G:$G))</f>
        <v/>
      </c>
      <c r="S162" s="20"/>
      <c r="T162" s="20"/>
      <c r="U162" s="20"/>
      <c r="V162" s="20"/>
      <c r="W162" s="20"/>
    </row>
    <row r="163" customFormat="false" ht="15" hidden="false" customHeight="false" outlineLevel="0" collapsed="false">
      <c r="A163" s="18"/>
      <c r="B163" s="19"/>
      <c r="C163" s="20"/>
      <c r="D163" s="18" t="str">
        <f aca="false">IF(C163="","",IFERROR(INDEX(Tables!$A:$A,MATCH(C163,Tables!$B:$B,0)),"Not found"))</f>
        <v/>
      </c>
      <c r="E163" s="21" t="str">
        <f aca="false">IF(D163="","",IFERROR(INDEX(Tables!$D:$D,MATCH(D163,Tables!$A:$A,0)),""))</f>
        <v/>
      </c>
      <c r="F163" s="20"/>
      <c r="G163" s="20"/>
      <c r="H163" s="18"/>
      <c r="I163" s="20"/>
      <c r="J163" s="20"/>
      <c r="K163" s="20"/>
      <c r="L163" s="20"/>
      <c r="M163" s="20"/>
      <c r="N163" s="20"/>
      <c r="O163" s="20"/>
      <c r="P163" s="20"/>
      <c r="Q163" s="21" t="str">
        <f aca="false">IF(A163="","",COUNTIF('Metric to Field'!$B:$B,A163))</f>
        <v/>
      </c>
      <c r="R163" s="21" t="str">
        <f aca="false">IF(A163="","",SUMIF('Metric to Field'!$B:$B,A163,'Metric to Field'!$G:$G))</f>
        <v/>
      </c>
      <c r="S163" s="20"/>
      <c r="T163" s="20"/>
      <c r="U163" s="20"/>
      <c r="V163" s="20"/>
      <c r="W163" s="20"/>
    </row>
    <row r="164" customFormat="false" ht="15" hidden="false" customHeight="false" outlineLevel="0" collapsed="false">
      <c r="A164" s="18"/>
      <c r="B164" s="19"/>
      <c r="C164" s="20"/>
      <c r="D164" s="18" t="str">
        <f aca="false">IF(C164="","",IFERROR(INDEX(Tables!$A:$A,MATCH(C164,Tables!$B:$B,0)),"Not found"))</f>
        <v/>
      </c>
      <c r="E164" s="21" t="str">
        <f aca="false">IF(D164="","",IFERROR(INDEX(Tables!$D:$D,MATCH(D164,Tables!$A:$A,0)),""))</f>
        <v/>
      </c>
      <c r="F164" s="20"/>
      <c r="G164" s="20"/>
      <c r="H164" s="18"/>
      <c r="I164" s="20"/>
      <c r="J164" s="20"/>
      <c r="K164" s="20"/>
      <c r="L164" s="20"/>
      <c r="M164" s="20"/>
      <c r="N164" s="20"/>
      <c r="O164" s="20"/>
      <c r="P164" s="20"/>
      <c r="Q164" s="21" t="str">
        <f aca="false">IF(A164="","",COUNTIF('Metric to Field'!$B:$B,A164))</f>
        <v/>
      </c>
      <c r="R164" s="21" t="str">
        <f aca="false">IF(A164="","",SUMIF('Metric to Field'!$B:$B,A164,'Metric to Field'!$G:$G))</f>
        <v/>
      </c>
      <c r="S164" s="20"/>
      <c r="T164" s="20"/>
      <c r="U164" s="20"/>
      <c r="V164" s="20"/>
      <c r="W164" s="20"/>
    </row>
    <row r="165" customFormat="false" ht="15" hidden="false" customHeight="false" outlineLevel="0" collapsed="false">
      <c r="A165" s="18"/>
      <c r="B165" s="19"/>
      <c r="C165" s="20"/>
      <c r="D165" s="18" t="str">
        <f aca="false">IF(C165="","",IFERROR(INDEX(Tables!$A:$A,MATCH(C165,Tables!$B:$B,0)),"Not found"))</f>
        <v/>
      </c>
      <c r="E165" s="21" t="str">
        <f aca="false">IF(D165="","",IFERROR(INDEX(Tables!$D:$D,MATCH(D165,Tables!$A:$A,0)),""))</f>
        <v/>
      </c>
      <c r="F165" s="20"/>
      <c r="G165" s="20"/>
      <c r="H165" s="18"/>
      <c r="I165" s="20"/>
      <c r="J165" s="20"/>
      <c r="K165" s="20"/>
      <c r="L165" s="20"/>
      <c r="M165" s="20"/>
      <c r="N165" s="20"/>
      <c r="O165" s="20"/>
      <c r="P165" s="20"/>
      <c r="Q165" s="21" t="str">
        <f aca="false">IF(A165="","",COUNTIF('Metric to Field'!$B:$B,A165))</f>
        <v/>
      </c>
      <c r="R165" s="21" t="str">
        <f aca="false">IF(A165="","",SUMIF('Metric to Field'!$B:$B,A165,'Metric to Field'!$G:$G))</f>
        <v/>
      </c>
      <c r="S165" s="20"/>
      <c r="T165" s="20"/>
      <c r="U165" s="20"/>
      <c r="V165" s="20"/>
      <c r="W165" s="20"/>
    </row>
    <row r="166" customFormat="false" ht="15" hidden="false" customHeight="false" outlineLevel="0" collapsed="false">
      <c r="A166" s="18"/>
      <c r="B166" s="19"/>
      <c r="C166" s="20"/>
      <c r="D166" s="18" t="str">
        <f aca="false">IF(C166="","",IFERROR(INDEX(Tables!$A:$A,MATCH(C166,Tables!$B:$B,0)),"Not found"))</f>
        <v/>
      </c>
      <c r="E166" s="21" t="str">
        <f aca="false">IF(D166="","",IFERROR(INDEX(Tables!$D:$D,MATCH(D166,Tables!$A:$A,0)),""))</f>
        <v/>
      </c>
      <c r="F166" s="20"/>
      <c r="G166" s="20"/>
      <c r="H166" s="18"/>
      <c r="I166" s="20"/>
      <c r="J166" s="20"/>
      <c r="K166" s="20"/>
      <c r="L166" s="20"/>
      <c r="M166" s="20"/>
      <c r="N166" s="20"/>
      <c r="O166" s="20"/>
      <c r="P166" s="20"/>
      <c r="Q166" s="21" t="str">
        <f aca="false">IF(A166="","",COUNTIF('Metric to Field'!$B:$B,A166))</f>
        <v/>
      </c>
      <c r="R166" s="21" t="str">
        <f aca="false">IF(A166="","",SUMIF('Metric to Field'!$B:$B,A166,'Metric to Field'!$G:$G))</f>
        <v/>
      </c>
      <c r="S166" s="20"/>
      <c r="T166" s="20"/>
      <c r="U166" s="20"/>
      <c r="V166" s="20"/>
      <c r="W166" s="20"/>
    </row>
    <row r="167" customFormat="false" ht="15" hidden="false" customHeight="false" outlineLevel="0" collapsed="false">
      <c r="A167" s="18"/>
      <c r="B167" s="19"/>
      <c r="C167" s="20"/>
      <c r="D167" s="18" t="str">
        <f aca="false">IF(C167="","",IFERROR(INDEX(Tables!$A:$A,MATCH(C167,Tables!$B:$B,0)),"Not found"))</f>
        <v/>
      </c>
      <c r="E167" s="21" t="str">
        <f aca="false">IF(D167="","",IFERROR(INDEX(Tables!$D:$D,MATCH(D167,Tables!$A:$A,0)),""))</f>
        <v/>
      </c>
      <c r="F167" s="20"/>
      <c r="G167" s="20"/>
      <c r="H167" s="18"/>
      <c r="I167" s="20"/>
      <c r="J167" s="20"/>
      <c r="K167" s="20"/>
      <c r="L167" s="20"/>
      <c r="M167" s="20"/>
      <c r="N167" s="20"/>
      <c r="O167" s="20"/>
      <c r="P167" s="20"/>
      <c r="Q167" s="21" t="str">
        <f aca="false">IF(A167="","",COUNTIF('Metric to Field'!$B:$B,A167))</f>
        <v/>
      </c>
      <c r="R167" s="21" t="str">
        <f aca="false">IF(A167="","",SUMIF('Metric to Field'!$B:$B,A167,'Metric to Field'!$G:$G))</f>
        <v/>
      </c>
      <c r="S167" s="20"/>
      <c r="T167" s="20"/>
      <c r="U167" s="20"/>
      <c r="V167" s="20"/>
      <c r="W167" s="20"/>
    </row>
    <row r="168" customFormat="false" ht="15" hidden="false" customHeight="false" outlineLevel="0" collapsed="false">
      <c r="A168" s="18"/>
      <c r="B168" s="19"/>
      <c r="C168" s="20"/>
      <c r="D168" s="18" t="str">
        <f aca="false">IF(C168="","",IFERROR(INDEX(Tables!$A:$A,MATCH(C168,Tables!$B:$B,0)),"Not found"))</f>
        <v/>
      </c>
      <c r="E168" s="21" t="str">
        <f aca="false">IF(D168="","",IFERROR(INDEX(Tables!$D:$D,MATCH(D168,Tables!$A:$A,0)),""))</f>
        <v/>
      </c>
      <c r="F168" s="20"/>
      <c r="G168" s="20"/>
      <c r="H168" s="18"/>
      <c r="I168" s="20"/>
      <c r="J168" s="20"/>
      <c r="K168" s="20"/>
      <c r="L168" s="20"/>
      <c r="M168" s="20"/>
      <c r="N168" s="20"/>
      <c r="O168" s="20"/>
      <c r="P168" s="20"/>
      <c r="Q168" s="21" t="str">
        <f aca="false">IF(A168="","",COUNTIF('Metric to Field'!$B:$B,A168))</f>
        <v/>
      </c>
      <c r="R168" s="21" t="str">
        <f aca="false">IF(A168="","",SUMIF('Metric to Field'!$B:$B,A168,'Metric to Field'!$G:$G))</f>
        <v/>
      </c>
      <c r="S168" s="20"/>
      <c r="T168" s="20"/>
      <c r="U168" s="20"/>
      <c r="V168" s="20"/>
      <c r="W168" s="20"/>
    </row>
    <row r="169" customFormat="false" ht="15" hidden="false" customHeight="false" outlineLevel="0" collapsed="false">
      <c r="A169" s="18"/>
      <c r="B169" s="19"/>
      <c r="C169" s="20"/>
      <c r="D169" s="18" t="str">
        <f aca="false">IF(C169="","",IFERROR(INDEX(Tables!$A:$A,MATCH(C169,Tables!$B:$B,0)),"Not found"))</f>
        <v/>
      </c>
      <c r="E169" s="21" t="str">
        <f aca="false">IF(D169="","",IFERROR(INDEX(Tables!$D:$D,MATCH(D169,Tables!$A:$A,0)),""))</f>
        <v/>
      </c>
      <c r="F169" s="20"/>
      <c r="G169" s="20"/>
      <c r="H169" s="18"/>
      <c r="I169" s="20"/>
      <c r="J169" s="20"/>
      <c r="K169" s="20"/>
      <c r="L169" s="20"/>
      <c r="M169" s="20"/>
      <c r="N169" s="20"/>
      <c r="O169" s="20"/>
      <c r="P169" s="20"/>
      <c r="Q169" s="21" t="str">
        <f aca="false">IF(A169="","",COUNTIF('Metric to Field'!$B:$B,A169))</f>
        <v/>
      </c>
      <c r="R169" s="21" t="str">
        <f aca="false">IF(A169="","",SUMIF('Metric to Field'!$B:$B,A169,'Metric to Field'!$G:$G))</f>
        <v/>
      </c>
      <c r="S169" s="20"/>
      <c r="T169" s="20"/>
      <c r="U169" s="20"/>
      <c r="V169" s="20"/>
      <c r="W169" s="20"/>
    </row>
    <row r="170" customFormat="false" ht="15" hidden="false" customHeight="false" outlineLevel="0" collapsed="false">
      <c r="A170" s="18"/>
      <c r="B170" s="19"/>
      <c r="C170" s="20"/>
      <c r="D170" s="18" t="str">
        <f aca="false">IF(C170="","",IFERROR(INDEX(Tables!$A:$A,MATCH(C170,Tables!$B:$B,0)),"Not found"))</f>
        <v/>
      </c>
      <c r="E170" s="21" t="str">
        <f aca="false">IF(D170="","",IFERROR(INDEX(Tables!$D:$D,MATCH(D170,Tables!$A:$A,0)),""))</f>
        <v/>
      </c>
      <c r="F170" s="20"/>
      <c r="G170" s="20"/>
      <c r="H170" s="18"/>
      <c r="I170" s="20"/>
      <c r="J170" s="20"/>
      <c r="K170" s="20"/>
      <c r="L170" s="20"/>
      <c r="M170" s="20"/>
      <c r="N170" s="20"/>
      <c r="O170" s="20"/>
      <c r="P170" s="20"/>
      <c r="Q170" s="21" t="str">
        <f aca="false">IF(A170="","",COUNTIF('Metric to Field'!$B:$B,A170))</f>
        <v/>
      </c>
      <c r="R170" s="21" t="str">
        <f aca="false">IF(A170="","",SUMIF('Metric to Field'!$B:$B,A170,'Metric to Field'!$G:$G))</f>
        <v/>
      </c>
      <c r="S170" s="20"/>
      <c r="T170" s="20"/>
      <c r="U170" s="20"/>
      <c r="V170" s="20"/>
      <c r="W170" s="20"/>
    </row>
    <row r="171" customFormat="false" ht="15" hidden="false" customHeight="false" outlineLevel="0" collapsed="false">
      <c r="A171" s="18"/>
      <c r="B171" s="19"/>
      <c r="C171" s="20"/>
      <c r="D171" s="18" t="str">
        <f aca="false">IF(C171="","",IFERROR(INDEX(Tables!$A:$A,MATCH(C171,Tables!$B:$B,0)),"Not found"))</f>
        <v/>
      </c>
      <c r="E171" s="21" t="str">
        <f aca="false">IF(D171="","",IFERROR(INDEX(Tables!$D:$D,MATCH(D171,Tables!$A:$A,0)),""))</f>
        <v/>
      </c>
      <c r="F171" s="20"/>
      <c r="G171" s="20"/>
      <c r="H171" s="18"/>
      <c r="I171" s="20"/>
      <c r="J171" s="20"/>
      <c r="K171" s="20"/>
      <c r="L171" s="20"/>
      <c r="M171" s="20"/>
      <c r="N171" s="20"/>
      <c r="O171" s="20"/>
      <c r="P171" s="20"/>
      <c r="Q171" s="21" t="str">
        <f aca="false">IF(A171="","",COUNTIF('Metric to Field'!$B:$B,A171))</f>
        <v/>
      </c>
      <c r="R171" s="21" t="str">
        <f aca="false">IF(A171="","",SUMIF('Metric to Field'!$B:$B,A171,'Metric to Field'!$G:$G))</f>
        <v/>
      </c>
      <c r="S171" s="20"/>
      <c r="T171" s="20"/>
      <c r="U171" s="20"/>
      <c r="V171" s="20"/>
      <c r="W171" s="20"/>
    </row>
    <row r="172" customFormat="false" ht="15" hidden="false" customHeight="false" outlineLevel="0" collapsed="false">
      <c r="A172" s="18"/>
      <c r="B172" s="19"/>
      <c r="C172" s="20"/>
      <c r="D172" s="18" t="str">
        <f aca="false">IF(C172="","",IFERROR(INDEX(Tables!$A:$A,MATCH(C172,Tables!$B:$B,0)),"Not found"))</f>
        <v/>
      </c>
      <c r="E172" s="21" t="str">
        <f aca="false">IF(D172="","",IFERROR(INDEX(Tables!$D:$D,MATCH(D172,Tables!$A:$A,0)),""))</f>
        <v/>
      </c>
      <c r="F172" s="20"/>
      <c r="G172" s="20"/>
      <c r="H172" s="18"/>
      <c r="I172" s="20"/>
      <c r="J172" s="20"/>
      <c r="K172" s="20"/>
      <c r="L172" s="20"/>
      <c r="M172" s="20"/>
      <c r="N172" s="20"/>
      <c r="O172" s="20"/>
      <c r="P172" s="20"/>
      <c r="Q172" s="21" t="str">
        <f aca="false">IF(A172="","",COUNTIF('Metric to Field'!$B:$B,A172))</f>
        <v/>
      </c>
      <c r="R172" s="21" t="str">
        <f aca="false">IF(A172="","",SUMIF('Metric to Field'!$B:$B,A172,'Metric to Field'!$G:$G))</f>
        <v/>
      </c>
      <c r="S172" s="20"/>
      <c r="T172" s="20"/>
      <c r="U172" s="20"/>
      <c r="V172" s="20"/>
      <c r="W172" s="20"/>
    </row>
    <row r="173" customFormat="false" ht="15" hidden="false" customHeight="false" outlineLevel="0" collapsed="false">
      <c r="A173" s="18"/>
      <c r="B173" s="19"/>
      <c r="C173" s="20"/>
      <c r="D173" s="18" t="str">
        <f aca="false">IF(C173="","",IFERROR(INDEX(Tables!$A:$A,MATCH(C173,Tables!$B:$B,0)),"Not found"))</f>
        <v/>
      </c>
      <c r="E173" s="21" t="str">
        <f aca="false">IF(D173="","",IFERROR(INDEX(Tables!$D:$D,MATCH(D173,Tables!$A:$A,0)),""))</f>
        <v/>
      </c>
      <c r="F173" s="20"/>
      <c r="G173" s="20"/>
      <c r="H173" s="18"/>
      <c r="I173" s="20"/>
      <c r="J173" s="20"/>
      <c r="K173" s="20"/>
      <c r="L173" s="20"/>
      <c r="M173" s="20"/>
      <c r="N173" s="20"/>
      <c r="O173" s="20"/>
      <c r="P173" s="20"/>
      <c r="Q173" s="21" t="str">
        <f aca="false">IF(A173="","",COUNTIF('Metric to Field'!$B:$B,A173))</f>
        <v/>
      </c>
      <c r="R173" s="21" t="str">
        <f aca="false">IF(A173="","",SUMIF('Metric to Field'!$B:$B,A173,'Metric to Field'!$G:$G))</f>
        <v/>
      </c>
      <c r="S173" s="20"/>
      <c r="T173" s="20"/>
      <c r="U173" s="20"/>
      <c r="V173" s="20"/>
      <c r="W173" s="20"/>
    </row>
    <row r="174" customFormat="false" ht="15" hidden="false" customHeight="false" outlineLevel="0" collapsed="false">
      <c r="A174" s="18"/>
      <c r="B174" s="19"/>
      <c r="C174" s="20"/>
      <c r="D174" s="18" t="str">
        <f aca="false">IF(C174="","",IFERROR(INDEX(Tables!$A:$A,MATCH(C174,Tables!$B:$B,0)),"Not found"))</f>
        <v/>
      </c>
      <c r="E174" s="21" t="str">
        <f aca="false">IF(D174="","",IFERROR(INDEX(Tables!$D:$D,MATCH(D174,Tables!$A:$A,0)),""))</f>
        <v/>
      </c>
      <c r="F174" s="20"/>
      <c r="G174" s="20"/>
      <c r="H174" s="18"/>
      <c r="I174" s="20"/>
      <c r="J174" s="20"/>
      <c r="K174" s="20"/>
      <c r="L174" s="20"/>
      <c r="M174" s="20"/>
      <c r="N174" s="20"/>
      <c r="O174" s="20"/>
      <c r="P174" s="20"/>
      <c r="Q174" s="21" t="str">
        <f aca="false">IF(A174="","",COUNTIF('Metric to Field'!$B:$B,A174))</f>
        <v/>
      </c>
      <c r="R174" s="21" t="str">
        <f aca="false">IF(A174="","",SUMIF('Metric to Field'!$B:$B,A174,'Metric to Field'!$G:$G))</f>
        <v/>
      </c>
      <c r="S174" s="20"/>
      <c r="T174" s="20"/>
      <c r="U174" s="20"/>
      <c r="V174" s="20"/>
      <c r="W174" s="20"/>
    </row>
    <row r="175" customFormat="false" ht="15" hidden="false" customHeight="false" outlineLevel="0" collapsed="false">
      <c r="A175" s="18"/>
      <c r="B175" s="19"/>
      <c r="C175" s="20"/>
      <c r="D175" s="18" t="str">
        <f aca="false">IF(C175="","",IFERROR(INDEX(Tables!$A:$A,MATCH(C175,Tables!$B:$B,0)),"Not found"))</f>
        <v/>
      </c>
      <c r="E175" s="21" t="str">
        <f aca="false">IF(D175="","",IFERROR(INDEX(Tables!$D:$D,MATCH(D175,Tables!$A:$A,0)),""))</f>
        <v/>
      </c>
      <c r="F175" s="20"/>
      <c r="G175" s="20"/>
      <c r="H175" s="18"/>
      <c r="I175" s="20"/>
      <c r="J175" s="20"/>
      <c r="K175" s="20"/>
      <c r="L175" s="20"/>
      <c r="M175" s="20"/>
      <c r="N175" s="20"/>
      <c r="O175" s="20"/>
      <c r="P175" s="20"/>
      <c r="Q175" s="21" t="str">
        <f aca="false">IF(A175="","",COUNTIF('Metric to Field'!$B:$B,A175))</f>
        <v/>
      </c>
      <c r="R175" s="21" t="str">
        <f aca="false">IF(A175="","",SUMIF('Metric to Field'!$B:$B,A175,'Metric to Field'!$G:$G))</f>
        <v/>
      </c>
      <c r="S175" s="20"/>
      <c r="T175" s="20"/>
      <c r="U175" s="20"/>
      <c r="V175" s="20"/>
      <c r="W175" s="20"/>
    </row>
    <row r="176" customFormat="false" ht="15" hidden="false" customHeight="false" outlineLevel="0" collapsed="false">
      <c r="A176" s="18"/>
      <c r="B176" s="19"/>
      <c r="C176" s="20"/>
      <c r="D176" s="18" t="str">
        <f aca="false">IF(C176="","",IFERROR(INDEX(Tables!$A:$A,MATCH(C176,Tables!$B:$B,0)),"Not found"))</f>
        <v/>
      </c>
      <c r="E176" s="21" t="str">
        <f aca="false">IF(D176="","",IFERROR(INDEX(Tables!$D:$D,MATCH(D176,Tables!$A:$A,0)),""))</f>
        <v/>
      </c>
      <c r="F176" s="20"/>
      <c r="G176" s="20"/>
      <c r="H176" s="18"/>
      <c r="I176" s="20"/>
      <c r="J176" s="20"/>
      <c r="K176" s="20"/>
      <c r="L176" s="20"/>
      <c r="M176" s="20"/>
      <c r="N176" s="20"/>
      <c r="O176" s="20"/>
      <c r="P176" s="20"/>
      <c r="Q176" s="21" t="str">
        <f aca="false">IF(A176="","",COUNTIF('Metric to Field'!$B:$B,A176))</f>
        <v/>
      </c>
      <c r="R176" s="21" t="str">
        <f aca="false">IF(A176="","",SUMIF('Metric to Field'!$B:$B,A176,'Metric to Field'!$G:$G))</f>
        <v/>
      </c>
      <c r="S176" s="20"/>
      <c r="T176" s="20"/>
      <c r="U176" s="20"/>
      <c r="V176" s="20"/>
      <c r="W176" s="20"/>
    </row>
    <row r="177" customFormat="false" ht="15" hidden="false" customHeight="false" outlineLevel="0" collapsed="false">
      <c r="A177" s="18"/>
      <c r="B177" s="19"/>
      <c r="C177" s="20"/>
      <c r="D177" s="18" t="str">
        <f aca="false">IF(C177="","",IFERROR(INDEX(Tables!$A:$A,MATCH(C177,Tables!$B:$B,0)),"Not found"))</f>
        <v/>
      </c>
      <c r="E177" s="21" t="str">
        <f aca="false">IF(D177="","",IFERROR(INDEX(Tables!$D:$D,MATCH(D177,Tables!$A:$A,0)),""))</f>
        <v/>
      </c>
      <c r="F177" s="20"/>
      <c r="G177" s="20"/>
      <c r="H177" s="18"/>
      <c r="I177" s="20"/>
      <c r="J177" s="20"/>
      <c r="K177" s="20"/>
      <c r="L177" s="20"/>
      <c r="M177" s="20"/>
      <c r="N177" s="20"/>
      <c r="O177" s="20"/>
      <c r="P177" s="20"/>
      <c r="Q177" s="21" t="str">
        <f aca="false">IF(A177="","",COUNTIF('Metric to Field'!$B:$B,A177))</f>
        <v/>
      </c>
      <c r="R177" s="21" t="str">
        <f aca="false">IF(A177="","",SUMIF('Metric to Field'!$B:$B,A177,'Metric to Field'!$G:$G))</f>
        <v/>
      </c>
      <c r="S177" s="20"/>
      <c r="T177" s="20"/>
      <c r="U177" s="20"/>
      <c r="V177" s="20"/>
      <c r="W177" s="20"/>
    </row>
    <row r="178" customFormat="false" ht="15" hidden="false" customHeight="false" outlineLevel="0" collapsed="false">
      <c r="A178" s="18"/>
      <c r="B178" s="19"/>
      <c r="C178" s="20"/>
      <c r="D178" s="18" t="str">
        <f aca="false">IF(C178="","",IFERROR(INDEX(Tables!$A:$A,MATCH(C178,Tables!$B:$B,0)),"Not found"))</f>
        <v/>
      </c>
      <c r="E178" s="21" t="str">
        <f aca="false">IF(D178="","",IFERROR(INDEX(Tables!$D:$D,MATCH(D178,Tables!$A:$A,0)),""))</f>
        <v/>
      </c>
      <c r="F178" s="20"/>
      <c r="G178" s="20"/>
      <c r="H178" s="18"/>
      <c r="I178" s="20"/>
      <c r="J178" s="20"/>
      <c r="K178" s="20"/>
      <c r="L178" s="20"/>
      <c r="M178" s="20"/>
      <c r="N178" s="20"/>
      <c r="O178" s="20"/>
      <c r="P178" s="20"/>
      <c r="Q178" s="21" t="str">
        <f aca="false">IF(A178="","",COUNTIF('Metric to Field'!$B:$B,A178))</f>
        <v/>
      </c>
      <c r="R178" s="21" t="str">
        <f aca="false">IF(A178="","",SUMIF('Metric to Field'!$B:$B,A178,'Metric to Field'!$G:$G))</f>
        <v/>
      </c>
      <c r="S178" s="20"/>
      <c r="T178" s="20"/>
      <c r="U178" s="20"/>
      <c r="V178" s="20"/>
      <c r="W178" s="20"/>
    </row>
    <row r="179" customFormat="false" ht="15" hidden="false" customHeight="false" outlineLevel="0" collapsed="false">
      <c r="A179" s="18"/>
      <c r="B179" s="19"/>
      <c r="C179" s="20"/>
      <c r="D179" s="18" t="str">
        <f aca="false">IF(C179="","",IFERROR(INDEX(Tables!$A:$A,MATCH(C179,Tables!$B:$B,0)),"Not found"))</f>
        <v/>
      </c>
      <c r="E179" s="21" t="str">
        <f aca="false">IF(D179="","",IFERROR(INDEX(Tables!$D:$D,MATCH(D179,Tables!$A:$A,0)),""))</f>
        <v/>
      </c>
      <c r="F179" s="20"/>
      <c r="G179" s="20"/>
      <c r="H179" s="18"/>
      <c r="I179" s="20"/>
      <c r="J179" s="20"/>
      <c r="K179" s="20"/>
      <c r="L179" s="20"/>
      <c r="M179" s="20"/>
      <c r="N179" s="20"/>
      <c r="O179" s="20"/>
      <c r="P179" s="20"/>
      <c r="Q179" s="21" t="str">
        <f aca="false">IF(A179="","",COUNTIF('Metric to Field'!$B:$B,A179))</f>
        <v/>
      </c>
      <c r="R179" s="21" t="str">
        <f aca="false">IF(A179="","",SUMIF('Metric to Field'!$B:$B,A179,'Metric to Field'!$G:$G))</f>
        <v/>
      </c>
      <c r="S179" s="20"/>
      <c r="T179" s="20"/>
      <c r="U179" s="20"/>
      <c r="V179" s="20"/>
      <c r="W179" s="20"/>
    </row>
    <row r="180" customFormat="false" ht="15" hidden="false" customHeight="false" outlineLevel="0" collapsed="false">
      <c r="A180" s="18"/>
      <c r="B180" s="19"/>
      <c r="C180" s="20"/>
      <c r="D180" s="18" t="str">
        <f aca="false">IF(C180="","",IFERROR(INDEX(Tables!$A:$A,MATCH(C180,Tables!$B:$B,0)),"Not found"))</f>
        <v/>
      </c>
      <c r="E180" s="21" t="str">
        <f aca="false">IF(D180="","",IFERROR(INDEX(Tables!$D:$D,MATCH(D180,Tables!$A:$A,0)),""))</f>
        <v/>
      </c>
      <c r="F180" s="20"/>
      <c r="G180" s="20"/>
      <c r="H180" s="18"/>
      <c r="I180" s="20"/>
      <c r="J180" s="20"/>
      <c r="K180" s="20"/>
      <c r="L180" s="20"/>
      <c r="M180" s="20"/>
      <c r="N180" s="20"/>
      <c r="O180" s="20"/>
      <c r="P180" s="20"/>
      <c r="Q180" s="21" t="str">
        <f aca="false">IF(A180="","",COUNTIF('Metric to Field'!$B:$B,A180))</f>
        <v/>
      </c>
      <c r="R180" s="21" t="str">
        <f aca="false">IF(A180="","",SUMIF('Metric to Field'!$B:$B,A180,'Metric to Field'!$G:$G))</f>
        <v/>
      </c>
      <c r="S180" s="20"/>
      <c r="T180" s="20"/>
      <c r="U180" s="20"/>
      <c r="V180" s="20"/>
      <c r="W180" s="20"/>
    </row>
    <row r="181" customFormat="false" ht="15" hidden="false" customHeight="false" outlineLevel="0" collapsed="false">
      <c r="A181" s="18"/>
      <c r="B181" s="19"/>
      <c r="C181" s="20"/>
      <c r="D181" s="18" t="str">
        <f aca="false">IF(C181="","",IFERROR(INDEX(Tables!$A:$A,MATCH(C181,Tables!$B:$B,0)),"Not found"))</f>
        <v/>
      </c>
      <c r="E181" s="21" t="str">
        <f aca="false">IF(D181="","",IFERROR(INDEX(Tables!$D:$D,MATCH(D181,Tables!$A:$A,0)),""))</f>
        <v/>
      </c>
      <c r="F181" s="20"/>
      <c r="G181" s="20"/>
      <c r="H181" s="18"/>
      <c r="I181" s="20"/>
      <c r="J181" s="20"/>
      <c r="K181" s="20"/>
      <c r="L181" s="20"/>
      <c r="M181" s="20"/>
      <c r="N181" s="20"/>
      <c r="O181" s="20"/>
      <c r="P181" s="20"/>
      <c r="Q181" s="21" t="str">
        <f aca="false">IF(A181="","",COUNTIF('Metric to Field'!$B:$B,A181))</f>
        <v/>
      </c>
      <c r="R181" s="21" t="str">
        <f aca="false">IF(A181="","",SUMIF('Metric to Field'!$B:$B,A181,'Metric to Field'!$G:$G))</f>
        <v/>
      </c>
      <c r="S181" s="20"/>
      <c r="T181" s="20"/>
      <c r="U181" s="20"/>
      <c r="V181" s="20"/>
      <c r="W181" s="20"/>
    </row>
    <row r="182" customFormat="false" ht="15" hidden="false" customHeight="false" outlineLevel="0" collapsed="false">
      <c r="A182" s="18"/>
      <c r="B182" s="19"/>
      <c r="C182" s="20"/>
      <c r="D182" s="18" t="str">
        <f aca="false">IF(C182="","",IFERROR(INDEX(Tables!$A:$A,MATCH(C182,Tables!$B:$B,0)),"Not found"))</f>
        <v/>
      </c>
      <c r="E182" s="21" t="str">
        <f aca="false">IF(D182="","",IFERROR(INDEX(Tables!$D:$D,MATCH(D182,Tables!$A:$A,0)),""))</f>
        <v/>
      </c>
      <c r="F182" s="20"/>
      <c r="G182" s="20"/>
      <c r="H182" s="18"/>
      <c r="I182" s="20"/>
      <c r="J182" s="20"/>
      <c r="K182" s="20"/>
      <c r="L182" s="20"/>
      <c r="M182" s="20"/>
      <c r="N182" s="20"/>
      <c r="O182" s="20"/>
      <c r="P182" s="20"/>
      <c r="Q182" s="21" t="str">
        <f aca="false">IF(A182="","",COUNTIF('Metric to Field'!$B:$B,A182))</f>
        <v/>
      </c>
      <c r="R182" s="21" t="str">
        <f aca="false">IF(A182="","",SUMIF('Metric to Field'!$B:$B,A182,'Metric to Field'!$G:$G))</f>
        <v/>
      </c>
      <c r="S182" s="20"/>
      <c r="T182" s="20"/>
      <c r="U182" s="20"/>
      <c r="V182" s="20"/>
      <c r="W182" s="20"/>
    </row>
    <row r="183" customFormat="false" ht="15" hidden="false" customHeight="false" outlineLevel="0" collapsed="false">
      <c r="A183" s="18"/>
      <c r="B183" s="19"/>
      <c r="C183" s="20"/>
      <c r="D183" s="18" t="str">
        <f aca="false">IF(C183="","",IFERROR(INDEX(Tables!$A:$A,MATCH(C183,Tables!$B:$B,0)),"Not found"))</f>
        <v/>
      </c>
      <c r="E183" s="21" t="str">
        <f aca="false">IF(D183="","",IFERROR(INDEX(Tables!$D:$D,MATCH(D183,Tables!$A:$A,0)),""))</f>
        <v/>
      </c>
      <c r="F183" s="20"/>
      <c r="G183" s="20"/>
      <c r="H183" s="18"/>
      <c r="I183" s="20"/>
      <c r="J183" s="20"/>
      <c r="K183" s="20"/>
      <c r="L183" s="20"/>
      <c r="M183" s="20"/>
      <c r="N183" s="20"/>
      <c r="O183" s="20"/>
      <c r="P183" s="20"/>
      <c r="Q183" s="21" t="str">
        <f aca="false">IF(A183="","",COUNTIF('Metric to Field'!$B:$B,A183))</f>
        <v/>
      </c>
      <c r="R183" s="21" t="str">
        <f aca="false">IF(A183="","",SUMIF('Metric to Field'!$B:$B,A183,'Metric to Field'!$G:$G))</f>
        <v/>
      </c>
      <c r="S183" s="20"/>
      <c r="T183" s="20"/>
      <c r="U183" s="20"/>
      <c r="V183" s="20"/>
      <c r="W183" s="20"/>
    </row>
    <row r="184" customFormat="false" ht="15" hidden="false" customHeight="false" outlineLevel="0" collapsed="false">
      <c r="A184" s="18"/>
      <c r="B184" s="19"/>
      <c r="C184" s="20"/>
      <c r="D184" s="18" t="str">
        <f aca="false">IF(C184="","",IFERROR(INDEX(Tables!$A:$A,MATCH(C184,Tables!$B:$B,0)),"Not found"))</f>
        <v/>
      </c>
      <c r="E184" s="21" t="str">
        <f aca="false">IF(D184="","",IFERROR(INDEX(Tables!$D:$D,MATCH(D184,Tables!$A:$A,0)),""))</f>
        <v/>
      </c>
      <c r="F184" s="20"/>
      <c r="G184" s="20"/>
      <c r="H184" s="18"/>
      <c r="I184" s="20"/>
      <c r="J184" s="20"/>
      <c r="K184" s="20"/>
      <c r="L184" s="20"/>
      <c r="M184" s="20"/>
      <c r="N184" s="20"/>
      <c r="O184" s="20"/>
      <c r="P184" s="20"/>
      <c r="Q184" s="21" t="str">
        <f aca="false">IF(A184="","",COUNTIF('Metric to Field'!$B:$B,A184))</f>
        <v/>
      </c>
      <c r="R184" s="21" t="str">
        <f aca="false">IF(A184="","",SUMIF('Metric to Field'!$B:$B,A184,'Metric to Field'!$G:$G))</f>
        <v/>
      </c>
      <c r="S184" s="20"/>
      <c r="T184" s="20"/>
      <c r="U184" s="20"/>
      <c r="V184" s="20"/>
      <c r="W184" s="20"/>
    </row>
    <row r="185" customFormat="false" ht="15" hidden="false" customHeight="false" outlineLevel="0" collapsed="false">
      <c r="A185" s="18"/>
      <c r="B185" s="19"/>
      <c r="C185" s="20"/>
      <c r="D185" s="18" t="str">
        <f aca="false">IF(C185="","",IFERROR(INDEX(Tables!$A:$A,MATCH(C185,Tables!$B:$B,0)),"Not found"))</f>
        <v/>
      </c>
      <c r="E185" s="21" t="str">
        <f aca="false">IF(D185="","",IFERROR(INDEX(Tables!$D:$D,MATCH(D185,Tables!$A:$A,0)),""))</f>
        <v/>
      </c>
      <c r="F185" s="20"/>
      <c r="G185" s="20"/>
      <c r="H185" s="18"/>
      <c r="I185" s="20"/>
      <c r="J185" s="20"/>
      <c r="K185" s="20"/>
      <c r="L185" s="20"/>
      <c r="M185" s="20"/>
      <c r="N185" s="20"/>
      <c r="O185" s="20"/>
      <c r="P185" s="20"/>
      <c r="Q185" s="21" t="str">
        <f aca="false">IF(A185="","",COUNTIF('Metric to Field'!$B:$B,A185))</f>
        <v/>
      </c>
      <c r="R185" s="21" t="str">
        <f aca="false">IF(A185="","",SUMIF('Metric to Field'!$B:$B,A185,'Metric to Field'!$G:$G))</f>
        <v/>
      </c>
      <c r="S185" s="20"/>
      <c r="T185" s="20"/>
      <c r="U185" s="20"/>
      <c r="V185" s="20"/>
      <c r="W185" s="20"/>
    </row>
    <row r="186" customFormat="false" ht="15" hidden="false" customHeight="false" outlineLevel="0" collapsed="false">
      <c r="A186" s="18"/>
      <c r="B186" s="19"/>
      <c r="C186" s="20"/>
      <c r="D186" s="18" t="str">
        <f aca="false">IF(C186="","",IFERROR(INDEX(Tables!$A:$A,MATCH(C186,Tables!$B:$B,0)),"Not found"))</f>
        <v/>
      </c>
      <c r="E186" s="21" t="str">
        <f aca="false">IF(D186="","",IFERROR(INDEX(Tables!$D:$D,MATCH(D186,Tables!$A:$A,0)),""))</f>
        <v/>
      </c>
      <c r="F186" s="20"/>
      <c r="G186" s="20"/>
      <c r="H186" s="18"/>
      <c r="I186" s="20"/>
      <c r="J186" s="20"/>
      <c r="K186" s="20"/>
      <c r="L186" s="20"/>
      <c r="M186" s="20"/>
      <c r="N186" s="20"/>
      <c r="O186" s="20"/>
      <c r="P186" s="20"/>
      <c r="Q186" s="21" t="str">
        <f aca="false">IF(A186="","",COUNTIF('Metric to Field'!$B:$B,A186))</f>
        <v/>
      </c>
      <c r="R186" s="21" t="str">
        <f aca="false">IF(A186="","",SUMIF('Metric to Field'!$B:$B,A186,'Metric to Field'!$G:$G))</f>
        <v/>
      </c>
      <c r="S186" s="20"/>
      <c r="T186" s="20"/>
      <c r="U186" s="20"/>
      <c r="V186" s="20"/>
      <c r="W186" s="20"/>
    </row>
    <row r="187" customFormat="false" ht="15" hidden="false" customHeight="false" outlineLevel="0" collapsed="false">
      <c r="A187" s="18"/>
      <c r="B187" s="19"/>
      <c r="C187" s="20"/>
      <c r="D187" s="18" t="str">
        <f aca="false">IF(C187="","",IFERROR(INDEX(Tables!$A:$A,MATCH(C187,Tables!$B:$B,0)),"Not found"))</f>
        <v/>
      </c>
      <c r="E187" s="21" t="str">
        <f aca="false">IF(D187="","",IFERROR(INDEX(Tables!$D:$D,MATCH(D187,Tables!$A:$A,0)),""))</f>
        <v/>
      </c>
      <c r="F187" s="20"/>
      <c r="G187" s="20"/>
      <c r="H187" s="18"/>
      <c r="I187" s="20"/>
      <c r="J187" s="20"/>
      <c r="K187" s="20"/>
      <c r="L187" s="20"/>
      <c r="M187" s="20"/>
      <c r="N187" s="20"/>
      <c r="O187" s="20"/>
      <c r="P187" s="20"/>
      <c r="Q187" s="21" t="str">
        <f aca="false">IF(A187="","",COUNTIF('Metric to Field'!$B:$B,A187))</f>
        <v/>
      </c>
      <c r="R187" s="21" t="str">
        <f aca="false">IF(A187="","",SUMIF('Metric to Field'!$B:$B,A187,'Metric to Field'!$G:$G))</f>
        <v/>
      </c>
      <c r="S187" s="20"/>
      <c r="T187" s="20"/>
      <c r="U187" s="20"/>
      <c r="V187" s="20"/>
      <c r="W187" s="20"/>
    </row>
    <row r="188" customFormat="false" ht="15" hidden="false" customHeight="false" outlineLevel="0" collapsed="false">
      <c r="A188" s="18"/>
      <c r="B188" s="19"/>
      <c r="C188" s="20"/>
      <c r="D188" s="18" t="str">
        <f aca="false">IF(C188="","",IFERROR(INDEX(Tables!$A:$A,MATCH(C188,Tables!$B:$B,0)),"Not found"))</f>
        <v/>
      </c>
      <c r="E188" s="21" t="str">
        <f aca="false">IF(D188="","",IFERROR(INDEX(Tables!$D:$D,MATCH(D188,Tables!$A:$A,0)),""))</f>
        <v/>
      </c>
      <c r="F188" s="20"/>
      <c r="G188" s="20"/>
      <c r="H188" s="18"/>
      <c r="I188" s="20"/>
      <c r="J188" s="20"/>
      <c r="K188" s="20"/>
      <c r="L188" s="20"/>
      <c r="M188" s="20"/>
      <c r="N188" s="20"/>
      <c r="O188" s="20"/>
      <c r="P188" s="20"/>
      <c r="Q188" s="21" t="str">
        <f aca="false">IF(A188="","",COUNTIF('Metric to Field'!$B:$B,A188))</f>
        <v/>
      </c>
      <c r="R188" s="21" t="str">
        <f aca="false">IF(A188="","",SUMIF('Metric to Field'!$B:$B,A188,'Metric to Field'!$G:$G))</f>
        <v/>
      </c>
      <c r="S188" s="20"/>
      <c r="T188" s="20"/>
      <c r="U188" s="20"/>
      <c r="V188" s="20"/>
      <c r="W188" s="20"/>
    </row>
    <row r="189" customFormat="false" ht="15" hidden="false" customHeight="false" outlineLevel="0" collapsed="false">
      <c r="A189" s="18"/>
      <c r="B189" s="19"/>
      <c r="C189" s="20"/>
      <c r="D189" s="18" t="str">
        <f aca="false">IF(C189="","",IFERROR(INDEX(Tables!$A:$A,MATCH(C189,Tables!$B:$B,0)),"Not found"))</f>
        <v/>
      </c>
      <c r="E189" s="21" t="str">
        <f aca="false">IF(D189="","",IFERROR(INDEX(Tables!$D:$D,MATCH(D189,Tables!$A:$A,0)),""))</f>
        <v/>
      </c>
      <c r="F189" s="20"/>
      <c r="G189" s="20"/>
      <c r="H189" s="18"/>
      <c r="I189" s="20"/>
      <c r="J189" s="20"/>
      <c r="K189" s="20"/>
      <c r="L189" s="20"/>
      <c r="M189" s="20"/>
      <c r="N189" s="20"/>
      <c r="O189" s="20"/>
      <c r="P189" s="20"/>
      <c r="Q189" s="21" t="str">
        <f aca="false">IF(A189="","",COUNTIF('Metric to Field'!$B:$B,A189))</f>
        <v/>
      </c>
      <c r="R189" s="21" t="str">
        <f aca="false">IF(A189="","",SUMIF('Metric to Field'!$B:$B,A189,'Metric to Field'!$G:$G))</f>
        <v/>
      </c>
      <c r="S189" s="20"/>
      <c r="T189" s="20"/>
      <c r="U189" s="20"/>
      <c r="V189" s="20"/>
      <c r="W189" s="20"/>
    </row>
    <row r="190" customFormat="false" ht="15" hidden="false" customHeight="false" outlineLevel="0" collapsed="false">
      <c r="A190" s="18"/>
      <c r="B190" s="19"/>
      <c r="C190" s="20"/>
      <c r="D190" s="18" t="str">
        <f aca="false">IF(C190="","",IFERROR(INDEX(Tables!$A:$A,MATCH(C190,Tables!$B:$B,0)),"Not found"))</f>
        <v/>
      </c>
      <c r="E190" s="21" t="str">
        <f aca="false">IF(D190="","",IFERROR(INDEX(Tables!$D:$D,MATCH(D190,Tables!$A:$A,0)),""))</f>
        <v/>
      </c>
      <c r="F190" s="20"/>
      <c r="G190" s="20"/>
      <c r="H190" s="18"/>
      <c r="I190" s="20"/>
      <c r="J190" s="20"/>
      <c r="K190" s="20"/>
      <c r="L190" s="20"/>
      <c r="M190" s="20"/>
      <c r="N190" s="20"/>
      <c r="O190" s="20"/>
      <c r="P190" s="20"/>
      <c r="Q190" s="21" t="str">
        <f aca="false">IF(A190="","",COUNTIF('Metric to Field'!$B:$B,A190))</f>
        <v/>
      </c>
      <c r="R190" s="21" t="str">
        <f aca="false">IF(A190="","",SUMIF('Metric to Field'!$B:$B,A190,'Metric to Field'!$G:$G))</f>
        <v/>
      </c>
      <c r="S190" s="20"/>
      <c r="T190" s="20"/>
      <c r="U190" s="20"/>
      <c r="V190" s="20"/>
      <c r="W190" s="20"/>
    </row>
    <row r="191" customFormat="false" ht="15" hidden="false" customHeight="false" outlineLevel="0" collapsed="false">
      <c r="A191" s="18"/>
      <c r="B191" s="19"/>
      <c r="C191" s="20"/>
      <c r="D191" s="18" t="str">
        <f aca="false">IF(C191="","",IFERROR(INDEX(Tables!$A:$A,MATCH(C191,Tables!$B:$B,0)),"Not found"))</f>
        <v/>
      </c>
      <c r="E191" s="21" t="str">
        <f aca="false">IF(D191="","",IFERROR(INDEX(Tables!$D:$D,MATCH(D191,Tables!$A:$A,0)),""))</f>
        <v/>
      </c>
      <c r="F191" s="20"/>
      <c r="G191" s="20"/>
      <c r="H191" s="18"/>
      <c r="I191" s="20"/>
      <c r="J191" s="20"/>
      <c r="K191" s="20"/>
      <c r="L191" s="20"/>
      <c r="M191" s="20"/>
      <c r="N191" s="20"/>
      <c r="O191" s="20"/>
      <c r="P191" s="20"/>
      <c r="Q191" s="21" t="str">
        <f aca="false">IF(A191="","",COUNTIF('Metric to Field'!$B:$B,A191))</f>
        <v/>
      </c>
      <c r="R191" s="21" t="str">
        <f aca="false">IF(A191="","",SUMIF('Metric to Field'!$B:$B,A191,'Metric to Field'!$G:$G))</f>
        <v/>
      </c>
      <c r="S191" s="20"/>
      <c r="T191" s="20"/>
      <c r="U191" s="20"/>
      <c r="V191" s="20"/>
      <c r="W191" s="20"/>
    </row>
    <row r="192" customFormat="false" ht="15" hidden="false" customHeight="false" outlineLevel="0" collapsed="false">
      <c r="A192" s="18"/>
      <c r="B192" s="19"/>
      <c r="C192" s="20"/>
      <c r="D192" s="18" t="str">
        <f aca="false">IF(C192="","",IFERROR(INDEX(Tables!$A:$A,MATCH(C192,Tables!$B:$B,0)),"Not found"))</f>
        <v/>
      </c>
      <c r="E192" s="21" t="str">
        <f aca="false">IF(D192="","",IFERROR(INDEX(Tables!$D:$D,MATCH(D192,Tables!$A:$A,0)),""))</f>
        <v/>
      </c>
      <c r="F192" s="20"/>
      <c r="G192" s="20"/>
      <c r="H192" s="18"/>
      <c r="I192" s="20"/>
      <c r="J192" s="20"/>
      <c r="K192" s="20"/>
      <c r="L192" s="20"/>
      <c r="M192" s="20"/>
      <c r="N192" s="20"/>
      <c r="O192" s="20"/>
      <c r="P192" s="20"/>
      <c r="Q192" s="21" t="str">
        <f aca="false">IF(A192="","",COUNTIF('Metric to Field'!$B:$B,A192))</f>
        <v/>
      </c>
      <c r="R192" s="21" t="str">
        <f aca="false">IF(A192="","",SUMIF('Metric to Field'!$B:$B,A192,'Metric to Field'!$G:$G))</f>
        <v/>
      </c>
      <c r="S192" s="20"/>
      <c r="T192" s="20"/>
      <c r="U192" s="20"/>
      <c r="V192" s="20"/>
      <c r="W192" s="20"/>
    </row>
    <row r="193" customFormat="false" ht="15" hidden="false" customHeight="false" outlineLevel="0" collapsed="false">
      <c r="A193" s="18"/>
      <c r="B193" s="19"/>
      <c r="C193" s="20"/>
      <c r="D193" s="18" t="str">
        <f aca="false">IF(C193="","",IFERROR(INDEX(Tables!$A:$A,MATCH(C193,Tables!$B:$B,0)),"Not found"))</f>
        <v/>
      </c>
      <c r="E193" s="21" t="str">
        <f aca="false">IF(D193="","",IFERROR(INDEX(Tables!$D:$D,MATCH(D193,Tables!$A:$A,0)),""))</f>
        <v/>
      </c>
      <c r="F193" s="20"/>
      <c r="G193" s="20"/>
      <c r="H193" s="18"/>
      <c r="I193" s="20"/>
      <c r="J193" s="20"/>
      <c r="K193" s="20"/>
      <c r="L193" s="20"/>
      <c r="M193" s="20"/>
      <c r="N193" s="20"/>
      <c r="O193" s="20"/>
      <c r="P193" s="20"/>
      <c r="Q193" s="21" t="str">
        <f aca="false">IF(A193="","",COUNTIF('Metric to Field'!$B:$B,A193))</f>
        <v/>
      </c>
      <c r="R193" s="21" t="str">
        <f aca="false">IF(A193="","",SUMIF('Metric to Field'!$B:$B,A193,'Metric to Field'!$G:$G))</f>
        <v/>
      </c>
      <c r="S193" s="20"/>
      <c r="T193" s="20"/>
      <c r="U193" s="20"/>
      <c r="V193" s="20"/>
      <c r="W193" s="20"/>
    </row>
    <row r="194" customFormat="false" ht="15" hidden="false" customHeight="false" outlineLevel="0" collapsed="false">
      <c r="A194" s="18"/>
      <c r="B194" s="19"/>
      <c r="C194" s="20"/>
      <c r="D194" s="18" t="str">
        <f aca="false">IF(C194="","",IFERROR(INDEX(Tables!$A:$A,MATCH(C194,Tables!$B:$B,0)),"Not found"))</f>
        <v/>
      </c>
      <c r="E194" s="21" t="str">
        <f aca="false">IF(D194="","",IFERROR(INDEX(Tables!$D:$D,MATCH(D194,Tables!$A:$A,0)),""))</f>
        <v/>
      </c>
      <c r="F194" s="20"/>
      <c r="G194" s="20"/>
      <c r="H194" s="18"/>
      <c r="I194" s="20"/>
      <c r="J194" s="20"/>
      <c r="K194" s="20"/>
      <c r="L194" s="20"/>
      <c r="M194" s="20"/>
      <c r="N194" s="20"/>
      <c r="O194" s="20"/>
      <c r="P194" s="20"/>
      <c r="Q194" s="21" t="str">
        <f aca="false">IF(A194="","",COUNTIF('Metric to Field'!$B:$B,A194))</f>
        <v/>
      </c>
      <c r="R194" s="21" t="str">
        <f aca="false">IF(A194="","",SUMIF('Metric to Field'!$B:$B,A194,'Metric to Field'!$G:$G))</f>
        <v/>
      </c>
      <c r="S194" s="20"/>
      <c r="T194" s="20"/>
      <c r="U194" s="20"/>
      <c r="V194" s="20"/>
      <c r="W194" s="20"/>
    </row>
    <row r="195" customFormat="false" ht="15" hidden="false" customHeight="false" outlineLevel="0" collapsed="false">
      <c r="A195" s="18"/>
      <c r="B195" s="19"/>
      <c r="C195" s="20"/>
      <c r="D195" s="18" t="str">
        <f aca="false">IF(C195="","",IFERROR(INDEX(Tables!$A:$A,MATCH(C195,Tables!$B:$B,0)),"Not found"))</f>
        <v/>
      </c>
      <c r="E195" s="21" t="str">
        <f aca="false">IF(D195="","",IFERROR(INDEX(Tables!$D:$D,MATCH(D195,Tables!$A:$A,0)),""))</f>
        <v/>
      </c>
      <c r="F195" s="20"/>
      <c r="G195" s="20"/>
      <c r="H195" s="18"/>
      <c r="I195" s="20"/>
      <c r="J195" s="20"/>
      <c r="K195" s="20"/>
      <c r="L195" s="20"/>
      <c r="M195" s="20"/>
      <c r="N195" s="20"/>
      <c r="O195" s="20"/>
      <c r="P195" s="20"/>
      <c r="Q195" s="21" t="str">
        <f aca="false">IF(A195="","",COUNTIF('Metric to Field'!$B:$B,A195))</f>
        <v/>
      </c>
      <c r="R195" s="21" t="str">
        <f aca="false">IF(A195="","",SUMIF('Metric to Field'!$B:$B,A195,'Metric to Field'!$G:$G))</f>
        <v/>
      </c>
      <c r="S195" s="20"/>
      <c r="T195" s="20"/>
      <c r="U195" s="20"/>
      <c r="V195" s="20"/>
      <c r="W195" s="20"/>
    </row>
    <row r="196" customFormat="false" ht="15" hidden="false" customHeight="false" outlineLevel="0" collapsed="false">
      <c r="A196" s="18"/>
      <c r="B196" s="19"/>
      <c r="C196" s="20"/>
      <c r="D196" s="18" t="str">
        <f aca="false">IF(C196="","",IFERROR(INDEX(Tables!$A:$A,MATCH(C196,Tables!$B:$B,0)),"Not found"))</f>
        <v/>
      </c>
      <c r="E196" s="21" t="str">
        <f aca="false">IF(D196="","",IFERROR(INDEX(Tables!$D:$D,MATCH(D196,Tables!$A:$A,0)),""))</f>
        <v/>
      </c>
      <c r="F196" s="20"/>
      <c r="G196" s="20"/>
      <c r="H196" s="18"/>
      <c r="I196" s="20"/>
      <c r="J196" s="20"/>
      <c r="K196" s="20"/>
      <c r="L196" s="20"/>
      <c r="M196" s="20"/>
      <c r="N196" s="20"/>
      <c r="O196" s="20"/>
      <c r="P196" s="20"/>
      <c r="Q196" s="21" t="str">
        <f aca="false">IF(A196="","",COUNTIF('Metric to Field'!$B:$B,A196))</f>
        <v/>
      </c>
      <c r="R196" s="21" t="str">
        <f aca="false">IF(A196="","",SUMIF('Metric to Field'!$B:$B,A196,'Metric to Field'!$G:$G))</f>
        <v/>
      </c>
      <c r="S196" s="20"/>
      <c r="T196" s="20"/>
      <c r="U196" s="20"/>
      <c r="V196" s="20"/>
      <c r="W196" s="20"/>
    </row>
    <row r="197" customFormat="false" ht="15" hidden="false" customHeight="false" outlineLevel="0" collapsed="false">
      <c r="A197" s="18"/>
      <c r="B197" s="19"/>
      <c r="C197" s="20"/>
      <c r="D197" s="18" t="str">
        <f aca="false">IF(C197="","",IFERROR(INDEX(Tables!$A:$A,MATCH(C197,Tables!$B:$B,0)),"Not found"))</f>
        <v/>
      </c>
      <c r="E197" s="21" t="str">
        <f aca="false">IF(D197="","",IFERROR(INDEX(Tables!$D:$D,MATCH(D197,Tables!$A:$A,0)),""))</f>
        <v/>
      </c>
      <c r="F197" s="20"/>
      <c r="G197" s="20"/>
      <c r="H197" s="18"/>
      <c r="I197" s="20"/>
      <c r="J197" s="20"/>
      <c r="K197" s="20"/>
      <c r="L197" s="20"/>
      <c r="M197" s="20"/>
      <c r="N197" s="20"/>
      <c r="O197" s="20"/>
      <c r="P197" s="20"/>
      <c r="Q197" s="21" t="str">
        <f aca="false">IF(A197="","",COUNTIF('Metric to Field'!$B:$B,A197))</f>
        <v/>
      </c>
      <c r="R197" s="21" t="str">
        <f aca="false">IF(A197="","",SUMIF('Metric to Field'!$B:$B,A197,'Metric to Field'!$G:$G))</f>
        <v/>
      </c>
      <c r="S197" s="20"/>
      <c r="T197" s="20"/>
      <c r="U197" s="20"/>
      <c r="V197" s="20"/>
      <c r="W197" s="20"/>
    </row>
    <row r="198" customFormat="false" ht="15" hidden="false" customHeight="false" outlineLevel="0" collapsed="false">
      <c r="A198" s="18"/>
      <c r="B198" s="19"/>
      <c r="C198" s="20"/>
      <c r="D198" s="18" t="str">
        <f aca="false">IF(C198="","",IFERROR(INDEX(Tables!$A:$A,MATCH(C198,Tables!$B:$B,0)),"Not found"))</f>
        <v/>
      </c>
      <c r="E198" s="21" t="str">
        <f aca="false">IF(D198="","",IFERROR(INDEX(Tables!$D:$D,MATCH(D198,Tables!$A:$A,0)),""))</f>
        <v/>
      </c>
      <c r="F198" s="20"/>
      <c r="G198" s="20"/>
      <c r="H198" s="18"/>
      <c r="I198" s="20"/>
      <c r="J198" s="20"/>
      <c r="K198" s="20"/>
      <c r="L198" s="20"/>
      <c r="M198" s="20"/>
      <c r="N198" s="20"/>
      <c r="O198" s="20"/>
      <c r="P198" s="20"/>
      <c r="Q198" s="21" t="str">
        <f aca="false">IF(A198="","",COUNTIF('Metric to Field'!$B:$B,A198))</f>
        <v/>
      </c>
      <c r="R198" s="21" t="str">
        <f aca="false">IF(A198="","",SUMIF('Metric to Field'!$B:$B,A198,'Metric to Field'!$G:$G))</f>
        <v/>
      </c>
      <c r="S198" s="20"/>
      <c r="T198" s="20"/>
      <c r="U198" s="20"/>
      <c r="V198" s="20"/>
      <c r="W198" s="20"/>
    </row>
    <row r="199" customFormat="false" ht="15" hidden="false" customHeight="false" outlineLevel="0" collapsed="false">
      <c r="A199" s="18"/>
      <c r="B199" s="19"/>
      <c r="C199" s="20"/>
      <c r="D199" s="18" t="str">
        <f aca="false">IF(C199="","",IFERROR(INDEX(Tables!$A:$A,MATCH(C199,Tables!$B:$B,0)),"Not found"))</f>
        <v/>
      </c>
      <c r="E199" s="21" t="str">
        <f aca="false">IF(D199="","",IFERROR(INDEX(Tables!$D:$D,MATCH(D199,Tables!$A:$A,0)),""))</f>
        <v/>
      </c>
      <c r="F199" s="20"/>
      <c r="G199" s="20"/>
      <c r="H199" s="18"/>
      <c r="I199" s="20"/>
      <c r="J199" s="20"/>
      <c r="K199" s="20"/>
      <c r="L199" s="20"/>
      <c r="M199" s="20"/>
      <c r="N199" s="20"/>
      <c r="O199" s="20"/>
      <c r="P199" s="20"/>
      <c r="Q199" s="21" t="str">
        <f aca="false">IF(A199="","",COUNTIF('Metric to Field'!$B:$B,A199))</f>
        <v/>
      </c>
      <c r="R199" s="21" t="str">
        <f aca="false">IF(A199="","",SUMIF('Metric to Field'!$B:$B,A199,'Metric to Field'!$G:$G))</f>
        <v/>
      </c>
      <c r="S199" s="20"/>
      <c r="T199" s="20"/>
      <c r="U199" s="20"/>
      <c r="V199" s="20"/>
      <c r="W199" s="20"/>
    </row>
    <row r="200" customFormat="false" ht="15" hidden="false" customHeight="false" outlineLevel="0" collapsed="false">
      <c r="A200" s="18"/>
      <c r="B200" s="19"/>
      <c r="C200" s="20"/>
      <c r="D200" s="18" t="str">
        <f aca="false">IF(C200="","",IFERROR(INDEX(Tables!$A:$A,MATCH(C200,Tables!$B:$B,0)),"Not found"))</f>
        <v/>
      </c>
      <c r="E200" s="21" t="str">
        <f aca="false">IF(D200="","",IFERROR(INDEX(Tables!$D:$D,MATCH(D200,Tables!$A:$A,0)),""))</f>
        <v/>
      </c>
      <c r="F200" s="20"/>
      <c r="G200" s="20"/>
      <c r="H200" s="18"/>
      <c r="I200" s="20"/>
      <c r="J200" s="20"/>
      <c r="K200" s="20"/>
      <c r="L200" s="20"/>
      <c r="M200" s="20"/>
      <c r="N200" s="20"/>
      <c r="O200" s="20"/>
      <c r="P200" s="20"/>
      <c r="Q200" s="21" t="str">
        <f aca="false">IF(A200="","",COUNTIF('Metric to Field'!$B:$B,A200))</f>
        <v/>
      </c>
      <c r="R200" s="21" t="str">
        <f aca="false">IF(A200="","",SUMIF('Metric to Field'!$B:$B,A200,'Metric to Field'!$G:$G))</f>
        <v/>
      </c>
      <c r="S200" s="20"/>
      <c r="T200" s="20"/>
      <c r="U200" s="20"/>
      <c r="V200" s="20"/>
      <c r="W200" s="20"/>
    </row>
    <row r="201" customFormat="false" ht="15" hidden="false" customHeight="false" outlineLevel="0" collapsed="false">
      <c r="A201" s="18"/>
      <c r="B201" s="19"/>
      <c r="C201" s="20"/>
      <c r="D201" s="18" t="str">
        <f aca="false">IF(C201="","",IFERROR(INDEX(Tables!$A:$A,MATCH(C201,Tables!$B:$B,0)),"Not found"))</f>
        <v/>
      </c>
      <c r="E201" s="21" t="str">
        <f aca="false">IF(D201="","",IFERROR(INDEX(Tables!$D:$D,MATCH(D201,Tables!$A:$A,0)),""))</f>
        <v/>
      </c>
      <c r="F201" s="20"/>
      <c r="G201" s="20"/>
      <c r="H201" s="18"/>
      <c r="I201" s="20"/>
      <c r="J201" s="20"/>
      <c r="K201" s="20"/>
      <c r="L201" s="20"/>
      <c r="M201" s="20"/>
      <c r="N201" s="20"/>
      <c r="O201" s="20"/>
      <c r="P201" s="20"/>
      <c r="Q201" s="21" t="str">
        <f aca="false">IF(A201="","",COUNTIF('Metric to Field'!$B:$B,A201))</f>
        <v/>
      </c>
      <c r="R201" s="21" t="str">
        <f aca="false">IF(A201="","",SUMIF('Metric to Field'!$B:$B,A201,'Metric to Field'!$G:$G))</f>
        <v/>
      </c>
      <c r="S201" s="20"/>
      <c r="T201" s="20"/>
      <c r="U201" s="20"/>
      <c r="V201" s="20"/>
      <c r="W201" s="20"/>
    </row>
    <row r="202" customFormat="false" ht="15" hidden="false" customHeight="false" outlineLevel="0" collapsed="false">
      <c r="A202" s="18"/>
      <c r="B202" s="19"/>
      <c r="C202" s="20"/>
      <c r="D202" s="18" t="str">
        <f aca="false">IF(C202="","",IFERROR(INDEX(Tables!$A:$A,MATCH(C202,Tables!$B:$B,0)),"Not found"))</f>
        <v/>
      </c>
      <c r="E202" s="21" t="str">
        <f aca="false">IF(D202="","",IFERROR(INDEX(Tables!$D:$D,MATCH(D202,Tables!$A:$A,0)),""))</f>
        <v/>
      </c>
      <c r="F202" s="20"/>
      <c r="G202" s="20"/>
      <c r="H202" s="18"/>
      <c r="I202" s="20"/>
      <c r="J202" s="20"/>
      <c r="K202" s="20"/>
      <c r="L202" s="20"/>
      <c r="M202" s="20"/>
      <c r="N202" s="20"/>
      <c r="O202" s="20"/>
      <c r="P202" s="20"/>
      <c r="Q202" s="21" t="str">
        <f aca="false">IF(A202="","",COUNTIF('Metric to Field'!$B:$B,A202))</f>
        <v/>
      </c>
      <c r="R202" s="21" t="str">
        <f aca="false">IF(A202="","",SUMIF('Metric to Field'!$B:$B,A202,'Metric to Field'!$G:$G))</f>
        <v/>
      </c>
      <c r="S202" s="20"/>
      <c r="T202" s="20"/>
      <c r="U202" s="20"/>
      <c r="V202" s="20"/>
      <c r="W202" s="20"/>
    </row>
    <row r="203" customFormat="false" ht="15" hidden="false" customHeight="false" outlineLevel="0" collapsed="false">
      <c r="A203" s="18"/>
      <c r="B203" s="19"/>
      <c r="C203" s="20"/>
      <c r="D203" s="18" t="str">
        <f aca="false">IF(C203="","",IFERROR(INDEX(Tables!$A:$A,MATCH(C203,Tables!$B:$B,0)),"Not found"))</f>
        <v/>
      </c>
      <c r="E203" s="21" t="str">
        <f aca="false">IF(D203="","",IFERROR(INDEX(Tables!$D:$D,MATCH(D203,Tables!$A:$A,0)),""))</f>
        <v/>
      </c>
      <c r="F203" s="20"/>
      <c r="G203" s="20"/>
      <c r="H203" s="18"/>
      <c r="I203" s="20"/>
      <c r="J203" s="20"/>
      <c r="K203" s="20"/>
      <c r="L203" s="20"/>
      <c r="M203" s="20"/>
      <c r="N203" s="20"/>
      <c r="O203" s="20"/>
      <c r="P203" s="20"/>
      <c r="Q203" s="21" t="str">
        <f aca="false">IF(A203="","",COUNTIF('Metric to Field'!$B:$B,A203))</f>
        <v/>
      </c>
      <c r="R203" s="21" t="str">
        <f aca="false">IF(A203="","",SUMIF('Metric to Field'!$B:$B,A203,'Metric to Field'!$G:$G))</f>
        <v/>
      </c>
      <c r="S203" s="20"/>
      <c r="T203" s="20"/>
      <c r="U203" s="20"/>
      <c r="V203" s="20"/>
      <c r="W203" s="20"/>
    </row>
    <row r="204" customFormat="false" ht="15" hidden="false" customHeight="false" outlineLevel="0" collapsed="false">
      <c r="A204" s="18"/>
      <c r="B204" s="19"/>
      <c r="C204" s="20"/>
      <c r="D204" s="18" t="str">
        <f aca="false">IF(C204="","",IFERROR(INDEX(Tables!$A:$A,MATCH(C204,Tables!$B:$B,0)),"Not found"))</f>
        <v/>
      </c>
      <c r="E204" s="21" t="str">
        <f aca="false">IF(D204="","",IFERROR(INDEX(Tables!$D:$D,MATCH(D204,Tables!$A:$A,0)),""))</f>
        <v/>
      </c>
      <c r="F204" s="20"/>
      <c r="G204" s="20"/>
      <c r="H204" s="18"/>
      <c r="I204" s="20"/>
      <c r="J204" s="20"/>
      <c r="K204" s="20"/>
      <c r="L204" s="20"/>
      <c r="M204" s="20"/>
      <c r="N204" s="20"/>
      <c r="O204" s="20"/>
      <c r="P204" s="20"/>
      <c r="Q204" s="21" t="str">
        <f aca="false">IF(A204="","",COUNTIF('Metric to Field'!$B:$B,A204))</f>
        <v/>
      </c>
      <c r="R204" s="21" t="str">
        <f aca="false">IF(A204="","",SUMIF('Metric to Field'!$B:$B,A204,'Metric to Field'!$G:$G))</f>
        <v/>
      </c>
      <c r="S204" s="20"/>
      <c r="T204" s="20"/>
      <c r="U204" s="20"/>
      <c r="V204" s="20"/>
      <c r="W204" s="20"/>
    </row>
    <row r="205" customFormat="false" ht="15" hidden="false" customHeight="false" outlineLevel="0" collapsed="false">
      <c r="A205" s="18"/>
      <c r="B205" s="19"/>
      <c r="C205" s="20"/>
      <c r="D205" s="18" t="str">
        <f aca="false">IF(C205="","",IFERROR(INDEX(Tables!$A:$A,MATCH(C205,Tables!$B:$B,0)),"Not found"))</f>
        <v/>
      </c>
      <c r="E205" s="21" t="str">
        <f aca="false">IF(D205="","",IFERROR(INDEX(Tables!$D:$D,MATCH(D205,Tables!$A:$A,0)),""))</f>
        <v/>
      </c>
      <c r="F205" s="20"/>
      <c r="G205" s="20"/>
      <c r="H205" s="18"/>
      <c r="I205" s="20"/>
      <c r="J205" s="20"/>
      <c r="K205" s="20"/>
      <c r="L205" s="20"/>
      <c r="M205" s="20"/>
      <c r="N205" s="20"/>
      <c r="O205" s="20"/>
      <c r="P205" s="20"/>
      <c r="Q205" s="21" t="str">
        <f aca="false">IF(A205="","",COUNTIF('Metric to Field'!$B:$B,A205))</f>
        <v/>
      </c>
      <c r="R205" s="21" t="str">
        <f aca="false">IF(A205="","",SUMIF('Metric to Field'!$B:$B,A205,'Metric to Field'!$G:$G))</f>
        <v/>
      </c>
      <c r="S205" s="20"/>
      <c r="T205" s="20"/>
      <c r="U205" s="20"/>
      <c r="V205" s="20"/>
      <c r="W205" s="20"/>
    </row>
    <row r="206" customFormat="false" ht="15" hidden="false" customHeight="false" outlineLevel="0" collapsed="false">
      <c r="A206" s="18"/>
      <c r="B206" s="19"/>
      <c r="C206" s="20"/>
      <c r="D206" s="18" t="str">
        <f aca="false">IF(C206="","",IFERROR(INDEX(Tables!$A:$A,MATCH(C206,Tables!$B:$B,0)),"Not found"))</f>
        <v/>
      </c>
      <c r="E206" s="21" t="str">
        <f aca="false">IF(D206="","",IFERROR(INDEX(Tables!$D:$D,MATCH(D206,Tables!$A:$A,0)),""))</f>
        <v/>
      </c>
      <c r="F206" s="20"/>
      <c r="G206" s="20"/>
      <c r="H206" s="18"/>
      <c r="I206" s="20"/>
      <c r="J206" s="20"/>
      <c r="K206" s="20"/>
      <c r="L206" s="20"/>
      <c r="M206" s="20"/>
      <c r="N206" s="20"/>
      <c r="O206" s="20"/>
      <c r="P206" s="20"/>
      <c r="Q206" s="21" t="str">
        <f aca="false">IF(A206="","",COUNTIF('Metric to Field'!$B:$B,A206))</f>
        <v/>
      </c>
      <c r="R206" s="21" t="str">
        <f aca="false">IF(A206="","",SUMIF('Metric to Field'!$B:$B,A206,'Metric to Field'!$G:$G))</f>
        <v/>
      </c>
      <c r="S206" s="20"/>
      <c r="T206" s="20"/>
      <c r="U206" s="20"/>
      <c r="V206" s="20"/>
      <c r="W206" s="20"/>
    </row>
    <row r="207" customFormat="false" ht="15" hidden="false" customHeight="false" outlineLevel="0" collapsed="false">
      <c r="A207" s="18"/>
      <c r="B207" s="19"/>
      <c r="C207" s="20"/>
      <c r="D207" s="18" t="str">
        <f aca="false">IF(C207="","",IFERROR(INDEX(Tables!$A:$A,MATCH(C207,Tables!$B:$B,0)),"Not found"))</f>
        <v/>
      </c>
      <c r="E207" s="21" t="str">
        <f aca="false">IF(D207="","",IFERROR(INDEX(Tables!$D:$D,MATCH(D207,Tables!$A:$A,0)),""))</f>
        <v/>
      </c>
      <c r="F207" s="20"/>
      <c r="G207" s="20"/>
      <c r="H207" s="18"/>
      <c r="I207" s="20"/>
      <c r="J207" s="20"/>
      <c r="K207" s="20"/>
      <c r="L207" s="20"/>
      <c r="M207" s="20"/>
      <c r="N207" s="20"/>
      <c r="O207" s="20"/>
      <c r="P207" s="20"/>
      <c r="Q207" s="21" t="str">
        <f aca="false">IF(A207="","",COUNTIF('Metric to Field'!$B:$B,A207))</f>
        <v/>
      </c>
      <c r="R207" s="21" t="str">
        <f aca="false">IF(A207="","",SUMIF('Metric to Field'!$B:$B,A207,'Metric to Field'!$G:$G))</f>
        <v/>
      </c>
      <c r="S207" s="20"/>
      <c r="T207" s="20"/>
      <c r="U207" s="20"/>
      <c r="V207" s="20"/>
      <c r="W207" s="20"/>
    </row>
    <row r="208" customFormat="false" ht="15" hidden="false" customHeight="false" outlineLevel="0" collapsed="false">
      <c r="A208" s="18"/>
      <c r="B208" s="19"/>
      <c r="C208" s="20"/>
      <c r="D208" s="18" t="str">
        <f aca="false">IF(C208="","",IFERROR(INDEX(Tables!$A:$A,MATCH(C208,Tables!$B:$B,0)),"Not found"))</f>
        <v/>
      </c>
      <c r="E208" s="21" t="str">
        <f aca="false">IF(D208="","",IFERROR(INDEX(Tables!$D:$D,MATCH(D208,Tables!$A:$A,0)),""))</f>
        <v/>
      </c>
      <c r="F208" s="20"/>
      <c r="G208" s="20"/>
      <c r="H208" s="18"/>
      <c r="I208" s="20"/>
      <c r="J208" s="20"/>
      <c r="K208" s="20"/>
      <c r="L208" s="20"/>
      <c r="M208" s="20"/>
      <c r="N208" s="20"/>
      <c r="O208" s="20"/>
      <c r="P208" s="20"/>
      <c r="Q208" s="21" t="str">
        <f aca="false">IF(A208="","",COUNTIF('Metric to Field'!$B:$B,A208))</f>
        <v/>
      </c>
      <c r="R208" s="21" t="str">
        <f aca="false">IF(A208="","",SUMIF('Metric to Field'!$B:$B,A208,'Metric to Field'!$G:$G))</f>
        <v/>
      </c>
      <c r="S208" s="20"/>
      <c r="T208" s="20"/>
      <c r="U208" s="20"/>
      <c r="V208" s="20"/>
      <c r="W208" s="20"/>
    </row>
    <row r="209" customFormat="false" ht="15" hidden="false" customHeight="false" outlineLevel="0" collapsed="false">
      <c r="A209" s="18"/>
      <c r="B209" s="19"/>
      <c r="C209" s="20"/>
      <c r="D209" s="18" t="str">
        <f aca="false">IF(C209="","",IFERROR(INDEX(Tables!$A:$A,MATCH(C209,Tables!$B:$B,0)),"Not found"))</f>
        <v/>
      </c>
      <c r="E209" s="21" t="str">
        <f aca="false">IF(D209="","",IFERROR(INDEX(Tables!$D:$D,MATCH(D209,Tables!$A:$A,0)),""))</f>
        <v/>
      </c>
      <c r="F209" s="20"/>
      <c r="G209" s="20"/>
      <c r="H209" s="18"/>
      <c r="I209" s="20"/>
      <c r="J209" s="20"/>
      <c r="K209" s="20"/>
      <c r="L209" s="20"/>
      <c r="M209" s="20"/>
      <c r="N209" s="20"/>
      <c r="O209" s="20"/>
      <c r="P209" s="20"/>
      <c r="Q209" s="21" t="str">
        <f aca="false">IF(A209="","",COUNTIF('Metric to Field'!$B:$B,A209))</f>
        <v/>
      </c>
      <c r="R209" s="21" t="str">
        <f aca="false">IF(A209="","",SUMIF('Metric to Field'!$B:$B,A209,'Metric to Field'!$G:$G))</f>
        <v/>
      </c>
      <c r="S209" s="20"/>
      <c r="T209" s="20"/>
      <c r="U209" s="20"/>
      <c r="V209" s="20"/>
      <c r="W209" s="20"/>
    </row>
    <row r="210" customFormat="false" ht="15" hidden="false" customHeight="false" outlineLevel="0" collapsed="false">
      <c r="A210" s="18"/>
      <c r="B210" s="19"/>
      <c r="C210" s="20"/>
      <c r="D210" s="18" t="str">
        <f aca="false">IF(C210="","",IFERROR(INDEX(Tables!$A:$A,MATCH(C210,Tables!$B:$B,0)),"Not found"))</f>
        <v/>
      </c>
      <c r="E210" s="21" t="str">
        <f aca="false">IF(D210="","",IFERROR(INDEX(Tables!$D:$D,MATCH(D210,Tables!$A:$A,0)),""))</f>
        <v/>
      </c>
      <c r="F210" s="20"/>
      <c r="G210" s="20"/>
      <c r="H210" s="18"/>
      <c r="I210" s="20"/>
      <c r="J210" s="20"/>
      <c r="K210" s="20"/>
      <c r="L210" s="20"/>
      <c r="M210" s="20"/>
      <c r="N210" s="20"/>
      <c r="O210" s="20"/>
      <c r="P210" s="20"/>
      <c r="Q210" s="21" t="str">
        <f aca="false">IF(A210="","",COUNTIF('Metric to Field'!$B:$B,A210))</f>
        <v/>
      </c>
      <c r="R210" s="21" t="str">
        <f aca="false">IF(A210="","",SUMIF('Metric to Field'!$B:$B,A210,'Metric to Field'!$G:$G))</f>
        <v/>
      </c>
      <c r="S210" s="20"/>
      <c r="T210" s="20"/>
      <c r="U210" s="20"/>
      <c r="V210" s="20"/>
      <c r="W210" s="20"/>
    </row>
    <row r="211" customFormat="false" ht="15" hidden="false" customHeight="false" outlineLevel="0" collapsed="false">
      <c r="A211" s="18"/>
      <c r="B211" s="19"/>
      <c r="C211" s="20"/>
      <c r="D211" s="18" t="str">
        <f aca="false">IF(C211="","",IFERROR(INDEX(Tables!$A:$A,MATCH(C211,Tables!$B:$B,0)),"Not found"))</f>
        <v/>
      </c>
      <c r="E211" s="21" t="str">
        <f aca="false">IF(D211="","",IFERROR(INDEX(Tables!$D:$D,MATCH(D211,Tables!$A:$A,0)),""))</f>
        <v/>
      </c>
      <c r="F211" s="20"/>
      <c r="G211" s="20"/>
      <c r="H211" s="18"/>
      <c r="I211" s="20"/>
      <c r="J211" s="20"/>
      <c r="K211" s="20"/>
      <c r="L211" s="20"/>
      <c r="M211" s="20"/>
      <c r="N211" s="20"/>
      <c r="O211" s="20"/>
      <c r="P211" s="20"/>
      <c r="Q211" s="21" t="str">
        <f aca="false">IF(A211="","",COUNTIF('Metric to Field'!$B:$B,A211))</f>
        <v/>
      </c>
      <c r="R211" s="21" t="str">
        <f aca="false">IF(A211="","",SUMIF('Metric to Field'!$B:$B,A211,'Metric to Field'!$G:$G))</f>
        <v/>
      </c>
      <c r="S211" s="20"/>
      <c r="T211" s="20"/>
      <c r="U211" s="20"/>
      <c r="V211" s="20"/>
      <c r="W211" s="20"/>
    </row>
    <row r="212" customFormat="false" ht="15" hidden="false" customHeight="false" outlineLevel="0" collapsed="false">
      <c r="A212" s="18"/>
      <c r="B212" s="19"/>
      <c r="C212" s="20"/>
      <c r="D212" s="18" t="str">
        <f aca="false">IF(C212="","",IFERROR(INDEX(Tables!$A:$A,MATCH(C212,Tables!$B:$B,0)),"Not found"))</f>
        <v/>
      </c>
      <c r="E212" s="21" t="str">
        <f aca="false">IF(D212="","",IFERROR(INDEX(Tables!$D:$D,MATCH(D212,Tables!$A:$A,0)),""))</f>
        <v/>
      </c>
      <c r="F212" s="20"/>
      <c r="G212" s="20"/>
      <c r="H212" s="18"/>
      <c r="I212" s="20"/>
      <c r="J212" s="20"/>
      <c r="K212" s="20"/>
      <c r="L212" s="20"/>
      <c r="M212" s="20"/>
      <c r="N212" s="20"/>
      <c r="O212" s="20"/>
      <c r="P212" s="20"/>
      <c r="Q212" s="21" t="str">
        <f aca="false">IF(A212="","",COUNTIF('Metric to Field'!$B:$B,A212))</f>
        <v/>
      </c>
      <c r="R212" s="21" t="str">
        <f aca="false">IF(A212="","",SUMIF('Metric to Field'!$B:$B,A212,'Metric to Field'!$G:$G))</f>
        <v/>
      </c>
      <c r="S212" s="20"/>
      <c r="T212" s="20"/>
      <c r="U212" s="20"/>
      <c r="V212" s="20"/>
      <c r="W212" s="20"/>
    </row>
    <row r="213" customFormat="false" ht="15" hidden="false" customHeight="false" outlineLevel="0" collapsed="false">
      <c r="A213" s="18"/>
      <c r="B213" s="19"/>
      <c r="C213" s="20"/>
      <c r="D213" s="18" t="str">
        <f aca="false">IF(C213="","",IFERROR(INDEX(Tables!$A:$A,MATCH(C213,Tables!$B:$B,0)),"Not found"))</f>
        <v/>
      </c>
      <c r="E213" s="21" t="str">
        <f aca="false">IF(D213="","",IFERROR(INDEX(Tables!$D:$D,MATCH(D213,Tables!$A:$A,0)),""))</f>
        <v/>
      </c>
      <c r="F213" s="20"/>
      <c r="G213" s="20"/>
      <c r="H213" s="18"/>
      <c r="I213" s="20"/>
      <c r="J213" s="20"/>
      <c r="K213" s="20"/>
      <c r="L213" s="20"/>
      <c r="M213" s="20"/>
      <c r="N213" s="20"/>
      <c r="O213" s="20"/>
      <c r="P213" s="20"/>
      <c r="Q213" s="21" t="str">
        <f aca="false">IF(A213="","",COUNTIF('Metric to Field'!$B:$B,A213))</f>
        <v/>
      </c>
      <c r="R213" s="21" t="str">
        <f aca="false">IF(A213="","",SUMIF('Metric to Field'!$B:$B,A213,'Metric to Field'!$G:$G))</f>
        <v/>
      </c>
      <c r="S213" s="20"/>
      <c r="T213" s="20"/>
      <c r="U213" s="20"/>
      <c r="V213" s="20"/>
      <c r="W213" s="20"/>
    </row>
    <row r="214" customFormat="false" ht="15" hidden="false" customHeight="false" outlineLevel="0" collapsed="false">
      <c r="A214" s="18"/>
      <c r="B214" s="19"/>
      <c r="C214" s="20"/>
      <c r="D214" s="18" t="str">
        <f aca="false">IF(C214="","",IFERROR(INDEX(Tables!$A:$A,MATCH(C214,Tables!$B:$B,0)),"Not found"))</f>
        <v/>
      </c>
      <c r="E214" s="21" t="str">
        <f aca="false">IF(D214="","",IFERROR(INDEX(Tables!$D:$D,MATCH(D214,Tables!$A:$A,0)),""))</f>
        <v/>
      </c>
      <c r="F214" s="20"/>
      <c r="G214" s="20"/>
      <c r="H214" s="18"/>
      <c r="I214" s="20"/>
      <c r="J214" s="20"/>
      <c r="K214" s="20"/>
      <c r="L214" s="20"/>
      <c r="M214" s="20"/>
      <c r="N214" s="20"/>
      <c r="O214" s="20"/>
      <c r="P214" s="20"/>
      <c r="Q214" s="21" t="str">
        <f aca="false">IF(A214="","",COUNTIF('Metric to Field'!$B:$B,A214))</f>
        <v/>
      </c>
      <c r="R214" s="21" t="str">
        <f aca="false">IF(A214="","",SUMIF('Metric to Field'!$B:$B,A214,'Metric to Field'!$G:$G))</f>
        <v/>
      </c>
      <c r="S214" s="20"/>
      <c r="T214" s="20"/>
      <c r="U214" s="20"/>
      <c r="V214" s="20"/>
      <c r="W214" s="20"/>
    </row>
    <row r="215" customFormat="false" ht="15" hidden="false" customHeight="false" outlineLevel="0" collapsed="false">
      <c r="A215" s="18"/>
      <c r="B215" s="19"/>
      <c r="C215" s="20"/>
      <c r="D215" s="18" t="str">
        <f aca="false">IF(C215="","",IFERROR(INDEX(Tables!$A:$A,MATCH(C215,Tables!$B:$B,0)),"Not found"))</f>
        <v/>
      </c>
      <c r="E215" s="21" t="str">
        <f aca="false">IF(D215="","",IFERROR(INDEX(Tables!$D:$D,MATCH(D215,Tables!$A:$A,0)),""))</f>
        <v/>
      </c>
      <c r="F215" s="20"/>
      <c r="G215" s="20"/>
      <c r="H215" s="18"/>
      <c r="I215" s="20"/>
      <c r="J215" s="20"/>
      <c r="K215" s="20"/>
      <c r="L215" s="20"/>
      <c r="M215" s="20"/>
      <c r="N215" s="20"/>
      <c r="O215" s="20"/>
      <c r="P215" s="20"/>
      <c r="Q215" s="21" t="str">
        <f aca="false">IF(A215="","",COUNTIF('Metric to Field'!$B:$B,A215))</f>
        <v/>
      </c>
      <c r="R215" s="21" t="str">
        <f aca="false">IF(A215="","",SUMIF('Metric to Field'!$B:$B,A215,'Metric to Field'!$G:$G))</f>
        <v/>
      </c>
      <c r="S215" s="20"/>
      <c r="T215" s="20"/>
      <c r="U215" s="20"/>
      <c r="V215" s="20"/>
      <c r="W215" s="20"/>
    </row>
    <row r="216" customFormat="false" ht="15" hidden="false" customHeight="false" outlineLevel="0" collapsed="false">
      <c r="A216" s="18"/>
      <c r="B216" s="19"/>
      <c r="C216" s="20"/>
      <c r="D216" s="18" t="str">
        <f aca="false">IF(C216="","",IFERROR(INDEX(Tables!$A:$A,MATCH(C216,Tables!$B:$B,0)),"Not found"))</f>
        <v/>
      </c>
      <c r="E216" s="21" t="str">
        <f aca="false">IF(D216="","",IFERROR(INDEX(Tables!$D:$D,MATCH(D216,Tables!$A:$A,0)),""))</f>
        <v/>
      </c>
      <c r="F216" s="20"/>
      <c r="G216" s="20"/>
      <c r="H216" s="18"/>
      <c r="I216" s="20"/>
      <c r="J216" s="20"/>
      <c r="K216" s="20"/>
      <c r="L216" s="20"/>
      <c r="M216" s="20"/>
      <c r="N216" s="20"/>
      <c r="O216" s="20"/>
      <c r="P216" s="20"/>
      <c r="Q216" s="21" t="str">
        <f aca="false">IF(A216="","",COUNTIF('Metric to Field'!$B:$B,A216))</f>
        <v/>
      </c>
      <c r="R216" s="21" t="str">
        <f aca="false">IF(A216="","",SUMIF('Metric to Field'!$B:$B,A216,'Metric to Field'!$G:$G))</f>
        <v/>
      </c>
      <c r="S216" s="20"/>
      <c r="T216" s="20"/>
      <c r="U216" s="20"/>
      <c r="V216" s="20"/>
      <c r="W216" s="20"/>
    </row>
    <row r="217" customFormat="false" ht="15" hidden="false" customHeight="false" outlineLevel="0" collapsed="false">
      <c r="A217" s="18"/>
      <c r="B217" s="19"/>
      <c r="C217" s="20"/>
      <c r="D217" s="18" t="str">
        <f aca="false">IF(C217="","",IFERROR(INDEX(Tables!$A:$A,MATCH(C217,Tables!$B:$B,0)),"Not found"))</f>
        <v/>
      </c>
      <c r="E217" s="21" t="str">
        <f aca="false">IF(D217="","",IFERROR(INDEX(Tables!$D:$D,MATCH(D217,Tables!$A:$A,0)),""))</f>
        <v/>
      </c>
      <c r="F217" s="20"/>
      <c r="G217" s="20"/>
      <c r="H217" s="18"/>
      <c r="I217" s="20"/>
      <c r="J217" s="20"/>
      <c r="K217" s="20"/>
      <c r="L217" s="20"/>
      <c r="M217" s="20"/>
      <c r="N217" s="20"/>
      <c r="O217" s="20"/>
      <c r="P217" s="20"/>
      <c r="Q217" s="21" t="str">
        <f aca="false">IF(A217="","",COUNTIF('Metric to Field'!$B:$B,A217))</f>
        <v/>
      </c>
      <c r="R217" s="21" t="str">
        <f aca="false">IF(A217="","",SUMIF('Metric to Field'!$B:$B,A217,'Metric to Field'!$G:$G))</f>
        <v/>
      </c>
      <c r="S217" s="20"/>
      <c r="T217" s="20"/>
      <c r="U217" s="20"/>
      <c r="V217" s="20"/>
      <c r="W217" s="20"/>
    </row>
    <row r="218" customFormat="false" ht="15" hidden="false" customHeight="false" outlineLevel="0" collapsed="false">
      <c r="A218" s="18"/>
      <c r="B218" s="19"/>
      <c r="C218" s="20"/>
      <c r="D218" s="18" t="str">
        <f aca="false">IF(C218="","",IFERROR(INDEX(Tables!$A:$A,MATCH(C218,Tables!$B:$B,0)),"Not found"))</f>
        <v/>
      </c>
      <c r="E218" s="21" t="str">
        <f aca="false">IF(D218="","",IFERROR(INDEX(Tables!$D:$D,MATCH(D218,Tables!$A:$A,0)),""))</f>
        <v/>
      </c>
      <c r="F218" s="20"/>
      <c r="G218" s="20"/>
      <c r="H218" s="18"/>
      <c r="I218" s="20"/>
      <c r="J218" s="20"/>
      <c r="K218" s="20"/>
      <c r="L218" s="20"/>
      <c r="M218" s="20"/>
      <c r="N218" s="20"/>
      <c r="O218" s="20"/>
      <c r="P218" s="20"/>
      <c r="Q218" s="21" t="str">
        <f aca="false">IF(A218="","",COUNTIF('Metric to Field'!$B:$B,A218))</f>
        <v/>
      </c>
      <c r="R218" s="21" t="str">
        <f aca="false">IF(A218="","",SUMIF('Metric to Field'!$B:$B,A218,'Metric to Field'!$G:$G))</f>
        <v/>
      </c>
      <c r="S218" s="20"/>
      <c r="T218" s="20"/>
      <c r="U218" s="20"/>
      <c r="V218" s="20"/>
      <c r="W218" s="20"/>
    </row>
    <row r="219" customFormat="false" ht="15" hidden="false" customHeight="false" outlineLevel="0" collapsed="false">
      <c r="A219" s="18"/>
      <c r="B219" s="19"/>
      <c r="C219" s="20"/>
      <c r="D219" s="18" t="str">
        <f aca="false">IF(C219="","",IFERROR(INDEX(Tables!$A:$A,MATCH(C219,Tables!$B:$B,0)),"Not found"))</f>
        <v/>
      </c>
      <c r="E219" s="21" t="str">
        <f aca="false">IF(D219="","",IFERROR(INDEX(Tables!$D:$D,MATCH(D219,Tables!$A:$A,0)),""))</f>
        <v/>
      </c>
      <c r="F219" s="20"/>
      <c r="G219" s="20"/>
      <c r="H219" s="18"/>
      <c r="I219" s="20"/>
      <c r="J219" s="20"/>
      <c r="K219" s="20"/>
      <c r="L219" s="20"/>
      <c r="M219" s="20"/>
      <c r="N219" s="20"/>
      <c r="O219" s="20"/>
      <c r="P219" s="20"/>
      <c r="Q219" s="21" t="str">
        <f aca="false">IF(A219="","",COUNTIF('Metric to Field'!$B:$B,A219))</f>
        <v/>
      </c>
      <c r="R219" s="21" t="str">
        <f aca="false">IF(A219="","",SUMIF('Metric to Field'!$B:$B,A219,'Metric to Field'!$G:$G))</f>
        <v/>
      </c>
      <c r="S219" s="20"/>
      <c r="T219" s="20"/>
      <c r="U219" s="20"/>
      <c r="V219" s="20"/>
      <c r="W219" s="20"/>
    </row>
    <row r="220" customFormat="false" ht="15" hidden="false" customHeight="false" outlineLevel="0" collapsed="false">
      <c r="A220" s="18"/>
      <c r="B220" s="19"/>
      <c r="C220" s="20"/>
      <c r="D220" s="18" t="str">
        <f aca="false">IF(C220="","",IFERROR(INDEX(Tables!$A:$A,MATCH(C220,Tables!$B:$B,0)),"Not found"))</f>
        <v/>
      </c>
      <c r="E220" s="21" t="str">
        <f aca="false">IF(D220="","",IFERROR(INDEX(Tables!$D:$D,MATCH(D220,Tables!$A:$A,0)),""))</f>
        <v/>
      </c>
      <c r="F220" s="20"/>
      <c r="G220" s="20"/>
      <c r="H220" s="18"/>
      <c r="I220" s="20"/>
      <c r="J220" s="20"/>
      <c r="K220" s="20"/>
      <c r="L220" s="20"/>
      <c r="M220" s="20"/>
      <c r="N220" s="20"/>
      <c r="O220" s="20"/>
      <c r="P220" s="20"/>
      <c r="Q220" s="21" t="str">
        <f aca="false">IF(A220="","",COUNTIF('Metric to Field'!$B:$B,A220))</f>
        <v/>
      </c>
      <c r="R220" s="21" t="str">
        <f aca="false">IF(A220="","",SUMIF('Metric to Field'!$B:$B,A220,'Metric to Field'!$G:$G))</f>
        <v/>
      </c>
      <c r="S220" s="20"/>
      <c r="T220" s="20"/>
      <c r="U220" s="20"/>
      <c r="V220" s="20"/>
      <c r="W220" s="20"/>
    </row>
    <row r="221" customFormat="false" ht="15" hidden="false" customHeight="false" outlineLevel="0" collapsed="false">
      <c r="A221" s="18"/>
      <c r="B221" s="19"/>
      <c r="C221" s="20"/>
      <c r="D221" s="18" t="str">
        <f aca="false">IF(C221="","",IFERROR(INDEX(Tables!$A:$A,MATCH(C221,Tables!$B:$B,0)),"Not found"))</f>
        <v/>
      </c>
      <c r="E221" s="21" t="str">
        <f aca="false">IF(D221="","",IFERROR(INDEX(Tables!$D:$D,MATCH(D221,Tables!$A:$A,0)),""))</f>
        <v/>
      </c>
      <c r="F221" s="20"/>
      <c r="G221" s="20"/>
      <c r="H221" s="18"/>
      <c r="I221" s="20"/>
      <c r="J221" s="20"/>
      <c r="K221" s="20"/>
      <c r="L221" s="20"/>
      <c r="M221" s="20"/>
      <c r="N221" s="20"/>
      <c r="O221" s="20"/>
      <c r="P221" s="20"/>
      <c r="Q221" s="21" t="str">
        <f aca="false">IF(A221="","",COUNTIF('Metric to Field'!$B:$B,A221))</f>
        <v/>
      </c>
      <c r="R221" s="21" t="str">
        <f aca="false">IF(A221="","",SUMIF('Metric to Field'!$B:$B,A221,'Metric to Field'!$G:$G))</f>
        <v/>
      </c>
      <c r="S221" s="20"/>
      <c r="T221" s="20"/>
      <c r="U221" s="20"/>
      <c r="V221" s="20"/>
      <c r="W221" s="20"/>
    </row>
    <row r="222" customFormat="false" ht="15" hidden="false" customHeight="false" outlineLevel="0" collapsed="false">
      <c r="A222" s="18"/>
      <c r="B222" s="19"/>
      <c r="C222" s="20"/>
      <c r="D222" s="18" t="str">
        <f aca="false">IF(C222="","",IFERROR(INDEX(Tables!$A:$A,MATCH(C222,Tables!$B:$B,0)),"Not found"))</f>
        <v/>
      </c>
      <c r="E222" s="21" t="str">
        <f aca="false">IF(D222="","",IFERROR(INDEX(Tables!$D:$D,MATCH(D222,Tables!$A:$A,0)),""))</f>
        <v/>
      </c>
      <c r="F222" s="20"/>
      <c r="G222" s="20"/>
      <c r="H222" s="18"/>
      <c r="I222" s="20"/>
      <c r="J222" s="20"/>
      <c r="K222" s="20"/>
      <c r="L222" s="20"/>
      <c r="M222" s="20"/>
      <c r="N222" s="20"/>
      <c r="O222" s="20"/>
      <c r="P222" s="20"/>
      <c r="Q222" s="21" t="str">
        <f aca="false">IF(A222="","",COUNTIF('Metric to Field'!$B:$B,A222))</f>
        <v/>
      </c>
      <c r="R222" s="21" t="str">
        <f aca="false">IF(A222="","",SUMIF('Metric to Field'!$B:$B,A222,'Metric to Field'!$G:$G))</f>
        <v/>
      </c>
      <c r="S222" s="20"/>
      <c r="T222" s="20"/>
      <c r="U222" s="20"/>
      <c r="V222" s="20"/>
      <c r="W222" s="20"/>
    </row>
    <row r="223" customFormat="false" ht="15" hidden="false" customHeight="false" outlineLevel="0" collapsed="false">
      <c r="A223" s="18"/>
      <c r="B223" s="19"/>
      <c r="C223" s="20"/>
      <c r="D223" s="18" t="str">
        <f aca="false">IF(C223="","",IFERROR(INDEX(Tables!$A:$A,MATCH(C223,Tables!$B:$B,0)),"Not found"))</f>
        <v/>
      </c>
      <c r="E223" s="21" t="str">
        <f aca="false">IF(D223="","",IFERROR(INDEX(Tables!$D:$D,MATCH(D223,Tables!$A:$A,0)),""))</f>
        <v/>
      </c>
      <c r="F223" s="20"/>
      <c r="G223" s="20"/>
      <c r="H223" s="18"/>
      <c r="I223" s="20"/>
      <c r="J223" s="20"/>
      <c r="K223" s="20"/>
      <c r="L223" s="20"/>
      <c r="M223" s="20"/>
      <c r="N223" s="20"/>
      <c r="O223" s="20"/>
      <c r="P223" s="20"/>
      <c r="Q223" s="21" t="str">
        <f aca="false">IF(A223="","",COUNTIF('Metric to Field'!$B:$B,A223))</f>
        <v/>
      </c>
      <c r="R223" s="21" t="str">
        <f aca="false">IF(A223="","",SUMIF('Metric to Field'!$B:$B,A223,'Metric to Field'!$G:$G))</f>
        <v/>
      </c>
      <c r="S223" s="20"/>
      <c r="T223" s="20"/>
      <c r="U223" s="20"/>
      <c r="V223" s="20"/>
      <c r="W223" s="20"/>
    </row>
    <row r="224" customFormat="false" ht="15" hidden="false" customHeight="false" outlineLevel="0" collapsed="false">
      <c r="A224" s="18"/>
      <c r="B224" s="19"/>
      <c r="C224" s="20"/>
      <c r="D224" s="18" t="str">
        <f aca="false">IF(C224="","",IFERROR(INDEX(Tables!$A:$A,MATCH(C224,Tables!$B:$B,0)),"Not found"))</f>
        <v/>
      </c>
      <c r="E224" s="21" t="str">
        <f aca="false">IF(D224="","",IFERROR(INDEX(Tables!$D:$D,MATCH(D224,Tables!$A:$A,0)),""))</f>
        <v/>
      </c>
      <c r="F224" s="20"/>
      <c r="G224" s="20"/>
      <c r="H224" s="18"/>
      <c r="I224" s="20"/>
      <c r="J224" s="20"/>
      <c r="K224" s="20"/>
      <c r="L224" s="20"/>
      <c r="M224" s="20"/>
      <c r="N224" s="20"/>
      <c r="O224" s="20"/>
      <c r="P224" s="20"/>
      <c r="Q224" s="21" t="str">
        <f aca="false">IF(A224="","",COUNTIF('Metric to Field'!$B:$B,A224))</f>
        <v/>
      </c>
      <c r="R224" s="21" t="str">
        <f aca="false">IF(A224="","",SUMIF('Metric to Field'!$B:$B,A224,'Metric to Field'!$G:$G))</f>
        <v/>
      </c>
      <c r="S224" s="20"/>
      <c r="T224" s="20"/>
      <c r="U224" s="20"/>
      <c r="V224" s="20"/>
      <c r="W224" s="20"/>
    </row>
    <row r="225" customFormat="false" ht="15" hidden="false" customHeight="false" outlineLevel="0" collapsed="false">
      <c r="A225" s="18"/>
      <c r="B225" s="19"/>
      <c r="C225" s="20"/>
      <c r="D225" s="18" t="str">
        <f aca="false">IF(C225="","",IFERROR(INDEX(Tables!$A:$A,MATCH(C225,Tables!$B:$B,0)),"Not found"))</f>
        <v/>
      </c>
      <c r="E225" s="21" t="str">
        <f aca="false">IF(D225="","",IFERROR(INDEX(Tables!$D:$D,MATCH(D225,Tables!$A:$A,0)),""))</f>
        <v/>
      </c>
      <c r="F225" s="20"/>
      <c r="G225" s="20"/>
      <c r="H225" s="18"/>
      <c r="I225" s="20"/>
      <c r="J225" s="20"/>
      <c r="K225" s="20"/>
      <c r="L225" s="20"/>
      <c r="M225" s="20"/>
      <c r="N225" s="20"/>
      <c r="O225" s="20"/>
      <c r="P225" s="20"/>
      <c r="Q225" s="21" t="str">
        <f aca="false">IF(A225="","",COUNTIF('Metric to Field'!$B:$B,A225))</f>
        <v/>
      </c>
      <c r="R225" s="21" t="str">
        <f aca="false">IF(A225="","",SUMIF('Metric to Field'!$B:$B,A225,'Metric to Field'!$G:$G))</f>
        <v/>
      </c>
      <c r="S225" s="20"/>
      <c r="T225" s="20"/>
      <c r="U225" s="20"/>
      <c r="V225" s="20"/>
      <c r="W225" s="20"/>
    </row>
    <row r="226" customFormat="false" ht="15" hidden="false" customHeight="false" outlineLevel="0" collapsed="false">
      <c r="A226" s="18"/>
      <c r="B226" s="19"/>
      <c r="C226" s="20"/>
      <c r="D226" s="18" t="str">
        <f aca="false">IF(C226="","",IFERROR(INDEX(Tables!$A:$A,MATCH(C226,Tables!$B:$B,0)),"Not found"))</f>
        <v/>
      </c>
      <c r="E226" s="21" t="str">
        <f aca="false">IF(D226="","",IFERROR(INDEX(Tables!$D:$D,MATCH(D226,Tables!$A:$A,0)),""))</f>
        <v/>
      </c>
      <c r="F226" s="20"/>
      <c r="G226" s="20"/>
      <c r="H226" s="18"/>
      <c r="I226" s="20"/>
      <c r="J226" s="20"/>
      <c r="K226" s="20"/>
      <c r="L226" s="20"/>
      <c r="M226" s="20"/>
      <c r="N226" s="20"/>
      <c r="O226" s="20"/>
      <c r="P226" s="20"/>
      <c r="Q226" s="21" t="str">
        <f aca="false">IF(A226="","",COUNTIF('Metric to Field'!$B:$B,A226))</f>
        <v/>
      </c>
      <c r="R226" s="21" t="str">
        <f aca="false">IF(A226="","",SUMIF('Metric to Field'!$B:$B,A226,'Metric to Field'!$G:$G))</f>
        <v/>
      </c>
      <c r="S226" s="20"/>
      <c r="T226" s="20"/>
      <c r="U226" s="20"/>
      <c r="V226" s="20"/>
      <c r="W226" s="20"/>
    </row>
    <row r="227" customFormat="false" ht="15" hidden="false" customHeight="false" outlineLevel="0" collapsed="false">
      <c r="A227" s="18"/>
      <c r="B227" s="19"/>
      <c r="C227" s="20"/>
      <c r="D227" s="18" t="str">
        <f aca="false">IF(C227="","",IFERROR(INDEX(Tables!$A:$A,MATCH(C227,Tables!$B:$B,0)),"Not found"))</f>
        <v/>
      </c>
      <c r="E227" s="21" t="str">
        <f aca="false">IF(D227="","",IFERROR(INDEX(Tables!$D:$D,MATCH(D227,Tables!$A:$A,0)),""))</f>
        <v/>
      </c>
      <c r="F227" s="20"/>
      <c r="G227" s="20"/>
      <c r="H227" s="18"/>
      <c r="I227" s="20"/>
      <c r="J227" s="20"/>
      <c r="K227" s="20"/>
      <c r="L227" s="20"/>
      <c r="M227" s="20"/>
      <c r="N227" s="20"/>
      <c r="O227" s="20"/>
      <c r="P227" s="20"/>
      <c r="Q227" s="21" t="str">
        <f aca="false">IF(A227="","",COUNTIF('Metric to Field'!$B:$B,A227))</f>
        <v/>
      </c>
      <c r="R227" s="21" t="str">
        <f aca="false">IF(A227="","",SUMIF('Metric to Field'!$B:$B,A227,'Metric to Field'!$G:$G))</f>
        <v/>
      </c>
      <c r="S227" s="20"/>
      <c r="T227" s="20"/>
      <c r="U227" s="20"/>
      <c r="V227" s="20"/>
      <c r="W227" s="20"/>
    </row>
    <row r="228" customFormat="false" ht="15" hidden="false" customHeight="false" outlineLevel="0" collapsed="false">
      <c r="A228" s="18"/>
      <c r="B228" s="19"/>
      <c r="C228" s="20"/>
      <c r="D228" s="18" t="str">
        <f aca="false">IF(C228="","",IFERROR(INDEX(Tables!$A:$A,MATCH(C228,Tables!$B:$B,0)),"Not found"))</f>
        <v/>
      </c>
      <c r="E228" s="21" t="str">
        <f aca="false">IF(D228="","",IFERROR(INDEX(Tables!$D:$D,MATCH(D228,Tables!$A:$A,0)),""))</f>
        <v/>
      </c>
      <c r="F228" s="20"/>
      <c r="G228" s="20"/>
      <c r="H228" s="18"/>
      <c r="I228" s="20"/>
      <c r="J228" s="20"/>
      <c r="K228" s="20"/>
      <c r="L228" s="20"/>
      <c r="M228" s="20"/>
      <c r="N228" s="20"/>
      <c r="O228" s="20"/>
      <c r="P228" s="20"/>
      <c r="Q228" s="21" t="str">
        <f aca="false">IF(A228="","",COUNTIF('Metric to Field'!$B:$B,A228))</f>
        <v/>
      </c>
      <c r="R228" s="21" t="str">
        <f aca="false">IF(A228="","",SUMIF('Metric to Field'!$B:$B,A228,'Metric to Field'!$G:$G))</f>
        <v/>
      </c>
      <c r="S228" s="20"/>
      <c r="T228" s="20"/>
      <c r="U228" s="20"/>
      <c r="V228" s="20"/>
      <c r="W228" s="20"/>
    </row>
    <row r="229" customFormat="false" ht="15" hidden="false" customHeight="false" outlineLevel="0" collapsed="false">
      <c r="A229" s="18"/>
      <c r="B229" s="19"/>
      <c r="C229" s="20"/>
      <c r="D229" s="18" t="str">
        <f aca="false">IF(C229="","",IFERROR(INDEX(Tables!$A:$A,MATCH(C229,Tables!$B:$B,0)),"Not found"))</f>
        <v/>
      </c>
      <c r="E229" s="21" t="str">
        <f aca="false">IF(D229="","",IFERROR(INDEX(Tables!$D:$D,MATCH(D229,Tables!$A:$A,0)),""))</f>
        <v/>
      </c>
      <c r="F229" s="20"/>
      <c r="G229" s="20"/>
      <c r="H229" s="18"/>
      <c r="I229" s="20"/>
      <c r="J229" s="20"/>
      <c r="K229" s="20"/>
      <c r="L229" s="20"/>
      <c r="M229" s="20"/>
      <c r="N229" s="20"/>
      <c r="O229" s="20"/>
      <c r="P229" s="20"/>
      <c r="Q229" s="21" t="str">
        <f aca="false">IF(A229="","",COUNTIF('Metric to Field'!$B:$B,A229))</f>
        <v/>
      </c>
      <c r="R229" s="21" t="str">
        <f aca="false">IF(A229="","",SUMIF('Metric to Field'!$B:$B,A229,'Metric to Field'!$G:$G))</f>
        <v/>
      </c>
      <c r="S229" s="20"/>
      <c r="T229" s="20"/>
      <c r="U229" s="20"/>
      <c r="V229" s="20"/>
      <c r="W229" s="20"/>
    </row>
    <row r="230" customFormat="false" ht="15" hidden="false" customHeight="false" outlineLevel="0" collapsed="false">
      <c r="A230" s="18"/>
      <c r="B230" s="19"/>
      <c r="C230" s="20"/>
      <c r="D230" s="18" t="str">
        <f aca="false">IF(C230="","",IFERROR(INDEX(Tables!$A:$A,MATCH(C230,Tables!$B:$B,0)),"Not found"))</f>
        <v/>
      </c>
      <c r="E230" s="21" t="str">
        <f aca="false">IF(D230="","",IFERROR(INDEX(Tables!$D:$D,MATCH(D230,Tables!$A:$A,0)),""))</f>
        <v/>
      </c>
      <c r="F230" s="20"/>
      <c r="G230" s="20"/>
      <c r="H230" s="18"/>
      <c r="I230" s="20"/>
      <c r="J230" s="20"/>
      <c r="K230" s="20"/>
      <c r="L230" s="20"/>
      <c r="M230" s="20"/>
      <c r="N230" s="20"/>
      <c r="O230" s="20"/>
      <c r="P230" s="20"/>
      <c r="Q230" s="21" t="str">
        <f aca="false">IF(A230="","",COUNTIF('Metric to Field'!$B:$B,A230))</f>
        <v/>
      </c>
      <c r="R230" s="21" t="str">
        <f aca="false">IF(A230="","",SUMIF('Metric to Field'!$B:$B,A230,'Metric to Field'!$G:$G))</f>
        <v/>
      </c>
      <c r="S230" s="20"/>
      <c r="T230" s="20"/>
      <c r="U230" s="20"/>
      <c r="V230" s="20"/>
      <c r="W230" s="20"/>
    </row>
    <row r="231" customFormat="false" ht="15" hidden="false" customHeight="false" outlineLevel="0" collapsed="false">
      <c r="A231" s="18"/>
      <c r="B231" s="19"/>
      <c r="C231" s="20"/>
      <c r="D231" s="18" t="str">
        <f aca="false">IF(C231="","",IFERROR(INDEX(Tables!$A:$A,MATCH(C231,Tables!$B:$B,0)),"Not found"))</f>
        <v/>
      </c>
      <c r="E231" s="21" t="str">
        <f aca="false">IF(D231="","",IFERROR(INDEX(Tables!$D:$D,MATCH(D231,Tables!$A:$A,0)),""))</f>
        <v/>
      </c>
      <c r="F231" s="20"/>
      <c r="G231" s="20"/>
      <c r="H231" s="18"/>
      <c r="I231" s="20"/>
      <c r="J231" s="20"/>
      <c r="K231" s="20"/>
      <c r="L231" s="20"/>
      <c r="M231" s="20"/>
      <c r="N231" s="20"/>
      <c r="O231" s="20"/>
      <c r="P231" s="20"/>
      <c r="Q231" s="21" t="str">
        <f aca="false">IF(A231="","",COUNTIF('Metric to Field'!$B:$B,A231))</f>
        <v/>
      </c>
      <c r="R231" s="21" t="str">
        <f aca="false">IF(A231="","",SUMIF('Metric to Field'!$B:$B,A231,'Metric to Field'!$G:$G))</f>
        <v/>
      </c>
      <c r="S231" s="20"/>
      <c r="T231" s="20"/>
      <c r="U231" s="20"/>
      <c r="V231" s="20"/>
      <c r="W231" s="20"/>
    </row>
    <row r="232" customFormat="false" ht="15" hidden="false" customHeight="false" outlineLevel="0" collapsed="false">
      <c r="A232" s="18"/>
      <c r="B232" s="19"/>
      <c r="C232" s="20"/>
      <c r="D232" s="18" t="str">
        <f aca="false">IF(C232="","",IFERROR(INDEX(Tables!$A:$A,MATCH(C232,Tables!$B:$B,0)),"Not found"))</f>
        <v/>
      </c>
      <c r="E232" s="21" t="str">
        <f aca="false">IF(D232="","",IFERROR(INDEX(Tables!$D:$D,MATCH(D232,Tables!$A:$A,0)),""))</f>
        <v/>
      </c>
      <c r="F232" s="20"/>
      <c r="G232" s="20"/>
      <c r="H232" s="18"/>
      <c r="I232" s="20"/>
      <c r="J232" s="20"/>
      <c r="K232" s="20"/>
      <c r="L232" s="20"/>
      <c r="M232" s="20"/>
      <c r="N232" s="20"/>
      <c r="O232" s="20"/>
      <c r="P232" s="20"/>
      <c r="Q232" s="21" t="str">
        <f aca="false">IF(A232="","",COUNTIF('Metric to Field'!$B:$B,A232))</f>
        <v/>
      </c>
      <c r="R232" s="21" t="str">
        <f aca="false">IF(A232="","",SUMIF('Metric to Field'!$B:$B,A232,'Metric to Field'!$G:$G))</f>
        <v/>
      </c>
      <c r="S232" s="20"/>
      <c r="T232" s="20"/>
      <c r="U232" s="20"/>
      <c r="V232" s="20"/>
      <c r="W232" s="20"/>
    </row>
    <row r="233" customFormat="false" ht="15" hidden="false" customHeight="false" outlineLevel="0" collapsed="false">
      <c r="A233" s="18"/>
      <c r="B233" s="19"/>
      <c r="C233" s="20"/>
      <c r="D233" s="18" t="str">
        <f aca="false">IF(C233="","",IFERROR(INDEX(Tables!$A:$A,MATCH(C233,Tables!$B:$B,0)),"Not found"))</f>
        <v/>
      </c>
      <c r="E233" s="21" t="str">
        <f aca="false">IF(D233="","",IFERROR(INDEX(Tables!$D:$D,MATCH(D233,Tables!$A:$A,0)),""))</f>
        <v/>
      </c>
      <c r="F233" s="20"/>
      <c r="G233" s="20"/>
      <c r="H233" s="18"/>
      <c r="I233" s="20"/>
      <c r="J233" s="20"/>
      <c r="K233" s="20"/>
      <c r="L233" s="20"/>
      <c r="M233" s="20"/>
      <c r="N233" s="20"/>
      <c r="O233" s="20"/>
      <c r="P233" s="20"/>
      <c r="Q233" s="21" t="str">
        <f aca="false">IF(A233="","",COUNTIF('Metric to Field'!$B:$B,A233))</f>
        <v/>
      </c>
      <c r="R233" s="21" t="str">
        <f aca="false">IF(A233="","",SUMIF('Metric to Field'!$B:$B,A233,'Metric to Field'!$G:$G))</f>
        <v/>
      </c>
      <c r="S233" s="20"/>
      <c r="T233" s="20"/>
      <c r="U233" s="20"/>
      <c r="V233" s="20"/>
      <c r="W233" s="20"/>
    </row>
    <row r="234" customFormat="false" ht="15" hidden="false" customHeight="false" outlineLevel="0" collapsed="false">
      <c r="A234" s="18"/>
      <c r="B234" s="19"/>
      <c r="C234" s="20"/>
      <c r="D234" s="18" t="str">
        <f aca="false">IF(C234="","",IFERROR(INDEX(Tables!$A:$A,MATCH(C234,Tables!$B:$B,0)),"Not found"))</f>
        <v/>
      </c>
      <c r="E234" s="21" t="str">
        <f aca="false">IF(D234="","",IFERROR(INDEX(Tables!$D:$D,MATCH(D234,Tables!$A:$A,0)),""))</f>
        <v/>
      </c>
      <c r="F234" s="20"/>
      <c r="G234" s="20"/>
      <c r="H234" s="18"/>
      <c r="I234" s="20"/>
      <c r="J234" s="20"/>
      <c r="K234" s="20"/>
      <c r="L234" s="20"/>
      <c r="M234" s="20"/>
      <c r="N234" s="20"/>
      <c r="O234" s="20"/>
      <c r="P234" s="20"/>
      <c r="Q234" s="21" t="str">
        <f aca="false">IF(A234="","",COUNTIF('Metric to Field'!$B:$B,A234))</f>
        <v/>
      </c>
      <c r="R234" s="21" t="str">
        <f aca="false">IF(A234="","",SUMIF('Metric to Field'!$B:$B,A234,'Metric to Field'!$G:$G))</f>
        <v/>
      </c>
      <c r="S234" s="20"/>
      <c r="T234" s="20"/>
      <c r="U234" s="20"/>
      <c r="V234" s="20"/>
      <c r="W234" s="20"/>
    </row>
    <row r="235" customFormat="false" ht="15" hidden="false" customHeight="false" outlineLevel="0" collapsed="false">
      <c r="A235" s="18"/>
      <c r="B235" s="19"/>
      <c r="C235" s="20"/>
      <c r="D235" s="18" t="str">
        <f aca="false">IF(C235="","",IFERROR(INDEX(Tables!$A:$A,MATCH(C235,Tables!$B:$B,0)),"Not found"))</f>
        <v/>
      </c>
      <c r="E235" s="21" t="str">
        <f aca="false">IF(D235="","",IFERROR(INDEX(Tables!$D:$D,MATCH(D235,Tables!$A:$A,0)),""))</f>
        <v/>
      </c>
      <c r="F235" s="20"/>
      <c r="G235" s="20"/>
      <c r="H235" s="18"/>
      <c r="I235" s="20"/>
      <c r="J235" s="20"/>
      <c r="K235" s="20"/>
      <c r="L235" s="20"/>
      <c r="M235" s="20"/>
      <c r="N235" s="20"/>
      <c r="O235" s="20"/>
      <c r="P235" s="20"/>
      <c r="Q235" s="21" t="str">
        <f aca="false">IF(A235="","",COUNTIF('Metric to Field'!$B:$B,A235))</f>
        <v/>
      </c>
      <c r="R235" s="21" t="str">
        <f aca="false">IF(A235="","",SUMIF('Metric to Field'!$B:$B,A235,'Metric to Field'!$G:$G))</f>
        <v/>
      </c>
      <c r="S235" s="20"/>
      <c r="T235" s="20"/>
      <c r="U235" s="20"/>
      <c r="V235" s="20"/>
      <c r="W235" s="20"/>
    </row>
    <row r="236" customFormat="false" ht="15" hidden="false" customHeight="false" outlineLevel="0" collapsed="false">
      <c r="A236" s="18"/>
      <c r="B236" s="19"/>
      <c r="C236" s="20"/>
      <c r="D236" s="18" t="str">
        <f aca="false">IF(C236="","",IFERROR(INDEX(Tables!$A:$A,MATCH(C236,Tables!$B:$B,0)),"Not found"))</f>
        <v/>
      </c>
      <c r="E236" s="21" t="str">
        <f aca="false">IF(D236="","",IFERROR(INDEX(Tables!$D:$D,MATCH(D236,Tables!$A:$A,0)),""))</f>
        <v/>
      </c>
      <c r="F236" s="20"/>
      <c r="G236" s="20"/>
      <c r="H236" s="18"/>
      <c r="I236" s="20"/>
      <c r="J236" s="20"/>
      <c r="K236" s="20"/>
      <c r="L236" s="20"/>
      <c r="M236" s="20"/>
      <c r="N236" s="20"/>
      <c r="O236" s="20"/>
      <c r="P236" s="20"/>
      <c r="Q236" s="21" t="str">
        <f aca="false">IF(A236="","",COUNTIF('Metric to Field'!$B:$B,A236))</f>
        <v/>
      </c>
      <c r="R236" s="21" t="str">
        <f aca="false">IF(A236="","",SUMIF('Metric to Field'!$B:$B,A236,'Metric to Field'!$G:$G))</f>
        <v/>
      </c>
      <c r="S236" s="20"/>
      <c r="T236" s="20"/>
      <c r="U236" s="20"/>
      <c r="V236" s="20"/>
      <c r="W236" s="20"/>
    </row>
    <row r="237" customFormat="false" ht="15" hidden="false" customHeight="false" outlineLevel="0" collapsed="false">
      <c r="A237" s="18"/>
      <c r="B237" s="19"/>
      <c r="C237" s="20"/>
      <c r="D237" s="18" t="str">
        <f aca="false">IF(C237="","",IFERROR(INDEX(Tables!$A:$A,MATCH(C237,Tables!$B:$B,0)),"Not found"))</f>
        <v/>
      </c>
      <c r="E237" s="21" t="str">
        <f aca="false">IF(D237="","",IFERROR(INDEX(Tables!$D:$D,MATCH(D237,Tables!$A:$A,0)),""))</f>
        <v/>
      </c>
      <c r="F237" s="20"/>
      <c r="G237" s="20"/>
      <c r="H237" s="18"/>
      <c r="I237" s="20"/>
      <c r="J237" s="20"/>
      <c r="K237" s="20"/>
      <c r="L237" s="20"/>
      <c r="M237" s="20"/>
      <c r="N237" s="20"/>
      <c r="O237" s="20"/>
      <c r="P237" s="20"/>
      <c r="Q237" s="21" t="str">
        <f aca="false">IF(A237="","",COUNTIF('Metric to Field'!$B:$B,A237))</f>
        <v/>
      </c>
      <c r="R237" s="21" t="str">
        <f aca="false">IF(A237="","",SUMIF('Metric to Field'!$B:$B,A237,'Metric to Field'!$G:$G))</f>
        <v/>
      </c>
      <c r="S237" s="20"/>
      <c r="T237" s="20"/>
      <c r="U237" s="20"/>
      <c r="V237" s="20"/>
      <c r="W237" s="20"/>
    </row>
    <row r="238" customFormat="false" ht="15" hidden="false" customHeight="false" outlineLevel="0" collapsed="false">
      <c r="A238" s="18"/>
      <c r="B238" s="19"/>
      <c r="C238" s="20"/>
      <c r="D238" s="18" t="str">
        <f aca="false">IF(C238="","",IFERROR(INDEX(Tables!$A:$A,MATCH(C238,Tables!$B:$B,0)),"Not found"))</f>
        <v/>
      </c>
      <c r="E238" s="21" t="str">
        <f aca="false">IF(D238="","",IFERROR(INDEX(Tables!$D:$D,MATCH(D238,Tables!$A:$A,0)),""))</f>
        <v/>
      </c>
      <c r="F238" s="20"/>
      <c r="G238" s="20"/>
      <c r="H238" s="18"/>
      <c r="I238" s="20"/>
      <c r="J238" s="20"/>
      <c r="K238" s="20"/>
      <c r="L238" s="20"/>
      <c r="M238" s="20"/>
      <c r="N238" s="20"/>
      <c r="O238" s="20"/>
      <c r="P238" s="20"/>
      <c r="Q238" s="21" t="str">
        <f aca="false">IF(A238="","",COUNTIF('Metric to Field'!$B:$B,A238))</f>
        <v/>
      </c>
      <c r="R238" s="21" t="str">
        <f aca="false">IF(A238="","",SUMIF('Metric to Field'!$B:$B,A238,'Metric to Field'!$G:$G))</f>
        <v/>
      </c>
      <c r="S238" s="20"/>
      <c r="T238" s="20"/>
      <c r="U238" s="20"/>
      <c r="V238" s="20"/>
      <c r="W238" s="20"/>
    </row>
    <row r="239" customFormat="false" ht="15" hidden="false" customHeight="false" outlineLevel="0" collapsed="false">
      <c r="A239" s="18"/>
      <c r="B239" s="19"/>
      <c r="C239" s="20"/>
      <c r="D239" s="18" t="str">
        <f aca="false">IF(C239="","",IFERROR(INDEX(Tables!$A:$A,MATCH(C239,Tables!$B:$B,0)),"Not found"))</f>
        <v/>
      </c>
      <c r="E239" s="21" t="str">
        <f aca="false">IF(D239="","",IFERROR(INDEX(Tables!$D:$D,MATCH(D239,Tables!$A:$A,0)),""))</f>
        <v/>
      </c>
      <c r="F239" s="20"/>
      <c r="G239" s="20"/>
      <c r="H239" s="18"/>
      <c r="I239" s="20"/>
      <c r="J239" s="20"/>
      <c r="K239" s="20"/>
      <c r="L239" s="20"/>
      <c r="M239" s="20"/>
      <c r="N239" s="20"/>
      <c r="O239" s="20"/>
      <c r="P239" s="20"/>
      <c r="Q239" s="21" t="str">
        <f aca="false">IF(A239="","",COUNTIF('Metric to Field'!$B:$B,A239))</f>
        <v/>
      </c>
      <c r="R239" s="21" t="str">
        <f aca="false">IF(A239="","",SUMIF('Metric to Field'!$B:$B,A239,'Metric to Field'!$G:$G))</f>
        <v/>
      </c>
      <c r="S239" s="20"/>
      <c r="T239" s="20"/>
      <c r="U239" s="20"/>
      <c r="V239" s="20"/>
      <c r="W239" s="20"/>
    </row>
    <row r="240" customFormat="false" ht="15" hidden="false" customHeight="false" outlineLevel="0" collapsed="false">
      <c r="A240" s="18"/>
      <c r="B240" s="19"/>
      <c r="C240" s="20"/>
      <c r="D240" s="18" t="str">
        <f aca="false">IF(C240="","",IFERROR(INDEX(Tables!$A:$A,MATCH(C240,Tables!$B:$B,0)),"Not found"))</f>
        <v/>
      </c>
      <c r="E240" s="21" t="str">
        <f aca="false">IF(D240="","",IFERROR(INDEX(Tables!$D:$D,MATCH(D240,Tables!$A:$A,0)),""))</f>
        <v/>
      </c>
      <c r="F240" s="20"/>
      <c r="G240" s="20"/>
      <c r="H240" s="18"/>
      <c r="I240" s="20"/>
      <c r="J240" s="20"/>
      <c r="K240" s="20"/>
      <c r="L240" s="20"/>
      <c r="M240" s="20"/>
      <c r="N240" s="20"/>
      <c r="O240" s="20"/>
      <c r="P240" s="20"/>
      <c r="Q240" s="21" t="str">
        <f aca="false">IF(A240="","",COUNTIF('Metric to Field'!$B:$B,A240))</f>
        <v/>
      </c>
      <c r="R240" s="21" t="str">
        <f aca="false">IF(A240="","",SUMIF('Metric to Field'!$B:$B,A240,'Metric to Field'!$G:$G))</f>
        <v/>
      </c>
      <c r="S240" s="20"/>
      <c r="T240" s="20"/>
      <c r="U240" s="20"/>
      <c r="V240" s="20"/>
      <c r="W240" s="20"/>
    </row>
    <row r="241" customFormat="false" ht="15" hidden="false" customHeight="false" outlineLevel="0" collapsed="false">
      <c r="A241" s="18"/>
      <c r="B241" s="19"/>
      <c r="C241" s="20"/>
      <c r="D241" s="18" t="str">
        <f aca="false">IF(C241="","",IFERROR(INDEX(Tables!$A:$A,MATCH(C241,Tables!$B:$B,0)),"Not found"))</f>
        <v/>
      </c>
      <c r="E241" s="21" t="str">
        <f aca="false">IF(D241="","",IFERROR(INDEX(Tables!$D:$D,MATCH(D241,Tables!$A:$A,0)),""))</f>
        <v/>
      </c>
      <c r="F241" s="20"/>
      <c r="G241" s="20"/>
      <c r="H241" s="18"/>
      <c r="I241" s="20"/>
      <c r="J241" s="20"/>
      <c r="K241" s="20"/>
      <c r="L241" s="20"/>
      <c r="M241" s="20"/>
      <c r="N241" s="20"/>
      <c r="O241" s="20"/>
      <c r="P241" s="20"/>
      <c r="Q241" s="21" t="str">
        <f aca="false">IF(A241="","",COUNTIF('Metric to Field'!$B:$B,A241))</f>
        <v/>
      </c>
      <c r="R241" s="21" t="str">
        <f aca="false">IF(A241="","",SUMIF('Metric to Field'!$B:$B,A241,'Metric to Field'!$G:$G))</f>
        <v/>
      </c>
      <c r="S241" s="20"/>
      <c r="T241" s="20"/>
      <c r="U241" s="20"/>
      <c r="V241" s="20"/>
      <c r="W241" s="20"/>
    </row>
    <row r="242" customFormat="false" ht="15" hidden="false" customHeight="false" outlineLevel="0" collapsed="false">
      <c r="A242" s="18"/>
      <c r="B242" s="19"/>
      <c r="C242" s="20"/>
      <c r="D242" s="18" t="str">
        <f aca="false">IF(C242="","",IFERROR(INDEX(Tables!$A:$A,MATCH(C242,Tables!$B:$B,0)),"Not found"))</f>
        <v/>
      </c>
      <c r="E242" s="21" t="str">
        <f aca="false">IF(D242="","",IFERROR(INDEX(Tables!$D:$D,MATCH(D242,Tables!$A:$A,0)),""))</f>
        <v/>
      </c>
      <c r="F242" s="20"/>
      <c r="G242" s="20"/>
      <c r="H242" s="18"/>
      <c r="I242" s="20"/>
      <c r="J242" s="20"/>
      <c r="K242" s="20"/>
      <c r="L242" s="20"/>
      <c r="M242" s="20"/>
      <c r="N242" s="20"/>
      <c r="O242" s="20"/>
      <c r="P242" s="20"/>
      <c r="Q242" s="21" t="str">
        <f aca="false">IF(A242="","",COUNTIF('Metric to Field'!$B:$B,A242))</f>
        <v/>
      </c>
      <c r="R242" s="21" t="str">
        <f aca="false">IF(A242="","",SUMIF('Metric to Field'!$B:$B,A242,'Metric to Field'!$G:$G))</f>
        <v/>
      </c>
      <c r="S242" s="20"/>
      <c r="T242" s="20"/>
      <c r="U242" s="20"/>
      <c r="V242" s="20"/>
      <c r="W242" s="20"/>
    </row>
    <row r="243" customFormat="false" ht="15" hidden="false" customHeight="false" outlineLevel="0" collapsed="false">
      <c r="A243" s="18"/>
      <c r="B243" s="19"/>
      <c r="C243" s="20"/>
      <c r="D243" s="18" t="str">
        <f aca="false">IF(C243="","",IFERROR(INDEX(Tables!$A:$A,MATCH(C243,Tables!$B:$B,0)),"Not found"))</f>
        <v/>
      </c>
      <c r="E243" s="21" t="str">
        <f aca="false">IF(D243="","",IFERROR(INDEX(Tables!$D:$D,MATCH(D243,Tables!$A:$A,0)),""))</f>
        <v/>
      </c>
      <c r="F243" s="20"/>
      <c r="G243" s="20"/>
      <c r="H243" s="18"/>
      <c r="I243" s="20"/>
      <c r="J243" s="20"/>
      <c r="K243" s="20"/>
      <c r="L243" s="20"/>
      <c r="M243" s="20"/>
      <c r="N243" s="20"/>
      <c r="O243" s="20"/>
      <c r="P243" s="20"/>
      <c r="Q243" s="21" t="str">
        <f aca="false">IF(A243="","",COUNTIF('Metric to Field'!$B:$B,A243))</f>
        <v/>
      </c>
      <c r="R243" s="21" t="str">
        <f aca="false">IF(A243="","",SUMIF('Metric to Field'!$B:$B,A243,'Metric to Field'!$G:$G))</f>
        <v/>
      </c>
      <c r="S243" s="20"/>
      <c r="T243" s="20"/>
      <c r="U243" s="20"/>
      <c r="V243" s="20"/>
      <c r="W243" s="20"/>
    </row>
    <row r="244" customFormat="false" ht="15" hidden="false" customHeight="false" outlineLevel="0" collapsed="false">
      <c r="A244" s="18"/>
      <c r="B244" s="19"/>
      <c r="C244" s="20"/>
      <c r="D244" s="18" t="str">
        <f aca="false">IF(C244="","",IFERROR(INDEX(Tables!$A:$A,MATCH(C244,Tables!$B:$B,0)),"Not found"))</f>
        <v/>
      </c>
      <c r="E244" s="21" t="str">
        <f aca="false">IF(D244="","",IFERROR(INDEX(Tables!$D:$D,MATCH(D244,Tables!$A:$A,0)),""))</f>
        <v/>
      </c>
      <c r="F244" s="20"/>
      <c r="G244" s="20"/>
      <c r="H244" s="18"/>
      <c r="I244" s="20"/>
      <c r="J244" s="20"/>
      <c r="K244" s="20"/>
      <c r="L244" s="20"/>
      <c r="M244" s="20"/>
      <c r="N244" s="20"/>
      <c r="O244" s="20"/>
      <c r="P244" s="20"/>
      <c r="Q244" s="21" t="str">
        <f aca="false">IF(A244="","",COUNTIF('Metric to Field'!$B:$B,A244))</f>
        <v/>
      </c>
      <c r="R244" s="21" t="str">
        <f aca="false">IF(A244="","",SUMIF('Metric to Field'!$B:$B,A244,'Metric to Field'!$G:$G))</f>
        <v/>
      </c>
      <c r="S244" s="20"/>
      <c r="T244" s="20"/>
      <c r="U244" s="20"/>
      <c r="V244" s="20"/>
      <c r="W244" s="20"/>
    </row>
    <row r="245" customFormat="false" ht="15" hidden="false" customHeight="false" outlineLevel="0" collapsed="false">
      <c r="A245" s="18"/>
      <c r="B245" s="19"/>
      <c r="C245" s="20"/>
      <c r="D245" s="18" t="str">
        <f aca="false">IF(C245="","",IFERROR(INDEX(Tables!$A:$A,MATCH(C245,Tables!$B:$B,0)),"Not found"))</f>
        <v/>
      </c>
      <c r="E245" s="21" t="str">
        <f aca="false">IF(D245="","",IFERROR(INDEX(Tables!$D:$D,MATCH(D245,Tables!$A:$A,0)),""))</f>
        <v/>
      </c>
      <c r="F245" s="20"/>
      <c r="G245" s="20"/>
      <c r="H245" s="18"/>
      <c r="I245" s="20"/>
      <c r="J245" s="20"/>
      <c r="K245" s="20"/>
      <c r="L245" s="20"/>
      <c r="M245" s="20"/>
      <c r="N245" s="20"/>
      <c r="O245" s="20"/>
      <c r="P245" s="20"/>
      <c r="Q245" s="21" t="str">
        <f aca="false">IF(A245="","",COUNTIF('Metric to Field'!$B:$B,A245))</f>
        <v/>
      </c>
      <c r="R245" s="21" t="str">
        <f aca="false">IF(A245="","",SUMIF('Metric to Field'!$B:$B,A245,'Metric to Field'!$G:$G))</f>
        <v/>
      </c>
      <c r="S245" s="20"/>
      <c r="T245" s="20"/>
      <c r="U245" s="20"/>
      <c r="V245" s="20"/>
      <c r="W245" s="20"/>
    </row>
    <row r="246" customFormat="false" ht="15" hidden="false" customHeight="false" outlineLevel="0" collapsed="false">
      <c r="A246" s="18"/>
      <c r="B246" s="19"/>
      <c r="C246" s="20"/>
      <c r="D246" s="18" t="str">
        <f aca="false">IF(C246="","",IFERROR(INDEX(Tables!$A:$A,MATCH(C246,Tables!$B:$B,0)),"Not found"))</f>
        <v/>
      </c>
      <c r="E246" s="21" t="str">
        <f aca="false">IF(D246="","",IFERROR(INDEX(Tables!$D:$D,MATCH(D246,Tables!$A:$A,0)),""))</f>
        <v/>
      </c>
      <c r="F246" s="20"/>
      <c r="G246" s="20"/>
      <c r="H246" s="18"/>
      <c r="I246" s="20"/>
      <c r="J246" s="20"/>
      <c r="K246" s="20"/>
      <c r="L246" s="20"/>
      <c r="M246" s="20"/>
      <c r="N246" s="20"/>
      <c r="O246" s="20"/>
      <c r="P246" s="20"/>
      <c r="Q246" s="21" t="str">
        <f aca="false">IF(A246="","",COUNTIF('Metric to Field'!$B:$B,A246))</f>
        <v/>
      </c>
      <c r="R246" s="21" t="str">
        <f aca="false">IF(A246="","",SUMIF('Metric to Field'!$B:$B,A246,'Metric to Field'!$G:$G))</f>
        <v/>
      </c>
      <c r="S246" s="20"/>
      <c r="T246" s="20"/>
      <c r="U246" s="20"/>
      <c r="V246" s="20"/>
      <c r="W246" s="20"/>
    </row>
    <row r="247" customFormat="false" ht="15" hidden="false" customHeight="false" outlineLevel="0" collapsed="false">
      <c r="A247" s="18"/>
      <c r="B247" s="19"/>
      <c r="C247" s="20"/>
      <c r="D247" s="18" t="str">
        <f aca="false">IF(C247="","",IFERROR(INDEX(Tables!$A:$A,MATCH(C247,Tables!$B:$B,0)),"Not found"))</f>
        <v/>
      </c>
      <c r="E247" s="21" t="str">
        <f aca="false">IF(D247="","",IFERROR(INDEX(Tables!$D:$D,MATCH(D247,Tables!$A:$A,0)),""))</f>
        <v/>
      </c>
      <c r="F247" s="20"/>
      <c r="G247" s="20"/>
      <c r="H247" s="18"/>
      <c r="I247" s="20"/>
      <c r="J247" s="20"/>
      <c r="K247" s="20"/>
      <c r="L247" s="20"/>
      <c r="M247" s="20"/>
      <c r="N247" s="20"/>
      <c r="O247" s="20"/>
      <c r="P247" s="20"/>
      <c r="Q247" s="21" t="str">
        <f aca="false">IF(A247="","",COUNTIF('Metric to Field'!$B:$B,A247))</f>
        <v/>
      </c>
      <c r="R247" s="21" t="str">
        <f aca="false">IF(A247="","",SUMIF('Metric to Field'!$B:$B,A247,'Metric to Field'!$G:$G))</f>
        <v/>
      </c>
      <c r="S247" s="20"/>
      <c r="T247" s="20"/>
      <c r="U247" s="20"/>
      <c r="V247" s="20"/>
      <c r="W247" s="20"/>
    </row>
    <row r="248" customFormat="false" ht="15" hidden="false" customHeight="false" outlineLevel="0" collapsed="false">
      <c r="A248" s="18"/>
      <c r="B248" s="19"/>
      <c r="C248" s="20"/>
      <c r="D248" s="18" t="str">
        <f aca="false">IF(C248="","",IFERROR(INDEX(Tables!$A:$A,MATCH(C248,Tables!$B:$B,0)),"Not found"))</f>
        <v/>
      </c>
      <c r="E248" s="21" t="str">
        <f aca="false">IF(D248="","",IFERROR(INDEX(Tables!$D:$D,MATCH(D248,Tables!$A:$A,0)),""))</f>
        <v/>
      </c>
      <c r="F248" s="20"/>
      <c r="G248" s="20"/>
      <c r="H248" s="18"/>
      <c r="I248" s="20"/>
      <c r="J248" s="20"/>
      <c r="K248" s="20"/>
      <c r="L248" s="20"/>
      <c r="M248" s="20"/>
      <c r="N248" s="20"/>
      <c r="O248" s="20"/>
      <c r="P248" s="20"/>
      <c r="Q248" s="21" t="str">
        <f aca="false">IF(A248="","",COUNTIF('Metric to Field'!$B:$B,A248))</f>
        <v/>
      </c>
      <c r="R248" s="21" t="str">
        <f aca="false">IF(A248="","",SUMIF('Metric to Field'!$B:$B,A248,'Metric to Field'!$G:$G))</f>
        <v/>
      </c>
      <c r="S248" s="20"/>
      <c r="T248" s="20"/>
      <c r="U248" s="20"/>
      <c r="V248" s="20"/>
      <c r="W248" s="20"/>
    </row>
    <row r="249" customFormat="false" ht="15" hidden="false" customHeight="false" outlineLevel="0" collapsed="false">
      <c r="A249" s="18"/>
      <c r="B249" s="19"/>
      <c r="C249" s="20"/>
      <c r="D249" s="18" t="str">
        <f aca="false">IF(C249="","",IFERROR(INDEX(Tables!$A:$A,MATCH(C249,Tables!$B:$B,0)),"Not found"))</f>
        <v/>
      </c>
      <c r="E249" s="21" t="str">
        <f aca="false">IF(D249="","",IFERROR(INDEX(Tables!$D:$D,MATCH(D249,Tables!$A:$A,0)),""))</f>
        <v/>
      </c>
      <c r="F249" s="20"/>
      <c r="G249" s="20"/>
      <c r="H249" s="18"/>
      <c r="I249" s="20"/>
      <c r="J249" s="20"/>
      <c r="K249" s="20"/>
      <c r="L249" s="20"/>
      <c r="M249" s="20"/>
      <c r="N249" s="20"/>
      <c r="O249" s="20"/>
      <c r="P249" s="20"/>
      <c r="Q249" s="21" t="str">
        <f aca="false">IF(A249="","",COUNTIF('Metric to Field'!$B:$B,A249))</f>
        <v/>
      </c>
      <c r="R249" s="21" t="str">
        <f aca="false">IF(A249="","",SUMIF('Metric to Field'!$B:$B,A249,'Metric to Field'!$G:$G))</f>
        <v/>
      </c>
      <c r="S249" s="20"/>
      <c r="T249" s="20"/>
      <c r="U249" s="20"/>
      <c r="V249" s="20"/>
      <c r="W249" s="20"/>
    </row>
    <row r="250" customFormat="false" ht="15" hidden="false" customHeight="false" outlineLevel="0" collapsed="false">
      <c r="A250" s="18"/>
      <c r="B250" s="19"/>
      <c r="C250" s="20"/>
      <c r="D250" s="18" t="str">
        <f aca="false">IF(C250="","",IFERROR(INDEX(Tables!$A:$A,MATCH(C250,Tables!$B:$B,0)),"Not found"))</f>
        <v/>
      </c>
      <c r="E250" s="21" t="str">
        <f aca="false">IF(D250="","",IFERROR(INDEX(Tables!$D:$D,MATCH(D250,Tables!$A:$A,0)),""))</f>
        <v/>
      </c>
      <c r="F250" s="20"/>
      <c r="G250" s="20"/>
      <c r="H250" s="18"/>
      <c r="I250" s="20"/>
      <c r="J250" s="20"/>
      <c r="K250" s="20"/>
      <c r="L250" s="20"/>
      <c r="M250" s="20"/>
      <c r="N250" s="20"/>
      <c r="O250" s="20"/>
      <c r="P250" s="20"/>
      <c r="Q250" s="21" t="str">
        <f aca="false">IF(A250="","",COUNTIF('Metric to Field'!$B:$B,A250))</f>
        <v/>
      </c>
      <c r="R250" s="21" t="str">
        <f aca="false">IF(A250="","",SUMIF('Metric to Field'!$B:$B,A250,'Metric to Field'!$G:$G))</f>
        <v/>
      </c>
      <c r="S250" s="20"/>
      <c r="T250" s="20"/>
      <c r="U250" s="20"/>
      <c r="V250" s="20"/>
      <c r="W250" s="20"/>
    </row>
    <row r="251" customFormat="false" ht="15" hidden="false" customHeight="false" outlineLevel="0" collapsed="false">
      <c r="A251" s="18"/>
      <c r="B251" s="19"/>
      <c r="C251" s="20"/>
      <c r="D251" s="18" t="str">
        <f aca="false">IF(C251="","",IFERROR(INDEX(Tables!$A:$A,MATCH(C251,Tables!$B:$B,0)),"Not found"))</f>
        <v/>
      </c>
      <c r="E251" s="21" t="str">
        <f aca="false">IF(D251="","",IFERROR(INDEX(Tables!$D:$D,MATCH(D251,Tables!$A:$A,0)),""))</f>
        <v/>
      </c>
      <c r="F251" s="20"/>
      <c r="G251" s="20"/>
      <c r="H251" s="18"/>
      <c r="I251" s="20"/>
      <c r="J251" s="20"/>
      <c r="K251" s="20"/>
      <c r="L251" s="20"/>
      <c r="M251" s="20"/>
      <c r="N251" s="20"/>
      <c r="O251" s="20"/>
      <c r="P251" s="20"/>
      <c r="Q251" s="21" t="str">
        <f aca="false">IF(A251="","",COUNTIF('Metric to Field'!$B:$B,A251))</f>
        <v/>
      </c>
      <c r="R251" s="21" t="str">
        <f aca="false">IF(A251="","",SUMIF('Metric to Field'!$B:$B,A251,'Metric to Field'!$G:$G))</f>
        <v/>
      </c>
      <c r="S251" s="20"/>
      <c r="T251" s="20"/>
      <c r="U251" s="20"/>
      <c r="V251" s="20"/>
      <c r="W251" s="20"/>
    </row>
    <row r="252" customFormat="false" ht="15" hidden="false" customHeight="false" outlineLevel="0" collapsed="false">
      <c r="A252" s="18"/>
      <c r="B252" s="19"/>
      <c r="C252" s="20"/>
      <c r="D252" s="18" t="str">
        <f aca="false">IF(C252="","",IFERROR(INDEX(Tables!$A:$A,MATCH(C252,Tables!$B:$B,0)),"Not found"))</f>
        <v/>
      </c>
      <c r="E252" s="21" t="str">
        <f aca="false">IF(D252="","",IFERROR(INDEX(Tables!$D:$D,MATCH(D252,Tables!$A:$A,0)),""))</f>
        <v/>
      </c>
      <c r="F252" s="20"/>
      <c r="G252" s="20"/>
      <c r="H252" s="18"/>
      <c r="I252" s="20"/>
      <c r="J252" s="20"/>
      <c r="K252" s="20"/>
      <c r="L252" s="20"/>
      <c r="M252" s="20"/>
      <c r="N252" s="20"/>
      <c r="O252" s="20"/>
      <c r="P252" s="20"/>
      <c r="Q252" s="21" t="str">
        <f aca="false">IF(A252="","",COUNTIF('Metric to Field'!$B:$B,A252))</f>
        <v/>
      </c>
      <c r="R252" s="21" t="str">
        <f aca="false">IF(A252="","",SUMIF('Metric to Field'!$B:$B,A252,'Metric to Field'!$G:$G))</f>
        <v/>
      </c>
      <c r="S252" s="20"/>
      <c r="T252" s="20"/>
      <c r="U252" s="20"/>
      <c r="V252" s="20"/>
      <c r="W252" s="20"/>
    </row>
    <row r="253" customFormat="false" ht="15" hidden="false" customHeight="false" outlineLevel="0" collapsed="false">
      <c r="A253" s="18"/>
      <c r="B253" s="19"/>
      <c r="C253" s="20"/>
      <c r="D253" s="18" t="str">
        <f aca="false">IF(C253="","",IFERROR(INDEX(Tables!$A:$A,MATCH(C253,Tables!$B:$B,0)),"Not found"))</f>
        <v/>
      </c>
      <c r="E253" s="21" t="str">
        <f aca="false">IF(D253="","",IFERROR(INDEX(Tables!$D:$D,MATCH(D253,Tables!$A:$A,0)),""))</f>
        <v/>
      </c>
      <c r="F253" s="20"/>
      <c r="G253" s="20"/>
      <c r="H253" s="18"/>
      <c r="I253" s="20"/>
      <c r="J253" s="20"/>
      <c r="K253" s="20"/>
      <c r="L253" s="20"/>
      <c r="M253" s="20"/>
      <c r="N253" s="20"/>
      <c r="O253" s="20"/>
      <c r="P253" s="20"/>
      <c r="Q253" s="21" t="str">
        <f aca="false">IF(A253="","",COUNTIF('Metric to Field'!$B:$B,A253))</f>
        <v/>
      </c>
      <c r="R253" s="21" t="str">
        <f aca="false">IF(A253="","",SUMIF('Metric to Field'!$B:$B,A253,'Metric to Field'!$G:$G))</f>
        <v/>
      </c>
      <c r="S253" s="20"/>
      <c r="T253" s="20"/>
      <c r="U253" s="20"/>
      <c r="V253" s="20"/>
      <c r="W253" s="20"/>
    </row>
    <row r="254" customFormat="false" ht="15" hidden="false" customHeight="false" outlineLevel="0" collapsed="false">
      <c r="A254" s="18"/>
      <c r="B254" s="19"/>
      <c r="C254" s="20"/>
      <c r="D254" s="18" t="str">
        <f aca="false">IF(C254="","",IFERROR(INDEX(Tables!$A:$A,MATCH(C254,Tables!$B:$B,0)),"Not found"))</f>
        <v/>
      </c>
      <c r="E254" s="21" t="str">
        <f aca="false">IF(D254="","",IFERROR(INDEX(Tables!$D:$D,MATCH(D254,Tables!$A:$A,0)),""))</f>
        <v/>
      </c>
      <c r="F254" s="20"/>
      <c r="G254" s="20"/>
      <c r="H254" s="18"/>
      <c r="I254" s="20"/>
      <c r="J254" s="20"/>
      <c r="K254" s="20"/>
      <c r="L254" s="20"/>
      <c r="M254" s="20"/>
      <c r="N254" s="20"/>
      <c r="O254" s="20"/>
      <c r="P254" s="20"/>
      <c r="Q254" s="21" t="str">
        <f aca="false">IF(A254="","",COUNTIF('Metric to Field'!$B:$B,A254))</f>
        <v/>
      </c>
      <c r="R254" s="21" t="str">
        <f aca="false">IF(A254="","",SUMIF('Metric to Field'!$B:$B,A254,'Metric to Field'!$G:$G))</f>
        <v/>
      </c>
      <c r="S254" s="20"/>
      <c r="T254" s="20"/>
      <c r="U254" s="20"/>
      <c r="V254" s="20"/>
      <c r="W254" s="20"/>
    </row>
    <row r="255" customFormat="false" ht="15" hidden="false" customHeight="false" outlineLevel="0" collapsed="false">
      <c r="A255" s="18"/>
      <c r="B255" s="19"/>
      <c r="C255" s="20"/>
      <c r="D255" s="18" t="str">
        <f aca="false">IF(C255="","",IFERROR(INDEX(Tables!$A:$A,MATCH(C255,Tables!$B:$B,0)),"Not found"))</f>
        <v/>
      </c>
      <c r="E255" s="21" t="str">
        <f aca="false">IF(D255="","",IFERROR(INDEX(Tables!$D:$D,MATCH(D255,Tables!$A:$A,0)),""))</f>
        <v/>
      </c>
      <c r="F255" s="20"/>
      <c r="G255" s="20"/>
      <c r="H255" s="18"/>
      <c r="I255" s="20"/>
      <c r="J255" s="20"/>
      <c r="K255" s="20"/>
      <c r="L255" s="20"/>
      <c r="M255" s="20"/>
      <c r="N255" s="20"/>
      <c r="O255" s="20"/>
      <c r="P255" s="20"/>
      <c r="Q255" s="21" t="str">
        <f aca="false">IF(A255="","",COUNTIF('Metric to Field'!$B:$B,A255))</f>
        <v/>
      </c>
      <c r="R255" s="21" t="str">
        <f aca="false">IF(A255="","",SUMIF('Metric to Field'!$B:$B,A255,'Metric to Field'!$G:$G))</f>
        <v/>
      </c>
      <c r="S255" s="20"/>
      <c r="T255" s="20"/>
      <c r="U255" s="20"/>
      <c r="V255" s="20"/>
      <c r="W255" s="20"/>
    </row>
    <row r="256" customFormat="false" ht="15" hidden="false" customHeight="false" outlineLevel="0" collapsed="false">
      <c r="A256" s="18"/>
      <c r="B256" s="19"/>
      <c r="C256" s="20"/>
      <c r="D256" s="18" t="str">
        <f aca="false">IF(C256="","",IFERROR(INDEX(Tables!$A:$A,MATCH(C256,Tables!$B:$B,0)),"Not found"))</f>
        <v/>
      </c>
      <c r="E256" s="21" t="str">
        <f aca="false">IF(D256="","",IFERROR(INDEX(Tables!$D:$D,MATCH(D256,Tables!$A:$A,0)),""))</f>
        <v/>
      </c>
      <c r="F256" s="20"/>
      <c r="G256" s="20"/>
      <c r="H256" s="18"/>
      <c r="I256" s="20"/>
      <c r="J256" s="20"/>
      <c r="K256" s="20"/>
      <c r="L256" s="20"/>
      <c r="M256" s="20"/>
      <c r="N256" s="20"/>
      <c r="O256" s="20"/>
      <c r="P256" s="20"/>
      <c r="Q256" s="21" t="str">
        <f aca="false">IF(A256="","",COUNTIF('Metric to Field'!$B:$B,A256))</f>
        <v/>
      </c>
      <c r="R256" s="21" t="str">
        <f aca="false">IF(A256="","",SUMIF('Metric to Field'!$B:$B,A256,'Metric to Field'!$G:$G))</f>
        <v/>
      </c>
      <c r="S256" s="20"/>
      <c r="T256" s="20"/>
      <c r="U256" s="20"/>
      <c r="V256" s="20"/>
      <c r="W256" s="20"/>
    </row>
    <row r="257" customFormat="false" ht="15" hidden="false" customHeight="false" outlineLevel="0" collapsed="false">
      <c r="A257" s="18"/>
      <c r="B257" s="19"/>
      <c r="C257" s="20"/>
      <c r="D257" s="18" t="str">
        <f aca="false">IF(C257="","",IFERROR(INDEX(Tables!$A:$A,MATCH(C257,Tables!$B:$B,0)),"Not found"))</f>
        <v/>
      </c>
      <c r="E257" s="21" t="str">
        <f aca="false">IF(D257="","",IFERROR(INDEX(Tables!$D:$D,MATCH(D257,Tables!$A:$A,0)),""))</f>
        <v/>
      </c>
      <c r="F257" s="20"/>
      <c r="G257" s="20"/>
      <c r="H257" s="18"/>
      <c r="I257" s="20"/>
      <c r="J257" s="20"/>
      <c r="K257" s="20"/>
      <c r="L257" s="20"/>
      <c r="M257" s="20"/>
      <c r="N257" s="20"/>
      <c r="O257" s="20"/>
      <c r="P257" s="20"/>
      <c r="Q257" s="21" t="str">
        <f aca="false">IF(A257="","",COUNTIF('Metric to Field'!$B:$B,A257))</f>
        <v/>
      </c>
      <c r="R257" s="21" t="str">
        <f aca="false">IF(A257="","",SUMIF('Metric to Field'!$B:$B,A257,'Metric to Field'!$G:$G))</f>
        <v/>
      </c>
      <c r="S257" s="20"/>
      <c r="T257" s="20"/>
      <c r="U257" s="20"/>
      <c r="V257" s="20"/>
      <c r="W257" s="20"/>
    </row>
    <row r="258" customFormat="false" ht="15" hidden="false" customHeight="false" outlineLevel="0" collapsed="false">
      <c r="A258" s="18"/>
      <c r="B258" s="19"/>
      <c r="C258" s="20"/>
      <c r="D258" s="18" t="str">
        <f aca="false">IF(C258="","",IFERROR(INDEX(Tables!$A:$A,MATCH(C258,Tables!$B:$B,0)),"Not found"))</f>
        <v/>
      </c>
      <c r="E258" s="21" t="str">
        <f aca="false">IF(D258="","",IFERROR(INDEX(Tables!$D:$D,MATCH(D258,Tables!$A:$A,0)),""))</f>
        <v/>
      </c>
      <c r="F258" s="20"/>
      <c r="G258" s="20"/>
      <c r="H258" s="18"/>
      <c r="I258" s="20"/>
      <c r="J258" s="20"/>
      <c r="K258" s="20"/>
      <c r="L258" s="20"/>
      <c r="M258" s="20"/>
      <c r="N258" s="20"/>
      <c r="O258" s="20"/>
      <c r="P258" s="20"/>
      <c r="Q258" s="21" t="str">
        <f aca="false">IF(A258="","",COUNTIF('Metric to Field'!$B:$B,A258))</f>
        <v/>
      </c>
      <c r="R258" s="21" t="str">
        <f aca="false">IF(A258="","",SUMIF('Metric to Field'!$B:$B,A258,'Metric to Field'!$G:$G))</f>
        <v/>
      </c>
      <c r="S258" s="20"/>
      <c r="T258" s="20"/>
      <c r="U258" s="20"/>
      <c r="V258" s="20"/>
      <c r="W258" s="20"/>
    </row>
    <row r="259" customFormat="false" ht="15" hidden="false" customHeight="false" outlineLevel="0" collapsed="false">
      <c r="A259" s="18"/>
      <c r="B259" s="19"/>
      <c r="C259" s="20"/>
      <c r="D259" s="18" t="str">
        <f aca="false">IF(C259="","",IFERROR(INDEX(Tables!$A:$A,MATCH(C259,Tables!$B:$B,0)),"Not found"))</f>
        <v/>
      </c>
      <c r="E259" s="21" t="str">
        <f aca="false">IF(D259="","",IFERROR(INDEX(Tables!$D:$D,MATCH(D259,Tables!$A:$A,0)),""))</f>
        <v/>
      </c>
      <c r="F259" s="20"/>
      <c r="G259" s="20"/>
      <c r="H259" s="18"/>
      <c r="I259" s="20"/>
      <c r="J259" s="20"/>
      <c r="K259" s="20"/>
      <c r="L259" s="20"/>
      <c r="M259" s="20"/>
      <c r="N259" s="20"/>
      <c r="O259" s="20"/>
      <c r="P259" s="20"/>
      <c r="Q259" s="21" t="str">
        <f aca="false">IF(A259="","",COUNTIF('Metric to Field'!$B:$B,A259))</f>
        <v/>
      </c>
      <c r="R259" s="21" t="str">
        <f aca="false">IF(A259="","",SUMIF('Metric to Field'!$B:$B,A259,'Metric to Field'!$G:$G))</f>
        <v/>
      </c>
      <c r="S259" s="20"/>
      <c r="T259" s="20"/>
      <c r="U259" s="20"/>
      <c r="V259" s="20"/>
      <c r="W259" s="20"/>
    </row>
    <row r="260" customFormat="false" ht="15" hidden="false" customHeight="false" outlineLevel="0" collapsed="false">
      <c r="A260" s="18"/>
      <c r="B260" s="19"/>
      <c r="C260" s="20"/>
      <c r="D260" s="18" t="str">
        <f aca="false">IF(C260="","",IFERROR(INDEX(Tables!$A:$A,MATCH(C260,Tables!$B:$B,0)),"Not found"))</f>
        <v/>
      </c>
      <c r="E260" s="21" t="str">
        <f aca="false">IF(D260="","",IFERROR(INDEX(Tables!$D:$D,MATCH(D260,Tables!$A:$A,0)),""))</f>
        <v/>
      </c>
      <c r="F260" s="20"/>
      <c r="G260" s="20"/>
      <c r="H260" s="18"/>
      <c r="I260" s="20"/>
      <c r="J260" s="20"/>
      <c r="K260" s="20"/>
      <c r="L260" s="20"/>
      <c r="M260" s="20"/>
      <c r="N260" s="20"/>
      <c r="O260" s="20"/>
      <c r="P260" s="20"/>
      <c r="Q260" s="21" t="str">
        <f aca="false">IF(A260="","",COUNTIF('Metric to Field'!$B:$B,A260))</f>
        <v/>
      </c>
      <c r="R260" s="21" t="str">
        <f aca="false">IF(A260="","",SUMIF('Metric to Field'!$B:$B,A260,'Metric to Field'!$G:$G))</f>
        <v/>
      </c>
      <c r="S260" s="20"/>
      <c r="T260" s="20"/>
      <c r="U260" s="20"/>
      <c r="V260" s="20"/>
      <c r="W260" s="20"/>
    </row>
    <row r="261" customFormat="false" ht="15" hidden="false" customHeight="false" outlineLevel="0" collapsed="false">
      <c r="A261" s="18"/>
      <c r="B261" s="19"/>
      <c r="C261" s="20"/>
      <c r="D261" s="18" t="str">
        <f aca="false">IF(C261="","",IFERROR(INDEX(Tables!$A:$A,MATCH(C261,Tables!$B:$B,0)),"Not found"))</f>
        <v/>
      </c>
      <c r="E261" s="21" t="str">
        <f aca="false">IF(D261="","",IFERROR(INDEX(Tables!$D:$D,MATCH(D261,Tables!$A:$A,0)),""))</f>
        <v/>
      </c>
      <c r="F261" s="20"/>
      <c r="G261" s="20"/>
      <c r="H261" s="18"/>
      <c r="I261" s="20"/>
      <c r="J261" s="20"/>
      <c r="K261" s="20"/>
      <c r="L261" s="20"/>
      <c r="M261" s="20"/>
      <c r="N261" s="20"/>
      <c r="O261" s="20"/>
      <c r="P261" s="20"/>
      <c r="Q261" s="21" t="str">
        <f aca="false">IF(A261="","",COUNTIF('Metric to Field'!$B:$B,A261))</f>
        <v/>
      </c>
      <c r="R261" s="21" t="str">
        <f aca="false">IF(A261="","",SUMIF('Metric to Field'!$B:$B,A261,'Metric to Field'!$G:$G))</f>
        <v/>
      </c>
      <c r="S261" s="20"/>
      <c r="T261" s="20"/>
      <c r="U261" s="20"/>
      <c r="V261" s="20"/>
      <c r="W261" s="20"/>
    </row>
    <row r="262" customFormat="false" ht="15" hidden="false" customHeight="false" outlineLevel="0" collapsed="false">
      <c r="A262" s="18"/>
      <c r="B262" s="19"/>
      <c r="C262" s="20"/>
      <c r="D262" s="18" t="str">
        <f aca="false">IF(C262="","",IFERROR(INDEX(Tables!$A:$A,MATCH(C262,Tables!$B:$B,0)),"Not found"))</f>
        <v/>
      </c>
      <c r="E262" s="21" t="str">
        <f aca="false">IF(D262="","",IFERROR(INDEX(Tables!$D:$D,MATCH(D262,Tables!$A:$A,0)),""))</f>
        <v/>
      </c>
      <c r="F262" s="20"/>
      <c r="G262" s="20"/>
      <c r="H262" s="18"/>
      <c r="I262" s="20"/>
      <c r="J262" s="20"/>
      <c r="K262" s="20"/>
      <c r="L262" s="20"/>
      <c r="M262" s="20"/>
      <c r="N262" s="20"/>
      <c r="O262" s="20"/>
      <c r="P262" s="20"/>
      <c r="Q262" s="21" t="str">
        <f aca="false">IF(A262="","",COUNTIF('Metric to Field'!$B:$B,A262))</f>
        <v/>
      </c>
      <c r="R262" s="21" t="str">
        <f aca="false">IF(A262="","",SUMIF('Metric to Field'!$B:$B,A262,'Metric to Field'!$G:$G))</f>
        <v/>
      </c>
      <c r="S262" s="20"/>
      <c r="T262" s="20"/>
      <c r="U262" s="20"/>
      <c r="V262" s="20"/>
      <c r="W262" s="20"/>
    </row>
    <row r="263" customFormat="false" ht="15" hidden="false" customHeight="false" outlineLevel="0" collapsed="false">
      <c r="A263" s="18"/>
      <c r="B263" s="19"/>
      <c r="C263" s="20"/>
      <c r="D263" s="18" t="str">
        <f aca="false">IF(C263="","",IFERROR(INDEX(Tables!$A:$A,MATCH(C263,Tables!$B:$B,0)),"Not found"))</f>
        <v/>
      </c>
      <c r="E263" s="21" t="str">
        <f aca="false">IF(D263="","",IFERROR(INDEX(Tables!$D:$D,MATCH(D263,Tables!$A:$A,0)),""))</f>
        <v/>
      </c>
      <c r="F263" s="20"/>
      <c r="G263" s="20"/>
      <c r="H263" s="18"/>
      <c r="I263" s="20"/>
      <c r="J263" s="20"/>
      <c r="K263" s="20"/>
      <c r="L263" s="20"/>
      <c r="M263" s="20"/>
      <c r="N263" s="20"/>
      <c r="O263" s="20"/>
      <c r="P263" s="20"/>
      <c r="Q263" s="21" t="str">
        <f aca="false">IF(A263="","",COUNTIF('Metric to Field'!$B:$B,A263))</f>
        <v/>
      </c>
      <c r="R263" s="21" t="str">
        <f aca="false">IF(A263="","",SUMIF('Metric to Field'!$B:$B,A263,'Metric to Field'!$G:$G))</f>
        <v/>
      </c>
      <c r="S263" s="20"/>
      <c r="T263" s="20"/>
      <c r="U263" s="20"/>
      <c r="V263" s="20"/>
      <c r="W263" s="20"/>
    </row>
    <row r="264" customFormat="false" ht="15" hidden="false" customHeight="false" outlineLevel="0" collapsed="false">
      <c r="A264" s="18"/>
      <c r="B264" s="19"/>
      <c r="C264" s="20"/>
      <c r="D264" s="18" t="str">
        <f aca="false">IF(C264="","",IFERROR(INDEX(Tables!$A:$A,MATCH(C264,Tables!$B:$B,0)),"Not found"))</f>
        <v/>
      </c>
      <c r="E264" s="21" t="str">
        <f aca="false">IF(D264="","",IFERROR(INDEX(Tables!$D:$D,MATCH(D264,Tables!$A:$A,0)),""))</f>
        <v/>
      </c>
      <c r="F264" s="20"/>
      <c r="G264" s="20"/>
      <c r="H264" s="18"/>
      <c r="I264" s="20"/>
      <c r="J264" s="20"/>
      <c r="K264" s="20"/>
      <c r="L264" s="20"/>
      <c r="M264" s="20"/>
      <c r="N264" s="20"/>
      <c r="O264" s="20"/>
      <c r="P264" s="20"/>
      <c r="Q264" s="21" t="str">
        <f aca="false">IF(A264="","",COUNTIF('Metric to Field'!$B:$B,A264))</f>
        <v/>
      </c>
      <c r="R264" s="21" t="str">
        <f aca="false">IF(A264="","",SUMIF('Metric to Field'!$B:$B,A264,'Metric to Field'!$G:$G))</f>
        <v/>
      </c>
      <c r="S264" s="20"/>
      <c r="T264" s="20"/>
      <c r="U264" s="20"/>
      <c r="V264" s="20"/>
      <c r="W264" s="20"/>
    </row>
    <row r="265" customFormat="false" ht="15" hidden="false" customHeight="false" outlineLevel="0" collapsed="false">
      <c r="A265" s="18"/>
      <c r="B265" s="19"/>
      <c r="C265" s="20"/>
      <c r="D265" s="18" t="str">
        <f aca="false">IF(C265="","",IFERROR(INDEX(Tables!$A:$A,MATCH(C265,Tables!$B:$B,0)),"Not found"))</f>
        <v/>
      </c>
      <c r="E265" s="21" t="str">
        <f aca="false">IF(D265="","",IFERROR(INDEX(Tables!$D:$D,MATCH(D265,Tables!$A:$A,0)),""))</f>
        <v/>
      </c>
      <c r="F265" s="20"/>
      <c r="G265" s="20"/>
      <c r="H265" s="18"/>
      <c r="I265" s="20"/>
      <c r="J265" s="20"/>
      <c r="K265" s="20"/>
      <c r="L265" s="20"/>
      <c r="M265" s="20"/>
      <c r="N265" s="20"/>
      <c r="O265" s="20"/>
      <c r="P265" s="20"/>
      <c r="Q265" s="21" t="str">
        <f aca="false">IF(A265="","",COUNTIF('Metric to Field'!$B:$B,A265))</f>
        <v/>
      </c>
      <c r="R265" s="21" t="str">
        <f aca="false">IF(A265="","",SUMIF('Metric to Field'!$B:$B,A265,'Metric to Field'!$G:$G))</f>
        <v/>
      </c>
      <c r="S265" s="20"/>
      <c r="T265" s="20"/>
      <c r="U265" s="20"/>
      <c r="V265" s="20"/>
      <c r="W265" s="20"/>
    </row>
    <row r="266" customFormat="false" ht="15" hidden="false" customHeight="false" outlineLevel="0" collapsed="false">
      <c r="A266" s="18"/>
      <c r="B266" s="19"/>
      <c r="C266" s="20"/>
      <c r="D266" s="18" t="str">
        <f aca="false">IF(C266="","",IFERROR(INDEX(Tables!$A:$A,MATCH(C266,Tables!$B:$B,0)),"Not found"))</f>
        <v/>
      </c>
      <c r="E266" s="21" t="str">
        <f aca="false">IF(D266="","",IFERROR(INDEX(Tables!$D:$D,MATCH(D266,Tables!$A:$A,0)),""))</f>
        <v/>
      </c>
      <c r="F266" s="20"/>
      <c r="G266" s="20"/>
      <c r="H266" s="18"/>
      <c r="I266" s="20"/>
      <c r="J266" s="20"/>
      <c r="K266" s="20"/>
      <c r="L266" s="20"/>
      <c r="M266" s="20"/>
      <c r="N266" s="20"/>
      <c r="O266" s="20"/>
      <c r="P266" s="20"/>
      <c r="Q266" s="21" t="str">
        <f aca="false">IF(A266="","",COUNTIF('Metric to Field'!$B:$B,A266))</f>
        <v/>
      </c>
      <c r="R266" s="21" t="str">
        <f aca="false">IF(A266="","",SUMIF('Metric to Field'!$B:$B,A266,'Metric to Field'!$G:$G))</f>
        <v/>
      </c>
      <c r="S266" s="20"/>
      <c r="T266" s="20"/>
      <c r="U266" s="20"/>
      <c r="V266" s="20"/>
      <c r="W266" s="20"/>
    </row>
    <row r="267" customFormat="false" ht="15" hidden="false" customHeight="false" outlineLevel="0" collapsed="false">
      <c r="A267" s="18"/>
      <c r="B267" s="19"/>
      <c r="C267" s="20"/>
      <c r="D267" s="18" t="str">
        <f aca="false">IF(C267="","",IFERROR(INDEX(Tables!$A:$A,MATCH(C267,Tables!$B:$B,0)),"Not found"))</f>
        <v/>
      </c>
      <c r="E267" s="21" t="str">
        <f aca="false">IF(D267="","",IFERROR(INDEX(Tables!$D:$D,MATCH(D267,Tables!$A:$A,0)),""))</f>
        <v/>
      </c>
      <c r="F267" s="20"/>
      <c r="G267" s="20"/>
      <c r="H267" s="18"/>
      <c r="I267" s="20"/>
      <c r="J267" s="20"/>
      <c r="K267" s="20"/>
      <c r="L267" s="20"/>
      <c r="M267" s="20"/>
      <c r="N267" s="20"/>
      <c r="O267" s="20"/>
      <c r="P267" s="20"/>
      <c r="Q267" s="21" t="str">
        <f aca="false">IF(A267="","",COUNTIF('Metric to Field'!$B:$B,A267))</f>
        <v/>
      </c>
      <c r="R267" s="21" t="str">
        <f aca="false">IF(A267="","",SUMIF('Metric to Field'!$B:$B,A267,'Metric to Field'!$G:$G))</f>
        <v/>
      </c>
      <c r="S267" s="20"/>
      <c r="T267" s="20"/>
      <c r="U267" s="20"/>
      <c r="V267" s="20"/>
      <c r="W267" s="20"/>
    </row>
    <row r="268" customFormat="false" ht="15" hidden="false" customHeight="false" outlineLevel="0" collapsed="false">
      <c r="A268" s="18"/>
      <c r="B268" s="19"/>
      <c r="C268" s="20"/>
      <c r="D268" s="18" t="str">
        <f aca="false">IF(C268="","",IFERROR(INDEX(Tables!$A:$A,MATCH(C268,Tables!$B:$B,0)),"Not found"))</f>
        <v/>
      </c>
      <c r="E268" s="21" t="str">
        <f aca="false">IF(D268="","",IFERROR(INDEX(Tables!$D:$D,MATCH(D268,Tables!$A:$A,0)),""))</f>
        <v/>
      </c>
      <c r="F268" s="20"/>
      <c r="G268" s="20"/>
      <c r="H268" s="18"/>
      <c r="I268" s="20"/>
      <c r="J268" s="20"/>
      <c r="K268" s="20"/>
      <c r="L268" s="20"/>
      <c r="M268" s="20"/>
      <c r="N268" s="20"/>
      <c r="O268" s="20"/>
      <c r="P268" s="20"/>
      <c r="Q268" s="21" t="str">
        <f aca="false">IF(A268="","",COUNTIF('Metric to Field'!$B:$B,A268))</f>
        <v/>
      </c>
      <c r="R268" s="21" t="str">
        <f aca="false">IF(A268="","",SUMIF('Metric to Field'!$B:$B,A268,'Metric to Field'!$G:$G))</f>
        <v/>
      </c>
      <c r="S268" s="20"/>
      <c r="T268" s="20"/>
      <c r="U268" s="20"/>
      <c r="V268" s="20"/>
      <c r="W268" s="20"/>
    </row>
    <row r="269" customFormat="false" ht="15" hidden="false" customHeight="false" outlineLevel="0" collapsed="false">
      <c r="A269" s="18"/>
      <c r="B269" s="19"/>
      <c r="C269" s="20"/>
      <c r="D269" s="18" t="str">
        <f aca="false">IF(C269="","",IFERROR(INDEX(Tables!$A:$A,MATCH(C269,Tables!$B:$B,0)),"Not found"))</f>
        <v/>
      </c>
      <c r="E269" s="21" t="str">
        <f aca="false">IF(D269="","",IFERROR(INDEX(Tables!$D:$D,MATCH(D269,Tables!$A:$A,0)),""))</f>
        <v/>
      </c>
      <c r="F269" s="20"/>
      <c r="G269" s="20"/>
      <c r="H269" s="18"/>
      <c r="I269" s="20"/>
      <c r="J269" s="20"/>
      <c r="K269" s="20"/>
      <c r="L269" s="20"/>
      <c r="M269" s="20"/>
      <c r="N269" s="20"/>
      <c r="O269" s="20"/>
      <c r="P269" s="20"/>
      <c r="Q269" s="21" t="str">
        <f aca="false">IF(A269="","",COUNTIF('Metric to Field'!$B:$B,A269))</f>
        <v/>
      </c>
      <c r="R269" s="21" t="str">
        <f aca="false">IF(A269="","",SUMIF('Metric to Field'!$B:$B,A269,'Metric to Field'!$G:$G))</f>
        <v/>
      </c>
      <c r="S269" s="20"/>
      <c r="T269" s="20"/>
      <c r="U269" s="20"/>
      <c r="V269" s="20"/>
      <c r="W269" s="20"/>
    </row>
    <row r="270" customFormat="false" ht="15" hidden="false" customHeight="false" outlineLevel="0" collapsed="false">
      <c r="A270" s="18"/>
      <c r="B270" s="19"/>
      <c r="C270" s="20"/>
      <c r="D270" s="18" t="str">
        <f aca="false">IF(C270="","",IFERROR(INDEX(Tables!$A:$A,MATCH(C270,Tables!$B:$B,0)),"Not found"))</f>
        <v/>
      </c>
      <c r="E270" s="21" t="str">
        <f aca="false">IF(D270="","",IFERROR(INDEX(Tables!$D:$D,MATCH(D270,Tables!$A:$A,0)),""))</f>
        <v/>
      </c>
      <c r="F270" s="20"/>
      <c r="G270" s="20"/>
      <c r="H270" s="18"/>
      <c r="I270" s="20"/>
      <c r="J270" s="20"/>
      <c r="K270" s="20"/>
      <c r="L270" s="20"/>
      <c r="M270" s="20"/>
      <c r="N270" s="20"/>
      <c r="O270" s="20"/>
      <c r="P270" s="20"/>
      <c r="Q270" s="21" t="str">
        <f aca="false">IF(A270="","",COUNTIF('Metric to Field'!$B:$B,A270))</f>
        <v/>
      </c>
      <c r="R270" s="21" t="str">
        <f aca="false">IF(A270="","",SUMIF('Metric to Field'!$B:$B,A270,'Metric to Field'!$G:$G))</f>
        <v/>
      </c>
      <c r="S270" s="20"/>
      <c r="T270" s="20"/>
      <c r="U270" s="20"/>
      <c r="V270" s="20"/>
      <c r="W270" s="20"/>
    </row>
    <row r="271" customFormat="false" ht="15" hidden="false" customHeight="false" outlineLevel="0" collapsed="false">
      <c r="A271" s="18"/>
      <c r="B271" s="19"/>
      <c r="C271" s="20"/>
      <c r="D271" s="18" t="str">
        <f aca="false">IF(C271="","",IFERROR(INDEX(Tables!$A:$A,MATCH(C271,Tables!$B:$B,0)),"Not found"))</f>
        <v/>
      </c>
      <c r="E271" s="21" t="str">
        <f aca="false">IF(D271="","",IFERROR(INDEX(Tables!$D:$D,MATCH(D271,Tables!$A:$A,0)),""))</f>
        <v/>
      </c>
      <c r="F271" s="20"/>
      <c r="G271" s="20"/>
      <c r="H271" s="18"/>
      <c r="I271" s="20"/>
      <c r="J271" s="20"/>
      <c r="K271" s="20"/>
      <c r="L271" s="20"/>
      <c r="M271" s="20"/>
      <c r="N271" s="20"/>
      <c r="O271" s="20"/>
      <c r="P271" s="20"/>
      <c r="Q271" s="21" t="str">
        <f aca="false">IF(A271="","",COUNTIF('Metric to Field'!$B:$B,A271))</f>
        <v/>
      </c>
      <c r="R271" s="21" t="str">
        <f aca="false">IF(A271="","",SUMIF('Metric to Field'!$B:$B,A271,'Metric to Field'!$G:$G))</f>
        <v/>
      </c>
      <c r="S271" s="20"/>
      <c r="T271" s="20"/>
      <c r="U271" s="20"/>
      <c r="V271" s="20"/>
      <c r="W271" s="20"/>
    </row>
    <row r="272" customFormat="false" ht="15" hidden="false" customHeight="false" outlineLevel="0" collapsed="false">
      <c r="A272" s="18"/>
      <c r="B272" s="19"/>
      <c r="C272" s="20"/>
      <c r="D272" s="18" t="str">
        <f aca="false">IF(C272="","",IFERROR(INDEX(Tables!$A:$A,MATCH(C272,Tables!$B:$B,0)),"Not found"))</f>
        <v/>
      </c>
      <c r="E272" s="21" t="str">
        <f aca="false">IF(D272="","",IFERROR(INDEX(Tables!$D:$D,MATCH(D272,Tables!$A:$A,0)),""))</f>
        <v/>
      </c>
      <c r="F272" s="20"/>
      <c r="G272" s="20"/>
      <c r="H272" s="18"/>
      <c r="I272" s="20"/>
      <c r="J272" s="20"/>
      <c r="K272" s="20"/>
      <c r="L272" s="20"/>
      <c r="M272" s="20"/>
      <c r="N272" s="20"/>
      <c r="O272" s="20"/>
      <c r="P272" s="20"/>
      <c r="Q272" s="21" t="str">
        <f aca="false">IF(A272="","",COUNTIF('Metric to Field'!$B:$B,A272))</f>
        <v/>
      </c>
      <c r="R272" s="21" t="str">
        <f aca="false">IF(A272="","",SUMIF('Metric to Field'!$B:$B,A272,'Metric to Field'!$G:$G))</f>
        <v/>
      </c>
      <c r="S272" s="20"/>
      <c r="T272" s="20"/>
      <c r="U272" s="20"/>
      <c r="V272" s="20"/>
      <c r="W272" s="20"/>
    </row>
    <row r="273" customFormat="false" ht="15" hidden="false" customHeight="false" outlineLevel="0" collapsed="false">
      <c r="A273" s="18"/>
      <c r="B273" s="19"/>
      <c r="C273" s="20"/>
      <c r="D273" s="18" t="str">
        <f aca="false">IF(C273="","",IFERROR(INDEX(Tables!$A:$A,MATCH(C273,Tables!$B:$B,0)),"Not found"))</f>
        <v/>
      </c>
      <c r="E273" s="21" t="str">
        <f aca="false">IF(D273="","",IFERROR(INDEX(Tables!$D:$D,MATCH(D273,Tables!$A:$A,0)),""))</f>
        <v/>
      </c>
      <c r="F273" s="20"/>
      <c r="G273" s="20"/>
      <c r="H273" s="18"/>
      <c r="I273" s="20"/>
      <c r="J273" s="20"/>
      <c r="K273" s="20"/>
      <c r="L273" s="20"/>
      <c r="M273" s="20"/>
      <c r="N273" s="20"/>
      <c r="O273" s="20"/>
      <c r="P273" s="20"/>
      <c r="Q273" s="21" t="str">
        <f aca="false">IF(A273="","",COUNTIF('Metric to Field'!$B:$B,A273))</f>
        <v/>
      </c>
      <c r="R273" s="21" t="str">
        <f aca="false">IF(A273="","",SUMIF('Metric to Field'!$B:$B,A273,'Metric to Field'!$G:$G))</f>
        <v/>
      </c>
      <c r="S273" s="20"/>
      <c r="T273" s="20"/>
      <c r="U273" s="20"/>
      <c r="V273" s="20"/>
      <c r="W273" s="20"/>
    </row>
    <row r="274" customFormat="false" ht="15" hidden="false" customHeight="false" outlineLevel="0" collapsed="false">
      <c r="A274" s="18"/>
      <c r="B274" s="19"/>
      <c r="C274" s="20"/>
      <c r="D274" s="18" t="str">
        <f aca="false">IF(C274="","",IFERROR(INDEX(Tables!$A:$A,MATCH(C274,Tables!$B:$B,0)),"Not found"))</f>
        <v/>
      </c>
      <c r="E274" s="21" t="str">
        <f aca="false">IF(D274="","",IFERROR(INDEX(Tables!$D:$D,MATCH(D274,Tables!$A:$A,0)),""))</f>
        <v/>
      </c>
      <c r="F274" s="20"/>
      <c r="G274" s="20"/>
      <c r="H274" s="18"/>
      <c r="I274" s="20"/>
      <c r="J274" s="20"/>
      <c r="K274" s="20"/>
      <c r="L274" s="20"/>
      <c r="M274" s="20"/>
      <c r="N274" s="20"/>
      <c r="O274" s="20"/>
      <c r="P274" s="20"/>
      <c r="Q274" s="21" t="str">
        <f aca="false">IF(A274="","",COUNTIF('Metric to Field'!$B:$B,A274))</f>
        <v/>
      </c>
      <c r="R274" s="21" t="str">
        <f aca="false">IF(A274="","",SUMIF('Metric to Field'!$B:$B,A274,'Metric to Field'!$G:$G))</f>
        <v/>
      </c>
      <c r="S274" s="20"/>
      <c r="T274" s="20"/>
      <c r="U274" s="20"/>
      <c r="V274" s="20"/>
      <c r="W274" s="20"/>
    </row>
    <row r="275" customFormat="false" ht="15" hidden="false" customHeight="false" outlineLevel="0" collapsed="false">
      <c r="A275" s="18"/>
      <c r="B275" s="19"/>
      <c r="C275" s="20"/>
      <c r="D275" s="18" t="str">
        <f aca="false">IF(C275="","",IFERROR(INDEX(Tables!$A:$A,MATCH(C275,Tables!$B:$B,0)),"Not found"))</f>
        <v/>
      </c>
      <c r="E275" s="21" t="str">
        <f aca="false">IF(D275="","",IFERROR(INDEX(Tables!$D:$D,MATCH(D275,Tables!$A:$A,0)),""))</f>
        <v/>
      </c>
      <c r="F275" s="20"/>
      <c r="G275" s="20"/>
      <c r="H275" s="18"/>
      <c r="I275" s="20"/>
      <c r="J275" s="20"/>
      <c r="K275" s="20"/>
      <c r="L275" s="20"/>
      <c r="M275" s="20"/>
      <c r="N275" s="20"/>
      <c r="O275" s="20"/>
      <c r="P275" s="20"/>
      <c r="Q275" s="21" t="str">
        <f aca="false">IF(A275="","",COUNTIF('Metric to Field'!$B:$B,A275))</f>
        <v/>
      </c>
      <c r="R275" s="21" t="str">
        <f aca="false">IF(A275="","",SUMIF('Metric to Field'!$B:$B,A275,'Metric to Field'!$G:$G))</f>
        <v/>
      </c>
      <c r="S275" s="20"/>
      <c r="T275" s="20"/>
      <c r="U275" s="20"/>
      <c r="V275" s="20"/>
      <c r="W275" s="20"/>
    </row>
    <row r="276" customFormat="false" ht="15" hidden="false" customHeight="false" outlineLevel="0" collapsed="false">
      <c r="A276" s="18"/>
      <c r="B276" s="19"/>
      <c r="C276" s="20"/>
      <c r="D276" s="18" t="str">
        <f aca="false">IF(C276="","",IFERROR(INDEX(Tables!$A:$A,MATCH(C276,Tables!$B:$B,0)),"Not found"))</f>
        <v/>
      </c>
      <c r="E276" s="21" t="str">
        <f aca="false">IF(D276="","",IFERROR(INDEX(Tables!$D:$D,MATCH(D276,Tables!$A:$A,0)),""))</f>
        <v/>
      </c>
      <c r="F276" s="20"/>
      <c r="G276" s="20"/>
      <c r="H276" s="18"/>
      <c r="I276" s="20"/>
      <c r="J276" s="20"/>
      <c r="K276" s="20"/>
      <c r="L276" s="20"/>
      <c r="M276" s="20"/>
      <c r="N276" s="20"/>
      <c r="O276" s="20"/>
      <c r="P276" s="20"/>
      <c r="Q276" s="21" t="str">
        <f aca="false">IF(A276="","",COUNTIF('Metric to Field'!$B:$B,A276))</f>
        <v/>
      </c>
      <c r="R276" s="21" t="str">
        <f aca="false">IF(A276="","",SUMIF('Metric to Field'!$B:$B,A276,'Metric to Field'!$G:$G))</f>
        <v/>
      </c>
      <c r="S276" s="20"/>
      <c r="T276" s="20"/>
      <c r="U276" s="20"/>
      <c r="V276" s="20"/>
      <c r="W276" s="20"/>
    </row>
    <row r="277" customFormat="false" ht="15" hidden="false" customHeight="false" outlineLevel="0" collapsed="false">
      <c r="A277" s="18"/>
      <c r="B277" s="19"/>
      <c r="C277" s="20"/>
      <c r="D277" s="18" t="str">
        <f aca="false">IF(C277="","",IFERROR(INDEX(Tables!$A:$A,MATCH(C277,Tables!$B:$B,0)),"Not found"))</f>
        <v/>
      </c>
      <c r="E277" s="21" t="str">
        <f aca="false">IF(D277="","",IFERROR(INDEX(Tables!$D:$D,MATCH(D277,Tables!$A:$A,0)),""))</f>
        <v/>
      </c>
      <c r="F277" s="20"/>
      <c r="G277" s="20"/>
      <c r="H277" s="18"/>
      <c r="I277" s="20"/>
      <c r="J277" s="20"/>
      <c r="K277" s="20"/>
      <c r="L277" s="20"/>
      <c r="M277" s="20"/>
      <c r="N277" s="20"/>
      <c r="O277" s="20"/>
      <c r="P277" s="20"/>
      <c r="Q277" s="21" t="str">
        <f aca="false">IF(A277="","",COUNTIF('Metric to Field'!$B:$B,A277))</f>
        <v/>
      </c>
      <c r="R277" s="21" t="str">
        <f aca="false">IF(A277="","",SUMIF('Metric to Field'!$B:$B,A277,'Metric to Field'!$G:$G))</f>
        <v/>
      </c>
      <c r="S277" s="20"/>
      <c r="T277" s="20"/>
      <c r="U277" s="20"/>
      <c r="V277" s="20"/>
      <c r="W277" s="20"/>
    </row>
    <row r="278" customFormat="false" ht="15" hidden="false" customHeight="false" outlineLevel="0" collapsed="false">
      <c r="A278" s="18"/>
      <c r="B278" s="19"/>
      <c r="C278" s="20"/>
      <c r="D278" s="18" t="str">
        <f aca="false">IF(C278="","",IFERROR(INDEX(Tables!$A:$A,MATCH(C278,Tables!$B:$B,0)),"Not found"))</f>
        <v/>
      </c>
      <c r="E278" s="21" t="str">
        <f aca="false">IF(D278="","",IFERROR(INDEX(Tables!$D:$D,MATCH(D278,Tables!$A:$A,0)),""))</f>
        <v/>
      </c>
      <c r="F278" s="20"/>
      <c r="G278" s="20"/>
      <c r="H278" s="18"/>
      <c r="I278" s="20"/>
      <c r="J278" s="20"/>
      <c r="K278" s="20"/>
      <c r="L278" s="20"/>
      <c r="M278" s="20"/>
      <c r="N278" s="20"/>
      <c r="O278" s="20"/>
      <c r="P278" s="20"/>
      <c r="Q278" s="21" t="str">
        <f aca="false">IF(A278="","",COUNTIF('Metric to Field'!$B:$B,A278))</f>
        <v/>
      </c>
      <c r="R278" s="21" t="str">
        <f aca="false">IF(A278="","",SUMIF('Metric to Field'!$B:$B,A278,'Metric to Field'!$G:$G))</f>
        <v/>
      </c>
      <c r="S278" s="20"/>
      <c r="T278" s="20"/>
      <c r="U278" s="20"/>
      <c r="V278" s="20"/>
      <c r="W278" s="20"/>
    </row>
    <row r="279" customFormat="false" ht="15" hidden="false" customHeight="false" outlineLevel="0" collapsed="false">
      <c r="A279" s="18"/>
      <c r="B279" s="19"/>
      <c r="C279" s="20"/>
      <c r="D279" s="18" t="str">
        <f aca="false">IF(C279="","",IFERROR(INDEX(Tables!$A:$A,MATCH(C279,Tables!$B:$B,0)),"Not found"))</f>
        <v/>
      </c>
      <c r="E279" s="21" t="str">
        <f aca="false">IF(D279="","",IFERROR(INDEX(Tables!$D:$D,MATCH(D279,Tables!$A:$A,0)),""))</f>
        <v/>
      </c>
      <c r="F279" s="20"/>
      <c r="G279" s="20"/>
      <c r="H279" s="18"/>
      <c r="I279" s="20"/>
      <c r="J279" s="20"/>
      <c r="K279" s="20"/>
      <c r="L279" s="20"/>
      <c r="M279" s="20"/>
      <c r="N279" s="20"/>
      <c r="O279" s="20"/>
      <c r="P279" s="20"/>
      <c r="Q279" s="21" t="str">
        <f aca="false">IF(A279="","",COUNTIF('Metric to Field'!$B:$B,A279))</f>
        <v/>
      </c>
      <c r="R279" s="21" t="str">
        <f aca="false">IF(A279="","",SUMIF('Metric to Field'!$B:$B,A279,'Metric to Field'!$G:$G))</f>
        <v/>
      </c>
      <c r="S279" s="20"/>
      <c r="T279" s="20"/>
      <c r="U279" s="20"/>
      <c r="V279" s="20"/>
      <c r="W279" s="20"/>
    </row>
    <row r="280" customFormat="false" ht="15" hidden="false" customHeight="false" outlineLevel="0" collapsed="false">
      <c r="A280" s="18"/>
      <c r="B280" s="19"/>
      <c r="C280" s="20"/>
      <c r="D280" s="18" t="str">
        <f aca="false">IF(C280="","",IFERROR(INDEX(Tables!$A:$A,MATCH(C280,Tables!$B:$B,0)),"Not found"))</f>
        <v/>
      </c>
      <c r="E280" s="21" t="str">
        <f aca="false">IF(D280="","",IFERROR(INDEX(Tables!$D:$D,MATCH(D280,Tables!$A:$A,0)),""))</f>
        <v/>
      </c>
      <c r="F280" s="20"/>
      <c r="G280" s="20"/>
      <c r="H280" s="18"/>
      <c r="I280" s="20"/>
      <c r="J280" s="20"/>
      <c r="K280" s="20"/>
      <c r="L280" s="20"/>
      <c r="M280" s="20"/>
      <c r="N280" s="20"/>
      <c r="O280" s="20"/>
      <c r="P280" s="20"/>
      <c r="Q280" s="21" t="str">
        <f aca="false">IF(A280="","",COUNTIF('Metric to Field'!$B:$B,A280))</f>
        <v/>
      </c>
      <c r="R280" s="21" t="str">
        <f aca="false">IF(A280="","",SUMIF('Metric to Field'!$B:$B,A280,'Metric to Field'!$G:$G))</f>
        <v/>
      </c>
      <c r="S280" s="20"/>
      <c r="T280" s="20"/>
      <c r="U280" s="20"/>
      <c r="V280" s="20"/>
      <c r="W280" s="20"/>
    </row>
    <row r="281" customFormat="false" ht="15" hidden="false" customHeight="false" outlineLevel="0" collapsed="false">
      <c r="A281" s="18"/>
      <c r="B281" s="19"/>
      <c r="C281" s="20"/>
      <c r="D281" s="18" t="str">
        <f aca="false">IF(C281="","",IFERROR(INDEX(Tables!$A:$A,MATCH(C281,Tables!$B:$B,0)),"Not found"))</f>
        <v/>
      </c>
      <c r="E281" s="21" t="str">
        <f aca="false">IF(D281="","",IFERROR(INDEX(Tables!$D:$D,MATCH(D281,Tables!$A:$A,0)),""))</f>
        <v/>
      </c>
      <c r="F281" s="20"/>
      <c r="G281" s="20"/>
      <c r="H281" s="18"/>
      <c r="I281" s="20"/>
      <c r="J281" s="20"/>
      <c r="K281" s="20"/>
      <c r="L281" s="20"/>
      <c r="M281" s="20"/>
      <c r="N281" s="20"/>
      <c r="O281" s="20"/>
      <c r="P281" s="20"/>
      <c r="Q281" s="21" t="str">
        <f aca="false">IF(A281="","",COUNTIF('Metric to Field'!$B:$B,A281))</f>
        <v/>
      </c>
      <c r="R281" s="21" t="str">
        <f aca="false">IF(A281="","",SUMIF('Metric to Field'!$B:$B,A281,'Metric to Field'!$G:$G))</f>
        <v/>
      </c>
      <c r="S281" s="20"/>
      <c r="T281" s="20"/>
      <c r="U281" s="20"/>
      <c r="V281" s="20"/>
      <c r="W281" s="20"/>
    </row>
    <row r="282" customFormat="false" ht="15" hidden="false" customHeight="false" outlineLevel="0" collapsed="false">
      <c r="A282" s="18"/>
      <c r="B282" s="19"/>
      <c r="C282" s="20"/>
      <c r="D282" s="18" t="str">
        <f aca="false">IF(C282="","",IFERROR(INDEX(Tables!$A:$A,MATCH(C282,Tables!$B:$B,0)),"Not found"))</f>
        <v/>
      </c>
      <c r="E282" s="21" t="str">
        <f aca="false">IF(D282="","",IFERROR(INDEX(Tables!$D:$D,MATCH(D282,Tables!$A:$A,0)),""))</f>
        <v/>
      </c>
      <c r="F282" s="20"/>
      <c r="G282" s="20"/>
      <c r="H282" s="18"/>
      <c r="I282" s="20"/>
      <c r="J282" s="20"/>
      <c r="K282" s="20"/>
      <c r="L282" s="20"/>
      <c r="M282" s="20"/>
      <c r="N282" s="20"/>
      <c r="O282" s="20"/>
      <c r="P282" s="20"/>
      <c r="Q282" s="21" t="str">
        <f aca="false">IF(A282="","",COUNTIF('Metric to Field'!$B:$B,A282))</f>
        <v/>
      </c>
      <c r="R282" s="21" t="str">
        <f aca="false">IF(A282="","",SUMIF('Metric to Field'!$B:$B,A282,'Metric to Field'!$G:$G))</f>
        <v/>
      </c>
      <c r="S282" s="20"/>
      <c r="T282" s="20"/>
      <c r="U282" s="20"/>
      <c r="V282" s="20"/>
      <c r="W282" s="20"/>
    </row>
    <row r="283" customFormat="false" ht="15" hidden="false" customHeight="false" outlineLevel="0" collapsed="false">
      <c r="A283" s="18"/>
      <c r="B283" s="19"/>
      <c r="C283" s="20"/>
      <c r="D283" s="18" t="str">
        <f aca="false">IF(C283="","",IFERROR(INDEX(Tables!$A:$A,MATCH(C283,Tables!$B:$B,0)),"Not found"))</f>
        <v/>
      </c>
      <c r="E283" s="21" t="str">
        <f aca="false">IF(D283="","",IFERROR(INDEX(Tables!$D:$D,MATCH(D283,Tables!$A:$A,0)),""))</f>
        <v/>
      </c>
      <c r="F283" s="20"/>
      <c r="G283" s="20"/>
      <c r="H283" s="18"/>
      <c r="I283" s="20"/>
      <c r="J283" s="20"/>
      <c r="K283" s="20"/>
      <c r="L283" s="20"/>
      <c r="M283" s="20"/>
      <c r="N283" s="20"/>
      <c r="O283" s="20"/>
      <c r="P283" s="20"/>
      <c r="Q283" s="21" t="str">
        <f aca="false">IF(A283="","",COUNTIF('Metric to Field'!$B:$B,A283))</f>
        <v/>
      </c>
      <c r="R283" s="21" t="str">
        <f aca="false">IF(A283="","",SUMIF('Metric to Field'!$B:$B,A283,'Metric to Field'!$G:$G))</f>
        <v/>
      </c>
      <c r="S283" s="20"/>
      <c r="T283" s="20"/>
      <c r="U283" s="20"/>
      <c r="V283" s="20"/>
      <c r="W283" s="20"/>
    </row>
    <row r="284" customFormat="false" ht="15" hidden="false" customHeight="false" outlineLevel="0" collapsed="false">
      <c r="A284" s="18"/>
      <c r="B284" s="19"/>
      <c r="C284" s="20"/>
      <c r="D284" s="18" t="str">
        <f aca="false">IF(C284="","",IFERROR(INDEX(Tables!$A:$A,MATCH(C284,Tables!$B:$B,0)),"Not found"))</f>
        <v/>
      </c>
      <c r="E284" s="21" t="str">
        <f aca="false">IF(D284="","",IFERROR(INDEX(Tables!$D:$D,MATCH(D284,Tables!$A:$A,0)),""))</f>
        <v/>
      </c>
      <c r="F284" s="20"/>
      <c r="G284" s="20"/>
      <c r="H284" s="18"/>
      <c r="I284" s="20"/>
      <c r="J284" s="20"/>
      <c r="K284" s="20"/>
      <c r="L284" s="20"/>
      <c r="M284" s="20"/>
      <c r="N284" s="20"/>
      <c r="O284" s="20"/>
      <c r="P284" s="20"/>
      <c r="Q284" s="21" t="str">
        <f aca="false">IF(A284="","",COUNTIF('Metric to Field'!$B:$B,A284))</f>
        <v/>
      </c>
      <c r="R284" s="21" t="str">
        <f aca="false">IF(A284="","",SUMIF('Metric to Field'!$B:$B,A284,'Metric to Field'!$G:$G))</f>
        <v/>
      </c>
      <c r="S284" s="20"/>
      <c r="T284" s="20"/>
      <c r="U284" s="20"/>
      <c r="V284" s="20"/>
      <c r="W284" s="20"/>
    </row>
    <row r="285" customFormat="false" ht="15" hidden="false" customHeight="false" outlineLevel="0" collapsed="false">
      <c r="A285" s="18"/>
      <c r="B285" s="19"/>
      <c r="C285" s="20"/>
      <c r="D285" s="18" t="str">
        <f aca="false">IF(C285="","",IFERROR(INDEX(Tables!$A:$A,MATCH(C285,Tables!$B:$B,0)),"Not found"))</f>
        <v/>
      </c>
      <c r="E285" s="21" t="str">
        <f aca="false">IF(D285="","",IFERROR(INDEX(Tables!$D:$D,MATCH(D285,Tables!$A:$A,0)),""))</f>
        <v/>
      </c>
      <c r="F285" s="20"/>
      <c r="G285" s="20"/>
      <c r="H285" s="18"/>
      <c r="I285" s="20"/>
      <c r="J285" s="20"/>
      <c r="K285" s="20"/>
      <c r="L285" s="20"/>
      <c r="M285" s="20"/>
      <c r="N285" s="20"/>
      <c r="O285" s="20"/>
      <c r="P285" s="20"/>
      <c r="Q285" s="21" t="str">
        <f aca="false">IF(A285="","",COUNTIF('Metric to Field'!$B:$B,A285))</f>
        <v/>
      </c>
      <c r="R285" s="21" t="str">
        <f aca="false">IF(A285="","",SUMIF('Metric to Field'!$B:$B,A285,'Metric to Field'!$G:$G))</f>
        <v/>
      </c>
      <c r="S285" s="20"/>
      <c r="T285" s="20"/>
      <c r="U285" s="20"/>
      <c r="V285" s="20"/>
      <c r="W285" s="20"/>
    </row>
    <row r="286" customFormat="false" ht="15" hidden="false" customHeight="false" outlineLevel="0" collapsed="false">
      <c r="A286" s="18"/>
      <c r="B286" s="19"/>
      <c r="C286" s="20"/>
      <c r="D286" s="18" t="str">
        <f aca="false">IF(C286="","",IFERROR(INDEX(Tables!$A:$A,MATCH(C286,Tables!$B:$B,0)),"Not found"))</f>
        <v/>
      </c>
      <c r="E286" s="21" t="str">
        <f aca="false">IF(D286="","",IFERROR(INDEX(Tables!$D:$D,MATCH(D286,Tables!$A:$A,0)),""))</f>
        <v/>
      </c>
      <c r="F286" s="20"/>
      <c r="G286" s="20"/>
      <c r="H286" s="18"/>
      <c r="I286" s="20"/>
      <c r="J286" s="20"/>
      <c r="K286" s="20"/>
      <c r="L286" s="20"/>
      <c r="M286" s="20"/>
      <c r="N286" s="20"/>
      <c r="O286" s="20"/>
      <c r="P286" s="20"/>
      <c r="Q286" s="21" t="str">
        <f aca="false">IF(A286="","",COUNTIF('Metric to Field'!$B:$B,A286))</f>
        <v/>
      </c>
      <c r="R286" s="21" t="str">
        <f aca="false">IF(A286="","",SUMIF('Metric to Field'!$B:$B,A286,'Metric to Field'!$G:$G))</f>
        <v/>
      </c>
      <c r="S286" s="20"/>
      <c r="T286" s="20"/>
      <c r="U286" s="20"/>
      <c r="V286" s="20"/>
      <c r="W286" s="20"/>
    </row>
    <row r="287" customFormat="false" ht="15" hidden="false" customHeight="false" outlineLevel="0" collapsed="false">
      <c r="A287" s="18"/>
      <c r="B287" s="19"/>
      <c r="C287" s="20"/>
      <c r="D287" s="18" t="str">
        <f aca="false">IF(C287="","",IFERROR(INDEX(Tables!$A:$A,MATCH(C287,Tables!$B:$B,0)),"Not found"))</f>
        <v/>
      </c>
      <c r="E287" s="21" t="str">
        <f aca="false">IF(D287="","",IFERROR(INDEX(Tables!$D:$D,MATCH(D287,Tables!$A:$A,0)),""))</f>
        <v/>
      </c>
      <c r="F287" s="20"/>
      <c r="G287" s="20"/>
      <c r="H287" s="18"/>
      <c r="I287" s="20"/>
      <c r="J287" s="20"/>
      <c r="K287" s="20"/>
      <c r="L287" s="20"/>
      <c r="M287" s="20"/>
      <c r="N287" s="20"/>
      <c r="O287" s="20"/>
      <c r="P287" s="20"/>
      <c r="Q287" s="21" t="str">
        <f aca="false">IF(A287="","",COUNTIF('Metric to Field'!$B:$B,A287))</f>
        <v/>
      </c>
      <c r="R287" s="21" t="str">
        <f aca="false">IF(A287="","",SUMIF('Metric to Field'!$B:$B,A287,'Metric to Field'!$G:$G))</f>
        <v/>
      </c>
      <c r="S287" s="20"/>
      <c r="T287" s="20"/>
      <c r="U287" s="20"/>
      <c r="V287" s="20"/>
      <c r="W287" s="20"/>
    </row>
    <row r="288" customFormat="false" ht="15" hidden="false" customHeight="false" outlineLevel="0" collapsed="false">
      <c r="A288" s="18"/>
      <c r="B288" s="19"/>
      <c r="C288" s="20"/>
      <c r="D288" s="18" t="str">
        <f aca="false">IF(C288="","",IFERROR(INDEX(Tables!$A:$A,MATCH(C288,Tables!$B:$B,0)),"Not found"))</f>
        <v/>
      </c>
      <c r="E288" s="21" t="str">
        <f aca="false">IF(D288="","",IFERROR(INDEX(Tables!$D:$D,MATCH(D288,Tables!$A:$A,0)),""))</f>
        <v/>
      </c>
      <c r="F288" s="20"/>
      <c r="G288" s="20"/>
      <c r="H288" s="18"/>
      <c r="I288" s="20"/>
      <c r="J288" s="20"/>
      <c r="K288" s="20"/>
      <c r="L288" s="20"/>
      <c r="M288" s="20"/>
      <c r="N288" s="20"/>
      <c r="O288" s="20"/>
      <c r="P288" s="20"/>
      <c r="Q288" s="21" t="str">
        <f aca="false">IF(A288="","",COUNTIF('Metric to Field'!$B:$B,A288))</f>
        <v/>
      </c>
      <c r="R288" s="21" t="str">
        <f aca="false">IF(A288="","",SUMIF('Metric to Field'!$B:$B,A288,'Metric to Field'!$G:$G))</f>
        <v/>
      </c>
      <c r="S288" s="20"/>
      <c r="T288" s="20"/>
      <c r="U288" s="20"/>
      <c r="V288" s="20"/>
      <c r="W288" s="20"/>
    </row>
    <row r="289" customFormat="false" ht="15" hidden="false" customHeight="false" outlineLevel="0" collapsed="false">
      <c r="A289" s="18"/>
      <c r="B289" s="19"/>
      <c r="C289" s="20"/>
      <c r="D289" s="18" t="str">
        <f aca="false">IF(C289="","",IFERROR(INDEX(Tables!$A:$A,MATCH(C289,Tables!$B:$B,0)),"Not found"))</f>
        <v/>
      </c>
      <c r="E289" s="21" t="str">
        <f aca="false">IF(D289="","",IFERROR(INDEX(Tables!$D:$D,MATCH(D289,Tables!$A:$A,0)),""))</f>
        <v/>
      </c>
      <c r="F289" s="20"/>
      <c r="G289" s="20"/>
      <c r="H289" s="18"/>
      <c r="I289" s="20"/>
      <c r="J289" s="20"/>
      <c r="K289" s="20"/>
      <c r="L289" s="20"/>
      <c r="M289" s="20"/>
      <c r="N289" s="20"/>
      <c r="O289" s="20"/>
      <c r="P289" s="20"/>
      <c r="Q289" s="21" t="str">
        <f aca="false">IF(A289="","",COUNTIF('Metric to Field'!$B:$B,A289))</f>
        <v/>
      </c>
      <c r="R289" s="21" t="str">
        <f aca="false">IF(A289="","",SUMIF('Metric to Field'!$B:$B,A289,'Metric to Field'!$G:$G))</f>
        <v/>
      </c>
      <c r="S289" s="20"/>
      <c r="T289" s="20"/>
      <c r="U289" s="20"/>
      <c r="V289" s="20"/>
      <c r="W289" s="20"/>
    </row>
    <row r="290" customFormat="false" ht="15" hidden="false" customHeight="false" outlineLevel="0" collapsed="false">
      <c r="A290" s="18"/>
      <c r="B290" s="19"/>
      <c r="C290" s="20"/>
      <c r="D290" s="18" t="str">
        <f aca="false">IF(C290="","",IFERROR(INDEX(Tables!$A:$A,MATCH(C290,Tables!$B:$B,0)),"Not found"))</f>
        <v/>
      </c>
      <c r="E290" s="21" t="str">
        <f aca="false">IF(D290="","",IFERROR(INDEX(Tables!$D:$D,MATCH(D290,Tables!$A:$A,0)),""))</f>
        <v/>
      </c>
      <c r="F290" s="20"/>
      <c r="G290" s="20"/>
      <c r="H290" s="18"/>
      <c r="I290" s="20"/>
      <c r="J290" s="20"/>
      <c r="K290" s="20"/>
      <c r="L290" s="20"/>
      <c r="M290" s="20"/>
      <c r="N290" s="20"/>
      <c r="O290" s="20"/>
      <c r="P290" s="20"/>
      <c r="Q290" s="21" t="str">
        <f aca="false">IF(A290="","",COUNTIF('Metric to Field'!$B:$B,A290))</f>
        <v/>
      </c>
      <c r="R290" s="21" t="str">
        <f aca="false">IF(A290="","",SUMIF('Metric to Field'!$B:$B,A290,'Metric to Field'!$G:$G))</f>
        <v/>
      </c>
      <c r="S290" s="20"/>
      <c r="T290" s="20"/>
      <c r="U290" s="20"/>
      <c r="V290" s="20"/>
      <c r="W290" s="20"/>
    </row>
    <row r="291" customFormat="false" ht="15" hidden="false" customHeight="false" outlineLevel="0" collapsed="false">
      <c r="A291" s="18"/>
      <c r="B291" s="19"/>
      <c r="C291" s="20"/>
      <c r="D291" s="18" t="str">
        <f aca="false">IF(C291="","",IFERROR(INDEX(Tables!$A:$A,MATCH(C291,Tables!$B:$B,0)),"Not found"))</f>
        <v/>
      </c>
      <c r="E291" s="21" t="str">
        <f aca="false">IF(D291="","",IFERROR(INDEX(Tables!$D:$D,MATCH(D291,Tables!$A:$A,0)),""))</f>
        <v/>
      </c>
      <c r="F291" s="20"/>
      <c r="G291" s="20"/>
      <c r="H291" s="18"/>
      <c r="I291" s="20"/>
      <c r="J291" s="20"/>
      <c r="K291" s="20"/>
      <c r="L291" s="20"/>
      <c r="M291" s="20"/>
      <c r="N291" s="20"/>
      <c r="O291" s="20"/>
      <c r="P291" s="20"/>
      <c r="Q291" s="21" t="str">
        <f aca="false">IF(A291="","",COUNTIF('Metric to Field'!$B:$B,A291))</f>
        <v/>
      </c>
      <c r="R291" s="21" t="str">
        <f aca="false">IF(A291="","",SUMIF('Metric to Field'!$B:$B,A291,'Metric to Field'!$G:$G))</f>
        <v/>
      </c>
      <c r="S291" s="20"/>
      <c r="T291" s="20"/>
      <c r="U291" s="20"/>
      <c r="V291" s="20"/>
      <c r="W291" s="20"/>
    </row>
    <row r="292" customFormat="false" ht="15" hidden="false" customHeight="false" outlineLevel="0" collapsed="false">
      <c r="A292" s="18"/>
      <c r="B292" s="19"/>
      <c r="C292" s="20"/>
      <c r="D292" s="18" t="str">
        <f aca="false">IF(C292="","",IFERROR(INDEX(Tables!$A:$A,MATCH(C292,Tables!$B:$B,0)),"Not found"))</f>
        <v/>
      </c>
      <c r="E292" s="21" t="str">
        <f aca="false">IF(D292="","",IFERROR(INDEX(Tables!$D:$D,MATCH(D292,Tables!$A:$A,0)),""))</f>
        <v/>
      </c>
      <c r="F292" s="20"/>
      <c r="G292" s="20"/>
      <c r="H292" s="18"/>
      <c r="I292" s="20"/>
      <c r="J292" s="20"/>
      <c r="K292" s="20"/>
      <c r="L292" s="20"/>
      <c r="M292" s="20"/>
      <c r="N292" s="20"/>
      <c r="O292" s="20"/>
      <c r="P292" s="20"/>
      <c r="Q292" s="21" t="str">
        <f aca="false">IF(A292="","",COUNTIF('Metric to Field'!$B:$B,A292))</f>
        <v/>
      </c>
      <c r="R292" s="21" t="str">
        <f aca="false">IF(A292="","",SUMIF('Metric to Field'!$B:$B,A292,'Metric to Field'!$G:$G))</f>
        <v/>
      </c>
      <c r="S292" s="20"/>
      <c r="T292" s="20"/>
      <c r="U292" s="20"/>
      <c r="V292" s="20"/>
      <c r="W292" s="20"/>
    </row>
    <row r="293" customFormat="false" ht="15" hidden="false" customHeight="false" outlineLevel="0" collapsed="false">
      <c r="A293" s="18"/>
      <c r="B293" s="19"/>
      <c r="C293" s="20"/>
      <c r="D293" s="18" t="str">
        <f aca="false">IF(C293="","",IFERROR(INDEX(Tables!$A:$A,MATCH(C293,Tables!$B:$B,0)),"Not found"))</f>
        <v/>
      </c>
      <c r="E293" s="21" t="str">
        <f aca="false">IF(D293="","",IFERROR(INDEX(Tables!$D:$D,MATCH(D293,Tables!$A:$A,0)),""))</f>
        <v/>
      </c>
      <c r="F293" s="20"/>
      <c r="G293" s="20"/>
      <c r="H293" s="18"/>
      <c r="I293" s="20"/>
      <c r="J293" s="20"/>
      <c r="K293" s="20"/>
      <c r="L293" s="20"/>
      <c r="M293" s="20"/>
      <c r="N293" s="20"/>
      <c r="O293" s="20"/>
      <c r="P293" s="20"/>
      <c r="Q293" s="21" t="str">
        <f aca="false">IF(A293="","",COUNTIF('Metric to Field'!$B:$B,A293))</f>
        <v/>
      </c>
      <c r="R293" s="21" t="str">
        <f aca="false">IF(A293="","",SUMIF('Metric to Field'!$B:$B,A293,'Metric to Field'!$G:$G))</f>
        <v/>
      </c>
      <c r="S293" s="20"/>
      <c r="T293" s="20"/>
      <c r="U293" s="20"/>
      <c r="V293" s="20"/>
      <c r="W293" s="20"/>
    </row>
    <row r="294" customFormat="false" ht="15" hidden="false" customHeight="false" outlineLevel="0" collapsed="false">
      <c r="A294" s="18"/>
      <c r="B294" s="19"/>
      <c r="C294" s="20"/>
      <c r="D294" s="18" t="str">
        <f aca="false">IF(C294="","",IFERROR(INDEX(Tables!$A:$A,MATCH(C294,Tables!$B:$B,0)),"Not found"))</f>
        <v/>
      </c>
      <c r="E294" s="21" t="str">
        <f aca="false">IF(D294="","",IFERROR(INDEX(Tables!$D:$D,MATCH(D294,Tables!$A:$A,0)),""))</f>
        <v/>
      </c>
      <c r="F294" s="20"/>
      <c r="G294" s="20"/>
      <c r="H294" s="18"/>
      <c r="I294" s="20"/>
      <c r="J294" s="20"/>
      <c r="K294" s="20"/>
      <c r="L294" s="20"/>
      <c r="M294" s="20"/>
      <c r="N294" s="20"/>
      <c r="O294" s="20"/>
      <c r="P294" s="20"/>
      <c r="Q294" s="21" t="str">
        <f aca="false">IF(A294="","",COUNTIF('Metric to Field'!$B:$B,A294))</f>
        <v/>
      </c>
      <c r="R294" s="21" t="str">
        <f aca="false">IF(A294="","",SUMIF('Metric to Field'!$B:$B,A294,'Metric to Field'!$G:$G))</f>
        <v/>
      </c>
      <c r="S294" s="20"/>
      <c r="T294" s="20"/>
      <c r="U294" s="20"/>
      <c r="V294" s="20"/>
      <c r="W294" s="20"/>
    </row>
    <row r="295" customFormat="false" ht="15" hidden="false" customHeight="false" outlineLevel="0" collapsed="false">
      <c r="A295" s="18"/>
      <c r="B295" s="19"/>
      <c r="C295" s="20"/>
      <c r="D295" s="18" t="str">
        <f aca="false">IF(C295="","",IFERROR(INDEX(Tables!$A:$A,MATCH(C295,Tables!$B:$B,0)),"Not found"))</f>
        <v/>
      </c>
      <c r="E295" s="21" t="str">
        <f aca="false">IF(D295="","",IFERROR(INDEX(Tables!$D:$D,MATCH(D295,Tables!$A:$A,0)),""))</f>
        <v/>
      </c>
      <c r="F295" s="20"/>
      <c r="G295" s="20"/>
      <c r="H295" s="18"/>
      <c r="I295" s="20"/>
      <c r="J295" s="20"/>
      <c r="K295" s="20"/>
      <c r="L295" s="20"/>
      <c r="M295" s="20"/>
      <c r="N295" s="20"/>
      <c r="O295" s="20"/>
      <c r="P295" s="20"/>
      <c r="Q295" s="21" t="str">
        <f aca="false">IF(A295="","",COUNTIF('Metric to Field'!$B:$B,A295))</f>
        <v/>
      </c>
      <c r="R295" s="21" t="str">
        <f aca="false">IF(A295="","",SUMIF('Metric to Field'!$B:$B,A295,'Metric to Field'!$G:$G))</f>
        <v/>
      </c>
      <c r="S295" s="20"/>
      <c r="T295" s="20"/>
      <c r="U295" s="20"/>
      <c r="V295" s="20"/>
      <c r="W295" s="20"/>
    </row>
    <row r="296" customFormat="false" ht="15" hidden="false" customHeight="false" outlineLevel="0" collapsed="false">
      <c r="A296" s="18"/>
      <c r="B296" s="19"/>
      <c r="C296" s="20"/>
      <c r="D296" s="18" t="str">
        <f aca="false">IF(C296="","",IFERROR(INDEX(Tables!$A:$A,MATCH(C296,Tables!$B:$B,0)),"Not found"))</f>
        <v/>
      </c>
      <c r="E296" s="21" t="str">
        <f aca="false">IF(D296="","",IFERROR(INDEX(Tables!$D:$D,MATCH(D296,Tables!$A:$A,0)),""))</f>
        <v/>
      </c>
      <c r="F296" s="20"/>
      <c r="G296" s="20"/>
      <c r="H296" s="18"/>
      <c r="I296" s="20"/>
      <c r="J296" s="20"/>
      <c r="K296" s="20"/>
      <c r="L296" s="20"/>
      <c r="M296" s="20"/>
      <c r="N296" s="20"/>
      <c r="O296" s="20"/>
      <c r="P296" s="20"/>
      <c r="Q296" s="21" t="str">
        <f aca="false">IF(A296="","",COUNTIF('Metric to Field'!$B:$B,A296))</f>
        <v/>
      </c>
      <c r="R296" s="21" t="str">
        <f aca="false">IF(A296="","",SUMIF('Metric to Field'!$B:$B,A296,'Metric to Field'!$G:$G))</f>
        <v/>
      </c>
      <c r="S296" s="20"/>
      <c r="T296" s="20"/>
      <c r="U296" s="20"/>
      <c r="V296" s="20"/>
      <c r="W296" s="20"/>
    </row>
    <row r="297" customFormat="false" ht="15" hidden="false" customHeight="false" outlineLevel="0" collapsed="false">
      <c r="A297" s="18"/>
      <c r="B297" s="19"/>
      <c r="C297" s="20"/>
      <c r="D297" s="18" t="str">
        <f aca="false">IF(C297="","",IFERROR(INDEX(Tables!$A:$A,MATCH(C297,Tables!$B:$B,0)),"Not found"))</f>
        <v/>
      </c>
      <c r="E297" s="21" t="str">
        <f aca="false">IF(D297="","",IFERROR(INDEX(Tables!$D:$D,MATCH(D297,Tables!$A:$A,0)),""))</f>
        <v/>
      </c>
      <c r="F297" s="20"/>
      <c r="G297" s="20"/>
      <c r="H297" s="18"/>
      <c r="I297" s="20"/>
      <c r="J297" s="20"/>
      <c r="K297" s="20"/>
      <c r="L297" s="20"/>
      <c r="M297" s="20"/>
      <c r="N297" s="20"/>
      <c r="O297" s="20"/>
      <c r="P297" s="20"/>
      <c r="Q297" s="21" t="str">
        <f aca="false">IF(A297="","",COUNTIF('Metric to Field'!$B:$B,A297))</f>
        <v/>
      </c>
      <c r="R297" s="21" t="str">
        <f aca="false">IF(A297="","",SUMIF('Metric to Field'!$B:$B,A297,'Metric to Field'!$G:$G))</f>
        <v/>
      </c>
      <c r="S297" s="20"/>
      <c r="T297" s="20"/>
      <c r="U297" s="20"/>
      <c r="V297" s="20"/>
      <c r="W297" s="20"/>
    </row>
    <row r="298" customFormat="false" ht="15" hidden="false" customHeight="false" outlineLevel="0" collapsed="false">
      <c r="A298" s="18"/>
      <c r="B298" s="19"/>
      <c r="C298" s="20"/>
      <c r="D298" s="18" t="str">
        <f aca="false">IF(C298="","",IFERROR(INDEX(Tables!$A:$A,MATCH(C298,Tables!$B:$B,0)),"Not found"))</f>
        <v/>
      </c>
      <c r="E298" s="21" t="str">
        <f aca="false">IF(D298="","",IFERROR(INDEX(Tables!$D:$D,MATCH(D298,Tables!$A:$A,0)),""))</f>
        <v/>
      </c>
      <c r="F298" s="20"/>
      <c r="G298" s="20"/>
      <c r="H298" s="18"/>
      <c r="I298" s="20"/>
      <c r="J298" s="20"/>
      <c r="K298" s="20"/>
      <c r="L298" s="20"/>
      <c r="M298" s="20"/>
      <c r="N298" s="20"/>
      <c r="O298" s="20"/>
      <c r="P298" s="20"/>
      <c r="Q298" s="21" t="str">
        <f aca="false">IF(A298="","",COUNTIF('Metric to Field'!$B:$B,A298))</f>
        <v/>
      </c>
      <c r="R298" s="21" t="str">
        <f aca="false">IF(A298="","",SUMIF('Metric to Field'!$B:$B,A298,'Metric to Field'!$G:$G))</f>
        <v/>
      </c>
      <c r="S298" s="20"/>
      <c r="T298" s="20"/>
      <c r="U298" s="20"/>
      <c r="V298" s="20"/>
      <c r="W298" s="20"/>
    </row>
    <row r="299" customFormat="false" ht="15" hidden="false" customHeight="false" outlineLevel="0" collapsed="false">
      <c r="A299" s="18"/>
      <c r="B299" s="19"/>
      <c r="C299" s="20"/>
      <c r="D299" s="18" t="str">
        <f aca="false">IF(C299="","",IFERROR(INDEX(Tables!$A:$A,MATCH(C299,Tables!$B:$B,0)),"Not found"))</f>
        <v/>
      </c>
      <c r="E299" s="21" t="str">
        <f aca="false">IF(D299="","",IFERROR(INDEX(Tables!$D:$D,MATCH(D299,Tables!$A:$A,0)),""))</f>
        <v/>
      </c>
      <c r="F299" s="20"/>
      <c r="G299" s="20"/>
      <c r="H299" s="18"/>
      <c r="I299" s="20"/>
      <c r="J299" s="20"/>
      <c r="K299" s="20"/>
      <c r="L299" s="20"/>
      <c r="M299" s="20"/>
      <c r="N299" s="20"/>
      <c r="O299" s="20"/>
      <c r="P299" s="20"/>
      <c r="Q299" s="21" t="str">
        <f aca="false">IF(A299="","",COUNTIF('Metric to Field'!$B:$B,A299))</f>
        <v/>
      </c>
      <c r="R299" s="21" t="str">
        <f aca="false">IF(A299="","",SUMIF('Metric to Field'!$B:$B,A299,'Metric to Field'!$G:$G))</f>
        <v/>
      </c>
      <c r="S299" s="20"/>
      <c r="T299" s="20"/>
      <c r="U299" s="20"/>
      <c r="V299" s="20"/>
      <c r="W299" s="20"/>
    </row>
    <row r="300" customFormat="false" ht="15" hidden="false" customHeight="false" outlineLevel="0" collapsed="false">
      <c r="A300" s="18"/>
      <c r="B300" s="19"/>
      <c r="C300" s="20"/>
      <c r="D300" s="18" t="str">
        <f aca="false">IF(C300="","",IFERROR(INDEX(Tables!$A:$A,MATCH(C300,Tables!$B:$B,0)),"Not found"))</f>
        <v/>
      </c>
      <c r="E300" s="21" t="str">
        <f aca="false">IF(D300="","",IFERROR(INDEX(Tables!$D:$D,MATCH(D300,Tables!$A:$A,0)),""))</f>
        <v/>
      </c>
      <c r="F300" s="20"/>
      <c r="G300" s="20"/>
      <c r="H300" s="18"/>
      <c r="I300" s="20"/>
      <c r="J300" s="20"/>
      <c r="K300" s="20"/>
      <c r="L300" s="20"/>
      <c r="M300" s="20"/>
      <c r="N300" s="20"/>
      <c r="O300" s="20"/>
      <c r="P300" s="20"/>
      <c r="Q300" s="21" t="str">
        <f aca="false">IF(A300="","",COUNTIF('Metric to Field'!$B:$B,A300))</f>
        <v/>
      </c>
      <c r="R300" s="21" t="str">
        <f aca="false">IF(A300="","",SUMIF('Metric to Field'!$B:$B,A300,'Metric to Field'!$G:$G))</f>
        <v/>
      </c>
      <c r="S300" s="20"/>
      <c r="T300" s="20"/>
      <c r="U300" s="20"/>
      <c r="V300" s="20"/>
      <c r="W300" s="20"/>
    </row>
    <row r="301" customFormat="false" ht="15" hidden="false" customHeight="false" outlineLevel="0" collapsed="false">
      <c r="A301" s="18"/>
      <c r="B301" s="19"/>
      <c r="C301" s="20"/>
      <c r="D301" s="18" t="str">
        <f aca="false">IF(C301="","",IFERROR(INDEX(Tables!$A:$A,MATCH(C301,Tables!$B:$B,0)),"Not found"))</f>
        <v/>
      </c>
      <c r="E301" s="21" t="str">
        <f aca="false">IF(D301="","",IFERROR(INDEX(Tables!$D:$D,MATCH(D301,Tables!$A:$A,0)),""))</f>
        <v/>
      </c>
      <c r="F301" s="20"/>
      <c r="G301" s="20"/>
      <c r="H301" s="18"/>
      <c r="I301" s="20"/>
      <c r="J301" s="20"/>
      <c r="K301" s="20"/>
      <c r="L301" s="20"/>
      <c r="M301" s="20"/>
      <c r="N301" s="20"/>
      <c r="O301" s="20"/>
      <c r="P301" s="20"/>
      <c r="Q301" s="21" t="str">
        <f aca="false">IF(A301="","",COUNTIF('Metric to Field'!$B:$B,A301))</f>
        <v/>
      </c>
      <c r="R301" s="21" t="str">
        <f aca="false">IF(A301="","",SUMIF('Metric to Field'!$B:$B,A301,'Metric to Field'!$G:$G))</f>
        <v/>
      </c>
      <c r="S301" s="20"/>
      <c r="T301" s="20"/>
      <c r="U301" s="20"/>
      <c r="V301" s="20"/>
      <c r="W301" s="20"/>
    </row>
    <row r="302" customFormat="false" ht="15" hidden="false" customHeight="false" outlineLevel="0" collapsed="false">
      <c r="A302" s="18"/>
      <c r="B302" s="19"/>
      <c r="C302" s="20"/>
      <c r="D302" s="18" t="str">
        <f aca="false">IF(C302="","",IFERROR(INDEX(Tables!$A:$A,MATCH(C302,Tables!$B:$B,0)),"Not found"))</f>
        <v/>
      </c>
      <c r="E302" s="21" t="str">
        <f aca="false">IF(D302="","",IFERROR(INDEX(Tables!$D:$D,MATCH(D302,Tables!$A:$A,0)),""))</f>
        <v/>
      </c>
      <c r="F302" s="20"/>
      <c r="G302" s="20"/>
      <c r="H302" s="18"/>
      <c r="I302" s="20"/>
      <c r="J302" s="20"/>
      <c r="K302" s="20"/>
      <c r="L302" s="20"/>
      <c r="M302" s="20"/>
      <c r="N302" s="20"/>
      <c r="O302" s="20"/>
      <c r="P302" s="20"/>
      <c r="Q302" s="21" t="str">
        <f aca="false">IF(A302="","",COUNTIF('Metric to Field'!$B:$B,A302))</f>
        <v/>
      </c>
      <c r="R302" s="21" t="str">
        <f aca="false">IF(A302="","",SUMIF('Metric to Field'!$B:$B,A302,'Metric to Field'!$G:$G))</f>
        <v/>
      </c>
      <c r="S302" s="20"/>
      <c r="T302" s="20"/>
      <c r="U302" s="20"/>
      <c r="V302" s="20"/>
      <c r="W302" s="20"/>
    </row>
    <row r="303" customFormat="false" ht="15" hidden="false" customHeight="false" outlineLevel="0" collapsed="false">
      <c r="A303" s="18"/>
      <c r="B303" s="19"/>
      <c r="C303" s="20"/>
      <c r="D303" s="18" t="str">
        <f aca="false">IF(C303="","",IFERROR(INDEX(Tables!$A:$A,MATCH(C303,Tables!$B:$B,0)),"Not found"))</f>
        <v/>
      </c>
      <c r="E303" s="21" t="str">
        <f aca="false">IF(D303="","",IFERROR(INDEX(Tables!$D:$D,MATCH(D303,Tables!$A:$A,0)),""))</f>
        <v/>
      </c>
      <c r="F303" s="20"/>
      <c r="G303" s="20"/>
      <c r="H303" s="18"/>
      <c r="I303" s="20"/>
      <c r="J303" s="20"/>
      <c r="K303" s="20"/>
      <c r="L303" s="20"/>
      <c r="M303" s="20"/>
      <c r="N303" s="20"/>
      <c r="O303" s="20"/>
      <c r="P303" s="20"/>
      <c r="Q303" s="21" t="str">
        <f aca="false">IF(A303="","",COUNTIF('Metric to Field'!$B:$B,A303))</f>
        <v/>
      </c>
      <c r="R303" s="21" t="str">
        <f aca="false">IF(A303="","",SUMIF('Metric to Field'!$B:$B,A303,'Metric to Field'!$G:$G))</f>
        <v/>
      </c>
      <c r="S303" s="20"/>
      <c r="T303" s="20"/>
      <c r="U303" s="20"/>
      <c r="V303" s="20"/>
      <c r="W303" s="20"/>
    </row>
    <row r="304" customFormat="false" ht="15" hidden="false" customHeight="false" outlineLevel="0" collapsed="false">
      <c r="A304" s="18"/>
      <c r="B304" s="19"/>
      <c r="C304" s="20"/>
      <c r="D304" s="18" t="str">
        <f aca="false">IF(C304="","",IFERROR(INDEX(Tables!$A:$A,MATCH(C304,Tables!$B:$B,0)),"Not found"))</f>
        <v/>
      </c>
      <c r="E304" s="21" t="str">
        <f aca="false">IF(D304="","",IFERROR(INDEX(Tables!$D:$D,MATCH(D304,Tables!$A:$A,0)),""))</f>
        <v/>
      </c>
      <c r="F304" s="20"/>
      <c r="G304" s="20"/>
      <c r="H304" s="18"/>
      <c r="I304" s="20"/>
      <c r="J304" s="20"/>
      <c r="K304" s="20"/>
      <c r="L304" s="20"/>
      <c r="M304" s="20"/>
      <c r="N304" s="20"/>
      <c r="O304" s="20"/>
      <c r="P304" s="20"/>
      <c r="Q304" s="21" t="str">
        <f aca="false">IF(A304="","",COUNTIF('Metric to Field'!$B:$B,A304))</f>
        <v/>
      </c>
      <c r="R304" s="21" t="str">
        <f aca="false">IF(A304="","",SUMIF('Metric to Field'!$B:$B,A304,'Metric to Field'!$G:$G))</f>
        <v/>
      </c>
      <c r="S304" s="20"/>
      <c r="T304" s="20"/>
      <c r="U304" s="20"/>
      <c r="V304" s="20"/>
      <c r="W304" s="20"/>
    </row>
    <row r="305" customFormat="false" ht="15" hidden="false" customHeight="false" outlineLevel="0" collapsed="false">
      <c r="A305" s="18"/>
      <c r="B305" s="19"/>
      <c r="C305" s="20"/>
      <c r="D305" s="18" t="str">
        <f aca="false">IF(C305="","",IFERROR(INDEX(Tables!$A:$A,MATCH(C305,Tables!$B:$B,0)),"Not found"))</f>
        <v/>
      </c>
      <c r="E305" s="21" t="str">
        <f aca="false">IF(D305="","",IFERROR(INDEX(Tables!$D:$D,MATCH(D305,Tables!$A:$A,0)),""))</f>
        <v/>
      </c>
      <c r="F305" s="20"/>
      <c r="G305" s="20"/>
      <c r="H305" s="18"/>
      <c r="I305" s="20"/>
      <c r="J305" s="20"/>
      <c r="K305" s="20"/>
      <c r="L305" s="20"/>
      <c r="M305" s="20"/>
      <c r="N305" s="20"/>
      <c r="O305" s="20"/>
      <c r="P305" s="20"/>
      <c r="Q305" s="21" t="str">
        <f aca="false">IF(A305="","",COUNTIF('Metric to Field'!$B:$B,A305))</f>
        <v/>
      </c>
      <c r="R305" s="21" t="str">
        <f aca="false">IF(A305="","",SUMIF('Metric to Field'!$B:$B,A305,'Metric to Field'!$G:$G))</f>
        <v/>
      </c>
      <c r="S305" s="20"/>
      <c r="T305" s="20"/>
      <c r="U305" s="20"/>
      <c r="V305" s="20"/>
      <c r="W305" s="20"/>
    </row>
    <row r="306" customFormat="false" ht="15" hidden="false" customHeight="false" outlineLevel="0" collapsed="false">
      <c r="A306" s="18"/>
      <c r="B306" s="19"/>
      <c r="C306" s="20"/>
      <c r="D306" s="18" t="str">
        <f aca="false">IF(C306="","",IFERROR(INDEX(Tables!$A:$A,MATCH(C306,Tables!$B:$B,0)),"Not found"))</f>
        <v/>
      </c>
      <c r="E306" s="21" t="str">
        <f aca="false">IF(D306="","",IFERROR(INDEX(Tables!$D:$D,MATCH(D306,Tables!$A:$A,0)),""))</f>
        <v/>
      </c>
      <c r="F306" s="20"/>
      <c r="G306" s="20"/>
      <c r="H306" s="18"/>
      <c r="I306" s="20"/>
      <c r="J306" s="20"/>
      <c r="K306" s="20"/>
      <c r="L306" s="20"/>
      <c r="M306" s="20"/>
      <c r="N306" s="20"/>
      <c r="O306" s="20"/>
      <c r="P306" s="20"/>
      <c r="Q306" s="21" t="str">
        <f aca="false">IF(A306="","",COUNTIF('Metric to Field'!$B:$B,A306))</f>
        <v/>
      </c>
      <c r="R306" s="21" t="str">
        <f aca="false">IF(A306="","",SUMIF('Metric to Field'!$B:$B,A306,'Metric to Field'!$G:$G))</f>
        <v/>
      </c>
      <c r="S306" s="20"/>
      <c r="T306" s="20"/>
      <c r="U306" s="20"/>
      <c r="V306" s="20"/>
      <c r="W306" s="20"/>
    </row>
    <row r="307" customFormat="false" ht="15" hidden="false" customHeight="false" outlineLevel="0" collapsed="false">
      <c r="A307" s="18"/>
      <c r="B307" s="19"/>
      <c r="C307" s="20"/>
      <c r="D307" s="18" t="str">
        <f aca="false">IF(C307="","",IFERROR(INDEX(Tables!$A:$A,MATCH(C307,Tables!$B:$B,0)),"Not found"))</f>
        <v/>
      </c>
      <c r="E307" s="21" t="str">
        <f aca="false">IF(D307="","",IFERROR(INDEX(Tables!$D:$D,MATCH(D307,Tables!$A:$A,0)),""))</f>
        <v/>
      </c>
      <c r="F307" s="20"/>
      <c r="G307" s="20"/>
      <c r="H307" s="18"/>
      <c r="I307" s="20"/>
      <c r="J307" s="20"/>
      <c r="K307" s="20"/>
      <c r="L307" s="20"/>
      <c r="M307" s="20"/>
      <c r="N307" s="20"/>
      <c r="O307" s="20"/>
      <c r="P307" s="20"/>
      <c r="Q307" s="21" t="str">
        <f aca="false">IF(A307="","",COUNTIF('Metric to Field'!$B:$B,A307))</f>
        <v/>
      </c>
      <c r="R307" s="21" t="str">
        <f aca="false">IF(A307="","",SUMIF('Metric to Field'!$B:$B,A307,'Metric to Field'!$G:$G))</f>
        <v/>
      </c>
      <c r="S307" s="20"/>
      <c r="T307" s="20"/>
      <c r="U307" s="20"/>
      <c r="V307" s="20"/>
      <c r="W307" s="20"/>
    </row>
    <row r="308" customFormat="false" ht="15" hidden="false" customHeight="false" outlineLevel="0" collapsed="false">
      <c r="A308" s="18"/>
      <c r="B308" s="19"/>
      <c r="C308" s="20"/>
      <c r="D308" s="18" t="str">
        <f aca="false">IF(C308="","",IFERROR(INDEX(Tables!$A:$A,MATCH(C308,Tables!$B:$B,0)),"Not found"))</f>
        <v/>
      </c>
      <c r="E308" s="21" t="str">
        <f aca="false">IF(D308="","",IFERROR(INDEX(Tables!$D:$D,MATCH(D308,Tables!$A:$A,0)),""))</f>
        <v/>
      </c>
      <c r="F308" s="20"/>
      <c r="G308" s="20"/>
      <c r="H308" s="18"/>
      <c r="I308" s="20"/>
      <c r="J308" s="20"/>
      <c r="K308" s="20"/>
      <c r="L308" s="20"/>
      <c r="M308" s="20"/>
      <c r="N308" s="20"/>
      <c r="O308" s="20"/>
      <c r="P308" s="20"/>
      <c r="Q308" s="21" t="str">
        <f aca="false">IF(A308="","",COUNTIF('Metric to Field'!$B:$B,A308))</f>
        <v/>
      </c>
      <c r="R308" s="21" t="str">
        <f aca="false">IF(A308="","",SUMIF('Metric to Field'!$B:$B,A308,'Metric to Field'!$G:$G))</f>
        <v/>
      </c>
      <c r="S308" s="20"/>
      <c r="T308" s="20"/>
      <c r="U308" s="20"/>
      <c r="V308" s="20"/>
      <c r="W308" s="20"/>
    </row>
    <row r="309" customFormat="false" ht="15" hidden="false" customHeight="false" outlineLevel="0" collapsed="false">
      <c r="A309" s="18"/>
      <c r="B309" s="19"/>
      <c r="C309" s="20"/>
      <c r="D309" s="18" t="str">
        <f aca="false">IF(C309="","",IFERROR(INDEX(Tables!$A:$A,MATCH(C309,Tables!$B:$B,0)),"Not found"))</f>
        <v/>
      </c>
      <c r="E309" s="21" t="str">
        <f aca="false">IF(D309="","",IFERROR(INDEX(Tables!$D:$D,MATCH(D309,Tables!$A:$A,0)),""))</f>
        <v/>
      </c>
      <c r="F309" s="20"/>
      <c r="G309" s="20"/>
      <c r="H309" s="18"/>
      <c r="I309" s="20"/>
      <c r="J309" s="20"/>
      <c r="K309" s="20"/>
      <c r="L309" s="20"/>
      <c r="M309" s="20"/>
      <c r="N309" s="20"/>
      <c r="O309" s="20"/>
      <c r="P309" s="20"/>
      <c r="Q309" s="21" t="str">
        <f aca="false">IF(A309="","",COUNTIF('Metric to Field'!$B:$B,A309))</f>
        <v/>
      </c>
      <c r="R309" s="21" t="str">
        <f aca="false">IF(A309="","",SUMIF('Metric to Field'!$B:$B,A309,'Metric to Field'!$G:$G))</f>
        <v/>
      </c>
      <c r="S309" s="20"/>
      <c r="T309" s="20"/>
      <c r="U309" s="20"/>
      <c r="V309" s="20"/>
      <c r="W309" s="20"/>
    </row>
    <row r="310" customFormat="false" ht="15" hidden="false" customHeight="false" outlineLevel="0" collapsed="false">
      <c r="A310" s="18"/>
      <c r="B310" s="19"/>
      <c r="C310" s="20"/>
      <c r="D310" s="18" t="str">
        <f aca="false">IF(C310="","",IFERROR(INDEX(Tables!$A:$A,MATCH(C310,Tables!$B:$B,0)),"Not found"))</f>
        <v/>
      </c>
      <c r="E310" s="21" t="str">
        <f aca="false">IF(D310="","",IFERROR(INDEX(Tables!$D:$D,MATCH(D310,Tables!$A:$A,0)),""))</f>
        <v/>
      </c>
      <c r="F310" s="20"/>
      <c r="G310" s="20"/>
      <c r="H310" s="18"/>
      <c r="I310" s="20"/>
      <c r="J310" s="20"/>
      <c r="K310" s="20"/>
      <c r="L310" s="20"/>
      <c r="M310" s="20"/>
      <c r="N310" s="20"/>
      <c r="O310" s="20"/>
      <c r="P310" s="20"/>
      <c r="Q310" s="21" t="str">
        <f aca="false">IF(A310="","",COUNTIF('Metric to Field'!$B:$B,A310))</f>
        <v/>
      </c>
      <c r="R310" s="21" t="str">
        <f aca="false">IF(A310="","",SUMIF('Metric to Field'!$B:$B,A310,'Metric to Field'!$G:$G))</f>
        <v/>
      </c>
      <c r="S310" s="20"/>
      <c r="T310" s="20"/>
      <c r="U310" s="20"/>
      <c r="V310" s="20"/>
      <c r="W310" s="20"/>
    </row>
    <row r="311" customFormat="false" ht="15" hidden="false" customHeight="false" outlineLevel="0" collapsed="false">
      <c r="A311" s="18"/>
      <c r="B311" s="19"/>
      <c r="C311" s="20"/>
      <c r="D311" s="18" t="str">
        <f aca="false">IF(C311="","",IFERROR(INDEX(Tables!$A:$A,MATCH(C311,Tables!$B:$B,0)),"Not found"))</f>
        <v/>
      </c>
      <c r="E311" s="21" t="str">
        <f aca="false">IF(D311="","",IFERROR(INDEX(Tables!$D:$D,MATCH(D311,Tables!$A:$A,0)),""))</f>
        <v/>
      </c>
      <c r="F311" s="20"/>
      <c r="G311" s="20"/>
      <c r="H311" s="18"/>
      <c r="I311" s="20"/>
      <c r="J311" s="20"/>
      <c r="K311" s="20"/>
      <c r="L311" s="20"/>
      <c r="M311" s="20"/>
      <c r="N311" s="20"/>
      <c r="O311" s="20"/>
      <c r="P311" s="20"/>
      <c r="Q311" s="21" t="str">
        <f aca="false">IF(A311="","",COUNTIF('Metric to Field'!$B:$B,A311))</f>
        <v/>
      </c>
      <c r="R311" s="21" t="str">
        <f aca="false">IF(A311="","",SUMIF('Metric to Field'!$B:$B,A311,'Metric to Field'!$G:$G))</f>
        <v/>
      </c>
      <c r="S311" s="20"/>
      <c r="T311" s="20"/>
      <c r="U311" s="20"/>
      <c r="V311" s="20"/>
      <c r="W311" s="20"/>
    </row>
    <row r="312" customFormat="false" ht="15" hidden="false" customHeight="false" outlineLevel="0" collapsed="false">
      <c r="A312" s="18"/>
      <c r="B312" s="19"/>
      <c r="C312" s="20"/>
      <c r="D312" s="18" t="str">
        <f aca="false">IF(C312="","",IFERROR(INDEX(Tables!$A:$A,MATCH(C312,Tables!$B:$B,0)),"Not found"))</f>
        <v/>
      </c>
      <c r="E312" s="21" t="str">
        <f aca="false">IF(D312="","",IFERROR(INDEX(Tables!$D:$D,MATCH(D312,Tables!$A:$A,0)),""))</f>
        <v/>
      </c>
      <c r="F312" s="20"/>
      <c r="G312" s="20"/>
      <c r="H312" s="18"/>
      <c r="I312" s="20"/>
      <c r="J312" s="20"/>
      <c r="K312" s="20"/>
      <c r="L312" s="20"/>
      <c r="M312" s="20"/>
      <c r="N312" s="20"/>
      <c r="O312" s="20"/>
      <c r="P312" s="20"/>
      <c r="Q312" s="21" t="str">
        <f aca="false">IF(A312="","",COUNTIF('Metric to Field'!$B:$B,A312))</f>
        <v/>
      </c>
      <c r="R312" s="21" t="str">
        <f aca="false">IF(A312="","",SUMIF('Metric to Field'!$B:$B,A312,'Metric to Field'!$G:$G))</f>
        <v/>
      </c>
      <c r="S312" s="20"/>
      <c r="T312" s="20"/>
      <c r="U312" s="20"/>
      <c r="V312" s="20"/>
      <c r="W312" s="20"/>
    </row>
    <row r="313" customFormat="false" ht="15" hidden="false" customHeight="false" outlineLevel="0" collapsed="false">
      <c r="A313" s="18"/>
      <c r="B313" s="19"/>
      <c r="C313" s="20"/>
      <c r="D313" s="18" t="str">
        <f aca="false">IF(C313="","",IFERROR(INDEX(Tables!$A:$A,MATCH(C313,Tables!$B:$B,0)),"Not found"))</f>
        <v/>
      </c>
      <c r="E313" s="21" t="str">
        <f aca="false">IF(D313="","",IFERROR(INDEX(Tables!$D:$D,MATCH(D313,Tables!$A:$A,0)),""))</f>
        <v/>
      </c>
      <c r="F313" s="20"/>
      <c r="G313" s="20"/>
      <c r="H313" s="18"/>
      <c r="I313" s="20"/>
      <c r="J313" s="20"/>
      <c r="K313" s="20"/>
      <c r="L313" s="20"/>
      <c r="M313" s="20"/>
      <c r="N313" s="20"/>
      <c r="O313" s="20"/>
      <c r="P313" s="20"/>
      <c r="Q313" s="21" t="str">
        <f aca="false">IF(A313="","",COUNTIF('Metric to Field'!$B:$B,A313))</f>
        <v/>
      </c>
      <c r="R313" s="21" t="str">
        <f aca="false">IF(A313="","",SUMIF('Metric to Field'!$B:$B,A313,'Metric to Field'!$G:$G))</f>
        <v/>
      </c>
      <c r="S313" s="20"/>
      <c r="T313" s="20"/>
      <c r="U313" s="20"/>
      <c r="V313" s="20"/>
      <c r="W313" s="20"/>
    </row>
    <row r="314" customFormat="false" ht="15" hidden="false" customHeight="false" outlineLevel="0" collapsed="false">
      <c r="A314" s="18"/>
      <c r="B314" s="19"/>
      <c r="C314" s="20"/>
      <c r="D314" s="18" t="str">
        <f aca="false">IF(C314="","",IFERROR(INDEX(Tables!$A:$A,MATCH(C314,Tables!$B:$B,0)),"Not found"))</f>
        <v/>
      </c>
      <c r="E314" s="21" t="str">
        <f aca="false">IF(D314="","",IFERROR(INDEX(Tables!$D:$D,MATCH(D314,Tables!$A:$A,0)),""))</f>
        <v/>
      </c>
      <c r="F314" s="20"/>
      <c r="G314" s="20"/>
      <c r="H314" s="18"/>
      <c r="I314" s="20"/>
      <c r="J314" s="20"/>
      <c r="K314" s="20"/>
      <c r="L314" s="20"/>
      <c r="M314" s="20"/>
      <c r="N314" s="20"/>
      <c r="O314" s="20"/>
      <c r="P314" s="20"/>
      <c r="Q314" s="21" t="str">
        <f aca="false">IF(A314="","",COUNTIF('Metric to Field'!$B:$B,A314))</f>
        <v/>
      </c>
      <c r="R314" s="21" t="str">
        <f aca="false">IF(A314="","",SUMIF('Metric to Field'!$B:$B,A314,'Metric to Field'!$G:$G))</f>
        <v/>
      </c>
      <c r="S314" s="20"/>
      <c r="T314" s="20"/>
      <c r="U314" s="20"/>
      <c r="V314" s="20"/>
      <c r="W314" s="20"/>
    </row>
    <row r="315" customFormat="false" ht="15" hidden="false" customHeight="false" outlineLevel="0" collapsed="false">
      <c r="A315" s="18"/>
      <c r="B315" s="19"/>
      <c r="C315" s="20"/>
      <c r="D315" s="18" t="str">
        <f aca="false">IF(C315="","",IFERROR(INDEX(Tables!$A:$A,MATCH(C315,Tables!$B:$B,0)),"Not found"))</f>
        <v/>
      </c>
      <c r="E315" s="21" t="str">
        <f aca="false">IF(D315="","",IFERROR(INDEX(Tables!$D:$D,MATCH(D315,Tables!$A:$A,0)),""))</f>
        <v/>
      </c>
      <c r="F315" s="20"/>
      <c r="G315" s="20"/>
      <c r="H315" s="18"/>
      <c r="I315" s="20"/>
      <c r="J315" s="20"/>
      <c r="K315" s="20"/>
      <c r="L315" s="20"/>
      <c r="M315" s="20"/>
      <c r="N315" s="20"/>
      <c r="O315" s="20"/>
      <c r="P315" s="20"/>
      <c r="Q315" s="21" t="str">
        <f aca="false">IF(A315="","",COUNTIF('Metric to Field'!$B:$B,A315))</f>
        <v/>
      </c>
      <c r="R315" s="21" t="str">
        <f aca="false">IF(A315="","",SUMIF('Metric to Field'!$B:$B,A315,'Metric to Field'!$G:$G))</f>
        <v/>
      </c>
      <c r="S315" s="20"/>
      <c r="T315" s="20"/>
      <c r="U315" s="20"/>
      <c r="V315" s="20"/>
      <c r="W315" s="20"/>
    </row>
    <row r="316" customFormat="false" ht="15" hidden="false" customHeight="false" outlineLevel="0" collapsed="false">
      <c r="A316" s="18"/>
      <c r="B316" s="19"/>
      <c r="C316" s="20"/>
      <c r="D316" s="18" t="str">
        <f aca="false">IF(C316="","",IFERROR(INDEX(Tables!$A:$A,MATCH(C316,Tables!$B:$B,0)),"Not found"))</f>
        <v/>
      </c>
      <c r="E316" s="21" t="str">
        <f aca="false">IF(D316="","",IFERROR(INDEX(Tables!$D:$D,MATCH(D316,Tables!$A:$A,0)),""))</f>
        <v/>
      </c>
      <c r="F316" s="20"/>
      <c r="G316" s="20"/>
      <c r="H316" s="18"/>
      <c r="I316" s="20"/>
      <c r="J316" s="20"/>
      <c r="K316" s="20"/>
      <c r="L316" s="20"/>
      <c r="M316" s="20"/>
      <c r="N316" s="20"/>
      <c r="O316" s="20"/>
      <c r="P316" s="20"/>
      <c r="Q316" s="21" t="str">
        <f aca="false">IF(A316="","",COUNTIF('Metric to Field'!$B:$B,A316))</f>
        <v/>
      </c>
      <c r="R316" s="21" t="str">
        <f aca="false">IF(A316="","",SUMIF('Metric to Field'!$B:$B,A316,'Metric to Field'!$G:$G))</f>
        <v/>
      </c>
      <c r="S316" s="20"/>
      <c r="T316" s="20"/>
      <c r="U316" s="20"/>
      <c r="V316" s="20"/>
      <c r="W316" s="20"/>
    </row>
    <row r="317" customFormat="false" ht="15" hidden="false" customHeight="false" outlineLevel="0" collapsed="false">
      <c r="A317" s="18"/>
      <c r="B317" s="19"/>
      <c r="C317" s="20"/>
      <c r="D317" s="18" t="str">
        <f aca="false">IF(C317="","",IFERROR(INDEX(Tables!$A:$A,MATCH(C317,Tables!$B:$B,0)),"Not found"))</f>
        <v/>
      </c>
      <c r="E317" s="21" t="str">
        <f aca="false">IF(D317="","",IFERROR(INDEX(Tables!$D:$D,MATCH(D317,Tables!$A:$A,0)),""))</f>
        <v/>
      </c>
      <c r="F317" s="20"/>
      <c r="G317" s="20"/>
      <c r="H317" s="18"/>
      <c r="I317" s="20"/>
      <c r="J317" s="20"/>
      <c r="K317" s="20"/>
      <c r="L317" s="20"/>
      <c r="M317" s="20"/>
      <c r="N317" s="20"/>
      <c r="O317" s="20"/>
      <c r="P317" s="20"/>
      <c r="Q317" s="21" t="str">
        <f aca="false">IF(A317="","",COUNTIF('Metric to Field'!$B:$B,A317))</f>
        <v/>
      </c>
      <c r="R317" s="21" t="str">
        <f aca="false">IF(A317="","",SUMIF('Metric to Field'!$B:$B,A317,'Metric to Field'!$G:$G))</f>
        <v/>
      </c>
      <c r="S317" s="20"/>
      <c r="T317" s="20"/>
      <c r="U317" s="20"/>
      <c r="V317" s="20"/>
      <c r="W317" s="20"/>
    </row>
    <row r="318" customFormat="false" ht="15" hidden="false" customHeight="false" outlineLevel="0" collapsed="false">
      <c r="A318" s="18"/>
      <c r="B318" s="19"/>
      <c r="C318" s="20"/>
      <c r="D318" s="18" t="str">
        <f aca="false">IF(C318="","",IFERROR(INDEX(Tables!$A:$A,MATCH(C318,Tables!$B:$B,0)),"Not found"))</f>
        <v/>
      </c>
      <c r="E318" s="21" t="str">
        <f aca="false">IF(D318="","",IFERROR(INDEX(Tables!$D:$D,MATCH(D318,Tables!$A:$A,0)),""))</f>
        <v/>
      </c>
      <c r="F318" s="20"/>
      <c r="G318" s="20"/>
      <c r="H318" s="18"/>
      <c r="I318" s="20"/>
      <c r="J318" s="20"/>
      <c r="K318" s="20"/>
      <c r="L318" s="20"/>
      <c r="M318" s="20"/>
      <c r="N318" s="20"/>
      <c r="O318" s="20"/>
      <c r="P318" s="20"/>
      <c r="Q318" s="21" t="str">
        <f aca="false">IF(A318="","",COUNTIF('Metric to Field'!$B:$B,A318))</f>
        <v/>
      </c>
      <c r="R318" s="21" t="str">
        <f aca="false">IF(A318="","",SUMIF('Metric to Field'!$B:$B,A318,'Metric to Field'!$G:$G))</f>
        <v/>
      </c>
      <c r="S318" s="20"/>
      <c r="T318" s="20"/>
      <c r="U318" s="20"/>
      <c r="V318" s="20"/>
      <c r="W318" s="20"/>
    </row>
    <row r="319" customFormat="false" ht="15" hidden="false" customHeight="false" outlineLevel="0" collapsed="false">
      <c r="A319" s="18"/>
      <c r="B319" s="19"/>
      <c r="C319" s="20"/>
      <c r="D319" s="18" t="str">
        <f aca="false">IF(C319="","",IFERROR(INDEX(Tables!$A:$A,MATCH(C319,Tables!$B:$B,0)),"Not found"))</f>
        <v/>
      </c>
      <c r="E319" s="21" t="str">
        <f aca="false">IF(D319="","",IFERROR(INDEX(Tables!$D:$D,MATCH(D319,Tables!$A:$A,0)),""))</f>
        <v/>
      </c>
      <c r="F319" s="20"/>
      <c r="G319" s="20"/>
      <c r="H319" s="18"/>
      <c r="I319" s="20"/>
      <c r="J319" s="20"/>
      <c r="K319" s="20"/>
      <c r="L319" s="20"/>
      <c r="M319" s="20"/>
      <c r="N319" s="20"/>
      <c r="O319" s="20"/>
      <c r="P319" s="20"/>
      <c r="Q319" s="21" t="str">
        <f aca="false">IF(A319="","",COUNTIF('Metric to Field'!$B:$B,A319))</f>
        <v/>
      </c>
      <c r="R319" s="21" t="str">
        <f aca="false">IF(A319="","",SUMIF('Metric to Field'!$B:$B,A319,'Metric to Field'!$G:$G))</f>
        <v/>
      </c>
      <c r="S319" s="20"/>
      <c r="T319" s="20"/>
      <c r="U319" s="20"/>
      <c r="V319" s="20"/>
      <c r="W319" s="20"/>
    </row>
    <row r="320" customFormat="false" ht="15" hidden="false" customHeight="false" outlineLevel="0" collapsed="false">
      <c r="A320" s="18"/>
      <c r="B320" s="19"/>
      <c r="C320" s="20"/>
      <c r="D320" s="18" t="str">
        <f aca="false">IF(C320="","",IFERROR(INDEX(Tables!$A:$A,MATCH(C320,Tables!$B:$B,0)),"Not found"))</f>
        <v/>
      </c>
      <c r="E320" s="21" t="str">
        <f aca="false">IF(D320="","",IFERROR(INDEX(Tables!$D:$D,MATCH(D320,Tables!$A:$A,0)),""))</f>
        <v/>
      </c>
      <c r="F320" s="20"/>
      <c r="G320" s="20"/>
      <c r="H320" s="18"/>
      <c r="I320" s="20"/>
      <c r="J320" s="20"/>
      <c r="K320" s="20"/>
      <c r="L320" s="20"/>
      <c r="M320" s="20"/>
      <c r="N320" s="20"/>
      <c r="O320" s="20"/>
      <c r="P320" s="20"/>
      <c r="Q320" s="21" t="str">
        <f aca="false">IF(A320="","",COUNTIF('Metric to Field'!$B:$B,A320))</f>
        <v/>
      </c>
      <c r="R320" s="21" t="str">
        <f aca="false">IF(A320="","",SUMIF('Metric to Field'!$B:$B,A320,'Metric to Field'!$G:$G))</f>
        <v/>
      </c>
      <c r="S320" s="20"/>
      <c r="T320" s="20"/>
      <c r="U320" s="20"/>
      <c r="V320" s="20"/>
      <c r="W320" s="20"/>
    </row>
    <row r="321" customFormat="false" ht="15" hidden="false" customHeight="false" outlineLevel="0" collapsed="false">
      <c r="A321" s="18"/>
      <c r="B321" s="19"/>
      <c r="C321" s="20"/>
      <c r="D321" s="18" t="str">
        <f aca="false">IF(C321="","",IFERROR(INDEX(Tables!$A:$A,MATCH(C321,Tables!$B:$B,0)),"Not found"))</f>
        <v/>
      </c>
      <c r="E321" s="21" t="str">
        <f aca="false">IF(D321="","",IFERROR(INDEX(Tables!$D:$D,MATCH(D321,Tables!$A:$A,0)),""))</f>
        <v/>
      </c>
      <c r="F321" s="20"/>
      <c r="G321" s="20"/>
      <c r="H321" s="18"/>
      <c r="I321" s="20"/>
      <c r="J321" s="20"/>
      <c r="K321" s="20"/>
      <c r="L321" s="20"/>
      <c r="M321" s="20"/>
      <c r="N321" s="20"/>
      <c r="O321" s="20"/>
      <c r="P321" s="20"/>
      <c r="Q321" s="21" t="str">
        <f aca="false">IF(A321="","",COUNTIF('Metric to Field'!$B:$B,A321))</f>
        <v/>
      </c>
      <c r="R321" s="21" t="str">
        <f aca="false">IF(A321="","",SUMIF('Metric to Field'!$B:$B,A321,'Metric to Field'!$G:$G))</f>
        <v/>
      </c>
      <c r="S321" s="20"/>
      <c r="T321" s="20"/>
      <c r="U321" s="20"/>
      <c r="V321" s="20"/>
      <c r="W321" s="20"/>
    </row>
    <row r="322" customFormat="false" ht="15" hidden="false" customHeight="false" outlineLevel="0" collapsed="false">
      <c r="A322" s="18"/>
      <c r="B322" s="19"/>
      <c r="C322" s="20"/>
      <c r="D322" s="18" t="str">
        <f aca="false">IF(C322="","",IFERROR(INDEX(Tables!$A:$A,MATCH(C322,Tables!$B:$B,0)),"Not found"))</f>
        <v/>
      </c>
      <c r="E322" s="21" t="str">
        <f aca="false">IF(D322="","",IFERROR(INDEX(Tables!$D:$D,MATCH(D322,Tables!$A:$A,0)),""))</f>
        <v/>
      </c>
      <c r="F322" s="20"/>
      <c r="G322" s="20"/>
      <c r="H322" s="18"/>
      <c r="I322" s="20"/>
      <c r="J322" s="20"/>
      <c r="K322" s="20"/>
      <c r="L322" s="20"/>
      <c r="M322" s="20"/>
      <c r="N322" s="20"/>
      <c r="O322" s="20"/>
      <c r="P322" s="20"/>
      <c r="Q322" s="21" t="str">
        <f aca="false">IF(A322="","",COUNTIF('Metric to Field'!$B:$B,A322))</f>
        <v/>
      </c>
      <c r="R322" s="21" t="str">
        <f aca="false">IF(A322="","",SUMIF('Metric to Field'!$B:$B,A322,'Metric to Field'!$G:$G))</f>
        <v/>
      </c>
      <c r="S322" s="20"/>
      <c r="T322" s="20"/>
      <c r="U322" s="20"/>
      <c r="V322" s="20"/>
      <c r="W322" s="20"/>
    </row>
    <row r="323" customFormat="false" ht="15" hidden="false" customHeight="false" outlineLevel="0" collapsed="false">
      <c r="A323" s="18"/>
      <c r="B323" s="19"/>
      <c r="C323" s="20"/>
      <c r="D323" s="18" t="str">
        <f aca="false">IF(C323="","",IFERROR(INDEX(Tables!$A:$A,MATCH(C323,Tables!$B:$B,0)),"Not found"))</f>
        <v/>
      </c>
      <c r="E323" s="21" t="str">
        <f aca="false">IF(D323="","",IFERROR(INDEX(Tables!$D:$D,MATCH(D323,Tables!$A:$A,0)),""))</f>
        <v/>
      </c>
      <c r="F323" s="20"/>
      <c r="G323" s="20"/>
      <c r="H323" s="18"/>
      <c r="I323" s="20"/>
      <c r="J323" s="20"/>
      <c r="K323" s="20"/>
      <c r="L323" s="20"/>
      <c r="M323" s="20"/>
      <c r="N323" s="20"/>
      <c r="O323" s="20"/>
      <c r="P323" s="20"/>
      <c r="Q323" s="21" t="str">
        <f aca="false">IF(A323="","",COUNTIF('Metric to Field'!$B:$B,A323))</f>
        <v/>
      </c>
      <c r="R323" s="21" t="str">
        <f aca="false">IF(A323="","",SUMIF('Metric to Field'!$B:$B,A323,'Metric to Field'!$G:$G))</f>
        <v/>
      </c>
      <c r="S323" s="20"/>
      <c r="T323" s="20"/>
      <c r="U323" s="20"/>
      <c r="V323" s="20"/>
      <c r="W323" s="20"/>
    </row>
    <row r="324" customFormat="false" ht="15" hidden="false" customHeight="false" outlineLevel="0" collapsed="false">
      <c r="A324" s="18"/>
      <c r="B324" s="19"/>
      <c r="C324" s="20"/>
      <c r="D324" s="18" t="str">
        <f aca="false">IF(C324="","",IFERROR(INDEX(Tables!$A:$A,MATCH(C324,Tables!$B:$B,0)),"Not found"))</f>
        <v/>
      </c>
      <c r="E324" s="21" t="str">
        <f aca="false">IF(D324="","",IFERROR(INDEX(Tables!$D:$D,MATCH(D324,Tables!$A:$A,0)),""))</f>
        <v/>
      </c>
      <c r="F324" s="20"/>
      <c r="G324" s="20"/>
      <c r="H324" s="18"/>
      <c r="I324" s="20"/>
      <c r="J324" s="20"/>
      <c r="K324" s="20"/>
      <c r="L324" s="20"/>
      <c r="M324" s="20"/>
      <c r="N324" s="20"/>
      <c r="O324" s="20"/>
      <c r="P324" s="20"/>
      <c r="Q324" s="21" t="str">
        <f aca="false">IF(A324="","",COUNTIF('Metric to Field'!$B:$B,A324))</f>
        <v/>
      </c>
      <c r="R324" s="21" t="str">
        <f aca="false">IF(A324="","",SUMIF('Metric to Field'!$B:$B,A324,'Metric to Field'!$G:$G))</f>
        <v/>
      </c>
      <c r="S324" s="20"/>
      <c r="T324" s="20"/>
      <c r="U324" s="20"/>
      <c r="V324" s="20"/>
      <c r="W324" s="20"/>
    </row>
    <row r="325" customFormat="false" ht="15" hidden="false" customHeight="false" outlineLevel="0" collapsed="false">
      <c r="A325" s="18"/>
      <c r="B325" s="19"/>
      <c r="C325" s="20"/>
      <c r="D325" s="18" t="str">
        <f aca="false">IF(C325="","",IFERROR(INDEX(Tables!$A:$A,MATCH(C325,Tables!$B:$B,0)),"Not found"))</f>
        <v/>
      </c>
      <c r="E325" s="21" t="str">
        <f aca="false">IF(D325="","",IFERROR(INDEX(Tables!$D:$D,MATCH(D325,Tables!$A:$A,0)),""))</f>
        <v/>
      </c>
      <c r="F325" s="20"/>
      <c r="G325" s="20"/>
      <c r="H325" s="18"/>
      <c r="I325" s="20"/>
      <c r="J325" s="20"/>
      <c r="K325" s="20"/>
      <c r="L325" s="20"/>
      <c r="M325" s="20"/>
      <c r="N325" s="20"/>
      <c r="O325" s="20"/>
      <c r="P325" s="20"/>
      <c r="Q325" s="21" t="str">
        <f aca="false">IF(A325="","",COUNTIF('Metric to Field'!$B:$B,A325))</f>
        <v/>
      </c>
      <c r="R325" s="21" t="str">
        <f aca="false">IF(A325="","",SUMIF('Metric to Field'!$B:$B,A325,'Metric to Field'!$G:$G))</f>
        <v/>
      </c>
      <c r="S325" s="20"/>
      <c r="T325" s="20"/>
      <c r="U325" s="20"/>
      <c r="V325" s="20"/>
      <c r="W325" s="20"/>
    </row>
    <row r="326" customFormat="false" ht="15" hidden="false" customHeight="false" outlineLevel="0" collapsed="false">
      <c r="A326" s="18"/>
      <c r="B326" s="19"/>
      <c r="C326" s="20"/>
      <c r="D326" s="18" t="str">
        <f aca="false">IF(C326="","",IFERROR(INDEX(Tables!$A:$A,MATCH(C326,Tables!$B:$B,0)),"Not found"))</f>
        <v/>
      </c>
      <c r="E326" s="21" t="str">
        <f aca="false">IF(D326="","",IFERROR(INDEX(Tables!$D:$D,MATCH(D326,Tables!$A:$A,0)),""))</f>
        <v/>
      </c>
      <c r="F326" s="20"/>
      <c r="G326" s="20"/>
      <c r="H326" s="18"/>
      <c r="I326" s="20"/>
      <c r="J326" s="20"/>
      <c r="K326" s="20"/>
      <c r="L326" s="20"/>
      <c r="M326" s="20"/>
      <c r="N326" s="20"/>
      <c r="O326" s="20"/>
      <c r="P326" s="20"/>
      <c r="Q326" s="21" t="str">
        <f aca="false">IF(A326="","",COUNTIF('Metric to Field'!$B:$B,A326))</f>
        <v/>
      </c>
      <c r="R326" s="21" t="str">
        <f aca="false">IF(A326="","",SUMIF('Metric to Field'!$B:$B,A326,'Metric to Field'!$G:$G))</f>
        <v/>
      </c>
      <c r="S326" s="20"/>
      <c r="T326" s="20"/>
      <c r="U326" s="20"/>
      <c r="V326" s="20"/>
      <c r="W326" s="20"/>
    </row>
    <row r="327" customFormat="false" ht="15" hidden="false" customHeight="false" outlineLevel="0" collapsed="false">
      <c r="A327" s="18"/>
      <c r="B327" s="19"/>
      <c r="C327" s="20"/>
      <c r="D327" s="18" t="str">
        <f aca="false">IF(C327="","",IFERROR(INDEX(Tables!$A:$A,MATCH(C327,Tables!$B:$B,0)),"Not found"))</f>
        <v/>
      </c>
      <c r="E327" s="21" t="str">
        <f aca="false">IF(D327="","",IFERROR(INDEX(Tables!$D:$D,MATCH(D327,Tables!$A:$A,0)),""))</f>
        <v/>
      </c>
      <c r="F327" s="20"/>
      <c r="G327" s="20"/>
      <c r="H327" s="18"/>
      <c r="I327" s="20"/>
      <c r="J327" s="20"/>
      <c r="K327" s="20"/>
      <c r="L327" s="20"/>
      <c r="M327" s="20"/>
      <c r="N327" s="20"/>
      <c r="O327" s="20"/>
      <c r="P327" s="20"/>
      <c r="Q327" s="21" t="str">
        <f aca="false">IF(A327="","",COUNTIF('Metric to Field'!$B:$B,A327))</f>
        <v/>
      </c>
      <c r="R327" s="21" t="str">
        <f aca="false">IF(A327="","",SUMIF('Metric to Field'!$B:$B,A327,'Metric to Field'!$G:$G))</f>
        <v/>
      </c>
      <c r="S327" s="20"/>
      <c r="T327" s="20"/>
      <c r="U327" s="20"/>
      <c r="V327" s="20"/>
      <c r="W327" s="20"/>
    </row>
    <row r="328" customFormat="false" ht="15" hidden="false" customHeight="false" outlineLevel="0" collapsed="false">
      <c r="A328" s="18"/>
      <c r="B328" s="19"/>
      <c r="C328" s="20"/>
      <c r="D328" s="18" t="str">
        <f aca="false">IF(C328="","",IFERROR(INDEX(Tables!$A:$A,MATCH(C328,Tables!$B:$B,0)),"Not found"))</f>
        <v/>
      </c>
      <c r="E328" s="21" t="str">
        <f aca="false">IF(D328="","",IFERROR(INDEX(Tables!$D:$D,MATCH(D328,Tables!$A:$A,0)),""))</f>
        <v/>
      </c>
      <c r="F328" s="20"/>
      <c r="G328" s="20"/>
      <c r="H328" s="18"/>
      <c r="I328" s="20"/>
      <c r="J328" s="20"/>
      <c r="K328" s="20"/>
      <c r="L328" s="20"/>
      <c r="M328" s="20"/>
      <c r="N328" s="20"/>
      <c r="O328" s="20"/>
      <c r="P328" s="20"/>
      <c r="Q328" s="21" t="str">
        <f aca="false">IF(A328="","",COUNTIF('Metric to Field'!$B:$B,A328))</f>
        <v/>
      </c>
      <c r="R328" s="21" t="str">
        <f aca="false">IF(A328="","",SUMIF('Metric to Field'!$B:$B,A328,'Metric to Field'!$G:$G))</f>
        <v/>
      </c>
      <c r="S328" s="20"/>
      <c r="T328" s="20"/>
      <c r="U328" s="20"/>
      <c r="V328" s="20"/>
      <c r="W328" s="20"/>
    </row>
    <row r="329" customFormat="false" ht="15" hidden="false" customHeight="false" outlineLevel="0" collapsed="false">
      <c r="A329" s="18"/>
      <c r="B329" s="19"/>
      <c r="C329" s="20"/>
      <c r="D329" s="18" t="str">
        <f aca="false">IF(C329="","",IFERROR(INDEX(Tables!$A:$A,MATCH(C329,Tables!$B:$B,0)),"Not found"))</f>
        <v/>
      </c>
      <c r="E329" s="21" t="str">
        <f aca="false">IF(D329="","",IFERROR(INDEX(Tables!$D:$D,MATCH(D329,Tables!$A:$A,0)),""))</f>
        <v/>
      </c>
      <c r="F329" s="20"/>
      <c r="G329" s="20"/>
      <c r="H329" s="18"/>
      <c r="I329" s="20"/>
      <c r="J329" s="20"/>
      <c r="K329" s="20"/>
      <c r="L329" s="20"/>
      <c r="M329" s="20"/>
      <c r="N329" s="20"/>
      <c r="O329" s="20"/>
      <c r="P329" s="20"/>
      <c r="Q329" s="21" t="str">
        <f aca="false">IF(A329="","",COUNTIF('Metric to Field'!$B:$B,A329))</f>
        <v/>
      </c>
      <c r="R329" s="21" t="str">
        <f aca="false">IF(A329="","",SUMIF('Metric to Field'!$B:$B,A329,'Metric to Field'!$G:$G))</f>
        <v/>
      </c>
      <c r="S329" s="20"/>
      <c r="T329" s="20"/>
      <c r="U329" s="20"/>
      <c r="V329" s="20"/>
      <c r="W329" s="20"/>
    </row>
    <row r="330" customFormat="false" ht="15" hidden="false" customHeight="false" outlineLevel="0" collapsed="false">
      <c r="A330" s="18"/>
      <c r="B330" s="19"/>
      <c r="C330" s="20"/>
      <c r="D330" s="18" t="str">
        <f aca="false">IF(C330="","",IFERROR(INDEX(Tables!$A:$A,MATCH(C330,Tables!$B:$B,0)),"Not found"))</f>
        <v/>
      </c>
      <c r="E330" s="21" t="str">
        <f aca="false">IF(D330="","",IFERROR(INDEX(Tables!$D:$D,MATCH(D330,Tables!$A:$A,0)),""))</f>
        <v/>
      </c>
      <c r="F330" s="20"/>
      <c r="G330" s="20"/>
      <c r="H330" s="18"/>
      <c r="I330" s="20"/>
      <c r="J330" s="20"/>
      <c r="K330" s="20"/>
      <c r="L330" s="20"/>
      <c r="M330" s="20"/>
      <c r="N330" s="20"/>
      <c r="O330" s="20"/>
      <c r="P330" s="20"/>
      <c r="Q330" s="21" t="str">
        <f aca="false">IF(A330="","",COUNTIF('Metric to Field'!$B:$B,A330))</f>
        <v/>
      </c>
      <c r="R330" s="21" t="str">
        <f aca="false">IF(A330="","",SUMIF('Metric to Field'!$B:$B,A330,'Metric to Field'!$G:$G))</f>
        <v/>
      </c>
      <c r="S330" s="20"/>
      <c r="T330" s="20"/>
      <c r="U330" s="20"/>
      <c r="V330" s="20"/>
      <c r="W330" s="20"/>
    </row>
    <row r="331" customFormat="false" ht="15" hidden="false" customHeight="false" outlineLevel="0" collapsed="false">
      <c r="A331" s="18"/>
      <c r="B331" s="19"/>
      <c r="C331" s="20"/>
      <c r="D331" s="18" t="str">
        <f aca="false">IF(C331="","",IFERROR(INDEX(Tables!$A:$A,MATCH(C331,Tables!$B:$B,0)),"Not found"))</f>
        <v/>
      </c>
      <c r="E331" s="21" t="str">
        <f aca="false">IF(D331="","",IFERROR(INDEX(Tables!$D:$D,MATCH(D331,Tables!$A:$A,0)),""))</f>
        <v/>
      </c>
      <c r="F331" s="20"/>
      <c r="G331" s="20"/>
      <c r="H331" s="18"/>
      <c r="I331" s="20"/>
      <c r="J331" s="20"/>
      <c r="K331" s="20"/>
      <c r="L331" s="20"/>
      <c r="M331" s="20"/>
      <c r="N331" s="20"/>
      <c r="O331" s="20"/>
      <c r="P331" s="20"/>
      <c r="Q331" s="21" t="str">
        <f aca="false">IF(A331="","",COUNTIF('Metric to Field'!$B:$B,A331))</f>
        <v/>
      </c>
      <c r="R331" s="21" t="str">
        <f aca="false">IF(A331="","",SUMIF('Metric to Field'!$B:$B,A331,'Metric to Field'!$G:$G))</f>
        <v/>
      </c>
      <c r="S331" s="20"/>
      <c r="T331" s="20"/>
      <c r="U331" s="20"/>
      <c r="V331" s="20"/>
      <c r="W331" s="20"/>
    </row>
    <row r="332" customFormat="false" ht="15" hidden="false" customHeight="false" outlineLevel="0" collapsed="false">
      <c r="A332" s="18"/>
      <c r="B332" s="19"/>
      <c r="C332" s="20"/>
      <c r="D332" s="18" t="str">
        <f aca="false">IF(C332="","",IFERROR(INDEX(Tables!$A:$A,MATCH(C332,Tables!$B:$B,0)),"Not found"))</f>
        <v/>
      </c>
      <c r="E332" s="21" t="str">
        <f aca="false">IF(D332="","",IFERROR(INDEX(Tables!$D:$D,MATCH(D332,Tables!$A:$A,0)),""))</f>
        <v/>
      </c>
      <c r="F332" s="20"/>
      <c r="G332" s="20"/>
      <c r="H332" s="18"/>
      <c r="I332" s="20"/>
      <c r="J332" s="20"/>
      <c r="K332" s="20"/>
      <c r="L332" s="20"/>
      <c r="M332" s="20"/>
      <c r="N332" s="20"/>
      <c r="O332" s="20"/>
      <c r="P332" s="20"/>
      <c r="Q332" s="21" t="str">
        <f aca="false">IF(A332="","",COUNTIF('Metric to Field'!$B:$B,A332))</f>
        <v/>
      </c>
      <c r="R332" s="21" t="str">
        <f aca="false">IF(A332="","",SUMIF('Metric to Field'!$B:$B,A332,'Metric to Field'!$G:$G))</f>
        <v/>
      </c>
      <c r="S332" s="20"/>
      <c r="T332" s="20"/>
      <c r="U332" s="20"/>
      <c r="V332" s="20"/>
      <c r="W332" s="20"/>
    </row>
    <row r="333" customFormat="false" ht="15" hidden="false" customHeight="false" outlineLevel="0" collapsed="false">
      <c r="A333" s="18"/>
      <c r="B333" s="19"/>
      <c r="C333" s="20"/>
      <c r="D333" s="18" t="str">
        <f aca="false">IF(C333="","",IFERROR(INDEX(Tables!$A:$A,MATCH(C333,Tables!$B:$B,0)),"Not found"))</f>
        <v/>
      </c>
      <c r="E333" s="21" t="str">
        <f aca="false">IF(D333="","",IFERROR(INDEX(Tables!$D:$D,MATCH(D333,Tables!$A:$A,0)),""))</f>
        <v/>
      </c>
      <c r="F333" s="20"/>
      <c r="G333" s="20"/>
      <c r="H333" s="18"/>
      <c r="I333" s="20"/>
      <c r="J333" s="20"/>
      <c r="K333" s="20"/>
      <c r="L333" s="20"/>
      <c r="M333" s="20"/>
      <c r="N333" s="20"/>
      <c r="O333" s="20"/>
      <c r="P333" s="20"/>
      <c r="Q333" s="21" t="str">
        <f aca="false">IF(A333="","",COUNTIF('Metric to Field'!$B:$B,A333))</f>
        <v/>
      </c>
      <c r="R333" s="21" t="str">
        <f aca="false">IF(A333="","",SUMIF('Metric to Field'!$B:$B,A333,'Metric to Field'!$G:$G))</f>
        <v/>
      </c>
      <c r="S333" s="20"/>
      <c r="T333" s="20"/>
      <c r="U333" s="20"/>
      <c r="V333" s="20"/>
      <c r="W333" s="20"/>
    </row>
    <row r="334" customFormat="false" ht="15" hidden="false" customHeight="false" outlineLevel="0" collapsed="false">
      <c r="A334" s="18"/>
      <c r="B334" s="19"/>
      <c r="C334" s="20"/>
      <c r="D334" s="18" t="str">
        <f aca="false">IF(C334="","",IFERROR(INDEX(Tables!$A:$A,MATCH(C334,Tables!$B:$B,0)),"Not found"))</f>
        <v/>
      </c>
      <c r="E334" s="21" t="str">
        <f aca="false">IF(D334="","",IFERROR(INDEX(Tables!$D:$D,MATCH(D334,Tables!$A:$A,0)),""))</f>
        <v/>
      </c>
      <c r="F334" s="20"/>
      <c r="G334" s="20"/>
      <c r="H334" s="18"/>
      <c r="I334" s="20"/>
      <c r="J334" s="20"/>
      <c r="K334" s="20"/>
      <c r="L334" s="20"/>
      <c r="M334" s="20"/>
      <c r="N334" s="20"/>
      <c r="O334" s="20"/>
      <c r="P334" s="20"/>
      <c r="Q334" s="21" t="str">
        <f aca="false">IF(A334="","",COUNTIF('Metric to Field'!$B:$B,A334))</f>
        <v/>
      </c>
      <c r="R334" s="21" t="str">
        <f aca="false">IF(A334="","",SUMIF('Metric to Field'!$B:$B,A334,'Metric to Field'!$G:$G))</f>
        <v/>
      </c>
      <c r="S334" s="20"/>
      <c r="T334" s="20"/>
      <c r="U334" s="20"/>
      <c r="V334" s="20"/>
      <c r="W334" s="20"/>
    </row>
    <row r="335" customFormat="false" ht="15" hidden="false" customHeight="false" outlineLevel="0" collapsed="false">
      <c r="A335" s="18"/>
      <c r="B335" s="19"/>
      <c r="C335" s="20"/>
      <c r="D335" s="18" t="str">
        <f aca="false">IF(C335="","",IFERROR(INDEX(Tables!$A:$A,MATCH(C335,Tables!$B:$B,0)),"Not found"))</f>
        <v/>
      </c>
      <c r="E335" s="21" t="str">
        <f aca="false">IF(D335="","",IFERROR(INDEX(Tables!$D:$D,MATCH(D335,Tables!$A:$A,0)),""))</f>
        <v/>
      </c>
      <c r="F335" s="20"/>
      <c r="G335" s="20"/>
      <c r="H335" s="18"/>
      <c r="I335" s="20"/>
      <c r="J335" s="20"/>
      <c r="K335" s="20"/>
      <c r="L335" s="20"/>
      <c r="M335" s="20"/>
      <c r="N335" s="20"/>
      <c r="O335" s="20"/>
      <c r="P335" s="20"/>
      <c r="Q335" s="21" t="str">
        <f aca="false">IF(A335="","",COUNTIF('Metric to Field'!$B:$B,A335))</f>
        <v/>
      </c>
      <c r="R335" s="21" t="str">
        <f aca="false">IF(A335="","",SUMIF('Metric to Field'!$B:$B,A335,'Metric to Field'!$G:$G))</f>
        <v/>
      </c>
      <c r="S335" s="20"/>
      <c r="T335" s="20"/>
      <c r="U335" s="20"/>
      <c r="V335" s="20"/>
      <c r="W335" s="20"/>
    </row>
    <row r="336" customFormat="false" ht="15" hidden="false" customHeight="false" outlineLevel="0" collapsed="false">
      <c r="A336" s="18"/>
      <c r="B336" s="19"/>
      <c r="C336" s="20"/>
      <c r="D336" s="18" t="str">
        <f aca="false">IF(C336="","",IFERROR(INDEX(Tables!$A:$A,MATCH(C336,Tables!$B:$B,0)),"Not found"))</f>
        <v/>
      </c>
      <c r="E336" s="21" t="str">
        <f aca="false">IF(D336="","",IFERROR(INDEX(Tables!$D:$D,MATCH(D336,Tables!$A:$A,0)),""))</f>
        <v/>
      </c>
      <c r="F336" s="20"/>
      <c r="G336" s="20"/>
      <c r="H336" s="18"/>
      <c r="I336" s="20"/>
      <c r="J336" s="20"/>
      <c r="K336" s="20"/>
      <c r="L336" s="20"/>
      <c r="M336" s="20"/>
      <c r="N336" s="20"/>
      <c r="O336" s="20"/>
      <c r="P336" s="20"/>
      <c r="Q336" s="21" t="str">
        <f aca="false">IF(A336="","",COUNTIF('Metric to Field'!$B:$B,A336))</f>
        <v/>
      </c>
      <c r="R336" s="21" t="str">
        <f aca="false">IF(A336="","",SUMIF('Metric to Field'!$B:$B,A336,'Metric to Field'!$G:$G))</f>
        <v/>
      </c>
      <c r="S336" s="20"/>
      <c r="T336" s="20"/>
      <c r="U336" s="20"/>
      <c r="V336" s="20"/>
      <c r="W336" s="20"/>
    </row>
    <row r="337" customFormat="false" ht="15" hidden="false" customHeight="false" outlineLevel="0" collapsed="false">
      <c r="A337" s="18"/>
      <c r="B337" s="19"/>
      <c r="C337" s="20"/>
      <c r="D337" s="18" t="str">
        <f aca="false">IF(C337="","",IFERROR(INDEX(Tables!$A:$A,MATCH(C337,Tables!$B:$B,0)),"Not found"))</f>
        <v/>
      </c>
      <c r="E337" s="21" t="str">
        <f aca="false">IF(D337="","",IFERROR(INDEX(Tables!$D:$D,MATCH(D337,Tables!$A:$A,0)),""))</f>
        <v/>
      </c>
      <c r="F337" s="20"/>
      <c r="G337" s="20"/>
      <c r="H337" s="18"/>
      <c r="I337" s="20"/>
      <c r="J337" s="20"/>
      <c r="K337" s="20"/>
      <c r="L337" s="20"/>
      <c r="M337" s="20"/>
      <c r="N337" s="20"/>
      <c r="O337" s="20"/>
      <c r="P337" s="20"/>
      <c r="Q337" s="21" t="str">
        <f aca="false">IF(A337="","",COUNTIF('Metric to Field'!$B:$B,A337))</f>
        <v/>
      </c>
      <c r="R337" s="21" t="str">
        <f aca="false">IF(A337="","",SUMIF('Metric to Field'!$B:$B,A337,'Metric to Field'!$G:$G))</f>
        <v/>
      </c>
      <c r="S337" s="20"/>
      <c r="T337" s="20"/>
      <c r="U337" s="20"/>
      <c r="V337" s="20"/>
      <c r="W337" s="20"/>
    </row>
    <row r="338" customFormat="false" ht="15" hidden="false" customHeight="false" outlineLevel="0" collapsed="false">
      <c r="A338" s="18"/>
      <c r="B338" s="19"/>
      <c r="C338" s="20"/>
      <c r="D338" s="18" t="str">
        <f aca="false">IF(C338="","",IFERROR(INDEX(Tables!$A:$A,MATCH(C338,Tables!$B:$B,0)),"Not found"))</f>
        <v/>
      </c>
      <c r="E338" s="21" t="str">
        <f aca="false">IF(D338="","",IFERROR(INDEX(Tables!$D:$D,MATCH(D338,Tables!$A:$A,0)),""))</f>
        <v/>
      </c>
      <c r="F338" s="20"/>
      <c r="G338" s="20"/>
      <c r="H338" s="18"/>
      <c r="I338" s="20"/>
      <c r="J338" s="20"/>
      <c r="K338" s="20"/>
      <c r="L338" s="20"/>
      <c r="M338" s="20"/>
      <c r="N338" s="20"/>
      <c r="O338" s="20"/>
      <c r="P338" s="20"/>
      <c r="Q338" s="21" t="str">
        <f aca="false">IF(A338="","",COUNTIF('Metric to Field'!$B:$B,A338))</f>
        <v/>
      </c>
      <c r="R338" s="21" t="str">
        <f aca="false">IF(A338="","",SUMIF('Metric to Field'!$B:$B,A338,'Metric to Field'!$G:$G))</f>
        <v/>
      </c>
      <c r="S338" s="20"/>
      <c r="T338" s="20"/>
      <c r="U338" s="20"/>
      <c r="V338" s="20"/>
      <c r="W338" s="20"/>
    </row>
    <row r="339" customFormat="false" ht="15" hidden="false" customHeight="false" outlineLevel="0" collapsed="false">
      <c r="A339" s="18"/>
      <c r="B339" s="19"/>
      <c r="C339" s="20"/>
      <c r="D339" s="18" t="str">
        <f aca="false">IF(C339="","",IFERROR(INDEX(Tables!$A:$A,MATCH(C339,Tables!$B:$B,0)),"Not found"))</f>
        <v/>
      </c>
      <c r="E339" s="21" t="str">
        <f aca="false">IF(D339="","",IFERROR(INDEX(Tables!$D:$D,MATCH(D339,Tables!$A:$A,0)),""))</f>
        <v/>
      </c>
      <c r="F339" s="20"/>
      <c r="G339" s="20"/>
      <c r="H339" s="18"/>
      <c r="I339" s="20"/>
      <c r="J339" s="20"/>
      <c r="K339" s="20"/>
      <c r="L339" s="20"/>
      <c r="M339" s="20"/>
      <c r="N339" s="20"/>
      <c r="O339" s="20"/>
      <c r="P339" s="20"/>
      <c r="Q339" s="21" t="str">
        <f aca="false">IF(A339="","",COUNTIF('Metric to Field'!$B:$B,A339))</f>
        <v/>
      </c>
      <c r="R339" s="21" t="str">
        <f aca="false">IF(A339="","",SUMIF('Metric to Field'!$B:$B,A339,'Metric to Field'!$G:$G))</f>
        <v/>
      </c>
      <c r="S339" s="20"/>
      <c r="T339" s="20"/>
      <c r="U339" s="20"/>
      <c r="V339" s="20"/>
      <c r="W339" s="20"/>
    </row>
    <row r="340" customFormat="false" ht="15" hidden="false" customHeight="false" outlineLevel="0" collapsed="false">
      <c r="A340" s="18"/>
      <c r="B340" s="19"/>
      <c r="C340" s="20"/>
      <c r="D340" s="18" t="str">
        <f aca="false">IF(C340="","",IFERROR(INDEX(Tables!$A:$A,MATCH(C340,Tables!$B:$B,0)),"Not found"))</f>
        <v/>
      </c>
      <c r="E340" s="21" t="str">
        <f aca="false">IF(D340="","",IFERROR(INDEX(Tables!$D:$D,MATCH(D340,Tables!$A:$A,0)),""))</f>
        <v/>
      </c>
      <c r="F340" s="20"/>
      <c r="G340" s="20"/>
      <c r="H340" s="18"/>
      <c r="I340" s="20"/>
      <c r="J340" s="20"/>
      <c r="K340" s="20"/>
      <c r="L340" s="20"/>
      <c r="M340" s="20"/>
      <c r="N340" s="20"/>
      <c r="O340" s="20"/>
      <c r="P340" s="20"/>
      <c r="Q340" s="21" t="str">
        <f aca="false">IF(A340="","",COUNTIF('Metric to Field'!$B:$B,A340))</f>
        <v/>
      </c>
      <c r="R340" s="21" t="str">
        <f aca="false">IF(A340="","",SUMIF('Metric to Field'!$B:$B,A340,'Metric to Field'!$G:$G))</f>
        <v/>
      </c>
      <c r="S340" s="20"/>
      <c r="T340" s="20"/>
      <c r="U340" s="20"/>
      <c r="V340" s="20"/>
      <c r="W340" s="20"/>
    </row>
    <row r="341" customFormat="false" ht="15" hidden="false" customHeight="false" outlineLevel="0" collapsed="false">
      <c r="A341" s="18"/>
      <c r="B341" s="19"/>
      <c r="C341" s="20"/>
      <c r="D341" s="18" t="str">
        <f aca="false">IF(C341="","",IFERROR(INDEX(Tables!$A:$A,MATCH(C341,Tables!$B:$B,0)),"Not found"))</f>
        <v/>
      </c>
      <c r="E341" s="21" t="str">
        <f aca="false">IF(D341="","",IFERROR(INDEX(Tables!$D:$D,MATCH(D341,Tables!$A:$A,0)),""))</f>
        <v/>
      </c>
      <c r="F341" s="20"/>
      <c r="G341" s="20"/>
      <c r="H341" s="18"/>
      <c r="I341" s="20"/>
      <c r="J341" s="20"/>
      <c r="K341" s="20"/>
      <c r="L341" s="20"/>
      <c r="M341" s="20"/>
      <c r="N341" s="20"/>
      <c r="O341" s="20"/>
      <c r="P341" s="20"/>
      <c r="Q341" s="21" t="str">
        <f aca="false">IF(A341="","",COUNTIF('Metric to Field'!$B:$B,A341))</f>
        <v/>
      </c>
      <c r="R341" s="21" t="str">
        <f aca="false">IF(A341="","",SUMIF('Metric to Field'!$B:$B,A341,'Metric to Field'!$G:$G))</f>
        <v/>
      </c>
      <c r="S341" s="20"/>
      <c r="T341" s="20"/>
      <c r="U341" s="20"/>
      <c r="V341" s="20"/>
      <c r="W341" s="20"/>
    </row>
    <row r="342" customFormat="false" ht="15" hidden="false" customHeight="false" outlineLevel="0" collapsed="false">
      <c r="A342" s="18"/>
      <c r="B342" s="19"/>
      <c r="C342" s="20"/>
      <c r="D342" s="18" t="str">
        <f aca="false">IF(C342="","",IFERROR(INDEX(Tables!$A:$A,MATCH(C342,Tables!$B:$B,0)),"Not found"))</f>
        <v/>
      </c>
      <c r="E342" s="21" t="str">
        <f aca="false">IF(D342="","",IFERROR(INDEX(Tables!$D:$D,MATCH(D342,Tables!$A:$A,0)),""))</f>
        <v/>
      </c>
      <c r="F342" s="20"/>
      <c r="G342" s="20"/>
      <c r="H342" s="18"/>
      <c r="I342" s="20"/>
      <c r="J342" s="20"/>
      <c r="K342" s="20"/>
      <c r="L342" s="20"/>
      <c r="M342" s="20"/>
      <c r="N342" s="20"/>
      <c r="O342" s="20"/>
      <c r="P342" s="20"/>
      <c r="Q342" s="21" t="str">
        <f aca="false">IF(A342="","",COUNTIF('Metric to Field'!$B:$B,A342))</f>
        <v/>
      </c>
      <c r="R342" s="21" t="str">
        <f aca="false">IF(A342="","",SUMIF('Metric to Field'!$B:$B,A342,'Metric to Field'!$G:$G))</f>
        <v/>
      </c>
      <c r="S342" s="20"/>
      <c r="T342" s="20"/>
      <c r="U342" s="20"/>
      <c r="V342" s="20"/>
      <c r="W342" s="20"/>
    </row>
    <row r="343" customFormat="false" ht="15" hidden="false" customHeight="false" outlineLevel="0" collapsed="false">
      <c r="A343" s="18"/>
      <c r="B343" s="19"/>
      <c r="C343" s="20"/>
      <c r="D343" s="18" t="str">
        <f aca="false">IF(C343="","",IFERROR(INDEX(Tables!$A:$A,MATCH(C343,Tables!$B:$B,0)),"Not found"))</f>
        <v/>
      </c>
      <c r="E343" s="21" t="str">
        <f aca="false">IF(D343="","",IFERROR(INDEX(Tables!$D:$D,MATCH(D343,Tables!$A:$A,0)),""))</f>
        <v/>
      </c>
      <c r="F343" s="20"/>
      <c r="G343" s="20"/>
      <c r="H343" s="18"/>
      <c r="I343" s="20"/>
      <c r="J343" s="20"/>
      <c r="K343" s="20"/>
      <c r="L343" s="20"/>
      <c r="M343" s="20"/>
      <c r="N343" s="20"/>
      <c r="O343" s="20"/>
      <c r="P343" s="20"/>
      <c r="Q343" s="21" t="str">
        <f aca="false">IF(A343="","",COUNTIF('Metric to Field'!$B:$B,A343))</f>
        <v/>
      </c>
      <c r="R343" s="21" t="str">
        <f aca="false">IF(A343="","",SUMIF('Metric to Field'!$B:$B,A343,'Metric to Field'!$G:$G))</f>
        <v/>
      </c>
      <c r="S343" s="20"/>
      <c r="T343" s="20"/>
      <c r="U343" s="20"/>
      <c r="V343" s="20"/>
      <c r="W343" s="20"/>
    </row>
    <row r="344" customFormat="false" ht="15" hidden="false" customHeight="false" outlineLevel="0" collapsed="false">
      <c r="A344" s="18"/>
      <c r="B344" s="19"/>
      <c r="C344" s="20"/>
      <c r="D344" s="18" t="str">
        <f aca="false">IF(C344="","",IFERROR(INDEX(Tables!$A:$A,MATCH(C344,Tables!$B:$B,0)),"Not found"))</f>
        <v/>
      </c>
      <c r="E344" s="21" t="str">
        <f aca="false">IF(D344="","",IFERROR(INDEX(Tables!$D:$D,MATCH(D344,Tables!$A:$A,0)),""))</f>
        <v/>
      </c>
      <c r="F344" s="20"/>
      <c r="G344" s="20"/>
      <c r="H344" s="18"/>
      <c r="I344" s="20"/>
      <c r="J344" s="20"/>
      <c r="K344" s="20"/>
      <c r="L344" s="20"/>
      <c r="M344" s="20"/>
      <c r="N344" s="20"/>
      <c r="O344" s="20"/>
      <c r="P344" s="20"/>
      <c r="Q344" s="21" t="str">
        <f aca="false">IF(A344="","",COUNTIF('Metric to Field'!$B:$B,A344))</f>
        <v/>
      </c>
      <c r="R344" s="21" t="str">
        <f aca="false">IF(A344="","",SUMIF('Metric to Field'!$B:$B,A344,'Metric to Field'!$G:$G))</f>
        <v/>
      </c>
      <c r="S344" s="20"/>
      <c r="T344" s="20"/>
      <c r="U344" s="20"/>
      <c r="V344" s="20"/>
      <c r="W344" s="20"/>
    </row>
    <row r="345" customFormat="false" ht="15" hidden="false" customHeight="false" outlineLevel="0" collapsed="false">
      <c r="A345" s="18"/>
      <c r="B345" s="19"/>
      <c r="C345" s="20"/>
      <c r="D345" s="18" t="str">
        <f aca="false">IF(C345="","",IFERROR(INDEX(Tables!$A:$A,MATCH(C345,Tables!$B:$B,0)),"Not found"))</f>
        <v/>
      </c>
      <c r="E345" s="21" t="str">
        <f aca="false">IF(D345="","",IFERROR(INDEX(Tables!$D:$D,MATCH(D345,Tables!$A:$A,0)),""))</f>
        <v/>
      </c>
      <c r="F345" s="20"/>
      <c r="G345" s="20"/>
      <c r="H345" s="18"/>
      <c r="I345" s="20"/>
      <c r="J345" s="20"/>
      <c r="K345" s="20"/>
      <c r="L345" s="20"/>
      <c r="M345" s="20"/>
      <c r="N345" s="20"/>
      <c r="O345" s="20"/>
      <c r="P345" s="20"/>
      <c r="Q345" s="21" t="str">
        <f aca="false">IF(A345="","",COUNTIF('Metric to Field'!$B:$B,A345))</f>
        <v/>
      </c>
      <c r="R345" s="21" t="str">
        <f aca="false">IF(A345="","",SUMIF('Metric to Field'!$B:$B,A345,'Metric to Field'!$G:$G))</f>
        <v/>
      </c>
      <c r="S345" s="20"/>
      <c r="T345" s="20"/>
      <c r="U345" s="20"/>
      <c r="V345" s="20"/>
      <c r="W345" s="20"/>
    </row>
    <row r="346" customFormat="false" ht="15" hidden="false" customHeight="false" outlineLevel="0" collapsed="false">
      <c r="A346" s="18"/>
      <c r="B346" s="19"/>
      <c r="C346" s="20"/>
      <c r="D346" s="18" t="str">
        <f aca="false">IF(C346="","",IFERROR(INDEX(Tables!$A:$A,MATCH(C346,Tables!$B:$B,0)),"Not found"))</f>
        <v/>
      </c>
      <c r="E346" s="21" t="str">
        <f aca="false">IF(D346="","",IFERROR(INDEX(Tables!$D:$D,MATCH(D346,Tables!$A:$A,0)),""))</f>
        <v/>
      </c>
      <c r="F346" s="20"/>
      <c r="G346" s="20"/>
      <c r="H346" s="18"/>
      <c r="I346" s="20"/>
      <c r="J346" s="20"/>
      <c r="K346" s="20"/>
      <c r="L346" s="20"/>
      <c r="M346" s="20"/>
      <c r="N346" s="20"/>
      <c r="O346" s="20"/>
      <c r="P346" s="20"/>
      <c r="Q346" s="21" t="str">
        <f aca="false">IF(A346="","",COUNTIF('Metric to Field'!$B:$B,A346))</f>
        <v/>
      </c>
      <c r="R346" s="21" t="str">
        <f aca="false">IF(A346="","",SUMIF('Metric to Field'!$B:$B,A346,'Metric to Field'!$G:$G))</f>
        <v/>
      </c>
      <c r="S346" s="20"/>
      <c r="T346" s="20"/>
      <c r="U346" s="20"/>
      <c r="V346" s="20"/>
      <c r="W346" s="20"/>
    </row>
    <row r="347" customFormat="false" ht="15" hidden="false" customHeight="false" outlineLevel="0" collapsed="false">
      <c r="A347" s="18"/>
      <c r="B347" s="19"/>
      <c r="C347" s="20"/>
      <c r="D347" s="18" t="str">
        <f aca="false">IF(C347="","",IFERROR(INDEX(Tables!$A:$A,MATCH(C347,Tables!$B:$B,0)),"Not found"))</f>
        <v/>
      </c>
      <c r="E347" s="21" t="str">
        <f aca="false">IF(D347="","",IFERROR(INDEX(Tables!$D:$D,MATCH(D347,Tables!$A:$A,0)),""))</f>
        <v/>
      </c>
      <c r="F347" s="20"/>
      <c r="G347" s="20"/>
      <c r="H347" s="18"/>
      <c r="I347" s="20"/>
      <c r="J347" s="20"/>
      <c r="K347" s="20"/>
      <c r="L347" s="20"/>
      <c r="M347" s="20"/>
      <c r="N347" s="20"/>
      <c r="O347" s="20"/>
      <c r="P347" s="20"/>
      <c r="Q347" s="21" t="str">
        <f aca="false">IF(A347="","",COUNTIF('Metric to Field'!$B:$B,A347))</f>
        <v/>
      </c>
      <c r="R347" s="21" t="str">
        <f aca="false">IF(A347="","",SUMIF('Metric to Field'!$B:$B,A347,'Metric to Field'!$G:$G))</f>
        <v/>
      </c>
      <c r="S347" s="20"/>
      <c r="T347" s="20"/>
      <c r="U347" s="20"/>
      <c r="V347" s="20"/>
      <c r="W347" s="20"/>
    </row>
    <row r="348" customFormat="false" ht="15" hidden="false" customHeight="false" outlineLevel="0" collapsed="false">
      <c r="A348" s="18"/>
      <c r="B348" s="19"/>
      <c r="C348" s="20"/>
      <c r="D348" s="18" t="str">
        <f aca="false">IF(C348="","",IFERROR(INDEX(Tables!$A:$A,MATCH(C348,Tables!$B:$B,0)),"Not found"))</f>
        <v/>
      </c>
      <c r="E348" s="21" t="str">
        <f aca="false">IF(D348="","",IFERROR(INDEX(Tables!$D:$D,MATCH(D348,Tables!$A:$A,0)),""))</f>
        <v/>
      </c>
      <c r="F348" s="20"/>
      <c r="G348" s="20"/>
      <c r="H348" s="18"/>
      <c r="I348" s="20"/>
      <c r="J348" s="20"/>
      <c r="K348" s="20"/>
      <c r="L348" s="20"/>
      <c r="M348" s="20"/>
      <c r="N348" s="20"/>
      <c r="O348" s="20"/>
      <c r="P348" s="20"/>
      <c r="Q348" s="21" t="str">
        <f aca="false">IF(A348="","",COUNTIF('Metric to Field'!$B:$B,A348))</f>
        <v/>
      </c>
      <c r="R348" s="21" t="str">
        <f aca="false">IF(A348="","",SUMIF('Metric to Field'!$B:$B,A348,'Metric to Field'!$G:$G))</f>
        <v/>
      </c>
      <c r="S348" s="20"/>
      <c r="T348" s="20"/>
      <c r="U348" s="20"/>
      <c r="V348" s="20"/>
      <c r="W348" s="20"/>
    </row>
    <row r="349" customFormat="false" ht="15" hidden="false" customHeight="false" outlineLevel="0" collapsed="false">
      <c r="A349" s="18"/>
      <c r="B349" s="19"/>
      <c r="C349" s="20"/>
      <c r="D349" s="18" t="str">
        <f aca="false">IF(C349="","",IFERROR(INDEX(Tables!$A:$A,MATCH(C349,Tables!$B:$B,0)),"Not found"))</f>
        <v/>
      </c>
      <c r="E349" s="21" t="str">
        <f aca="false">IF(D349="","",IFERROR(INDEX(Tables!$D:$D,MATCH(D349,Tables!$A:$A,0)),""))</f>
        <v/>
      </c>
      <c r="F349" s="20"/>
      <c r="G349" s="20"/>
      <c r="H349" s="18"/>
      <c r="I349" s="20"/>
      <c r="J349" s="20"/>
      <c r="K349" s="20"/>
      <c r="L349" s="20"/>
      <c r="M349" s="20"/>
      <c r="N349" s="20"/>
      <c r="O349" s="20"/>
      <c r="P349" s="20"/>
      <c r="Q349" s="21" t="str">
        <f aca="false">IF(A349="","",COUNTIF('Metric to Field'!$B:$B,A349))</f>
        <v/>
      </c>
      <c r="R349" s="21" t="str">
        <f aca="false">IF(A349="","",SUMIF('Metric to Field'!$B:$B,A349,'Metric to Field'!$G:$G))</f>
        <v/>
      </c>
      <c r="S349" s="20"/>
      <c r="T349" s="20"/>
      <c r="U349" s="20"/>
      <c r="V349" s="20"/>
      <c r="W349" s="20"/>
    </row>
    <row r="350" customFormat="false" ht="15" hidden="false" customHeight="false" outlineLevel="0" collapsed="false">
      <c r="A350" s="18"/>
      <c r="B350" s="19"/>
      <c r="C350" s="20"/>
      <c r="D350" s="18" t="str">
        <f aca="false">IF(C350="","",IFERROR(INDEX(Tables!$A:$A,MATCH(C350,Tables!$B:$B,0)),"Not found"))</f>
        <v/>
      </c>
      <c r="E350" s="21" t="str">
        <f aca="false">IF(D350="","",IFERROR(INDEX(Tables!$D:$D,MATCH(D350,Tables!$A:$A,0)),""))</f>
        <v/>
      </c>
      <c r="F350" s="20"/>
      <c r="G350" s="20"/>
      <c r="H350" s="18"/>
      <c r="I350" s="20"/>
      <c r="J350" s="20"/>
      <c r="K350" s="20"/>
      <c r="L350" s="20"/>
      <c r="M350" s="20"/>
      <c r="N350" s="20"/>
      <c r="O350" s="20"/>
      <c r="P350" s="20"/>
      <c r="Q350" s="21" t="str">
        <f aca="false">IF(A350="","",COUNTIF('Metric to Field'!$B:$B,A350))</f>
        <v/>
      </c>
      <c r="R350" s="21" t="str">
        <f aca="false">IF(A350="","",SUMIF('Metric to Field'!$B:$B,A350,'Metric to Field'!$G:$G))</f>
        <v/>
      </c>
      <c r="S350" s="20"/>
      <c r="T350" s="20"/>
      <c r="U350" s="20"/>
      <c r="V350" s="20"/>
      <c r="W350" s="20"/>
    </row>
    <row r="351" customFormat="false" ht="15" hidden="false" customHeight="false" outlineLevel="0" collapsed="false">
      <c r="A351" s="18"/>
      <c r="B351" s="19"/>
      <c r="C351" s="20"/>
      <c r="D351" s="18" t="str">
        <f aca="false">IF(C351="","",IFERROR(INDEX(Tables!$A:$A,MATCH(C351,Tables!$B:$B,0)),"Not found"))</f>
        <v/>
      </c>
      <c r="E351" s="21" t="str">
        <f aca="false">IF(D351="","",IFERROR(INDEX(Tables!$D:$D,MATCH(D351,Tables!$A:$A,0)),""))</f>
        <v/>
      </c>
      <c r="F351" s="20"/>
      <c r="G351" s="20"/>
      <c r="H351" s="18"/>
      <c r="I351" s="20"/>
      <c r="J351" s="20"/>
      <c r="K351" s="20"/>
      <c r="L351" s="20"/>
      <c r="M351" s="20"/>
      <c r="N351" s="20"/>
      <c r="O351" s="20"/>
      <c r="P351" s="20"/>
      <c r="Q351" s="21" t="str">
        <f aca="false">IF(A351="","",COUNTIF('Metric to Field'!$B:$B,A351))</f>
        <v/>
      </c>
      <c r="R351" s="21" t="str">
        <f aca="false">IF(A351="","",SUMIF('Metric to Field'!$B:$B,A351,'Metric to Field'!$G:$G))</f>
        <v/>
      </c>
      <c r="S351" s="20"/>
      <c r="T351" s="20"/>
      <c r="U351" s="20"/>
      <c r="V351" s="20"/>
      <c r="W351" s="20"/>
    </row>
    <row r="352" customFormat="false" ht="15" hidden="false" customHeight="false" outlineLevel="0" collapsed="false">
      <c r="A352" s="18"/>
      <c r="B352" s="19"/>
      <c r="C352" s="20"/>
      <c r="D352" s="18" t="str">
        <f aca="false">IF(C352="","",IFERROR(INDEX(Tables!$A:$A,MATCH(C352,Tables!$B:$B,0)),"Not found"))</f>
        <v/>
      </c>
      <c r="E352" s="21" t="str">
        <f aca="false">IF(D352="","",IFERROR(INDEX(Tables!$D:$D,MATCH(D352,Tables!$A:$A,0)),""))</f>
        <v/>
      </c>
      <c r="F352" s="20"/>
      <c r="G352" s="20"/>
      <c r="H352" s="18"/>
      <c r="I352" s="20"/>
      <c r="J352" s="20"/>
      <c r="K352" s="20"/>
      <c r="L352" s="20"/>
      <c r="M352" s="20"/>
      <c r="N352" s="20"/>
      <c r="O352" s="20"/>
      <c r="P352" s="20"/>
      <c r="Q352" s="21" t="str">
        <f aca="false">IF(A352="","",COUNTIF('Metric to Field'!$B:$B,A352))</f>
        <v/>
      </c>
      <c r="R352" s="21" t="str">
        <f aca="false">IF(A352="","",SUMIF('Metric to Field'!$B:$B,A352,'Metric to Field'!$G:$G))</f>
        <v/>
      </c>
      <c r="S352" s="20"/>
      <c r="T352" s="20"/>
      <c r="U352" s="20"/>
      <c r="V352" s="20"/>
      <c r="W352" s="20"/>
    </row>
    <row r="353" customFormat="false" ht="15" hidden="false" customHeight="false" outlineLevel="0" collapsed="false">
      <c r="A353" s="18"/>
      <c r="B353" s="19"/>
      <c r="C353" s="20"/>
      <c r="D353" s="18" t="str">
        <f aca="false">IF(C353="","",IFERROR(INDEX(Tables!$A:$A,MATCH(C353,Tables!$B:$B,0)),"Not found"))</f>
        <v/>
      </c>
      <c r="E353" s="21" t="str">
        <f aca="false">IF(D353="","",IFERROR(INDEX(Tables!$D:$D,MATCH(D353,Tables!$A:$A,0)),""))</f>
        <v/>
      </c>
      <c r="F353" s="20"/>
      <c r="G353" s="20"/>
      <c r="H353" s="18"/>
      <c r="I353" s="20"/>
      <c r="J353" s="20"/>
      <c r="K353" s="20"/>
      <c r="L353" s="20"/>
      <c r="M353" s="20"/>
      <c r="N353" s="20"/>
      <c r="O353" s="20"/>
      <c r="P353" s="20"/>
      <c r="Q353" s="21" t="str">
        <f aca="false">IF(A353="","",COUNTIF('Metric to Field'!$B:$B,A353))</f>
        <v/>
      </c>
      <c r="R353" s="21" t="str">
        <f aca="false">IF(A353="","",SUMIF('Metric to Field'!$B:$B,A353,'Metric to Field'!$G:$G))</f>
        <v/>
      </c>
      <c r="S353" s="20"/>
      <c r="T353" s="20"/>
      <c r="U353" s="20"/>
      <c r="V353" s="20"/>
      <c r="W353" s="20"/>
    </row>
    <row r="354" customFormat="false" ht="15" hidden="false" customHeight="false" outlineLevel="0" collapsed="false">
      <c r="A354" s="18"/>
      <c r="B354" s="19"/>
      <c r="C354" s="20"/>
      <c r="D354" s="18" t="str">
        <f aca="false">IF(C354="","",IFERROR(INDEX(Tables!$A:$A,MATCH(C354,Tables!$B:$B,0)),"Not found"))</f>
        <v/>
      </c>
      <c r="E354" s="21" t="str">
        <f aca="false">IF(D354="","",IFERROR(INDEX(Tables!$D:$D,MATCH(D354,Tables!$A:$A,0)),""))</f>
        <v/>
      </c>
      <c r="F354" s="20"/>
      <c r="G354" s="20"/>
      <c r="H354" s="18"/>
      <c r="I354" s="20"/>
      <c r="J354" s="20"/>
      <c r="K354" s="20"/>
      <c r="L354" s="20"/>
      <c r="M354" s="20"/>
      <c r="N354" s="20"/>
      <c r="O354" s="20"/>
      <c r="P354" s="20"/>
      <c r="Q354" s="21" t="str">
        <f aca="false">IF(A354="","",COUNTIF('Metric to Field'!$B:$B,A354))</f>
        <v/>
      </c>
      <c r="R354" s="21" t="str">
        <f aca="false">IF(A354="","",SUMIF('Metric to Field'!$B:$B,A354,'Metric to Field'!$G:$G))</f>
        <v/>
      </c>
      <c r="S354" s="20"/>
      <c r="T354" s="20"/>
      <c r="U354" s="20"/>
      <c r="V354" s="20"/>
      <c r="W354" s="20"/>
    </row>
    <row r="355" customFormat="false" ht="15" hidden="false" customHeight="false" outlineLevel="0" collapsed="false">
      <c r="A355" s="18"/>
      <c r="B355" s="19"/>
      <c r="C355" s="20"/>
      <c r="D355" s="18" t="str">
        <f aca="false">IF(C355="","",IFERROR(INDEX(Tables!$A:$A,MATCH(C355,Tables!$B:$B,0)),"Not found"))</f>
        <v/>
      </c>
      <c r="E355" s="21" t="str">
        <f aca="false">IF(D355="","",IFERROR(INDEX(Tables!$D:$D,MATCH(D355,Tables!$A:$A,0)),""))</f>
        <v/>
      </c>
      <c r="F355" s="20"/>
      <c r="G355" s="20"/>
      <c r="H355" s="18"/>
      <c r="I355" s="20"/>
      <c r="J355" s="20"/>
      <c r="K355" s="20"/>
      <c r="L355" s="20"/>
      <c r="M355" s="20"/>
      <c r="N355" s="20"/>
      <c r="O355" s="20"/>
      <c r="P355" s="20"/>
      <c r="Q355" s="21" t="str">
        <f aca="false">IF(A355="","",COUNTIF('Metric to Field'!$B:$B,A355))</f>
        <v/>
      </c>
      <c r="R355" s="21" t="str">
        <f aca="false">IF(A355="","",SUMIF('Metric to Field'!$B:$B,A355,'Metric to Field'!$G:$G))</f>
        <v/>
      </c>
      <c r="S355" s="20"/>
      <c r="T355" s="20"/>
      <c r="U355" s="20"/>
      <c r="V355" s="20"/>
      <c r="W355" s="20"/>
    </row>
    <row r="356" customFormat="false" ht="15" hidden="false" customHeight="false" outlineLevel="0" collapsed="false">
      <c r="A356" s="18"/>
      <c r="B356" s="19"/>
      <c r="C356" s="20"/>
      <c r="D356" s="18" t="str">
        <f aca="false">IF(C356="","",IFERROR(INDEX(Tables!$A:$A,MATCH(C356,Tables!$B:$B,0)),"Not found"))</f>
        <v/>
      </c>
      <c r="E356" s="21" t="str">
        <f aca="false">IF(D356="","",IFERROR(INDEX(Tables!$D:$D,MATCH(D356,Tables!$A:$A,0)),""))</f>
        <v/>
      </c>
      <c r="F356" s="20"/>
      <c r="G356" s="20"/>
      <c r="H356" s="18"/>
      <c r="I356" s="20"/>
      <c r="J356" s="20"/>
      <c r="K356" s="20"/>
      <c r="L356" s="20"/>
      <c r="M356" s="20"/>
      <c r="N356" s="20"/>
      <c r="O356" s="20"/>
      <c r="P356" s="20"/>
      <c r="Q356" s="21" t="str">
        <f aca="false">IF(A356="","",COUNTIF('Metric to Field'!$B:$B,A356))</f>
        <v/>
      </c>
      <c r="R356" s="21" t="str">
        <f aca="false">IF(A356="","",SUMIF('Metric to Field'!$B:$B,A356,'Metric to Field'!$G:$G))</f>
        <v/>
      </c>
      <c r="S356" s="20"/>
      <c r="T356" s="20"/>
      <c r="U356" s="20"/>
      <c r="V356" s="20"/>
      <c r="W356" s="20"/>
    </row>
    <row r="357" customFormat="false" ht="15" hidden="false" customHeight="false" outlineLevel="0" collapsed="false">
      <c r="A357" s="18"/>
      <c r="B357" s="19"/>
      <c r="C357" s="20"/>
      <c r="D357" s="18" t="str">
        <f aca="false">IF(C357="","",IFERROR(INDEX(Tables!$A:$A,MATCH(C357,Tables!$B:$B,0)),"Not found"))</f>
        <v/>
      </c>
      <c r="E357" s="21" t="str">
        <f aca="false">IF(D357="","",IFERROR(INDEX(Tables!$D:$D,MATCH(D357,Tables!$A:$A,0)),""))</f>
        <v/>
      </c>
      <c r="F357" s="20"/>
      <c r="G357" s="20"/>
      <c r="H357" s="18"/>
      <c r="I357" s="20"/>
      <c r="J357" s="20"/>
      <c r="K357" s="20"/>
      <c r="L357" s="20"/>
      <c r="M357" s="20"/>
      <c r="N357" s="20"/>
      <c r="O357" s="20"/>
      <c r="P357" s="20"/>
      <c r="Q357" s="21" t="str">
        <f aca="false">IF(A357="","",COUNTIF('Metric to Field'!$B:$B,A357))</f>
        <v/>
      </c>
      <c r="R357" s="21" t="str">
        <f aca="false">IF(A357="","",SUMIF('Metric to Field'!$B:$B,A357,'Metric to Field'!$G:$G))</f>
        <v/>
      </c>
      <c r="S357" s="20"/>
      <c r="T357" s="20"/>
      <c r="U357" s="20"/>
      <c r="V357" s="20"/>
      <c r="W357" s="20"/>
    </row>
    <row r="358" customFormat="false" ht="15" hidden="false" customHeight="false" outlineLevel="0" collapsed="false">
      <c r="A358" s="18"/>
      <c r="B358" s="19"/>
      <c r="C358" s="20"/>
      <c r="D358" s="18" t="str">
        <f aca="false">IF(C358="","",IFERROR(INDEX(Tables!$A:$A,MATCH(C358,Tables!$B:$B,0)),"Not found"))</f>
        <v/>
      </c>
      <c r="E358" s="21" t="str">
        <f aca="false">IF(D358="","",IFERROR(INDEX(Tables!$D:$D,MATCH(D358,Tables!$A:$A,0)),""))</f>
        <v/>
      </c>
      <c r="F358" s="20"/>
      <c r="G358" s="20"/>
      <c r="H358" s="18"/>
      <c r="I358" s="20"/>
      <c r="J358" s="20"/>
      <c r="K358" s="20"/>
      <c r="L358" s="20"/>
      <c r="M358" s="20"/>
      <c r="N358" s="20"/>
      <c r="O358" s="20"/>
      <c r="P358" s="20"/>
      <c r="Q358" s="21" t="str">
        <f aca="false">IF(A358="","",COUNTIF('Metric to Field'!$B:$B,A358))</f>
        <v/>
      </c>
      <c r="R358" s="21" t="str">
        <f aca="false">IF(A358="","",SUMIF('Metric to Field'!$B:$B,A358,'Metric to Field'!$G:$G))</f>
        <v/>
      </c>
      <c r="S358" s="20"/>
      <c r="T358" s="20"/>
      <c r="U358" s="20"/>
      <c r="V358" s="20"/>
      <c r="W358" s="20"/>
    </row>
    <row r="359" customFormat="false" ht="15" hidden="false" customHeight="false" outlineLevel="0" collapsed="false">
      <c r="A359" s="18"/>
      <c r="B359" s="19"/>
      <c r="C359" s="20"/>
      <c r="D359" s="18" t="str">
        <f aca="false">IF(C359="","",IFERROR(INDEX(Tables!$A:$A,MATCH(C359,Tables!$B:$B,0)),"Not found"))</f>
        <v/>
      </c>
      <c r="E359" s="21" t="str">
        <f aca="false">IF(D359="","",IFERROR(INDEX(Tables!$D:$D,MATCH(D359,Tables!$A:$A,0)),""))</f>
        <v/>
      </c>
      <c r="F359" s="20"/>
      <c r="G359" s="20"/>
      <c r="H359" s="18"/>
      <c r="I359" s="20"/>
      <c r="J359" s="20"/>
      <c r="K359" s="20"/>
      <c r="L359" s="20"/>
      <c r="M359" s="20"/>
      <c r="N359" s="20"/>
      <c r="O359" s="20"/>
      <c r="P359" s="20"/>
      <c r="Q359" s="21" t="str">
        <f aca="false">IF(A359="","",COUNTIF('Metric to Field'!$B:$B,A359))</f>
        <v/>
      </c>
      <c r="R359" s="21" t="str">
        <f aca="false">IF(A359="","",SUMIF('Metric to Field'!$B:$B,A359,'Metric to Field'!$G:$G))</f>
        <v/>
      </c>
      <c r="S359" s="20"/>
      <c r="T359" s="20"/>
      <c r="U359" s="20"/>
      <c r="V359" s="20"/>
      <c r="W359" s="20"/>
    </row>
    <row r="360" customFormat="false" ht="15" hidden="false" customHeight="false" outlineLevel="0" collapsed="false">
      <c r="A360" s="18"/>
      <c r="B360" s="19"/>
      <c r="C360" s="20"/>
      <c r="D360" s="18" t="str">
        <f aca="false">IF(C360="","",IFERROR(INDEX(Tables!$A:$A,MATCH(C360,Tables!$B:$B,0)),"Not found"))</f>
        <v/>
      </c>
      <c r="E360" s="21" t="str">
        <f aca="false">IF(D360="","",IFERROR(INDEX(Tables!$D:$D,MATCH(D360,Tables!$A:$A,0)),""))</f>
        <v/>
      </c>
      <c r="F360" s="20"/>
      <c r="G360" s="20"/>
      <c r="H360" s="18"/>
      <c r="I360" s="20"/>
      <c r="J360" s="20"/>
      <c r="K360" s="20"/>
      <c r="L360" s="20"/>
      <c r="M360" s="20"/>
      <c r="N360" s="20"/>
      <c r="O360" s="20"/>
      <c r="P360" s="20"/>
      <c r="Q360" s="21" t="str">
        <f aca="false">IF(A360="","",COUNTIF('Metric to Field'!$B:$B,A360))</f>
        <v/>
      </c>
      <c r="R360" s="21" t="str">
        <f aca="false">IF(A360="","",SUMIF('Metric to Field'!$B:$B,A360,'Metric to Field'!$G:$G))</f>
        <v/>
      </c>
      <c r="S360" s="20"/>
      <c r="T360" s="20"/>
      <c r="U360" s="20"/>
      <c r="V360" s="20"/>
      <c r="W360" s="20"/>
    </row>
    <row r="361" customFormat="false" ht="15" hidden="false" customHeight="false" outlineLevel="0" collapsed="false">
      <c r="A361" s="18"/>
      <c r="B361" s="19"/>
      <c r="C361" s="20"/>
      <c r="D361" s="18" t="str">
        <f aca="false">IF(C361="","",IFERROR(INDEX(Tables!$A:$A,MATCH(C361,Tables!$B:$B,0)),"Not found"))</f>
        <v/>
      </c>
      <c r="E361" s="21" t="str">
        <f aca="false">IF(D361="","",IFERROR(INDEX(Tables!$D:$D,MATCH(D361,Tables!$A:$A,0)),""))</f>
        <v/>
      </c>
      <c r="F361" s="20"/>
      <c r="G361" s="20"/>
      <c r="H361" s="18"/>
      <c r="I361" s="20"/>
      <c r="J361" s="20"/>
      <c r="K361" s="20"/>
      <c r="L361" s="20"/>
      <c r="M361" s="20"/>
      <c r="N361" s="20"/>
      <c r="O361" s="20"/>
      <c r="P361" s="20"/>
      <c r="Q361" s="21" t="str">
        <f aca="false">IF(A361="","",COUNTIF('Metric to Field'!$B:$B,A361))</f>
        <v/>
      </c>
      <c r="R361" s="21" t="str">
        <f aca="false">IF(A361="","",SUMIF('Metric to Field'!$B:$B,A361,'Metric to Field'!$G:$G))</f>
        <v/>
      </c>
      <c r="S361" s="20"/>
      <c r="T361" s="20"/>
      <c r="U361" s="20"/>
      <c r="V361" s="20"/>
      <c r="W361" s="20"/>
    </row>
    <row r="362" customFormat="false" ht="15" hidden="false" customHeight="false" outlineLevel="0" collapsed="false">
      <c r="A362" s="18"/>
      <c r="B362" s="19"/>
      <c r="C362" s="20"/>
      <c r="D362" s="18" t="str">
        <f aca="false">IF(C362="","",IFERROR(INDEX(Tables!$A:$A,MATCH(C362,Tables!$B:$B,0)),"Not found"))</f>
        <v/>
      </c>
      <c r="E362" s="21" t="str">
        <f aca="false">IF(D362="","",IFERROR(INDEX(Tables!$D:$D,MATCH(D362,Tables!$A:$A,0)),""))</f>
        <v/>
      </c>
      <c r="F362" s="20"/>
      <c r="G362" s="20"/>
      <c r="H362" s="18"/>
      <c r="I362" s="20"/>
      <c r="J362" s="20"/>
      <c r="K362" s="20"/>
      <c r="L362" s="20"/>
      <c r="M362" s="20"/>
      <c r="N362" s="20"/>
      <c r="O362" s="20"/>
      <c r="P362" s="20"/>
      <c r="Q362" s="21" t="str">
        <f aca="false">IF(A362="","",COUNTIF('Metric to Field'!$B:$B,A362))</f>
        <v/>
      </c>
      <c r="R362" s="21" t="str">
        <f aca="false">IF(A362="","",SUMIF('Metric to Field'!$B:$B,A362,'Metric to Field'!$G:$G))</f>
        <v/>
      </c>
      <c r="S362" s="20"/>
      <c r="T362" s="20"/>
      <c r="U362" s="20"/>
      <c r="V362" s="20"/>
      <c r="W362" s="20"/>
    </row>
    <row r="363" customFormat="false" ht="15" hidden="false" customHeight="false" outlineLevel="0" collapsed="false">
      <c r="A363" s="18"/>
      <c r="B363" s="19"/>
      <c r="C363" s="20"/>
      <c r="D363" s="18" t="str">
        <f aca="false">IF(C363="","",IFERROR(INDEX(Tables!$A:$A,MATCH(C363,Tables!$B:$B,0)),"Not found"))</f>
        <v/>
      </c>
      <c r="E363" s="21" t="str">
        <f aca="false">IF(D363="","",IFERROR(INDEX(Tables!$D:$D,MATCH(D363,Tables!$A:$A,0)),""))</f>
        <v/>
      </c>
      <c r="F363" s="20"/>
      <c r="G363" s="20"/>
      <c r="H363" s="18"/>
      <c r="I363" s="20"/>
      <c r="J363" s="20"/>
      <c r="K363" s="20"/>
      <c r="L363" s="20"/>
      <c r="M363" s="20"/>
      <c r="N363" s="20"/>
      <c r="O363" s="20"/>
      <c r="P363" s="20"/>
      <c r="Q363" s="21" t="str">
        <f aca="false">IF(A363="","",COUNTIF('Metric to Field'!$B:$B,A363))</f>
        <v/>
      </c>
      <c r="R363" s="21" t="str">
        <f aca="false">IF(A363="","",SUMIF('Metric to Field'!$B:$B,A363,'Metric to Field'!$G:$G))</f>
        <v/>
      </c>
      <c r="S363" s="20"/>
      <c r="T363" s="20"/>
      <c r="U363" s="20"/>
      <c r="V363" s="20"/>
      <c r="W363" s="20"/>
    </row>
    <row r="364" customFormat="false" ht="15" hidden="false" customHeight="false" outlineLevel="0" collapsed="false">
      <c r="A364" s="18"/>
      <c r="B364" s="19"/>
      <c r="C364" s="20"/>
      <c r="D364" s="18" t="str">
        <f aca="false">IF(C364="","",IFERROR(INDEX(Tables!$A:$A,MATCH(C364,Tables!$B:$B,0)),"Not found"))</f>
        <v/>
      </c>
      <c r="E364" s="21" t="str">
        <f aca="false">IF(D364="","",IFERROR(INDEX(Tables!$D:$D,MATCH(D364,Tables!$A:$A,0)),""))</f>
        <v/>
      </c>
      <c r="F364" s="20"/>
      <c r="G364" s="20"/>
      <c r="H364" s="18"/>
      <c r="I364" s="20"/>
      <c r="J364" s="20"/>
      <c r="K364" s="20"/>
      <c r="L364" s="20"/>
      <c r="M364" s="20"/>
      <c r="N364" s="20"/>
      <c r="O364" s="20"/>
      <c r="P364" s="20"/>
      <c r="Q364" s="21" t="str">
        <f aca="false">IF(A364="","",COUNTIF('Metric to Field'!$B:$B,A364))</f>
        <v/>
      </c>
      <c r="R364" s="21" t="str">
        <f aca="false">IF(A364="","",SUMIF('Metric to Field'!$B:$B,A364,'Metric to Field'!$G:$G))</f>
        <v/>
      </c>
      <c r="S364" s="20"/>
      <c r="T364" s="20"/>
      <c r="U364" s="20"/>
      <c r="V364" s="20"/>
      <c r="W364" s="20"/>
    </row>
    <row r="365" customFormat="false" ht="15" hidden="false" customHeight="false" outlineLevel="0" collapsed="false">
      <c r="A365" s="18"/>
      <c r="B365" s="19"/>
      <c r="C365" s="20"/>
      <c r="D365" s="18" t="str">
        <f aca="false">IF(C365="","",IFERROR(INDEX(Tables!$A:$A,MATCH(C365,Tables!$B:$B,0)),"Not found"))</f>
        <v/>
      </c>
      <c r="E365" s="21" t="str">
        <f aca="false">IF(D365="","",IFERROR(INDEX(Tables!$D:$D,MATCH(D365,Tables!$A:$A,0)),""))</f>
        <v/>
      </c>
      <c r="F365" s="20"/>
      <c r="G365" s="20"/>
      <c r="H365" s="18"/>
      <c r="I365" s="20"/>
      <c r="J365" s="20"/>
      <c r="K365" s="20"/>
      <c r="L365" s="20"/>
      <c r="M365" s="20"/>
      <c r="N365" s="20"/>
      <c r="O365" s="20"/>
      <c r="P365" s="20"/>
      <c r="Q365" s="21" t="str">
        <f aca="false">IF(A365="","",COUNTIF('Metric to Field'!$B:$B,A365))</f>
        <v/>
      </c>
      <c r="R365" s="21" t="str">
        <f aca="false">IF(A365="","",SUMIF('Metric to Field'!$B:$B,A365,'Metric to Field'!$G:$G))</f>
        <v/>
      </c>
      <c r="S365" s="20"/>
      <c r="T365" s="20"/>
      <c r="U365" s="20"/>
      <c r="V365" s="20"/>
      <c r="W365" s="20"/>
    </row>
    <row r="366" customFormat="false" ht="15" hidden="false" customHeight="false" outlineLevel="0" collapsed="false">
      <c r="A366" s="18"/>
      <c r="B366" s="19"/>
      <c r="C366" s="20"/>
      <c r="D366" s="18" t="str">
        <f aca="false">IF(C366="","",IFERROR(INDEX(Tables!$A:$A,MATCH(C366,Tables!$B:$B,0)),"Not found"))</f>
        <v/>
      </c>
      <c r="E366" s="21" t="str">
        <f aca="false">IF(D366="","",IFERROR(INDEX(Tables!$D:$D,MATCH(D366,Tables!$A:$A,0)),""))</f>
        <v/>
      </c>
      <c r="F366" s="20"/>
      <c r="G366" s="20"/>
      <c r="H366" s="18"/>
      <c r="I366" s="20"/>
      <c r="J366" s="20"/>
      <c r="K366" s="20"/>
      <c r="L366" s="20"/>
      <c r="M366" s="20"/>
      <c r="N366" s="20"/>
      <c r="O366" s="20"/>
      <c r="P366" s="20"/>
      <c r="Q366" s="21" t="str">
        <f aca="false">IF(A366="","",COUNTIF('Metric to Field'!$B:$B,A366))</f>
        <v/>
      </c>
      <c r="R366" s="21" t="str">
        <f aca="false">IF(A366="","",SUMIF('Metric to Field'!$B:$B,A366,'Metric to Field'!$G:$G))</f>
        <v/>
      </c>
      <c r="S366" s="20"/>
      <c r="T366" s="20"/>
      <c r="U366" s="20"/>
      <c r="V366" s="20"/>
      <c r="W366" s="20"/>
    </row>
    <row r="367" customFormat="false" ht="15" hidden="false" customHeight="false" outlineLevel="0" collapsed="false">
      <c r="A367" s="18"/>
      <c r="B367" s="19"/>
      <c r="C367" s="20"/>
      <c r="D367" s="18" t="str">
        <f aca="false">IF(C367="","",IFERROR(INDEX(Tables!$A:$A,MATCH(C367,Tables!$B:$B,0)),"Not found"))</f>
        <v/>
      </c>
      <c r="E367" s="21" t="str">
        <f aca="false">IF(D367="","",IFERROR(INDEX(Tables!$D:$D,MATCH(D367,Tables!$A:$A,0)),""))</f>
        <v/>
      </c>
      <c r="F367" s="20"/>
      <c r="G367" s="20"/>
      <c r="H367" s="18"/>
      <c r="I367" s="20"/>
      <c r="J367" s="20"/>
      <c r="K367" s="20"/>
      <c r="L367" s="20"/>
      <c r="M367" s="20"/>
      <c r="N367" s="20"/>
      <c r="O367" s="20"/>
      <c r="P367" s="20"/>
      <c r="Q367" s="21" t="str">
        <f aca="false">IF(A367="","",COUNTIF('Metric to Field'!$B:$B,A367))</f>
        <v/>
      </c>
      <c r="R367" s="21" t="str">
        <f aca="false">IF(A367="","",SUMIF('Metric to Field'!$B:$B,A367,'Metric to Field'!$G:$G))</f>
        <v/>
      </c>
      <c r="S367" s="20"/>
      <c r="T367" s="20"/>
      <c r="U367" s="20"/>
      <c r="V367" s="20"/>
      <c r="W367" s="20"/>
    </row>
    <row r="368" customFormat="false" ht="15" hidden="false" customHeight="false" outlineLevel="0" collapsed="false">
      <c r="A368" s="18"/>
      <c r="B368" s="19"/>
      <c r="C368" s="20"/>
      <c r="D368" s="18" t="str">
        <f aca="false">IF(C368="","",IFERROR(INDEX(Tables!$A:$A,MATCH(C368,Tables!$B:$B,0)),"Not found"))</f>
        <v/>
      </c>
      <c r="E368" s="21" t="str">
        <f aca="false">IF(D368="","",IFERROR(INDEX(Tables!$D:$D,MATCH(D368,Tables!$A:$A,0)),""))</f>
        <v/>
      </c>
      <c r="F368" s="20"/>
      <c r="G368" s="20"/>
      <c r="H368" s="18"/>
      <c r="I368" s="20"/>
      <c r="J368" s="20"/>
      <c r="K368" s="20"/>
      <c r="L368" s="20"/>
      <c r="M368" s="20"/>
      <c r="N368" s="20"/>
      <c r="O368" s="20"/>
      <c r="P368" s="20"/>
      <c r="Q368" s="21" t="str">
        <f aca="false">IF(A368="","",COUNTIF('Metric to Field'!$B:$B,A368))</f>
        <v/>
      </c>
      <c r="R368" s="21" t="str">
        <f aca="false">IF(A368="","",SUMIF('Metric to Field'!$B:$B,A368,'Metric to Field'!$G:$G))</f>
        <v/>
      </c>
      <c r="S368" s="20"/>
      <c r="T368" s="20"/>
      <c r="U368" s="20"/>
      <c r="V368" s="20"/>
      <c r="W368" s="20"/>
    </row>
    <row r="369" customFormat="false" ht="15" hidden="false" customHeight="false" outlineLevel="0" collapsed="false">
      <c r="A369" s="18"/>
      <c r="B369" s="19"/>
      <c r="C369" s="20"/>
      <c r="D369" s="18" t="str">
        <f aca="false">IF(C369="","",IFERROR(INDEX(Tables!$A:$A,MATCH(C369,Tables!$B:$B,0)),"Not found"))</f>
        <v/>
      </c>
      <c r="E369" s="21" t="str">
        <f aca="false">IF(D369="","",IFERROR(INDEX(Tables!$D:$D,MATCH(D369,Tables!$A:$A,0)),""))</f>
        <v/>
      </c>
      <c r="F369" s="20"/>
      <c r="G369" s="20"/>
      <c r="H369" s="18"/>
      <c r="I369" s="20"/>
      <c r="J369" s="20"/>
      <c r="K369" s="20"/>
      <c r="L369" s="20"/>
      <c r="M369" s="20"/>
      <c r="N369" s="20"/>
      <c r="O369" s="20"/>
      <c r="P369" s="20"/>
      <c r="Q369" s="21" t="str">
        <f aca="false">IF(A369="","",COUNTIF('Metric to Field'!$B:$B,A369))</f>
        <v/>
      </c>
      <c r="R369" s="21" t="str">
        <f aca="false">IF(A369="","",SUMIF('Metric to Field'!$B:$B,A369,'Metric to Field'!$G:$G))</f>
        <v/>
      </c>
      <c r="S369" s="20"/>
      <c r="T369" s="20"/>
      <c r="U369" s="20"/>
      <c r="V369" s="20"/>
      <c r="W369" s="20"/>
    </row>
    <row r="370" customFormat="false" ht="15" hidden="false" customHeight="false" outlineLevel="0" collapsed="false">
      <c r="A370" s="18"/>
      <c r="B370" s="19"/>
      <c r="C370" s="20"/>
      <c r="D370" s="18" t="str">
        <f aca="false">IF(C370="","",IFERROR(INDEX(Tables!$A:$A,MATCH(C370,Tables!$B:$B,0)),"Not found"))</f>
        <v/>
      </c>
      <c r="E370" s="21" t="str">
        <f aca="false">IF(D370="","",IFERROR(INDEX(Tables!$D:$D,MATCH(D370,Tables!$A:$A,0)),""))</f>
        <v/>
      </c>
      <c r="F370" s="20"/>
      <c r="G370" s="20"/>
      <c r="H370" s="18"/>
      <c r="I370" s="20"/>
      <c r="J370" s="20"/>
      <c r="K370" s="20"/>
      <c r="L370" s="20"/>
      <c r="M370" s="20"/>
      <c r="N370" s="20"/>
      <c r="O370" s="20"/>
      <c r="P370" s="20"/>
      <c r="Q370" s="21" t="str">
        <f aca="false">IF(A370="","",COUNTIF('Metric to Field'!$B:$B,A370))</f>
        <v/>
      </c>
      <c r="R370" s="21" t="str">
        <f aca="false">IF(A370="","",SUMIF('Metric to Field'!$B:$B,A370,'Metric to Field'!$G:$G))</f>
        <v/>
      </c>
      <c r="S370" s="20"/>
      <c r="T370" s="20"/>
      <c r="U370" s="20"/>
      <c r="V370" s="20"/>
      <c r="W370" s="20"/>
    </row>
    <row r="371" customFormat="false" ht="15" hidden="false" customHeight="false" outlineLevel="0" collapsed="false">
      <c r="A371" s="18"/>
      <c r="B371" s="19"/>
      <c r="C371" s="20"/>
      <c r="D371" s="18" t="str">
        <f aca="false">IF(C371="","",IFERROR(INDEX(Tables!$A:$A,MATCH(C371,Tables!$B:$B,0)),"Not found"))</f>
        <v/>
      </c>
      <c r="E371" s="21" t="str">
        <f aca="false">IF(D371="","",IFERROR(INDEX(Tables!$D:$D,MATCH(D371,Tables!$A:$A,0)),""))</f>
        <v/>
      </c>
      <c r="F371" s="20"/>
      <c r="G371" s="20"/>
      <c r="H371" s="18"/>
      <c r="I371" s="20"/>
      <c r="J371" s="20"/>
      <c r="K371" s="20"/>
      <c r="L371" s="20"/>
      <c r="M371" s="20"/>
      <c r="N371" s="20"/>
      <c r="O371" s="20"/>
      <c r="P371" s="20"/>
      <c r="Q371" s="21" t="str">
        <f aca="false">IF(A371="","",COUNTIF('Metric to Field'!$B:$B,A371))</f>
        <v/>
      </c>
      <c r="R371" s="21" t="str">
        <f aca="false">IF(A371="","",SUMIF('Metric to Field'!$B:$B,A371,'Metric to Field'!$G:$G))</f>
        <v/>
      </c>
      <c r="S371" s="20"/>
      <c r="T371" s="20"/>
      <c r="U371" s="20"/>
      <c r="V371" s="20"/>
      <c r="W371" s="20"/>
    </row>
    <row r="372" customFormat="false" ht="15" hidden="false" customHeight="false" outlineLevel="0" collapsed="false">
      <c r="A372" s="18"/>
      <c r="B372" s="19"/>
      <c r="C372" s="20"/>
      <c r="D372" s="18" t="str">
        <f aca="false">IF(C372="","",IFERROR(INDEX(Tables!$A:$A,MATCH(C372,Tables!$B:$B,0)),"Not found"))</f>
        <v/>
      </c>
      <c r="E372" s="21" t="str">
        <f aca="false">IF(D372="","",IFERROR(INDEX(Tables!$D:$D,MATCH(D372,Tables!$A:$A,0)),""))</f>
        <v/>
      </c>
      <c r="F372" s="20"/>
      <c r="G372" s="20"/>
      <c r="H372" s="18"/>
      <c r="I372" s="20"/>
      <c r="J372" s="20"/>
      <c r="K372" s="20"/>
      <c r="L372" s="20"/>
      <c r="M372" s="20"/>
      <c r="N372" s="20"/>
      <c r="O372" s="20"/>
      <c r="P372" s="20"/>
      <c r="Q372" s="21" t="str">
        <f aca="false">IF(A372="","",COUNTIF('Metric to Field'!$B:$B,A372))</f>
        <v/>
      </c>
      <c r="R372" s="21" t="str">
        <f aca="false">IF(A372="","",SUMIF('Metric to Field'!$B:$B,A372,'Metric to Field'!$G:$G))</f>
        <v/>
      </c>
      <c r="S372" s="20"/>
      <c r="T372" s="20"/>
      <c r="U372" s="20"/>
      <c r="V372" s="20"/>
      <c r="W372" s="20"/>
    </row>
    <row r="373" customFormat="false" ht="15" hidden="false" customHeight="false" outlineLevel="0" collapsed="false">
      <c r="A373" s="18"/>
      <c r="B373" s="19"/>
      <c r="C373" s="20"/>
      <c r="D373" s="18" t="str">
        <f aca="false">IF(C373="","",IFERROR(INDEX(Tables!$A:$A,MATCH(C373,Tables!$B:$B,0)),"Not found"))</f>
        <v/>
      </c>
      <c r="E373" s="21" t="str">
        <f aca="false">IF(D373="","",IFERROR(INDEX(Tables!$D:$D,MATCH(D373,Tables!$A:$A,0)),""))</f>
        <v/>
      </c>
      <c r="F373" s="20"/>
      <c r="G373" s="20"/>
      <c r="H373" s="18"/>
      <c r="I373" s="20"/>
      <c r="J373" s="20"/>
      <c r="K373" s="20"/>
      <c r="L373" s="20"/>
      <c r="M373" s="20"/>
      <c r="N373" s="20"/>
      <c r="O373" s="20"/>
      <c r="P373" s="20"/>
      <c r="Q373" s="21" t="str">
        <f aca="false">IF(A373="","",COUNTIF('Metric to Field'!$B:$B,A373))</f>
        <v/>
      </c>
      <c r="R373" s="21" t="str">
        <f aca="false">IF(A373="","",SUMIF('Metric to Field'!$B:$B,A373,'Metric to Field'!$G:$G))</f>
        <v/>
      </c>
      <c r="S373" s="20"/>
      <c r="T373" s="20"/>
      <c r="U373" s="20"/>
      <c r="V373" s="20"/>
      <c r="W373" s="20"/>
    </row>
    <row r="374" customFormat="false" ht="15" hidden="false" customHeight="false" outlineLevel="0" collapsed="false">
      <c r="A374" s="18"/>
      <c r="B374" s="19"/>
      <c r="C374" s="20"/>
      <c r="D374" s="18" t="str">
        <f aca="false">IF(C374="","",IFERROR(INDEX(Tables!$A:$A,MATCH(C374,Tables!$B:$B,0)),"Not found"))</f>
        <v/>
      </c>
      <c r="E374" s="21" t="str">
        <f aca="false">IF(D374="","",IFERROR(INDEX(Tables!$D:$D,MATCH(D374,Tables!$A:$A,0)),""))</f>
        <v/>
      </c>
      <c r="F374" s="20"/>
      <c r="G374" s="20"/>
      <c r="H374" s="18"/>
      <c r="I374" s="20"/>
      <c r="J374" s="20"/>
      <c r="K374" s="20"/>
      <c r="L374" s="20"/>
      <c r="M374" s="20"/>
      <c r="N374" s="20"/>
      <c r="O374" s="20"/>
      <c r="P374" s="20"/>
      <c r="Q374" s="21" t="str">
        <f aca="false">IF(A374="","",COUNTIF('Metric to Field'!$B:$B,A374))</f>
        <v/>
      </c>
      <c r="R374" s="21" t="str">
        <f aca="false">IF(A374="","",SUMIF('Metric to Field'!$B:$B,A374,'Metric to Field'!$G:$G))</f>
        <v/>
      </c>
      <c r="S374" s="20"/>
      <c r="T374" s="20"/>
      <c r="U374" s="20"/>
      <c r="V374" s="20"/>
      <c r="W374" s="20"/>
    </row>
    <row r="375" customFormat="false" ht="15" hidden="false" customHeight="false" outlineLevel="0" collapsed="false">
      <c r="A375" s="18"/>
      <c r="B375" s="19"/>
      <c r="C375" s="20"/>
      <c r="D375" s="18" t="str">
        <f aca="false">IF(C375="","",IFERROR(INDEX(Tables!$A:$A,MATCH(C375,Tables!$B:$B,0)),"Not found"))</f>
        <v/>
      </c>
      <c r="E375" s="21" t="str">
        <f aca="false">IF(D375="","",IFERROR(INDEX(Tables!$D:$D,MATCH(D375,Tables!$A:$A,0)),""))</f>
        <v/>
      </c>
      <c r="F375" s="20"/>
      <c r="G375" s="20"/>
      <c r="H375" s="18"/>
      <c r="I375" s="20"/>
      <c r="J375" s="20"/>
      <c r="K375" s="20"/>
      <c r="L375" s="20"/>
      <c r="M375" s="20"/>
      <c r="N375" s="20"/>
      <c r="O375" s="20"/>
      <c r="P375" s="20"/>
      <c r="Q375" s="21" t="str">
        <f aca="false">IF(A375="","",COUNTIF('Metric to Field'!$B:$B,A375))</f>
        <v/>
      </c>
      <c r="R375" s="21" t="str">
        <f aca="false">IF(A375="","",SUMIF('Metric to Field'!$B:$B,A375,'Metric to Field'!$G:$G))</f>
        <v/>
      </c>
      <c r="S375" s="20"/>
      <c r="T375" s="20"/>
      <c r="U375" s="20"/>
      <c r="V375" s="20"/>
      <c r="W375" s="20"/>
    </row>
    <row r="376" customFormat="false" ht="15" hidden="false" customHeight="false" outlineLevel="0" collapsed="false">
      <c r="A376" s="18"/>
      <c r="B376" s="19"/>
      <c r="C376" s="20"/>
      <c r="D376" s="18" t="str">
        <f aca="false">IF(C376="","",IFERROR(INDEX(Tables!$A:$A,MATCH(C376,Tables!$B:$B,0)),"Not found"))</f>
        <v/>
      </c>
      <c r="E376" s="21" t="str">
        <f aca="false">IF(D376="","",IFERROR(INDEX(Tables!$D:$D,MATCH(D376,Tables!$A:$A,0)),""))</f>
        <v/>
      </c>
      <c r="F376" s="20"/>
      <c r="G376" s="20"/>
      <c r="H376" s="18"/>
      <c r="I376" s="20"/>
      <c r="J376" s="20"/>
      <c r="K376" s="20"/>
      <c r="L376" s="20"/>
      <c r="M376" s="20"/>
      <c r="N376" s="20"/>
      <c r="O376" s="20"/>
      <c r="P376" s="20"/>
      <c r="Q376" s="21" t="str">
        <f aca="false">IF(A376="","",COUNTIF('Metric to Field'!$B:$B,A376))</f>
        <v/>
      </c>
      <c r="R376" s="21" t="str">
        <f aca="false">IF(A376="","",SUMIF('Metric to Field'!$B:$B,A376,'Metric to Field'!$G:$G))</f>
        <v/>
      </c>
      <c r="S376" s="20"/>
      <c r="T376" s="20"/>
      <c r="U376" s="20"/>
      <c r="V376" s="20"/>
      <c r="W376" s="20"/>
    </row>
    <row r="377" customFormat="false" ht="15" hidden="false" customHeight="false" outlineLevel="0" collapsed="false">
      <c r="A377" s="18"/>
      <c r="B377" s="19"/>
      <c r="C377" s="20"/>
      <c r="D377" s="18" t="str">
        <f aca="false">IF(C377="","",IFERROR(INDEX(Tables!$A:$A,MATCH(C377,Tables!$B:$B,0)),"Not found"))</f>
        <v/>
      </c>
      <c r="E377" s="21" t="str">
        <f aca="false">IF(D377="","",IFERROR(INDEX(Tables!$D:$D,MATCH(D377,Tables!$A:$A,0)),""))</f>
        <v/>
      </c>
      <c r="F377" s="20"/>
      <c r="G377" s="20"/>
      <c r="H377" s="18"/>
      <c r="I377" s="20"/>
      <c r="J377" s="20"/>
      <c r="K377" s="20"/>
      <c r="L377" s="20"/>
      <c r="M377" s="20"/>
      <c r="N377" s="20"/>
      <c r="O377" s="20"/>
      <c r="P377" s="20"/>
      <c r="Q377" s="21" t="str">
        <f aca="false">IF(A377="","",COUNTIF('Metric to Field'!$B:$B,A377))</f>
        <v/>
      </c>
      <c r="R377" s="21" t="str">
        <f aca="false">IF(A377="","",SUMIF('Metric to Field'!$B:$B,A377,'Metric to Field'!$G:$G))</f>
        <v/>
      </c>
      <c r="S377" s="20"/>
      <c r="T377" s="20"/>
      <c r="U377" s="20"/>
      <c r="V377" s="20"/>
      <c r="W377" s="20"/>
    </row>
    <row r="378" customFormat="false" ht="15" hidden="false" customHeight="false" outlineLevel="0" collapsed="false">
      <c r="A378" s="18"/>
      <c r="B378" s="19"/>
      <c r="C378" s="20"/>
      <c r="D378" s="18" t="str">
        <f aca="false">IF(C378="","",IFERROR(INDEX(Tables!$A:$A,MATCH(C378,Tables!$B:$B,0)),"Not found"))</f>
        <v/>
      </c>
      <c r="E378" s="21" t="str">
        <f aca="false">IF(D378="","",IFERROR(INDEX(Tables!$D:$D,MATCH(D378,Tables!$A:$A,0)),""))</f>
        <v/>
      </c>
      <c r="F378" s="20"/>
      <c r="G378" s="20"/>
      <c r="H378" s="18"/>
      <c r="I378" s="20"/>
      <c r="J378" s="20"/>
      <c r="K378" s="20"/>
      <c r="L378" s="20"/>
      <c r="M378" s="20"/>
      <c r="N378" s="20"/>
      <c r="O378" s="20"/>
      <c r="P378" s="20"/>
      <c r="Q378" s="21" t="str">
        <f aca="false">IF(A378="","",COUNTIF('Metric to Field'!$B:$B,A378))</f>
        <v/>
      </c>
      <c r="R378" s="21" t="str">
        <f aca="false">IF(A378="","",SUMIF('Metric to Field'!$B:$B,A378,'Metric to Field'!$G:$G))</f>
        <v/>
      </c>
      <c r="S378" s="20"/>
      <c r="T378" s="20"/>
      <c r="U378" s="20"/>
      <c r="V378" s="20"/>
      <c r="W378" s="20"/>
    </row>
    <row r="379" customFormat="false" ht="15" hidden="false" customHeight="false" outlineLevel="0" collapsed="false">
      <c r="A379" s="18"/>
      <c r="B379" s="19"/>
      <c r="C379" s="20"/>
      <c r="D379" s="18" t="str">
        <f aca="false">IF(C379="","",IFERROR(INDEX(Tables!$A:$A,MATCH(C379,Tables!$B:$B,0)),"Not found"))</f>
        <v/>
      </c>
      <c r="E379" s="21" t="str">
        <f aca="false">IF(D379="","",IFERROR(INDEX(Tables!$D:$D,MATCH(D379,Tables!$A:$A,0)),""))</f>
        <v/>
      </c>
      <c r="F379" s="20"/>
      <c r="G379" s="20"/>
      <c r="H379" s="18"/>
      <c r="I379" s="20"/>
      <c r="J379" s="20"/>
      <c r="K379" s="20"/>
      <c r="L379" s="20"/>
      <c r="M379" s="20"/>
      <c r="N379" s="20"/>
      <c r="O379" s="20"/>
      <c r="P379" s="20"/>
      <c r="Q379" s="21" t="str">
        <f aca="false">IF(A379="","",COUNTIF('Metric to Field'!$B:$B,A379))</f>
        <v/>
      </c>
      <c r="R379" s="21" t="str">
        <f aca="false">IF(A379="","",SUMIF('Metric to Field'!$B:$B,A379,'Metric to Field'!$G:$G))</f>
        <v/>
      </c>
      <c r="S379" s="20"/>
      <c r="T379" s="20"/>
      <c r="U379" s="20"/>
      <c r="V379" s="20"/>
      <c r="W379" s="20"/>
    </row>
    <row r="380" customFormat="false" ht="15" hidden="false" customHeight="false" outlineLevel="0" collapsed="false">
      <c r="A380" s="18"/>
      <c r="B380" s="19"/>
      <c r="C380" s="20"/>
      <c r="D380" s="18" t="str">
        <f aca="false">IF(C380="","",IFERROR(INDEX(Tables!$A:$A,MATCH(C380,Tables!$B:$B,0)),"Not found"))</f>
        <v/>
      </c>
      <c r="E380" s="21" t="str">
        <f aca="false">IF(D380="","",IFERROR(INDEX(Tables!$D:$D,MATCH(D380,Tables!$A:$A,0)),""))</f>
        <v/>
      </c>
      <c r="F380" s="20"/>
      <c r="G380" s="20"/>
      <c r="H380" s="18"/>
      <c r="I380" s="20"/>
      <c r="J380" s="20"/>
      <c r="K380" s="20"/>
      <c r="L380" s="20"/>
      <c r="M380" s="20"/>
      <c r="N380" s="20"/>
      <c r="O380" s="20"/>
      <c r="P380" s="20"/>
      <c r="Q380" s="21" t="str">
        <f aca="false">IF(A380="","",COUNTIF('Metric to Field'!$B:$B,A380))</f>
        <v/>
      </c>
      <c r="R380" s="21" t="str">
        <f aca="false">IF(A380="","",SUMIF('Metric to Field'!$B:$B,A380,'Metric to Field'!$G:$G))</f>
        <v/>
      </c>
      <c r="S380" s="20"/>
      <c r="T380" s="20"/>
      <c r="U380" s="20"/>
      <c r="V380" s="20"/>
      <c r="W380" s="20"/>
    </row>
    <row r="381" customFormat="false" ht="15" hidden="false" customHeight="false" outlineLevel="0" collapsed="false">
      <c r="A381" s="18"/>
      <c r="B381" s="19"/>
      <c r="C381" s="20"/>
      <c r="D381" s="18" t="str">
        <f aca="false">IF(C381="","",IFERROR(INDEX(Tables!$A:$A,MATCH(C381,Tables!$B:$B,0)),"Not found"))</f>
        <v/>
      </c>
      <c r="E381" s="21" t="str">
        <f aca="false">IF(D381="","",IFERROR(INDEX(Tables!$D:$D,MATCH(D381,Tables!$A:$A,0)),""))</f>
        <v/>
      </c>
      <c r="F381" s="20"/>
      <c r="G381" s="20"/>
      <c r="H381" s="18"/>
      <c r="I381" s="20"/>
      <c r="J381" s="20"/>
      <c r="K381" s="20"/>
      <c r="L381" s="20"/>
      <c r="M381" s="20"/>
      <c r="N381" s="20"/>
      <c r="O381" s="20"/>
      <c r="P381" s="20"/>
      <c r="Q381" s="21" t="str">
        <f aca="false">IF(A381="","",COUNTIF('Metric to Field'!$B:$B,A381))</f>
        <v/>
      </c>
      <c r="R381" s="21" t="str">
        <f aca="false">IF(A381="","",SUMIF('Metric to Field'!$B:$B,A381,'Metric to Field'!$G:$G))</f>
        <v/>
      </c>
      <c r="S381" s="20"/>
      <c r="T381" s="20"/>
      <c r="U381" s="20"/>
      <c r="V381" s="20"/>
      <c r="W381" s="20"/>
    </row>
    <row r="382" customFormat="false" ht="15" hidden="false" customHeight="false" outlineLevel="0" collapsed="false">
      <c r="A382" s="18"/>
      <c r="B382" s="19"/>
      <c r="C382" s="20"/>
      <c r="D382" s="18" t="str">
        <f aca="false">IF(C382="","",IFERROR(INDEX(Tables!$A:$A,MATCH(C382,Tables!$B:$B,0)),"Not found"))</f>
        <v/>
      </c>
      <c r="E382" s="21" t="str">
        <f aca="false">IF(D382="","",IFERROR(INDEX(Tables!$D:$D,MATCH(D382,Tables!$A:$A,0)),""))</f>
        <v/>
      </c>
      <c r="F382" s="20"/>
      <c r="G382" s="20"/>
      <c r="H382" s="18"/>
      <c r="I382" s="20"/>
      <c r="J382" s="20"/>
      <c r="K382" s="20"/>
      <c r="L382" s="20"/>
      <c r="M382" s="20"/>
      <c r="N382" s="20"/>
      <c r="O382" s="20"/>
      <c r="P382" s="20"/>
      <c r="Q382" s="21" t="str">
        <f aca="false">IF(A382="","",COUNTIF('Metric to Field'!$B:$B,A382))</f>
        <v/>
      </c>
      <c r="R382" s="21" t="str">
        <f aca="false">IF(A382="","",SUMIF('Metric to Field'!$B:$B,A382,'Metric to Field'!$G:$G))</f>
        <v/>
      </c>
      <c r="S382" s="20"/>
      <c r="T382" s="20"/>
      <c r="U382" s="20"/>
      <c r="V382" s="20"/>
      <c r="W382" s="20"/>
    </row>
    <row r="383" customFormat="false" ht="15" hidden="false" customHeight="false" outlineLevel="0" collapsed="false">
      <c r="A383" s="18"/>
      <c r="B383" s="19"/>
      <c r="C383" s="20"/>
      <c r="D383" s="18" t="str">
        <f aca="false">IF(C383="","",IFERROR(INDEX(Tables!$A:$A,MATCH(C383,Tables!$B:$B,0)),"Not found"))</f>
        <v/>
      </c>
      <c r="E383" s="21" t="str">
        <f aca="false">IF(D383="","",IFERROR(INDEX(Tables!$D:$D,MATCH(D383,Tables!$A:$A,0)),""))</f>
        <v/>
      </c>
      <c r="F383" s="20"/>
      <c r="G383" s="20"/>
      <c r="H383" s="18"/>
      <c r="I383" s="20"/>
      <c r="J383" s="20"/>
      <c r="K383" s="20"/>
      <c r="L383" s="20"/>
      <c r="M383" s="20"/>
      <c r="N383" s="20"/>
      <c r="O383" s="20"/>
      <c r="P383" s="20"/>
      <c r="Q383" s="21" t="str">
        <f aca="false">IF(A383="","",COUNTIF('Metric to Field'!$B:$B,A383))</f>
        <v/>
      </c>
      <c r="R383" s="21" t="str">
        <f aca="false">IF(A383="","",SUMIF('Metric to Field'!$B:$B,A383,'Metric to Field'!$G:$G))</f>
        <v/>
      </c>
      <c r="S383" s="20"/>
      <c r="T383" s="20"/>
      <c r="U383" s="20"/>
      <c r="V383" s="20"/>
      <c r="W383" s="20"/>
    </row>
    <row r="384" customFormat="false" ht="15" hidden="false" customHeight="false" outlineLevel="0" collapsed="false">
      <c r="A384" s="18"/>
      <c r="B384" s="19"/>
      <c r="C384" s="20"/>
      <c r="D384" s="18" t="str">
        <f aca="false">IF(C384="","",IFERROR(INDEX(Tables!$A:$A,MATCH(C384,Tables!$B:$B,0)),"Not found"))</f>
        <v/>
      </c>
      <c r="E384" s="21" t="str">
        <f aca="false">IF(D384="","",IFERROR(INDEX(Tables!$D:$D,MATCH(D384,Tables!$A:$A,0)),""))</f>
        <v/>
      </c>
      <c r="F384" s="20"/>
      <c r="G384" s="20"/>
      <c r="H384" s="18"/>
      <c r="I384" s="20"/>
      <c r="J384" s="20"/>
      <c r="K384" s="20"/>
      <c r="L384" s="20"/>
      <c r="M384" s="20"/>
      <c r="N384" s="20"/>
      <c r="O384" s="20"/>
      <c r="P384" s="20"/>
      <c r="Q384" s="21" t="str">
        <f aca="false">IF(A384="","",COUNTIF('Metric to Field'!$B:$B,A384))</f>
        <v/>
      </c>
      <c r="R384" s="21" t="str">
        <f aca="false">IF(A384="","",SUMIF('Metric to Field'!$B:$B,A384,'Metric to Field'!$G:$G))</f>
        <v/>
      </c>
      <c r="S384" s="20"/>
      <c r="T384" s="20"/>
      <c r="U384" s="20"/>
      <c r="V384" s="20"/>
      <c r="W384" s="20"/>
    </row>
    <row r="385" customFormat="false" ht="15" hidden="false" customHeight="false" outlineLevel="0" collapsed="false">
      <c r="A385" s="18"/>
      <c r="B385" s="19"/>
      <c r="C385" s="20"/>
      <c r="D385" s="18" t="str">
        <f aca="false">IF(C385="","",IFERROR(INDEX(Tables!$A:$A,MATCH(C385,Tables!$B:$B,0)),"Not found"))</f>
        <v/>
      </c>
      <c r="E385" s="21" t="str">
        <f aca="false">IF(D385="","",IFERROR(INDEX(Tables!$D:$D,MATCH(D385,Tables!$A:$A,0)),""))</f>
        <v/>
      </c>
      <c r="F385" s="20"/>
      <c r="G385" s="20"/>
      <c r="H385" s="18"/>
      <c r="I385" s="20"/>
      <c r="J385" s="20"/>
      <c r="K385" s="20"/>
      <c r="L385" s="20"/>
      <c r="M385" s="20"/>
      <c r="N385" s="20"/>
      <c r="O385" s="20"/>
      <c r="P385" s="20"/>
      <c r="Q385" s="21" t="str">
        <f aca="false">IF(A385="","",COUNTIF('Metric to Field'!$B:$B,A385))</f>
        <v/>
      </c>
      <c r="R385" s="21" t="str">
        <f aca="false">IF(A385="","",SUMIF('Metric to Field'!$B:$B,A385,'Metric to Field'!$G:$G))</f>
        <v/>
      </c>
      <c r="S385" s="20"/>
      <c r="T385" s="20"/>
      <c r="U385" s="20"/>
      <c r="V385" s="20"/>
      <c r="W385" s="20"/>
    </row>
    <row r="386" customFormat="false" ht="15" hidden="false" customHeight="false" outlineLevel="0" collapsed="false">
      <c r="A386" s="18"/>
      <c r="B386" s="19"/>
      <c r="C386" s="20"/>
      <c r="D386" s="18" t="str">
        <f aca="false">IF(C386="","",IFERROR(INDEX(Tables!$A:$A,MATCH(C386,Tables!$B:$B,0)),"Not found"))</f>
        <v/>
      </c>
      <c r="E386" s="21" t="str">
        <f aca="false">IF(D386="","",IFERROR(INDEX(Tables!$D:$D,MATCH(D386,Tables!$A:$A,0)),""))</f>
        <v/>
      </c>
      <c r="F386" s="20"/>
      <c r="G386" s="20"/>
      <c r="H386" s="18"/>
      <c r="I386" s="20"/>
      <c r="J386" s="20"/>
      <c r="K386" s="20"/>
      <c r="L386" s="20"/>
      <c r="M386" s="20"/>
      <c r="N386" s="20"/>
      <c r="O386" s="20"/>
      <c r="P386" s="20"/>
      <c r="Q386" s="21" t="str">
        <f aca="false">IF(A386="","",COUNTIF('Metric to Field'!$B:$B,A386))</f>
        <v/>
      </c>
      <c r="R386" s="21" t="str">
        <f aca="false">IF(A386="","",SUMIF('Metric to Field'!$B:$B,A386,'Metric to Field'!$G:$G))</f>
        <v/>
      </c>
      <c r="S386" s="20"/>
      <c r="T386" s="20"/>
      <c r="U386" s="20"/>
      <c r="V386" s="20"/>
      <c r="W386" s="20"/>
    </row>
    <row r="387" customFormat="false" ht="15" hidden="false" customHeight="false" outlineLevel="0" collapsed="false">
      <c r="A387" s="18"/>
      <c r="B387" s="19"/>
      <c r="C387" s="20"/>
      <c r="D387" s="18" t="str">
        <f aca="false">IF(C387="","",IFERROR(INDEX(Tables!$A:$A,MATCH(C387,Tables!$B:$B,0)),"Not found"))</f>
        <v/>
      </c>
      <c r="E387" s="21" t="str">
        <f aca="false">IF(D387="","",IFERROR(INDEX(Tables!$D:$D,MATCH(D387,Tables!$A:$A,0)),""))</f>
        <v/>
      </c>
      <c r="F387" s="20"/>
      <c r="G387" s="20"/>
      <c r="H387" s="18"/>
      <c r="I387" s="20"/>
      <c r="J387" s="20"/>
      <c r="K387" s="20"/>
      <c r="L387" s="20"/>
      <c r="M387" s="20"/>
      <c r="N387" s="20"/>
      <c r="O387" s="20"/>
      <c r="P387" s="20"/>
      <c r="Q387" s="21" t="str">
        <f aca="false">IF(A387="","",COUNTIF('Metric to Field'!$B:$B,A387))</f>
        <v/>
      </c>
      <c r="R387" s="21" t="str">
        <f aca="false">IF(A387="","",SUMIF('Metric to Field'!$B:$B,A387,'Metric to Field'!$G:$G))</f>
        <v/>
      </c>
      <c r="S387" s="20"/>
      <c r="T387" s="20"/>
      <c r="U387" s="20"/>
      <c r="V387" s="20"/>
      <c r="W387" s="20"/>
    </row>
    <row r="388" customFormat="false" ht="15" hidden="false" customHeight="false" outlineLevel="0" collapsed="false">
      <c r="A388" s="18"/>
      <c r="B388" s="19"/>
      <c r="C388" s="20"/>
      <c r="D388" s="18" t="str">
        <f aca="false">IF(C388="","",IFERROR(INDEX(Tables!$A:$A,MATCH(C388,Tables!$B:$B,0)),"Not found"))</f>
        <v/>
      </c>
      <c r="E388" s="21" t="str">
        <f aca="false">IF(D388="","",IFERROR(INDEX(Tables!$D:$D,MATCH(D388,Tables!$A:$A,0)),""))</f>
        <v/>
      </c>
      <c r="F388" s="20"/>
      <c r="G388" s="20"/>
      <c r="H388" s="18"/>
      <c r="I388" s="20"/>
      <c r="J388" s="20"/>
      <c r="K388" s="20"/>
      <c r="L388" s="20"/>
      <c r="M388" s="20"/>
      <c r="N388" s="20"/>
      <c r="O388" s="20"/>
      <c r="P388" s="20"/>
      <c r="Q388" s="21" t="str">
        <f aca="false">IF(A388="","",COUNTIF('Metric to Field'!$B:$B,A388))</f>
        <v/>
      </c>
      <c r="R388" s="21" t="str">
        <f aca="false">IF(A388="","",SUMIF('Metric to Field'!$B:$B,A388,'Metric to Field'!$G:$G))</f>
        <v/>
      </c>
      <c r="S388" s="20"/>
      <c r="T388" s="20"/>
      <c r="U388" s="20"/>
      <c r="V388" s="20"/>
      <c r="W388" s="20"/>
    </row>
    <row r="389" customFormat="false" ht="15" hidden="false" customHeight="false" outlineLevel="0" collapsed="false">
      <c r="A389" s="18"/>
      <c r="B389" s="19"/>
      <c r="C389" s="20"/>
      <c r="D389" s="18" t="str">
        <f aca="false">IF(C389="","",IFERROR(INDEX(Tables!$A:$A,MATCH(C389,Tables!$B:$B,0)),"Not found"))</f>
        <v/>
      </c>
      <c r="E389" s="21" t="str">
        <f aca="false">IF(D389="","",IFERROR(INDEX(Tables!$D:$D,MATCH(D389,Tables!$A:$A,0)),""))</f>
        <v/>
      </c>
      <c r="F389" s="20"/>
      <c r="G389" s="20"/>
      <c r="H389" s="18"/>
      <c r="I389" s="20"/>
      <c r="J389" s="20"/>
      <c r="K389" s="20"/>
      <c r="L389" s="20"/>
      <c r="M389" s="20"/>
      <c r="N389" s="20"/>
      <c r="O389" s="20"/>
      <c r="P389" s="20"/>
      <c r="Q389" s="21" t="str">
        <f aca="false">IF(A389="","",COUNTIF('Metric to Field'!$B:$B,A389))</f>
        <v/>
      </c>
      <c r="R389" s="21" t="str">
        <f aca="false">IF(A389="","",SUMIF('Metric to Field'!$B:$B,A389,'Metric to Field'!$G:$G))</f>
        <v/>
      </c>
      <c r="S389" s="20"/>
      <c r="T389" s="20"/>
      <c r="U389" s="20"/>
      <c r="V389" s="20"/>
      <c r="W389" s="20"/>
    </row>
    <row r="390" customFormat="false" ht="15" hidden="false" customHeight="false" outlineLevel="0" collapsed="false">
      <c r="A390" s="18"/>
      <c r="B390" s="19"/>
      <c r="C390" s="20"/>
      <c r="D390" s="18" t="str">
        <f aca="false">IF(C390="","",IFERROR(INDEX(Tables!$A:$A,MATCH(C390,Tables!$B:$B,0)),"Not found"))</f>
        <v/>
      </c>
      <c r="E390" s="21" t="str">
        <f aca="false">IF(D390="","",IFERROR(INDEX(Tables!$D:$D,MATCH(D390,Tables!$A:$A,0)),""))</f>
        <v/>
      </c>
      <c r="F390" s="20"/>
      <c r="G390" s="20"/>
      <c r="H390" s="18"/>
      <c r="I390" s="20"/>
      <c r="J390" s="20"/>
      <c r="K390" s="20"/>
      <c r="L390" s="20"/>
      <c r="M390" s="20"/>
      <c r="N390" s="20"/>
      <c r="O390" s="20"/>
      <c r="P390" s="20"/>
      <c r="Q390" s="21" t="str">
        <f aca="false">IF(A390="","",COUNTIF('Metric to Field'!$B:$B,A390))</f>
        <v/>
      </c>
      <c r="R390" s="21" t="str">
        <f aca="false">IF(A390="","",SUMIF('Metric to Field'!$B:$B,A390,'Metric to Field'!$G:$G))</f>
        <v/>
      </c>
      <c r="S390" s="20"/>
      <c r="T390" s="20"/>
      <c r="U390" s="20"/>
      <c r="V390" s="20"/>
      <c r="W390" s="20"/>
    </row>
    <row r="391" customFormat="false" ht="15" hidden="false" customHeight="false" outlineLevel="0" collapsed="false">
      <c r="A391" s="18"/>
      <c r="B391" s="19"/>
      <c r="C391" s="20"/>
      <c r="D391" s="18" t="str">
        <f aca="false">IF(C391="","",IFERROR(INDEX(Tables!$A:$A,MATCH(C391,Tables!$B:$B,0)),"Not found"))</f>
        <v/>
      </c>
      <c r="E391" s="21" t="str">
        <f aca="false">IF(D391="","",IFERROR(INDEX(Tables!$D:$D,MATCH(D391,Tables!$A:$A,0)),""))</f>
        <v/>
      </c>
      <c r="F391" s="20"/>
      <c r="G391" s="20"/>
      <c r="H391" s="18"/>
      <c r="I391" s="20"/>
      <c r="J391" s="20"/>
      <c r="K391" s="20"/>
      <c r="L391" s="20"/>
      <c r="M391" s="20"/>
      <c r="N391" s="20"/>
      <c r="O391" s="20"/>
      <c r="P391" s="20"/>
      <c r="Q391" s="21" t="str">
        <f aca="false">IF(A391="","",COUNTIF('Metric to Field'!$B:$B,A391))</f>
        <v/>
      </c>
      <c r="R391" s="21" t="str">
        <f aca="false">IF(A391="","",SUMIF('Metric to Field'!$B:$B,A391,'Metric to Field'!$G:$G))</f>
        <v/>
      </c>
      <c r="S391" s="20"/>
      <c r="T391" s="20"/>
      <c r="U391" s="20"/>
      <c r="V391" s="20"/>
      <c r="W391" s="20"/>
    </row>
    <row r="392" customFormat="false" ht="15" hidden="false" customHeight="false" outlineLevel="0" collapsed="false">
      <c r="A392" s="18"/>
      <c r="B392" s="19"/>
      <c r="C392" s="20"/>
      <c r="D392" s="18" t="str">
        <f aca="false">IF(C392="","",IFERROR(INDEX(Tables!$A:$A,MATCH(C392,Tables!$B:$B,0)),"Not found"))</f>
        <v/>
      </c>
      <c r="E392" s="21" t="str">
        <f aca="false">IF(D392="","",IFERROR(INDEX(Tables!$D:$D,MATCH(D392,Tables!$A:$A,0)),""))</f>
        <v/>
      </c>
      <c r="F392" s="20"/>
      <c r="G392" s="20"/>
      <c r="H392" s="18"/>
      <c r="I392" s="20"/>
      <c r="J392" s="20"/>
      <c r="K392" s="20"/>
      <c r="L392" s="20"/>
      <c r="M392" s="20"/>
      <c r="N392" s="20"/>
      <c r="O392" s="20"/>
      <c r="P392" s="20"/>
      <c r="Q392" s="21" t="str">
        <f aca="false">IF(A392="","",COUNTIF('Metric to Field'!$B:$B,A392))</f>
        <v/>
      </c>
      <c r="R392" s="21" t="str">
        <f aca="false">IF(A392="","",SUMIF('Metric to Field'!$B:$B,A392,'Metric to Field'!$G:$G))</f>
        <v/>
      </c>
      <c r="S392" s="20"/>
      <c r="T392" s="20"/>
      <c r="U392" s="20"/>
      <c r="V392" s="20"/>
      <c r="W392" s="20"/>
    </row>
    <row r="393" customFormat="false" ht="15" hidden="false" customHeight="false" outlineLevel="0" collapsed="false">
      <c r="A393" s="18"/>
      <c r="B393" s="19"/>
      <c r="C393" s="20"/>
      <c r="D393" s="18" t="str">
        <f aca="false">IF(C393="","",IFERROR(INDEX(Tables!$A:$A,MATCH(C393,Tables!$B:$B,0)),"Not found"))</f>
        <v/>
      </c>
      <c r="E393" s="21" t="str">
        <f aca="false">IF(D393="","",IFERROR(INDEX(Tables!$D:$D,MATCH(D393,Tables!$A:$A,0)),""))</f>
        <v/>
      </c>
      <c r="F393" s="20"/>
      <c r="G393" s="20"/>
      <c r="H393" s="18"/>
      <c r="I393" s="20"/>
      <c r="J393" s="20"/>
      <c r="K393" s="20"/>
      <c r="L393" s="20"/>
      <c r="M393" s="20"/>
      <c r="N393" s="20"/>
      <c r="O393" s="20"/>
      <c r="P393" s="20"/>
      <c r="Q393" s="21" t="str">
        <f aca="false">IF(A393="","",COUNTIF('Metric to Field'!$B:$B,A393))</f>
        <v/>
      </c>
      <c r="R393" s="21" t="str">
        <f aca="false">IF(A393="","",SUMIF('Metric to Field'!$B:$B,A393,'Metric to Field'!$G:$G))</f>
        <v/>
      </c>
      <c r="S393" s="20"/>
      <c r="T393" s="20"/>
      <c r="U393" s="20"/>
      <c r="V393" s="20"/>
      <c r="W393" s="20"/>
    </row>
    <row r="394" customFormat="false" ht="15" hidden="false" customHeight="false" outlineLevel="0" collapsed="false">
      <c r="A394" s="18"/>
      <c r="B394" s="19"/>
      <c r="C394" s="20"/>
      <c r="D394" s="18" t="str">
        <f aca="false">IF(C394="","",IFERROR(INDEX(Tables!$A:$A,MATCH(C394,Tables!$B:$B,0)),"Not found"))</f>
        <v/>
      </c>
      <c r="E394" s="21" t="str">
        <f aca="false">IF(D394="","",IFERROR(INDEX(Tables!$D:$D,MATCH(D394,Tables!$A:$A,0)),""))</f>
        <v/>
      </c>
      <c r="F394" s="20"/>
      <c r="G394" s="20"/>
      <c r="H394" s="18"/>
      <c r="I394" s="20"/>
      <c r="J394" s="20"/>
      <c r="K394" s="20"/>
      <c r="L394" s="20"/>
      <c r="M394" s="20"/>
      <c r="N394" s="20"/>
      <c r="O394" s="20"/>
      <c r="P394" s="20"/>
      <c r="Q394" s="21" t="str">
        <f aca="false">IF(A394="","",COUNTIF('Metric to Field'!$B:$B,A394))</f>
        <v/>
      </c>
      <c r="R394" s="21" t="str">
        <f aca="false">IF(A394="","",SUMIF('Metric to Field'!$B:$B,A394,'Metric to Field'!$G:$G))</f>
        <v/>
      </c>
      <c r="S394" s="20"/>
      <c r="T394" s="20"/>
      <c r="U394" s="20"/>
      <c r="V394" s="20"/>
      <c r="W394" s="20"/>
    </row>
    <row r="395" customFormat="false" ht="15" hidden="false" customHeight="false" outlineLevel="0" collapsed="false">
      <c r="A395" s="18"/>
      <c r="B395" s="19"/>
      <c r="C395" s="20"/>
      <c r="D395" s="18" t="str">
        <f aca="false">IF(C395="","",IFERROR(INDEX(Tables!$A:$A,MATCH(C395,Tables!$B:$B,0)),"Not found"))</f>
        <v/>
      </c>
      <c r="E395" s="21" t="str">
        <f aca="false">IF(D395="","",IFERROR(INDEX(Tables!$D:$D,MATCH(D395,Tables!$A:$A,0)),""))</f>
        <v/>
      </c>
      <c r="F395" s="20"/>
      <c r="G395" s="20"/>
      <c r="H395" s="18"/>
      <c r="I395" s="20"/>
      <c r="J395" s="20"/>
      <c r="K395" s="20"/>
      <c r="L395" s="20"/>
      <c r="M395" s="20"/>
      <c r="N395" s="20"/>
      <c r="O395" s="20"/>
      <c r="P395" s="20"/>
      <c r="Q395" s="21" t="str">
        <f aca="false">IF(A395="","",COUNTIF('Metric to Field'!$B:$B,A395))</f>
        <v/>
      </c>
      <c r="R395" s="21" t="str">
        <f aca="false">IF(A395="","",SUMIF('Metric to Field'!$B:$B,A395,'Metric to Field'!$G:$G))</f>
        <v/>
      </c>
      <c r="S395" s="20"/>
      <c r="T395" s="20"/>
      <c r="U395" s="20"/>
      <c r="V395" s="20"/>
      <c r="W395" s="20"/>
    </row>
    <row r="396" customFormat="false" ht="15" hidden="false" customHeight="false" outlineLevel="0" collapsed="false">
      <c r="A396" s="18"/>
      <c r="B396" s="19"/>
      <c r="C396" s="20"/>
      <c r="D396" s="18" t="str">
        <f aca="false">IF(C396="","",IFERROR(INDEX(Tables!$A:$A,MATCH(C396,Tables!$B:$B,0)),"Not found"))</f>
        <v/>
      </c>
      <c r="E396" s="21" t="str">
        <f aca="false">IF(D396="","",IFERROR(INDEX(Tables!$D:$D,MATCH(D396,Tables!$A:$A,0)),""))</f>
        <v/>
      </c>
      <c r="F396" s="20"/>
      <c r="G396" s="20"/>
      <c r="H396" s="18"/>
      <c r="I396" s="20"/>
      <c r="J396" s="20"/>
      <c r="K396" s="20"/>
      <c r="L396" s="20"/>
      <c r="M396" s="20"/>
      <c r="N396" s="20"/>
      <c r="O396" s="20"/>
      <c r="P396" s="20"/>
      <c r="Q396" s="21" t="str">
        <f aca="false">IF(A396="","",COUNTIF('Metric to Field'!$B:$B,A396))</f>
        <v/>
      </c>
      <c r="R396" s="21" t="str">
        <f aca="false">IF(A396="","",SUMIF('Metric to Field'!$B:$B,A396,'Metric to Field'!$G:$G))</f>
        <v/>
      </c>
      <c r="S396" s="20"/>
      <c r="T396" s="20"/>
      <c r="U396" s="20"/>
      <c r="V396" s="20"/>
      <c r="W396" s="20"/>
    </row>
    <row r="397" customFormat="false" ht="15" hidden="false" customHeight="false" outlineLevel="0" collapsed="false">
      <c r="A397" s="18"/>
      <c r="B397" s="19"/>
      <c r="C397" s="20"/>
      <c r="D397" s="18" t="str">
        <f aca="false">IF(C397="","",IFERROR(INDEX(Tables!$A:$A,MATCH(C397,Tables!$B:$B,0)),"Not found"))</f>
        <v/>
      </c>
      <c r="E397" s="21" t="str">
        <f aca="false">IF(D397="","",IFERROR(INDEX(Tables!$D:$D,MATCH(D397,Tables!$A:$A,0)),""))</f>
        <v/>
      </c>
      <c r="F397" s="20"/>
      <c r="G397" s="20"/>
      <c r="H397" s="18"/>
      <c r="I397" s="20"/>
      <c r="J397" s="20"/>
      <c r="K397" s="20"/>
      <c r="L397" s="20"/>
      <c r="M397" s="20"/>
      <c r="N397" s="20"/>
      <c r="O397" s="20"/>
      <c r="P397" s="20"/>
      <c r="Q397" s="21" t="str">
        <f aca="false">IF(A397="","",COUNTIF('Metric to Field'!$B:$B,A397))</f>
        <v/>
      </c>
      <c r="R397" s="21" t="str">
        <f aca="false">IF(A397="","",SUMIF('Metric to Field'!$B:$B,A397,'Metric to Field'!$G:$G))</f>
        <v/>
      </c>
      <c r="S397" s="20"/>
      <c r="T397" s="20"/>
      <c r="U397" s="20"/>
      <c r="V397" s="20"/>
      <c r="W397" s="20"/>
    </row>
    <row r="398" customFormat="false" ht="15" hidden="false" customHeight="false" outlineLevel="0" collapsed="false">
      <c r="A398" s="18"/>
      <c r="B398" s="19"/>
      <c r="C398" s="20"/>
      <c r="D398" s="18" t="str">
        <f aca="false">IF(C398="","",IFERROR(INDEX(Tables!$A:$A,MATCH(C398,Tables!$B:$B,0)),"Not found"))</f>
        <v/>
      </c>
      <c r="E398" s="21" t="str">
        <f aca="false">IF(D398="","",IFERROR(INDEX(Tables!$D:$D,MATCH(D398,Tables!$A:$A,0)),""))</f>
        <v/>
      </c>
      <c r="F398" s="20"/>
      <c r="G398" s="20"/>
      <c r="H398" s="18"/>
      <c r="I398" s="20"/>
      <c r="J398" s="20"/>
      <c r="K398" s="20"/>
      <c r="L398" s="20"/>
      <c r="M398" s="20"/>
      <c r="N398" s="20"/>
      <c r="O398" s="20"/>
      <c r="P398" s="20"/>
      <c r="Q398" s="21" t="str">
        <f aca="false">IF(A398="","",COUNTIF('Metric to Field'!$B:$B,A398))</f>
        <v/>
      </c>
      <c r="R398" s="21" t="str">
        <f aca="false">IF(A398="","",SUMIF('Metric to Field'!$B:$B,A398,'Metric to Field'!$G:$G))</f>
        <v/>
      </c>
      <c r="S398" s="20"/>
      <c r="T398" s="20"/>
      <c r="U398" s="20"/>
      <c r="V398" s="20"/>
      <c r="W398" s="20"/>
    </row>
    <row r="399" customFormat="false" ht="15" hidden="false" customHeight="false" outlineLevel="0" collapsed="false">
      <c r="A399" s="18"/>
      <c r="B399" s="19"/>
      <c r="C399" s="20"/>
      <c r="D399" s="18" t="str">
        <f aca="false">IF(C399="","",IFERROR(INDEX(Tables!$A:$A,MATCH(C399,Tables!$B:$B,0)),"Not found"))</f>
        <v/>
      </c>
      <c r="E399" s="21" t="str">
        <f aca="false">IF(D399="","",IFERROR(INDEX(Tables!$D:$D,MATCH(D399,Tables!$A:$A,0)),""))</f>
        <v/>
      </c>
      <c r="F399" s="20"/>
      <c r="G399" s="20"/>
      <c r="H399" s="18"/>
      <c r="I399" s="20"/>
      <c r="J399" s="20"/>
      <c r="K399" s="20"/>
      <c r="L399" s="20"/>
      <c r="M399" s="20"/>
      <c r="N399" s="20"/>
      <c r="O399" s="20"/>
      <c r="P399" s="20"/>
      <c r="Q399" s="21" t="str">
        <f aca="false">IF(A399="","",COUNTIF('Metric to Field'!$B:$B,A399))</f>
        <v/>
      </c>
      <c r="R399" s="21" t="str">
        <f aca="false">IF(A399="","",SUMIF('Metric to Field'!$B:$B,A399,'Metric to Field'!$G:$G))</f>
        <v/>
      </c>
      <c r="S399" s="20"/>
      <c r="T399" s="20"/>
      <c r="U399" s="20"/>
      <c r="V399" s="20"/>
      <c r="W399" s="20"/>
    </row>
    <row r="400" customFormat="false" ht="15" hidden="false" customHeight="false" outlineLevel="0" collapsed="false">
      <c r="A400" s="18"/>
      <c r="B400" s="19"/>
      <c r="C400" s="20"/>
      <c r="D400" s="18" t="str">
        <f aca="false">IF(C400="","",IFERROR(INDEX(Tables!$A:$A,MATCH(C400,Tables!$B:$B,0)),"Not found"))</f>
        <v/>
      </c>
      <c r="E400" s="21" t="str">
        <f aca="false">IF(D400="","",IFERROR(INDEX(Tables!$D:$D,MATCH(D400,Tables!$A:$A,0)),""))</f>
        <v/>
      </c>
      <c r="F400" s="20"/>
      <c r="G400" s="20"/>
      <c r="H400" s="18"/>
      <c r="I400" s="20"/>
      <c r="J400" s="20"/>
      <c r="K400" s="20"/>
      <c r="L400" s="20"/>
      <c r="M400" s="20"/>
      <c r="N400" s="20"/>
      <c r="O400" s="20"/>
      <c r="P400" s="20"/>
      <c r="Q400" s="21" t="str">
        <f aca="false">IF(A400="","",COUNTIF('Metric to Field'!$B:$B,A400))</f>
        <v/>
      </c>
      <c r="R400" s="21" t="str">
        <f aca="false">IF(A400="","",SUMIF('Metric to Field'!$B:$B,A400,'Metric to Field'!$G:$G))</f>
        <v/>
      </c>
      <c r="S400" s="20"/>
      <c r="T400" s="20"/>
      <c r="U400" s="20"/>
      <c r="V400" s="20"/>
      <c r="W400" s="20"/>
    </row>
    <row r="401" customFormat="false" ht="15" hidden="false" customHeight="false" outlineLevel="0" collapsed="false">
      <c r="A401" s="18"/>
      <c r="B401" s="19"/>
      <c r="C401" s="20"/>
      <c r="D401" s="18" t="str">
        <f aca="false">IF(C401="","",IFERROR(INDEX(Tables!$A:$A,MATCH(C401,Tables!$B:$B,0)),"Not found"))</f>
        <v/>
      </c>
      <c r="E401" s="21" t="str">
        <f aca="false">IF(D401="","",IFERROR(INDEX(Tables!$D:$D,MATCH(D401,Tables!$A:$A,0)),""))</f>
        <v/>
      </c>
      <c r="F401" s="20"/>
      <c r="G401" s="20"/>
      <c r="H401" s="18"/>
      <c r="I401" s="20"/>
      <c r="J401" s="20"/>
      <c r="K401" s="20"/>
      <c r="L401" s="20"/>
      <c r="M401" s="20"/>
      <c r="N401" s="20"/>
      <c r="O401" s="20"/>
      <c r="P401" s="20"/>
      <c r="Q401" s="21" t="str">
        <f aca="false">IF(A401="","",COUNTIF('Metric to Field'!$B:$B,A401))</f>
        <v/>
      </c>
      <c r="R401" s="21" t="str">
        <f aca="false">IF(A401="","",SUMIF('Metric to Field'!$B:$B,A401,'Metric to Field'!$G:$G))</f>
        <v/>
      </c>
      <c r="S401" s="20"/>
      <c r="T401" s="20"/>
      <c r="U401" s="20"/>
      <c r="V401" s="20"/>
      <c r="W401" s="20"/>
    </row>
    <row r="402" customFormat="false" ht="15" hidden="false" customHeight="false" outlineLevel="0" collapsed="false">
      <c r="A402" s="18"/>
      <c r="B402" s="19"/>
      <c r="C402" s="20"/>
      <c r="D402" s="18" t="str">
        <f aca="false">IF(C402="","",IFERROR(INDEX(Tables!$A:$A,MATCH(C402,Tables!$B:$B,0)),"Not found"))</f>
        <v/>
      </c>
      <c r="E402" s="21" t="str">
        <f aca="false">IF(D402="","",IFERROR(INDEX(Tables!$D:$D,MATCH(D402,Tables!$A:$A,0)),""))</f>
        <v/>
      </c>
      <c r="F402" s="20"/>
      <c r="G402" s="20"/>
      <c r="H402" s="18"/>
      <c r="I402" s="20"/>
      <c r="J402" s="20"/>
      <c r="K402" s="20"/>
      <c r="L402" s="20"/>
      <c r="M402" s="20"/>
      <c r="N402" s="20"/>
      <c r="O402" s="20"/>
      <c r="P402" s="20"/>
      <c r="Q402" s="21" t="str">
        <f aca="false">IF(A402="","",COUNTIF('Metric to Field'!$B:$B,A402))</f>
        <v/>
      </c>
      <c r="R402" s="21" t="str">
        <f aca="false">IF(A402="","",SUMIF('Metric to Field'!$B:$B,A402,'Metric to Field'!$G:$G))</f>
        <v/>
      </c>
      <c r="S402" s="20"/>
      <c r="T402" s="20"/>
      <c r="U402" s="20"/>
      <c r="V402" s="20"/>
      <c r="W402" s="20"/>
    </row>
    <row r="403" customFormat="false" ht="15" hidden="false" customHeight="false" outlineLevel="0" collapsed="false">
      <c r="A403" s="18"/>
      <c r="B403" s="19"/>
      <c r="C403" s="20"/>
      <c r="D403" s="18" t="str">
        <f aca="false">IF(C403="","",IFERROR(INDEX(Tables!$A:$A,MATCH(C403,Tables!$B:$B,0)),"Not found"))</f>
        <v/>
      </c>
      <c r="E403" s="21" t="str">
        <f aca="false">IF(D403="","",IFERROR(INDEX(Tables!$D:$D,MATCH(D403,Tables!$A:$A,0)),""))</f>
        <v/>
      </c>
      <c r="F403" s="20"/>
      <c r="G403" s="20"/>
      <c r="H403" s="18"/>
      <c r="I403" s="20"/>
      <c r="J403" s="20"/>
      <c r="K403" s="20"/>
      <c r="L403" s="20"/>
      <c r="M403" s="20"/>
      <c r="N403" s="20"/>
      <c r="O403" s="20"/>
      <c r="P403" s="20"/>
      <c r="Q403" s="21" t="str">
        <f aca="false">IF(A403="","",COUNTIF('Metric to Field'!$B:$B,A403))</f>
        <v/>
      </c>
      <c r="R403" s="21" t="str">
        <f aca="false">IF(A403="","",SUMIF('Metric to Field'!$B:$B,A403,'Metric to Field'!$G:$G))</f>
        <v/>
      </c>
      <c r="S403" s="20"/>
      <c r="T403" s="20"/>
      <c r="U403" s="20"/>
      <c r="V403" s="20"/>
      <c r="W403" s="20"/>
    </row>
    <row r="404" customFormat="false" ht="15" hidden="false" customHeight="false" outlineLevel="0" collapsed="false">
      <c r="A404" s="18"/>
      <c r="B404" s="19"/>
      <c r="C404" s="20"/>
      <c r="D404" s="18" t="str">
        <f aca="false">IF(C404="","",IFERROR(INDEX(Tables!$A:$A,MATCH(C404,Tables!$B:$B,0)),"Not found"))</f>
        <v/>
      </c>
      <c r="E404" s="21" t="str">
        <f aca="false">IF(D404="","",IFERROR(INDEX(Tables!$D:$D,MATCH(D404,Tables!$A:$A,0)),""))</f>
        <v/>
      </c>
      <c r="F404" s="20"/>
      <c r="G404" s="20"/>
      <c r="H404" s="18"/>
      <c r="I404" s="20"/>
      <c r="J404" s="20"/>
      <c r="K404" s="20"/>
      <c r="L404" s="20"/>
      <c r="M404" s="20"/>
      <c r="N404" s="20"/>
      <c r="O404" s="20"/>
      <c r="P404" s="20"/>
      <c r="Q404" s="21" t="str">
        <f aca="false">IF(A404="","",COUNTIF('Metric to Field'!$B:$B,A404))</f>
        <v/>
      </c>
      <c r="R404" s="21" t="str">
        <f aca="false">IF(A404="","",SUMIF('Metric to Field'!$B:$B,A404,'Metric to Field'!$G:$G))</f>
        <v/>
      </c>
      <c r="S404" s="20"/>
      <c r="T404" s="20"/>
      <c r="U404" s="20"/>
      <c r="V404" s="20"/>
      <c r="W404" s="20"/>
    </row>
    <row r="405" customFormat="false" ht="15" hidden="false" customHeight="false" outlineLevel="0" collapsed="false">
      <c r="A405" s="18"/>
      <c r="B405" s="19"/>
      <c r="C405" s="20"/>
      <c r="D405" s="18" t="str">
        <f aca="false">IF(C405="","",IFERROR(INDEX(Tables!$A:$A,MATCH(C405,Tables!$B:$B,0)),"Not found"))</f>
        <v/>
      </c>
      <c r="E405" s="21" t="str">
        <f aca="false">IF(D405="","",IFERROR(INDEX(Tables!$D:$D,MATCH(D405,Tables!$A:$A,0)),""))</f>
        <v/>
      </c>
      <c r="F405" s="20"/>
      <c r="G405" s="20"/>
      <c r="H405" s="18"/>
      <c r="I405" s="20"/>
      <c r="J405" s="20"/>
      <c r="K405" s="20"/>
      <c r="L405" s="20"/>
      <c r="M405" s="20"/>
      <c r="N405" s="20"/>
      <c r="O405" s="20"/>
      <c r="P405" s="20"/>
      <c r="Q405" s="21" t="str">
        <f aca="false">IF(A405="","",COUNTIF('Metric to Field'!$B:$B,A405))</f>
        <v/>
      </c>
      <c r="R405" s="21" t="str">
        <f aca="false">IF(A405="","",SUMIF('Metric to Field'!$B:$B,A405,'Metric to Field'!$G:$G))</f>
        <v/>
      </c>
      <c r="S405" s="20"/>
      <c r="T405" s="20"/>
      <c r="U405" s="20"/>
      <c r="V405" s="20"/>
      <c r="W405" s="20"/>
    </row>
    <row r="406" customFormat="false" ht="15" hidden="false" customHeight="false" outlineLevel="0" collapsed="false">
      <c r="A406" s="18"/>
      <c r="B406" s="19"/>
      <c r="C406" s="20"/>
      <c r="D406" s="18" t="str">
        <f aca="false">IF(C406="","",IFERROR(INDEX(Tables!$A:$A,MATCH(C406,Tables!$B:$B,0)),"Not found"))</f>
        <v/>
      </c>
      <c r="E406" s="21" t="str">
        <f aca="false">IF(D406="","",IFERROR(INDEX(Tables!$D:$D,MATCH(D406,Tables!$A:$A,0)),""))</f>
        <v/>
      </c>
      <c r="F406" s="20"/>
      <c r="G406" s="20"/>
      <c r="H406" s="18"/>
      <c r="I406" s="20"/>
      <c r="J406" s="20"/>
      <c r="K406" s="20"/>
      <c r="L406" s="20"/>
      <c r="M406" s="20"/>
      <c r="N406" s="20"/>
      <c r="O406" s="20"/>
      <c r="P406" s="20"/>
      <c r="Q406" s="21" t="str">
        <f aca="false">IF(A406="","",COUNTIF('Metric to Field'!$B:$B,A406))</f>
        <v/>
      </c>
      <c r="R406" s="21" t="str">
        <f aca="false">IF(A406="","",SUMIF('Metric to Field'!$B:$B,A406,'Metric to Field'!$G:$G))</f>
        <v/>
      </c>
      <c r="S406" s="20"/>
      <c r="T406" s="20"/>
      <c r="U406" s="20"/>
      <c r="V406" s="20"/>
      <c r="W406" s="20"/>
    </row>
    <row r="407" customFormat="false" ht="15" hidden="false" customHeight="false" outlineLevel="0" collapsed="false">
      <c r="A407" s="18"/>
      <c r="B407" s="19"/>
      <c r="C407" s="20"/>
      <c r="D407" s="18" t="str">
        <f aca="false">IF(C407="","",IFERROR(INDEX(Tables!$A:$A,MATCH(C407,Tables!$B:$B,0)),"Not found"))</f>
        <v/>
      </c>
      <c r="E407" s="21" t="str">
        <f aca="false">IF(D407="","",IFERROR(INDEX(Tables!$D:$D,MATCH(D407,Tables!$A:$A,0)),""))</f>
        <v/>
      </c>
      <c r="F407" s="20"/>
      <c r="G407" s="20"/>
      <c r="H407" s="18"/>
      <c r="I407" s="20"/>
      <c r="J407" s="20"/>
      <c r="K407" s="20"/>
      <c r="L407" s="20"/>
      <c r="M407" s="20"/>
      <c r="N407" s="20"/>
      <c r="O407" s="20"/>
      <c r="P407" s="20"/>
      <c r="Q407" s="21" t="str">
        <f aca="false">IF(A407="","",COUNTIF('Metric to Field'!$B:$B,A407))</f>
        <v/>
      </c>
      <c r="R407" s="21" t="str">
        <f aca="false">IF(A407="","",SUMIF('Metric to Field'!$B:$B,A407,'Metric to Field'!$G:$G))</f>
        <v/>
      </c>
      <c r="S407" s="20"/>
      <c r="T407" s="20"/>
      <c r="U407" s="20"/>
      <c r="V407" s="20"/>
      <c r="W407" s="20"/>
    </row>
    <row r="408" customFormat="false" ht="15" hidden="false" customHeight="false" outlineLevel="0" collapsed="false">
      <c r="A408" s="18"/>
      <c r="B408" s="19"/>
      <c r="C408" s="20"/>
      <c r="D408" s="18" t="str">
        <f aca="false">IF(C408="","",IFERROR(INDEX(Tables!$A:$A,MATCH(C408,Tables!$B:$B,0)),"Not found"))</f>
        <v/>
      </c>
      <c r="E408" s="21" t="str">
        <f aca="false">IF(D408="","",IFERROR(INDEX(Tables!$D:$D,MATCH(D408,Tables!$A:$A,0)),""))</f>
        <v/>
      </c>
      <c r="F408" s="20"/>
      <c r="G408" s="20"/>
      <c r="H408" s="18"/>
      <c r="I408" s="20"/>
      <c r="J408" s="20"/>
      <c r="K408" s="20"/>
      <c r="L408" s="20"/>
      <c r="M408" s="20"/>
      <c r="N408" s="20"/>
      <c r="O408" s="20"/>
      <c r="P408" s="20"/>
      <c r="Q408" s="21" t="str">
        <f aca="false">IF(A408="","",COUNTIF('Metric to Field'!$B:$B,A408))</f>
        <v/>
      </c>
      <c r="R408" s="21" t="str">
        <f aca="false">IF(A408="","",SUMIF('Metric to Field'!$B:$B,A408,'Metric to Field'!$G:$G))</f>
        <v/>
      </c>
      <c r="S408" s="20"/>
      <c r="T408" s="20"/>
      <c r="U408" s="20"/>
      <c r="V408" s="20"/>
      <c r="W408" s="20"/>
    </row>
    <row r="409" customFormat="false" ht="15" hidden="false" customHeight="false" outlineLevel="0" collapsed="false">
      <c r="A409" s="18"/>
      <c r="B409" s="19"/>
      <c r="C409" s="20"/>
      <c r="D409" s="18" t="str">
        <f aca="false">IF(C409="","",IFERROR(INDEX(Tables!$A:$A,MATCH(C409,Tables!$B:$B,0)),"Not found"))</f>
        <v/>
      </c>
      <c r="E409" s="21" t="str">
        <f aca="false">IF(D409="","",IFERROR(INDEX(Tables!$D:$D,MATCH(D409,Tables!$A:$A,0)),""))</f>
        <v/>
      </c>
      <c r="F409" s="20"/>
      <c r="G409" s="20"/>
      <c r="H409" s="18"/>
      <c r="I409" s="20"/>
      <c r="J409" s="20"/>
      <c r="K409" s="20"/>
      <c r="L409" s="20"/>
      <c r="M409" s="20"/>
      <c r="N409" s="20"/>
      <c r="O409" s="20"/>
      <c r="P409" s="20"/>
      <c r="Q409" s="21" t="str">
        <f aca="false">IF(A409="","",COUNTIF('Metric to Field'!$B:$B,A409))</f>
        <v/>
      </c>
      <c r="R409" s="21" t="str">
        <f aca="false">IF(A409="","",SUMIF('Metric to Field'!$B:$B,A409,'Metric to Field'!$G:$G))</f>
        <v/>
      </c>
      <c r="S409" s="20"/>
      <c r="T409" s="20"/>
      <c r="U409" s="20"/>
      <c r="V409" s="20"/>
      <c r="W409" s="20"/>
    </row>
    <row r="410" customFormat="false" ht="15" hidden="false" customHeight="false" outlineLevel="0" collapsed="false">
      <c r="A410" s="18"/>
      <c r="B410" s="19"/>
      <c r="C410" s="20"/>
      <c r="D410" s="18" t="str">
        <f aca="false">IF(C410="","",IFERROR(INDEX(Tables!$A:$A,MATCH(C410,Tables!$B:$B,0)),"Not found"))</f>
        <v/>
      </c>
      <c r="E410" s="21" t="str">
        <f aca="false">IF(D410="","",IFERROR(INDEX(Tables!$D:$D,MATCH(D410,Tables!$A:$A,0)),""))</f>
        <v/>
      </c>
      <c r="F410" s="20"/>
      <c r="G410" s="20"/>
      <c r="H410" s="18"/>
      <c r="I410" s="20"/>
      <c r="J410" s="20"/>
      <c r="K410" s="20"/>
      <c r="L410" s="20"/>
      <c r="M410" s="20"/>
      <c r="N410" s="20"/>
      <c r="O410" s="20"/>
      <c r="P410" s="20"/>
      <c r="Q410" s="21" t="str">
        <f aca="false">IF(A410="","",COUNTIF('Metric to Field'!$B:$B,A410))</f>
        <v/>
      </c>
      <c r="R410" s="21" t="str">
        <f aca="false">IF(A410="","",SUMIF('Metric to Field'!$B:$B,A410,'Metric to Field'!$G:$G))</f>
        <v/>
      </c>
      <c r="S410" s="20"/>
      <c r="T410" s="20"/>
      <c r="U410" s="20"/>
      <c r="V410" s="20"/>
      <c r="W410" s="20"/>
    </row>
    <row r="411" customFormat="false" ht="15" hidden="false" customHeight="false" outlineLevel="0" collapsed="false">
      <c r="A411" s="18"/>
      <c r="B411" s="19"/>
      <c r="C411" s="20"/>
      <c r="D411" s="18" t="str">
        <f aca="false">IF(C411="","",IFERROR(INDEX(Tables!$A:$A,MATCH(C411,Tables!$B:$B,0)),"Not found"))</f>
        <v/>
      </c>
      <c r="E411" s="21" t="str">
        <f aca="false">IF(D411="","",IFERROR(INDEX(Tables!$D:$D,MATCH(D411,Tables!$A:$A,0)),""))</f>
        <v/>
      </c>
      <c r="F411" s="20"/>
      <c r="G411" s="20"/>
      <c r="H411" s="18"/>
      <c r="I411" s="20"/>
      <c r="J411" s="20"/>
      <c r="K411" s="20"/>
      <c r="L411" s="20"/>
      <c r="M411" s="20"/>
      <c r="N411" s="20"/>
      <c r="O411" s="20"/>
      <c r="P411" s="20"/>
      <c r="Q411" s="21" t="str">
        <f aca="false">IF(A411="","",COUNTIF('Metric to Field'!$B:$B,A411))</f>
        <v/>
      </c>
      <c r="R411" s="21" t="str">
        <f aca="false">IF(A411="","",SUMIF('Metric to Field'!$B:$B,A411,'Metric to Field'!$G:$G))</f>
        <v/>
      </c>
      <c r="S411" s="20"/>
      <c r="T411" s="20"/>
      <c r="U411" s="20"/>
      <c r="V411" s="20"/>
      <c r="W411" s="20"/>
    </row>
    <row r="412" customFormat="false" ht="15" hidden="false" customHeight="false" outlineLevel="0" collapsed="false">
      <c r="A412" s="18"/>
      <c r="B412" s="19"/>
      <c r="C412" s="20"/>
      <c r="D412" s="18" t="str">
        <f aca="false">IF(C412="","",IFERROR(INDEX(Tables!$A:$A,MATCH(C412,Tables!$B:$B,0)),"Not found"))</f>
        <v/>
      </c>
      <c r="E412" s="21" t="str">
        <f aca="false">IF(D412="","",IFERROR(INDEX(Tables!$D:$D,MATCH(D412,Tables!$A:$A,0)),""))</f>
        <v/>
      </c>
      <c r="F412" s="20"/>
      <c r="G412" s="20"/>
      <c r="H412" s="18"/>
      <c r="I412" s="20"/>
      <c r="J412" s="20"/>
      <c r="K412" s="20"/>
      <c r="L412" s="20"/>
      <c r="M412" s="20"/>
      <c r="N412" s="20"/>
      <c r="O412" s="20"/>
      <c r="P412" s="20"/>
      <c r="Q412" s="21" t="str">
        <f aca="false">IF(A412="","",COUNTIF('Metric to Field'!$B:$B,A412))</f>
        <v/>
      </c>
      <c r="R412" s="21" t="str">
        <f aca="false">IF(A412="","",SUMIF('Metric to Field'!$B:$B,A412,'Metric to Field'!$G:$G))</f>
        <v/>
      </c>
      <c r="S412" s="20"/>
      <c r="T412" s="20"/>
      <c r="U412" s="20"/>
      <c r="V412" s="20"/>
      <c r="W412" s="20"/>
    </row>
    <row r="413" customFormat="false" ht="15" hidden="false" customHeight="false" outlineLevel="0" collapsed="false">
      <c r="A413" s="18"/>
      <c r="B413" s="19"/>
      <c r="C413" s="20"/>
      <c r="D413" s="18" t="str">
        <f aca="false">IF(C413="","",IFERROR(INDEX(Tables!$A:$A,MATCH(C413,Tables!$B:$B,0)),"Not found"))</f>
        <v/>
      </c>
      <c r="E413" s="21" t="str">
        <f aca="false">IF(D413="","",IFERROR(INDEX(Tables!$D:$D,MATCH(D413,Tables!$A:$A,0)),""))</f>
        <v/>
      </c>
      <c r="F413" s="20"/>
      <c r="G413" s="20"/>
      <c r="H413" s="18"/>
      <c r="I413" s="20"/>
      <c r="J413" s="20"/>
      <c r="K413" s="20"/>
      <c r="L413" s="20"/>
      <c r="M413" s="20"/>
      <c r="N413" s="20"/>
      <c r="O413" s="20"/>
      <c r="P413" s="20"/>
      <c r="Q413" s="21" t="str">
        <f aca="false">IF(A413="","",COUNTIF('Metric to Field'!$B:$B,A413))</f>
        <v/>
      </c>
      <c r="R413" s="21" t="str">
        <f aca="false">IF(A413="","",SUMIF('Metric to Field'!$B:$B,A413,'Metric to Field'!$G:$G))</f>
        <v/>
      </c>
      <c r="S413" s="20"/>
      <c r="T413" s="20"/>
      <c r="U413" s="20"/>
      <c r="V413" s="20"/>
      <c r="W413" s="20"/>
    </row>
    <row r="414" customFormat="false" ht="15" hidden="false" customHeight="false" outlineLevel="0" collapsed="false">
      <c r="A414" s="18"/>
      <c r="B414" s="19"/>
      <c r="C414" s="20"/>
      <c r="D414" s="18" t="str">
        <f aca="false">IF(C414="","",IFERROR(INDEX(Tables!$A:$A,MATCH(C414,Tables!$B:$B,0)),"Not found"))</f>
        <v/>
      </c>
      <c r="E414" s="21" t="str">
        <f aca="false">IF(D414="","",IFERROR(INDEX(Tables!$D:$D,MATCH(D414,Tables!$A:$A,0)),""))</f>
        <v/>
      </c>
      <c r="F414" s="20"/>
      <c r="G414" s="20"/>
      <c r="H414" s="18"/>
      <c r="I414" s="20"/>
      <c r="J414" s="20"/>
      <c r="K414" s="20"/>
      <c r="L414" s="20"/>
      <c r="M414" s="20"/>
      <c r="N414" s="20"/>
      <c r="O414" s="20"/>
      <c r="P414" s="20"/>
      <c r="Q414" s="21" t="str">
        <f aca="false">IF(A414="","",COUNTIF('Metric to Field'!$B:$B,A414))</f>
        <v/>
      </c>
      <c r="R414" s="21" t="str">
        <f aca="false">IF(A414="","",SUMIF('Metric to Field'!$B:$B,A414,'Metric to Field'!$G:$G))</f>
        <v/>
      </c>
      <c r="S414" s="20"/>
      <c r="T414" s="20"/>
      <c r="U414" s="20"/>
      <c r="V414" s="20"/>
      <c r="W414" s="20"/>
    </row>
    <row r="415" customFormat="false" ht="15" hidden="false" customHeight="false" outlineLevel="0" collapsed="false">
      <c r="A415" s="18"/>
      <c r="B415" s="19"/>
      <c r="C415" s="20"/>
      <c r="D415" s="18" t="str">
        <f aca="false">IF(C415="","",IFERROR(INDEX(Tables!$A:$A,MATCH(C415,Tables!$B:$B,0)),"Not found"))</f>
        <v/>
      </c>
      <c r="E415" s="21" t="str">
        <f aca="false">IF(D415="","",IFERROR(INDEX(Tables!$D:$D,MATCH(D415,Tables!$A:$A,0)),""))</f>
        <v/>
      </c>
      <c r="F415" s="20"/>
      <c r="G415" s="20"/>
      <c r="H415" s="18"/>
      <c r="I415" s="20"/>
      <c r="J415" s="20"/>
      <c r="K415" s="20"/>
      <c r="L415" s="20"/>
      <c r="M415" s="20"/>
      <c r="N415" s="20"/>
      <c r="O415" s="20"/>
      <c r="P415" s="20"/>
      <c r="Q415" s="21" t="str">
        <f aca="false">IF(A415="","",COUNTIF('Metric to Field'!$B:$B,A415))</f>
        <v/>
      </c>
      <c r="R415" s="21" t="str">
        <f aca="false">IF(A415="","",SUMIF('Metric to Field'!$B:$B,A415,'Metric to Field'!$G:$G))</f>
        <v/>
      </c>
      <c r="S415" s="20"/>
      <c r="T415" s="20"/>
      <c r="U415" s="20"/>
      <c r="V415" s="20"/>
      <c r="W415" s="20"/>
    </row>
    <row r="416" customFormat="false" ht="15" hidden="false" customHeight="false" outlineLevel="0" collapsed="false">
      <c r="A416" s="18"/>
      <c r="B416" s="19"/>
      <c r="C416" s="20"/>
      <c r="D416" s="18" t="str">
        <f aca="false">IF(C416="","",IFERROR(INDEX(Tables!$A:$A,MATCH(C416,Tables!$B:$B,0)),"Not found"))</f>
        <v/>
      </c>
      <c r="E416" s="21" t="str">
        <f aca="false">IF(D416="","",IFERROR(INDEX(Tables!$D:$D,MATCH(D416,Tables!$A:$A,0)),""))</f>
        <v/>
      </c>
      <c r="F416" s="20"/>
      <c r="G416" s="20"/>
      <c r="H416" s="18"/>
      <c r="I416" s="20"/>
      <c r="J416" s="20"/>
      <c r="K416" s="20"/>
      <c r="L416" s="20"/>
      <c r="M416" s="20"/>
      <c r="N416" s="20"/>
      <c r="O416" s="20"/>
      <c r="P416" s="20"/>
      <c r="Q416" s="21" t="str">
        <f aca="false">IF(A416="","",COUNTIF('Metric to Field'!$B:$B,A416))</f>
        <v/>
      </c>
      <c r="R416" s="21" t="str">
        <f aca="false">IF(A416="","",SUMIF('Metric to Field'!$B:$B,A416,'Metric to Field'!$G:$G))</f>
        <v/>
      </c>
      <c r="S416" s="20"/>
      <c r="T416" s="20"/>
      <c r="U416" s="20"/>
      <c r="V416" s="20"/>
      <c r="W416" s="20"/>
    </row>
    <row r="417" customFormat="false" ht="15" hidden="false" customHeight="false" outlineLevel="0" collapsed="false">
      <c r="A417" s="18"/>
      <c r="B417" s="19"/>
      <c r="C417" s="20"/>
      <c r="D417" s="18" t="str">
        <f aca="false">IF(C417="","",IFERROR(INDEX(Tables!$A:$A,MATCH(C417,Tables!$B:$B,0)),"Not found"))</f>
        <v/>
      </c>
      <c r="E417" s="21" t="str">
        <f aca="false">IF(D417="","",IFERROR(INDEX(Tables!$D:$D,MATCH(D417,Tables!$A:$A,0)),""))</f>
        <v/>
      </c>
      <c r="F417" s="20"/>
      <c r="G417" s="20"/>
      <c r="H417" s="18"/>
      <c r="I417" s="20"/>
      <c r="J417" s="20"/>
      <c r="K417" s="20"/>
      <c r="L417" s="20"/>
      <c r="M417" s="20"/>
      <c r="N417" s="20"/>
      <c r="O417" s="20"/>
      <c r="P417" s="20"/>
      <c r="Q417" s="21" t="str">
        <f aca="false">IF(A417="","",COUNTIF('Metric to Field'!$B:$B,A417))</f>
        <v/>
      </c>
      <c r="R417" s="21" t="str">
        <f aca="false">IF(A417="","",SUMIF('Metric to Field'!$B:$B,A417,'Metric to Field'!$G:$G))</f>
        <v/>
      </c>
      <c r="S417" s="20"/>
      <c r="T417" s="20"/>
      <c r="U417" s="20"/>
      <c r="V417" s="20"/>
      <c r="W417" s="20"/>
    </row>
    <row r="418" customFormat="false" ht="15" hidden="false" customHeight="false" outlineLevel="0" collapsed="false">
      <c r="A418" s="18"/>
      <c r="B418" s="19"/>
      <c r="C418" s="20"/>
      <c r="D418" s="18" t="str">
        <f aca="false">IF(C418="","",IFERROR(INDEX(Tables!$A:$A,MATCH(C418,Tables!$B:$B,0)),"Not found"))</f>
        <v/>
      </c>
      <c r="E418" s="21" t="str">
        <f aca="false">IF(D418="","",IFERROR(INDEX(Tables!$D:$D,MATCH(D418,Tables!$A:$A,0)),""))</f>
        <v/>
      </c>
      <c r="F418" s="20"/>
      <c r="G418" s="20"/>
      <c r="H418" s="18"/>
      <c r="I418" s="20"/>
      <c r="J418" s="20"/>
      <c r="K418" s="20"/>
      <c r="L418" s="20"/>
      <c r="M418" s="20"/>
      <c r="N418" s="20"/>
      <c r="O418" s="20"/>
      <c r="P418" s="20"/>
      <c r="Q418" s="21" t="str">
        <f aca="false">IF(A418="","",COUNTIF('Metric to Field'!$B:$B,A418))</f>
        <v/>
      </c>
      <c r="R418" s="21" t="str">
        <f aca="false">IF(A418="","",SUMIF('Metric to Field'!$B:$B,A418,'Metric to Field'!$G:$G))</f>
        <v/>
      </c>
      <c r="S418" s="20"/>
      <c r="T418" s="20"/>
      <c r="U418" s="20"/>
      <c r="V418" s="20"/>
      <c r="W418" s="20"/>
    </row>
    <row r="419" customFormat="false" ht="15" hidden="false" customHeight="false" outlineLevel="0" collapsed="false">
      <c r="A419" s="18"/>
      <c r="B419" s="19"/>
      <c r="C419" s="20"/>
      <c r="D419" s="18" t="str">
        <f aca="false">IF(C419="","",IFERROR(INDEX(Tables!$A:$A,MATCH(C419,Tables!$B:$B,0)),"Not found"))</f>
        <v/>
      </c>
      <c r="E419" s="21" t="str">
        <f aca="false">IF(D419="","",IFERROR(INDEX(Tables!$D:$D,MATCH(D419,Tables!$A:$A,0)),""))</f>
        <v/>
      </c>
      <c r="F419" s="20"/>
      <c r="G419" s="20"/>
      <c r="H419" s="18"/>
      <c r="I419" s="20"/>
      <c r="J419" s="20"/>
      <c r="K419" s="20"/>
      <c r="L419" s="20"/>
      <c r="M419" s="20"/>
      <c r="N419" s="20"/>
      <c r="O419" s="20"/>
      <c r="P419" s="20"/>
      <c r="Q419" s="21" t="str">
        <f aca="false">IF(A419="","",COUNTIF('Metric to Field'!$B:$B,A419))</f>
        <v/>
      </c>
      <c r="R419" s="21" t="str">
        <f aca="false">IF(A419="","",SUMIF('Metric to Field'!$B:$B,A419,'Metric to Field'!$G:$G))</f>
        <v/>
      </c>
      <c r="S419" s="20"/>
      <c r="T419" s="20"/>
      <c r="U419" s="20"/>
      <c r="V419" s="20"/>
      <c r="W419" s="20"/>
    </row>
    <row r="420" customFormat="false" ht="15" hidden="false" customHeight="false" outlineLevel="0" collapsed="false">
      <c r="A420" s="18"/>
      <c r="B420" s="19"/>
      <c r="C420" s="20"/>
      <c r="D420" s="18" t="str">
        <f aca="false">IF(C420="","",IFERROR(INDEX(Tables!$A:$A,MATCH(C420,Tables!$B:$B,0)),"Not found"))</f>
        <v/>
      </c>
      <c r="E420" s="21" t="str">
        <f aca="false">IF(D420="","",IFERROR(INDEX(Tables!$D:$D,MATCH(D420,Tables!$A:$A,0)),""))</f>
        <v/>
      </c>
      <c r="F420" s="20"/>
      <c r="G420" s="20"/>
      <c r="H420" s="18"/>
      <c r="I420" s="20"/>
      <c r="J420" s="20"/>
      <c r="K420" s="20"/>
      <c r="L420" s="20"/>
      <c r="M420" s="20"/>
      <c r="N420" s="20"/>
      <c r="O420" s="20"/>
      <c r="P420" s="20"/>
      <c r="Q420" s="21" t="str">
        <f aca="false">IF(A420="","",COUNTIF('Metric to Field'!$B:$B,A420))</f>
        <v/>
      </c>
      <c r="R420" s="21" t="str">
        <f aca="false">IF(A420="","",SUMIF('Metric to Field'!$B:$B,A420,'Metric to Field'!$G:$G))</f>
        <v/>
      </c>
      <c r="S420" s="20"/>
      <c r="T420" s="20"/>
      <c r="U420" s="20"/>
      <c r="V420" s="20"/>
      <c r="W420" s="20"/>
    </row>
    <row r="421" customFormat="false" ht="15" hidden="false" customHeight="false" outlineLevel="0" collapsed="false">
      <c r="A421" s="18"/>
      <c r="B421" s="19"/>
      <c r="C421" s="20"/>
      <c r="D421" s="18" t="str">
        <f aca="false">IF(C421="","",IFERROR(INDEX(Tables!$A:$A,MATCH(C421,Tables!$B:$B,0)),"Not found"))</f>
        <v/>
      </c>
      <c r="E421" s="21" t="str">
        <f aca="false">IF(D421="","",IFERROR(INDEX(Tables!$D:$D,MATCH(D421,Tables!$A:$A,0)),""))</f>
        <v/>
      </c>
      <c r="F421" s="20"/>
      <c r="G421" s="20"/>
      <c r="H421" s="18"/>
      <c r="I421" s="20"/>
      <c r="J421" s="20"/>
      <c r="K421" s="20"/>
      <c r="L421" s="20"/>
      <c r="M421" s="20"/>
      <c r="N421" s="20"/>
      <c r="O421" s="20"/>
      <c r="P421" s="20"/>
      <c r="Q421" s="21" t="str">
        <f aca="false">IF(A421="","",COUNTIF('Metric to Field'!$B:$B,A421))</f>
        <v/>
      </c>
      <c r="R421" s="21" t="str">
        <f aca="false">IF(A421="","",SUMIF('Metric to Field'!$B:$B,A421,'Metric to Field'!$G:$G))</f>
        <v/>
      </c>
      <c r="S421" s="20"/>
      <c r="T421" s="20"/>
      <c r="U421" s="20"/>
      <c r="V421" s="20"/>
      <c r="W421" s="20"/>
    </row>
    <row r="422" customFormat="false" ht="15" hidden="false" customHeight="false" outlineLevel="0" collapsed="false">
      <c r="A422" s="18"/>
      <c r="B422" s="19"/>
      <c r="C422" s="20"/>
      <c r="D422" s="18" t="str">
        <f aca="false">IF(C422="","",IFERROR(INDEX(Tables!$A:$A,MATCH(C422,Tables!$B:$B,0)),"Not found"))</f>
        <v/>
      </c>
      <c r="E422" s="21" t="str">
        <f aca="false">IF(D422="","",IFERROR(INDEX(Tables!$D:$D,MATCH(D422,Tables!$A:$A,0)),""))</f>
        <v/>
      </c>
      <c r="F422" s="20"/>
      <c r="G422" s="20"/>
      <c r="H422" s="18"/>
      <c r="I422" s="20"/>
      <c r="J422" s="20"/>
      <c r="K422" s="20"/>
      <c r="L422" s="20"/>
      <c r="M422" s="20"/>
      <c r="N422" s="20"/>
      <c r="O422" s="20"/>
      <c r="P422" s="20"/>
      <c r="Q422" s="21" t="str">
        <f aca="false">IF(A422="","",COUNTIF('Metric to Field'!$B:$B,A422))</f>
        <v/>
      </c>
      <c r="R422" s="21" t="str">
        <f aca="false">IF(A422="","",SUMIF('Metric to Field'!$B:$B,A422,'Metric to Field'!$G:$G))</f>
        <v/>
      </c>
      <c r="S422" s="20"/>
      <c r="T422" s="20"/>
      <c r="U422" s="20"/>
      <c r="V422" s="20"/>
      <c r="W422" s="20"/>
    </row>
    <row r="423" customFormat="false" ht="15" hidden="false" customHeight="false" outlineLevel="0" collapsed="false">
      <c r="A423" s="18"/>
      <c r="B423" s="19"/>
      <c r="C423" s="20"/>
      <c r="D423" s="18" t="str">
        <f aca="false">IF(C423="","",IFERROR(INDEX(Tables!$A:$A,MATCH(C423,Tables!$B:$B,0)),"Not found"))</f>
        <v/>
      </c>
      <c r="E423" s="21" t="str">
        <f aca="false">IF(D423="","",IFERROR(INDEX(Tables!$D:$D,MATCH(D423,Tables!$A:$A,0)),""))</f>
        <v/>
      </c>
      <c r="F423" s="20"/>
      <c r="G423" s="20"/>
      <c r="H423" s="18"/>
      <c r="I423" s="20"/>
      <c r="J423" s="20"/>
      <c r="K423" s="20"/>
      <c r="L423" s="20"/>
      <c r="M423" s="20"/>
      <c r="N423" s="20"/>
      <c r="O423" s="20"/>
      <c r="P423" s="20"/>
      <c r="Q423" s="21" t="str">
        <f aca="false">IF(A423="","",COUNTIF('Metric to Field'!$B:$B,A423))</f>
        <v/>
      </c>
      <c r="R423" s="21" t="str">
        <f aca="false">IF(A423="","",SUMIF('Metric to Field'!$B:$B,A423,'Metric to Field'!$G:$G))</f>
        <v/>
      </c>
      <c r="S423" s="20"/>
      <c r="T423" s="20"/>
      <c r="U423" s="20"/>
      <c r="V423" s="20"/>
      <c r="W423" s="20"/>
    </row>
    <row r="424" customFormat="false" ht="15" hidden="false" customHeight="false" outlineLevel="0" collapsed="false">
      <c r="A424" s="18"/>
      <c r="B424" s="19"/>
      <c r="C424" s="20"/>
      <c r="D424" s="18" t="str">
        <f aca="false">IF(C424="","",IFERROR(INDEX(Tables!$A:$A,MATCH(C424,Tables!$B:$B,0)),"Not found"))</f>
        <v/>
      </c>
      <c r="E424" s="21" t="str">
        <f aca="false">IF(D424="","",IFERROR(INDEX(Tables!$D:$D,MATCH(D424,Tables!$A:$A,0)),""))</f>
        <v/>
      </c>
      <c r="F424" s="20"/>
      <c r="G424" s="20"/>
      <c r="H424" s="18"/>
      <c r="I424" s="20"/>
      <c r="J424" s="20"/>
      <c r="K424" s="20"/>
      <c r="L424" s="20"/>
      <c r="M424" s="20"/>
      <c r="N424" s="20"/>
      <c r="O424" s="20"/>
      <c r="P424" s="20"/>
      <c r="Q424" s="21" t="str">
        <f aca="false">IF(A424="","",COUNTIF('Metric to Field'!$B:$B,A424))</f>
        <v/>
      </c>
      <c r="R424" s="21" t="str">
        <f aca="false">IF(A424="","",SUMIF('Metric to Field'!$B:$B,A424,'Metric to Field'!$G:$G))</f>
        <v/>
      </c>
      <c r="S424" s="20"/>
      <c r="T424" s="20"/>
      <c r="U424" s="20"/>
      <c r="V424" s="20"/>
      <c r="W424" s="20"/>
    </row>
    <row r="425" customFormat="false" ht="15" hidden="false" customHeight="false" outlineLevel="0" collapsed="false">
      <c r="A425" s="18"/>
      <c r="B425" s="19"/>
      <c r="C425" s="20"/>
      <c r="D425" s="18" t="str">
        <f aca="false">IF(C425="","",IFERROR(INDEX(Tables!$A:$A,MATCH(C425,Tables!$B:$B,0)),"Not found"))</f>
        <v/>
      </c>
      <c r="E425" s="21" t="str">
        <f aca="false">IF(D425="","",IFERROR(INDEX(Tables!$D:$D,MATCH(D425,Tables!$A:$A,0)),""))</f>
        <v/>
      </c>
      <c r="F425" s="20"/>
      <c r="G425" s="20"/>
      <c r="H425" s="18"/>
      <c r="I425" s="20"/>
      <c r="J425" s="20"/>
      <c r="K425" s="20"/>
      <c r="L425" s="20"/>
      <c r="M425" s="20"/>
      <c r="N425" s="20"/>
      <c r="O425" s="20"/>
      <c r="P425" s="20"/>
      <c r="Q425" s="21" t="str">
        <f aca="false">IF(A425="","",COUNTIF('Metric to Field'!$B:$B,A425))</f>
        <v/>
      </c>
      <c r="R425" s="21" t="str">
        <f aca="false">IF(A425="","",SUMIF('Metric to Field'!$B:$B,A425,'Metric to Field'!$G:$G))</f>
        <v/>
      </c>
      <c r="S425" s="20"/>
      <c r="T425" s="20"/>
      <c r="U425" s="20"/>
      <c r="V425" s="20"/>
      <c r="W425" s="20"/>
    </row>
    <row r="426" customFormat="false" ht="15" hidden="false" customHeight="false" outlineLevel="0" collapsed="false">
      <c r="A426" s="18"/>
      <c r="B426" s="19"/>
      <c r="C426" s="20"/>
      <c r="D426" s="18" t="str">
        <f aca="false">IF(C426="","",IFERROR(INDEX(Tables!$A:$A,MATCH(C426,Tables!$B:$B,0)),"Not found"))</f>
        <v/>
      </c>
      <c r="E426" s="21" t="str">
        <f aca="false">IF(D426="","",IFERROR(INDEX(Tables!$D:$D,MATCH(D426,Tables!$A:$A,0)),""))</f>
        <v/>
      </c>
      <c r="F426" s="20"/>
      <c r="G426" s="20"/>
      <c r="H426" s="18"/>
      <c r="I426" s="20"/>
      <c r="J426" s="20"/>
      <c r="K426" s="20"/>
      <c r="L426" s="20"/>
      <c r="M426" s="20"/>
      <c r="N426" s="20"/>
      <c r="O426" s="20"/>
      <c r="P426" s="20"/>
      <c r="Q426" s="21" t="str">
        <f aca="false">IF(A426="","",COUNTIF('Metric to Field'!$B:$B,A426))</f>
        <v/>
      </c>
      <c r="R426" s="21" t="str">
        <f aca="false">IF(A426="","",SUMIF('Metric to Field'!$B:$B,A426,'Metric to Field'!$G:$G))</f>
        <v/>
      </c>
      <c r="S426" s="20"/>
      <c r="T426" s="20"/>
      <c r="U426" s="20"/>
      <c r="V426" s="20"/>
      <c r="W426" s="20"/>
    </row>
    <row r="427" customFormat="false" ht="15" hidden="false" customHeight="false" outlineLevel="0" collapsed="false">
      <c r="A427" s="18"/>
      <c r="B427" s="19"/>
      <c r="C427" s="20"/>
      <c r="D427" s="18" t="str">
        <f aca="false">IF(C427="","",IFERROR(INDEX(Tables!$A:$A,MATCH(C427,Tables!$B:$B,0)),"Not found"))</f>
        <v/>
      </c>
      <c r="E427" s="21" t="str">
        <f aca="false">IF(D427="","",IFERROR(INDEX(Tables!$D:$D,MATCH(D427,Tables!$A:$A,0)),""))</f>
        <v/>
      </c>
      <c r="F427" s="20"/>
      <c r="G427" s="20"/>
      <c r="H427" s="18"/>
      <c r="I427" s="20"/>
      <c r="J427" s="20"/>
      <c r="K427" s="20"/>
      <c r="L427" s="20"/>
      <c r="M427" s="20"/>
      <c r="N427" s="20"/>
      <c r="O427" s="20"/>
      <c r="P427" s="20"/>
      <c r="Q427" s="21" t="str">
        <f aca="false">IF(A427="","",COUNTIF('Metric to Field'!$B:$B,A427))</f>
        <v/>
      </c>
      <c r="R427" s="21" t="str">
        <f aca="false">IF(A427="","",SUMIF('Metric to Field'!$B:$B,A427,'Metric to Field'!$G:$G))</f>
        <v/>
      </c>
      <c r="S427" s="20"/>
      <c r="T427" s="20"/>
      <c r="U427" s="20"/>
      <c r="V427" s="20"/>
      <c r="W427" s="20"/>
    </row>
    <row r="428" customFormat="false" ht="15" hidden="false" customHeight="false" outlineLevel="0" collapsed="false">
      <c r="A428" s="18"/>
      <c r="B428" s="19"/>
      <c r="C428" s="20"/>
      <c r="D428" s="18" t="str">
        <f aca="false">IF(C428="","",IFERROR(INDEX(Tables!$A:$A,MATCH(C428,Tables!$B:$B,0)),"Not found"))</f>
        <v/>
      </c>
      <c r="E428" s="21" t="str">
        <f aca="false">IF(D428="","",IFERROR(INDEX(Tables!$D:$D,MATCH(D428,Tables!$A:$A,0)),""))</f>
        <v/>
      </c>
      <c r="F428" s="20"/>
      <c r="G428" s="20"/>
      <c r="H428" s="18"/>
      <c r="I428" s="20"/>
      <c r="J428" s="20"/>
      <c r="K428" s="20"/>
      <c r="L428" s="20"/>
      <c r="M428" s="20"/>
      <c r="N428" s="20"/>
      <c r="O428" s="20"/>
      <c r="P428" s="20"/>
      <c r="Q428" s="21" t="str">
        <f aca="false">IF(A428="","",COUNTIF('Metric to Field'!$B:$B,A428))</f>
        <v/>
      </c>
      <c r="R428" s="21" t="str">
        <f aca="false">IF(A428="","",SUMIF('Metric to Field'!$B:$B,A428,'Metric to Field'!$G:$G))</f>
        <v/>
      </c>
      <c r="S428" s="20"/>
      <c r="T428" s="20"/>
      <c r="U428" s="20"/>
      <c r="V428" s="20"/>
      <c r="W428" s="20"/>
    </row>
    <row r="429" customFormat="false" ht="15" hidden="false" customHeight="false" outlineLevel="0" collapsed="false">
      <c r="A429" s="18"/>
      <c r="B429" s="19"/>
      <c r="C429" s="20"/>
      <c r="D429" s="18" t="str">
        <f aca="false">IF(C429="","",IFERROR(INDEX(Tables!$A:$A,MATCH(C429,Tables!$B:$B,0)),"Not found"))</f>
        <v/>
      </c>
      <c r="E429" s="21" t="str">
        <f aca="false">IF(D429="","",IFERROR(INDEX(Tables!$D:$D,MATCH(D429,Tables!$A:$A,0)),""))</f>
        <v/>
      </c>
      <c r="F429" s="20"/>
      <c r="G429" s="20"/>
      <c r="H429" s="18"/>
      <c r="I429" s="20"/>
      <c r="J429" s="20"/>
      <c r="K429" s="20"/>
      <c r="L429" s="20"/>
      <c r="M429" s="20"/>
      <c r="N429" s="20"/>
      <c r="O429" s="20"/>
      <c r="P429" s="20"/>
      <c r="Q429" s="21" t="str">
        <f aca="false">IF(A429="","",COUNTIF('Metric to Field'!$B:$B,A429))</f>
        <v/>
      </c>
      <c r="R429" s="21" t="str">
        <f aca="false">IF(A429="","",SUMIF('Metric to Field'!$B:$B,A429,'Metric to Field'!$G:$G))</f>
        <v/>
      </c>
      <c r="S429" s="20"/>
      <c r="T429" s="20"/>
      <c r="U429" s="20"/>
      <c r="V429" s="20"/>
      <c r="W429" s="20"/>
    </row>
    <row r="430" customFormat="false" ht="15" hidden="false" customHeight="false" outlineLevel="0" collapsed="false">
      <c r="A430" s="18"/>
      <c r="B430" s="19"/>
      <c r="C430" s="20"/>
      <c r="D430" s="18" t="str">
        <f aca="false">IF(C430="","",IFERROR(INDEX(Tables!$A:$A,MATCH(C430,Tables!$B:$B,0)),"Not found"))</f>
        <v/>
      </c>
      <c r="E430" s="21" t="str">
        <f aca="false">IF(D430="","",IFERROR(INDEX(Tables!$D:$D,MATCH(D430,Tables!$A:$A,0)),""))</f>
        <v/>
      </c>
      <c r="F430" s="20"/>
      <c r="G430" s="20"/>
      <c r="H430" s="18"/>
      <c r="I430" s="20"/>
      <c r="J430" s="20"/>
      <c r="K430" s="20"/>
      <c r="L430" s="20"/>
      <c r="M430" s="20"/>
      <c r="N430" s="20"/>
      <c r="O430" s="20"/>
      <c r="P430" s="20"/>
      <c r="Q430" s="21" t="str">
        <f aca="false">IF(A430="","",COUNTIF('Metric to Field'!$B:$B,A430))</f>
        <v/>
      </c>
      <c r="R430" s="21" t="str">
        <f aca="false">IF(A430="","",SUMIF('Metric to Field'!$B:$B,A430,'Metric to Field'!$G:$G))</f>
        <v/>
      </c>
      <c r="S430" s="20"/>
      <c r="T430" s="20"/>
      <c r="U430" s="20"/>
      <c r="V430" s="20"/>
      <c r="W430" s="20"/>
    </row>
    <row r="431" customFormat="false" ht="15" hidden="false" customHeight="false" outlineLevel="0" collapsed="false">
      <c r="A431" s="18"/>
      <c r="B431" s="19"/>
      <c r="C431" s="20"/>
      <c r="D431" s="18" t="str">
        <f aca="false">IF(C431="","",IFERROR(INDEX(Tables!$A:$A,MATCH(C431,Tables!$B:$B,0)),"Not found"))</f>
        <v/>
      </c>
      <c r="E431" s="21" t="str">
        <f aca="false">IF(D431="","",IFERROR(INDEX(Tables!$D:$D,MATCH(D431,Tables!$A:$A,0)),""))</f>
        <v/>
      </c>
      <c r="F431" s="20"/>
      <c r="G431" s="20"/>
      <c r="H431" s="18"/>
      <c r="I431" s="20"/>
      <c r="J431" s="20"/>
      <c r="K431" s="20"/>
      <c r="L431" s="20"/>
      <c r="M431" s="20"/>
      <c r="N431" s="20"/>
      <c r="O431" s="20"/>
      <c r="P431" s="20"/>
      <c r="Q431" s="21" t="str">
        <f aca="false">IF(A431="","",COUNTIF('Metric to Field'!$B:$B,A431))</f>
        <v/>
      </c>
      <c r="R431" s="21" t="str">
        <f aca="false">IF(A431="","",SUMIF('Metric to Field'!$B:$B,A431,'Metric to Field'!$G:$G))</f>
        <v/>
      </c>
      <c r="S431" s="20"/>
      <c r="T431" s="20"/>
      <c r="U431" s="20"/>
      <c r="V431" s="20"/>
      <c r="W431" s="20"/>
    </row>
    <row r="432" customFormat="false" ht="15" hidden="false" customHeight="false" outlineLevel="0" collapsed="false">
      <c r="A432" s="18"/>
      <c r="B432" s="19"/>
      <c r="C432" s="20"/>
      <c r="D432" s="18" t="str">
        <f aca="false">IF(C432="","",IFERROR(INDEX(Tables!$A:$A,MATCH(C432,Tables!$B:$B,0)),"Not found"))</f>
        <v/>
      </c>
      <c r="E432" s="21" t="str">
        <f aca="false">IF(D432="","",IFERROR(INDEX(Tables!$D:$D,MATCH(D432,Tables!$A:$A,0)),""))</f>
        <v/>
      </c>
      <c r="F432" s="20"/>
      <c r="G432" s="20"/>
      <c r="H432" s="18"/>
      <c r="I432" s="20"/>
      <c r="J432" s="20"/>
      <c r="K432" s="20"/>
      <c r="L432" s="20"/>
      <c r="M432" s="20"/>
      <c r="N432" s="20"/>
      <c r="O432" s="20"/>
      <c r="P432" s="20"/>
      <c r="Q432" s="21" t="str">
        <f aca="false">IF(A432="","",COUNTIF('Metric to Field'!$B:$B,A432))</f>
        <v/>
      </c>
      <c r="R432" s="21" t="str">
        <f aca="false">IF(A432="","",SUMIF('Metric to Field'!$B:$B,A432,'Metric to Field'!$G:$G))</f>
        <v/>
      </c>
      <c r="S432" s="20"/>
      <c r="T432" s="20"/>
      <c r="U432" s="20"/>
      <c r="V432" s="20"/>
      <c r="W432" s="20"/>
    </row>
    <row r="433" customFormat="false" ht="15" hidden="false" customHeight="false" outlineLevel="0" collapsed="false">
      <c r="A433" s="18"/>
      <c r="B433" s="19"/>
      <c r="C433" s="20"/>
      <c r="D433" s="18" t="str">
        <f aca="false">IF(C433="","",IFERROR(INDEX(Tables!$A:$A,MATCH(C433,Tables!$B:$B,0)),"Not found"))</f>
        <v/>
      </c>
      <c r="E433" s="21" t="str">
        <f aca="false">IF(D433="","",IFERROR(INDEX(Tables!$D:$D,MATCH(D433,Tables!$A:$A,0)),""))</f>
        <v/>
      </c>
      <c r="F433" s="20"/>
      <c r="G433" s="20"/>
      <c r="H433" s="18"/>
      <c r="I433" s="20"/>
      <c r="J433" s="20"/>
      <c r="K433" s="20"/>
      <c r="L433" s="20"/>
      <c r="M433" s="20"/>
      <c r="N433" s="20"/>
      <c r="O433" s="20"/>
      <c r="P433" s="20"/>
      <c r="Q433" s="21" t="str">
        <f aca="false">IF(A433="","",COUNTIF('Metric to Field'!$B:$B,A433))</f>
        <v/>
      </c>
      <c r="R433" s="21" t="str">
        <f aca="false">IF(A433="","",SUMIF('Metric to Field'!$B:$B,A433,'Metric to Field'!$G:$G))</f>
        <v/>
      </c>
      <c r="S433" s="20"/>
      <c r="T433" s="20"/>
      <c r="U433" s="20"/>
      <c r="V433" s="20"/>
      <c r="W433" s="20"/>
    </row>
    <row r="434" customFormat="false" ht="15" hidden="false" customHeight="false" outlineLevel="0" collapsed="false">
      <c r="A434" s="18"/>
      <c r="B434" s="19"/>
      <c r="C434" s="20"/>
      <c r="D434" s="18" t="str">
        <f aca="false">IF(C434="","",IFERROR(INDEX(Tables!$A:$A,MATCH(C434,Tables!$B:$B,0)),"Not found"))</f>
        <v/>
      </c>
      <c r="E434" s="21" t="str">
        <f aca="false">IF(D434="","",IFERROR(INDEX(Tables!$D:$D,MATCH(D434,Tables!$A:$A,0)),""))</f>
        <v/>
      </c>
      <c r="F434" s="20"/>
      <c r="G434" s="20"/>
      <c r="H434" s="18"/>
      <c r="I434" s="20"/>
      <c r="J434" s="20"/>
      <c r="K434" s="20"/>
      <c r="L434" s="20"/>
      <c r="M434" s="20"/>
      <c r="N434" s="20"/>
      <c r="O434" s="20"/>
      <c r="P434" s="20"/>
      <c r="Q434" s="21" t="str">
        <f aca="false">IF(A434="","",COUNTIF('Metric to Field'!$B:$B,A434))</f>
        <v/>
      </c>
      <c r="R434" s="21" t="str">
        <f aca="false">IF(A434="","",SUMIF('Metric to Field'!$B:$B,A434,'Metric to Field'!$G:$G))</f>
        <v/>
      </c>
      <c r="S434" s="20"/>
      <c r="T434" s="20"/>
      <c r="U434" s="20"/>
      <c r="V434" s="20"/>
      <c r="W434" s="20"/>
    </row>
    <row r="435" customFormat="false" ht="15" hidden="false" customHeight="false" outlineLevel="0" collapsed="false">
      <c r="A435" s="18"/>
      <c r="B435" s="19"/>
      <c r="C435" s="20"/>
      <c r="D435" s="18" t="str">
        <f aca="false">IF(C435="","",IFERROR(INDEX(Tables!$A:$A,MATCH(C435,Tables!$B:$B,0)),"Not found"))</f>
        <v/>
      </c>
      <c r="E435" s="21" t="str">
        <f aca="false">IF(D435="","",IFERROR(INDEX(Tables!$D:$D,MATCH(D435,Tables!$A:$A,0)),""))</f>
        <v/>
      </c>
      <c r="F435" s="20"/>
      <c r="G435" s="20"/>
      <c r="H435" s="18"/>
      <c r="I435" s="20"/>
      <c r="J435" s="20"/>
      <c r="K435" s="20"/>
      <c r="L435" s="20"/>
      <c r="M435" s="20"/>
      <c r="N435" s="20"/>
      <c r="O435" s="20"/>
      <c r="P435" s="20"/>
      <c r="Q435" s="21" t="str">
        <f aca="false">IF(A435="","",COUNTIF('Metric to Field'!$B:$B,A435))</f>
        <v/>
      </c>
      <c r="R435" s="21" t="str">
        <f aca="false">IF(A435="","",SUMIF('Metric to Field'!$B:$B,A435,'Metric to Field'!$G:$G))</f>
        <v/>
      </c>
      <c r="S435" s="20"/>
      <c r="T435" s="20"/>
      <c r="U435" s="20"/>
      <c r="V435" s="20"/>
      <c r="W435" s="20"/>
    </row>
    <row r="436" customFormat="false" ht="15" hidden="false" customHeight="false" outlineLevel="0" collapsed="false">
      <c r="A436" s="18"/>
      <c r="B436" s="19"/>
      <c r="C436" s="20"/>
      <c r="D436" s="18" t="str">
        <f aca="false">IF(C436="","",IFERROR(INDEX(Tables!$A:$A,MATCH(C436,Tables!$B:$B,0)),"Not found"))</f>
        <v/>
      </c>
      <c r="E436" s="21" t="str">
        <f aca="false">IF(D436="","",IFERROR(INDEX(Tables!$D:$D,MATCH(D436,Tables!$A:$A,0)),""))</f>
        <v/>
      </c>
      <c r="F436" s="20"/>
      <c r="G436" s="20"/>
      <c r="H436" s="18"/>
      <c r="I436" s="20"/>
      <c r="J436" s="20"/>
      <c r="K436" s="20"/>
      <c r="L436" s="20"/>
      <c r="M436" s="20"/>
      <c r="N436" s="20"/>
      <c r="O436" s="20"/>
      <c r="P436" s="20"/>
      <c r="Q436" s="21" t="str">
        <f aca="false">IF(A436="","",COUNTIF('Metric to Field'!$B:$B,A436))</f>
        <v/>
      </c>
      <c r="R436" s="21" t="str">
        <f aca="false">IF(A436="","",SUMIF('Metric to Field'!$B:$B,A436,'Metric to Field'!$G:$G))</f>
        <v/>
      </c>
      <c r="S436" s="20"/>
      <c r="T436" s="20"/>
      <c r="U436" s="20"/>
      <c r="V436" s="20"/>
      <c r="W436" s="20"/>
    </row>
    <row r="437" customFormat="false" ht="15" hidden="false" customHeight="false" outlineLevel="0" collapsed="false">
      <c r="A437" s="18"/>
      <c r="B437" s="19"/>
      <c r="C437" s="20"/>
      <c r="D437" s="18" t="str">
        <f aca="false">IF(C437="","",IFERROR(INDEX(Tables!$A:$A,MATCH(C437,Tables!$B:$B,0)),"Not found"))</f>
        <v/>
      </c>
      <c r="E437" s="21" t="str">
        <f aca="false">IF(D437="","",IFERROR(INDEX(Tables!$D:$D,MATCH(D437,Tables!$A:$A,0)),""))</f>
        <v/>
      </c>
      <c r="F437" s="20"/>
      <c r="G437" s="20"/>
      <c r="H437" s="18"/>
      <c r="I437" s="20"/>
      <c r="J437" s="20"/>
      <c r="K437" s="20"/>
      <c r="L437" s="20"/>
      <c r="M437" s="20"/>
      <c r="N437" s="20"/>
      <c r="O437" s="20"/>
      <c r="P437" s="20"/>
      <c r="Q437" s="21" t="str">
        <f aca="false">IF(A437="","",COUNTIF('Metric to Field'!$B:$B,A437))</f>
        <v/>
      </c>
      <c r="R437" s="21" t="str">
        <f aca="false">IF(A437="","",SUMIF('Metric to Field'!$B:$B,A437,'Metric to Field'!$G:$G))</f>
        <v/>
      </c>
      <c r="S437" s="20"/>
      <c r="T437" s="20"/>
      <c r="U437" s="20"/>
      <c r="V437" s="20"/>
      <c r="W437" s="20"/>
    </row>
    <row r="438" customFormat="false" ht="15" hidden="false" customHeight="false" outlineLevel="0" collapsed="false">
      <c r="A438" s="18"/>
      <c r="B438" s="19"/>
      <c r="C438" s="20"/>
      <c r="D438" s="18" t="str">
        <f aca="false">IF(C438="","",IFERROR(INDEX(Tables!$A:$A,MATCH(C438,Tables!$B:$B,0)),"Not found"))</f>
        <v/>
      </c>
      <c r="E438" s="21" t="str">
        <f aca="false">IF(D438="","",IFERROR(INDEX(Tables!$D:$D,MATCH(D438,Tables!$A:$A,0)),""))</f>
        <v/>
      </c>
      <c r="F438" s="20"/>
      <c r="G438" s="20"/>
      <c r="H438" s="18"/>
      <c r="I438" s="20"/>
      <c r="J438" s="20"/>
      <c r="K438" s="20"/>
      <c r="L438" s="20"/>
      <c r="M438" s="20"/>
      <c r="N438" s="20"/>
      <c r="O438" s="20"/>
      <c r="P438" s="20"/>
      <c r="Q438" s="21" t="str">
        <f aca="false">IF(A438="","",COUNTIF('Metric to Field'!$B:$B,A438))</f>
        <v/>
      </c>
      <c r="R438" s="21" t="str">
        <f aca="false">IF(A438="","",SUMIF('Metric to Field'!$B:$B,A438,'Metric to Field'!$G:$G))</f>
        <v/>
      </c>
      <c r="S438" s="20"/>
      <c r="T438" s="20"/>
      <c r="U438" s="20"/>
      <c r="V438" s="20"/>
      <c r="W438" s="20"/>
    </row>
    <row r="439" customFormat="false" ht="15" hidden="false" customHeight="false" outlineLevel="0" collapsed="false">
      <c r="A439" s="18"/>
      <c r="B439" s="19"/>
      <c r="C439" s="20"/>
      <c r="D439" s="18" t="str">
        <f aca="false">IF(C439="","",IFERROR(INDEX(Tables!$A:$A,MATCH(C439,Tables!$B:$B,0)),"Not found"))</f>
        <v/>
      </c>
      <c r="E439" s="21" t="str">
        <f aca="false">IF(D439="","",IFERROR(INDEX(Tables!$D:$D,MATCH(D439,Tables!$A:$A,0)),""))</f>
        <v/>
      </c>
      <c r="F439" s="20"/>
      <c r="G439" s="20"/>
      <c r="H439" s="18"/>
      <c r="I439" s="20"/>
      <c r="J439" s="20"/>
      <c r="K439" s="20"/>
      <c r="L439" s="20"/>
      <c r="M439" s="20"/>
      <c r="N439" s="20"/>
      <c r="O439" s="20"/>
      <c r="P439" s="20"/>
      <c r="Q439" s="21" t="str">
        <f aca="false">IF(A439="","",COUNTIF('Metric to Field'!$B:$B,A439))</f>
        <v/>
      </c>
      <c r="R439" s="21" t="str">
        <f aca="false">IF(A439="","",SUMIF('Metric to Field'!$B:$B,A439,'Metric to Field'!$G:$G))</f>
        <v/>
      </c>
      <c r="S439" s="20"/>
      <c r="T439" s="20"/>
      <c r="U439" s="20"/>
      <c r="V439" s="20"/>
      <c r="W439" s="20"/>
    </row>
    <row r="440" customFormat="false" ht="15" hidden="false" customHeight="false" outlineLevel="0" collapsed="false">
      <c r="A440" s="18"/>
      <c r="B440" s="19"/>
      <c r="C440" s="20"/>
      <c r="D440" s="18" t="str">
        <f aca="false">IF(C440="","",IFERROR(INDEX(Tables!$A:$A,MATCH(C440,Tables!$B:$B,0)),"Not found"))</f>
        <v/>
      </c>
      <c r="E440" s="21" t="str">
        <f aca="false">IF(D440="","",IFERROR(INDEX(Tables!$D:$D,MATCH(D440,Tables!$A:$A,0)),""))</f>
        <v/>
      </c>
      <c r="F440" s="20"/>
      <c r="G440" s="20"/>
      <c r="H440" s="18"/>
      <c r="I440" s="20"/>
      <c r="J440" s="20"/>
      <c r="K440" s="20"/>
      <c r="L440" s="20"/>
      <c r="M440" s="20"/>
      <c r="N440" s="20"/>
      <c r="O440" s="20"/>
      <c r="P440" s="20"/>
      <c r="Q440" s="21" t="str">
        <f aca="false">IF(A440="","",COUNTIF('Metric to Field'!$B:$B,A440))</f>
        <v/>
      </c>
      <c r="R440" s="21" t="str">
        <f aca="false">IF(A440="","",SUMIF('Metric to Field'!$B:$B,A440,'Metric to Field'!$G:$G))</f>
        <v/>
      </c>
      <c r="S440" s="20"/>
      <c r="T440" s="20"/>
      <c r="U440" s="20"/>
      <c r="V440" s="20"/>
      <c r="W440" s="20"/>
    </row>
    <row r="441" customFormat="false" ht="15" hidden="false" customHeight="false" outlineLevel="0" collapsed="false">
      <c r="A441" s="18"/>
      <c r="B441" s="19"/>
      <c r="C441" s="20"/>
      <c r="D441" s="18" t="str">
        <f aca="false">IF(C441="","",IFERROR(INDEX(Tables!$A:$A,MATCH(C441,Tables!$B:$B,0)),"Not found"))</f>
        <v/>
      </c>
      <c r="E441" s="21" t="str">
        <f aca="false">IF(D441="","",IFERROR(INDEX(Tables!$D:$D,MATCH(D441,Tables!$A:$A,0)),""))</f>
        <v/>
      </c>
      <c r="F441" s="20"/>
      <c r="G441" s="20"/>
      <c r="H441" s="18"/>
      <c r="I441" s="20"/>
      <c r="J441" s="20"/>
      <c r="K441" s="20"/>
      <c r="L441" s="20"/>
      <c r="M441" s="20"/>
      <c r="N441" s="20"/>
      <c r="O441" s="20"/>
      <c r="P441" s="20"/>
      <c r="Q441" s="21" t="str">
        <f aca="false">IF(A441="","",COUNTIF('Metric to Field'!$B:$B,A441))</f>
        <v/>
      </c>
      <c r="R441" s="21" t="str">
        <f aca="false">IF(A441="","",SUMIF('Metric to Field'!$B:$B,A441,'Metric to Field'!$G:$G))</f>
        <v/>
      </c>
      <c r="S441" s="20"/>
      <c r="T441" s="20"/>
      <c r="U441" s="20"/>
      <c r="V441" s="20"/>
      <c r="W441" s="20"/>
    </row>
    <row r="442" customFormat="false" ht="15" hidden="false" customHeight="false" outlineLevel="0" collapsed="false">
      <c r="A442" s="18"/>
      <c r="B442" s="19"/>
      <c r="C442" s="20"/>
      <c r="D442" s="18" t="str">
        <f aca="false">IF(C442="","",IFERROR(INDEX(Tables!$A:$A,MATCH(C442,Tables!$B:$B,0)),"Not found"))</f>
        <v/>
      </c>
      <c r="E442" s="21" t="str">
        <f aca="false">IF(D442="","",IFERROR(INDEX(Tables!$D:$D,MATCH(D442,Tables!$A:$A,0)),""))</f>
        <v/>
      </c>
      <c r="F442" s="20"/>
      <c r="G442" s="20"/>
      <c r="H442" s="18"/>
      <c r="I442" s="20"/>
      <c r="J442" s="20"/>
      <c r="K442" s="20"/>
      <c r="L442" s="20"/>
      <c r="M442" s="20"/>
      <c r="N442" s="20"/>
      <c r="O442" s="20"/>
      <c r="P442" s="20"/>
      <c r="Q442" s="21" t="str">
        <f aca="false">IF(A442="","",COUNTIF('Metric to Field'!$B:$B,A442))</f>
        <v/>
      </c>
      <c r="R442" s="21" t="str">
        <f aca="false">IF(A442="","",SUMIF('Metric to Field'!$B:$B,A442,'Metric to Field'!$G:$G))</f>
        <v/>
      </c>
      <c r="S442" s="20"/>
      <c r="T442" s="20"/>
      <c r="U442" s="20"/>
      <c r="V442" s="20"/>
      <c r="W442" s="20"/>
    </row>
    <row r="443" customFormat="false" ht="15" hidden="false" customHeight="false" outlineLevel="0" collapsed="false">
      <c r="A443" s="18"/>
      <c r="B443" s="19"/>
      <c r="C443" s="20"/>
      <c r="D443" s="18" t="str">
        <f aca="false">IF(C443="","",IFERROR(INDEX(Tables!$A:$A,MATCH(C443,Tables!$B:$B,0)),"Not found"))</f>
        <v/>
      </c>
      <c r="E443" s="21" t="str">
        <f aca="false">IF(D443="","",IFERROR(INDEX(Tables!$D:$D,MATCH(D443,Tables!$A:$A,0)),""))</f>
        <v/>
      </c>
      <c r="F443" s="20"/>
      <c r="G443" s="20"/>
      <c r="H443" s="18"/>
      <c r="I443" s="20"/>
      <c r="J443" s="20"/>
      <c r="K443" s="20"/>
      <c r="L443" s="20"/>
      <c r="M443" s="20"/>
      <c r="N443" s="20"/>
      <c r="O443" s="20"/>
      <c r="P443" s="20"/>
      <c r="Q443" s="21" t="str">
        <f aca="false">IF(A443="","",COUNTIF('Metric to Field'!$B:$B,A443))</f>
        <v/>
      </c>
      <c r="R443" s="21" t="str">
        <f aca="false">IF(A443="","",SUMIF('Metric to Field'!$B:$B,A443,'Metric to Field'!$G:$G))</f>
        <v/>
      </c>
      <c r="S443" s="20"/>
      <c r="T443" s="20"/>
      <c r="U443" s="20"/>
      <c r="V443" s="20"/>
      <c r="W443" s="20"/>
    </row>
    <row r="444" customFormat="false" ht="15" hidden="false" customHeight="false" outlineLevel="0" collapsed="false">
      <c r="A444" s="18"/>
      <c r="B444" s="19"/>
      <c r="C444" s="20"/>
      <c r="D444" s="18" t="str">
        <f aca="false">IF(C444="","",IFERROR(INDEX(Tables!$A:$A,MATCH(C444,Tables!$B:$B,0)),"Not found"))</f>
        <v/>
      </c>
      <c r="E444" s="21" t="str">
        <f aca="false">IF(D444="","",IFERROR(INDEX(Tables!$D:$D,MATCH(D444,Tables!$A:$A,0)),""))</f>
        <v/>
      </c>
      <c r="F444" s="20"/>
      <c r="G444" s="20"/>
      <c r="H444" s="18"/>
      <c r="I444" s="20"/>
      <c r="J444" s="20"/>
      <c r="K444" s="20"/>
      <c r="L444" s="20"/>
      <c r="M444" s="20"/>
      <c r="N444" s="20"/>
      <c r="O444" s="20"/>
      <c r="P444" s="20"/>
      <c r="Q444" s="21" t="str">
        <f aca="false">IF(A444="","",COUNTIF('Metric to Field'!$B:$B,A444))</f>
        <v/>
      </c>
      <c r="R444" s="21" t="str">
        <f aca="false">IF(A444="","",SUMIF('Metric to Field'!$B:$B,A444,'Metric to Field'!$G:$G))</f>
        <v/>
      </c>
      <c r="S444" s="20"/>
      <c r="T444" s="20"/>
      <c r="U444" s="20"/>
      <c r="V444" s="20"/>
      <c r="W444" s="20"/>
    </row>
    <row r="445" customFormat="false" ht="15" hidden="false" customHeight="false" outlineLevel="0" collapsed="false">
      <c r="A445" s="18"/>
      <c r="B445" s="19"/>
      <c r="C445" s="20"/>
      <c r="D445" s="18" t="str">
        <f aca="false">IF(C445="","",IFERROR(INDEX(Tables!$A:$A,MATCH(C445,Tables!$B:$B,0)),"Not found"))</f>
        <v/>
      </c>
      <c r="E445" s="21" t="str">
        <f aca="false">IF(D445="","",IFERROR(INDEX(Tables!$D:$D,MATCH(D445,Tables!$A:$A,0)),""))</f>
        <v/>
      </c>
      <c r="F445" s="20"/>
      <c r="G445" s="20"/>
      <c r="H445" s="18"/>
      <c r="I445" s="20"/>
      <c r="J445" s="20"/>
      <c r="K445" s="20"/>
      <c r="L445" s="20"/>
      <c r="M445" s="20"/>
      <c r="N445" s="20"/>
      <c r="O445" s="20"/>
      <c r="P445" s="20"/>
      <c r="Q445" s="21" t="str">
        <f aca="false">IF(A445="","",COUNTIF('Metric to Field'!$B:$B,A445))</f>
        <v/>
      </c>
      <c r="R445" s="21" t="str">
        <f aca="false">IF(A445="","",SUMIF('Metric to Field'!$B:$B,A445,'Metric to Field'!$G:$G))</f>
        <v/>
      </c>
      <c r="S445" s="20"/>
      <c r="T445" s="20"/>
      <c r="U445" s="20"/>
      <c r="V445" s="20"/>
      <c r="W445" s="20"/>
    </row>
    <row r="446" customFormat="false" ht="15" hidden="false" customHeight="false" outlineLevel="0" collapsed="false">
      <c r="A446" s="18"/>
      <c r="B446" s="19"/>
      <c r="C446" s="20"/>
      <c r="D446" s="18" t="str">
        <f aca="false">IF(C446="","",IFERROR(INDEX(Tables!$A:$A,MATCH(C446,Tables!$B:$B,0)),"Not found"))</f>
        <v/>
      </c>
      <c r="E446" s="21" t="str">
        <f aca="false">IF(D446="","",IFERROR(INDEX(Tables!$D:$D,MATCH(D446,Tables!$A:$A,0)),""))</f>
        <v/>
      </c>
      <c r="F446" s="20"/>
      <c r="G446" s="20"/>
      <c r="H446" s="18"/>
      <c r="I446" s="20"/>
      <c r="J446" s="20"/>
      <c r="K446" s="20"/>
      <c r="L446" s="20"/>
      <c r="M446" s="20"/>
      <c r="N446" s="20"/>
      <c r="O446" s="20"/>
      <c r="P446" s="20"/>
      <c r="Q446" s="21" t="str">
        <f aca="false">IF(A446="","",COUNTIF('Metric to Field'!$B:$B,A446))</f>
        <v/>
      </c>
      <c r="R446" s="21" t="str">
        <f aca="false">IF(A446="","",SUMIF('Metric to Field'!$B:$B,A446,'Metric to Field'!$G:$G))</f>
        <v/>
      </c>
      <c r="S446" s="20"/>
      <c r="T446" s="20"/>
      <c r="U446" s="20"/>
      <c r="V446" s="20"/>
      <c r="W446" s="20"/>
    </row>
    <row r="447" customFormat="false" ht="15" hidden="false" customHeight="false" outlineLevel="0" collapsed="false">
      <c r="A447" s="18"/>
      <c r="B447" s="19"/>
      <c r="C447" s="20"/>
      <c r="D447" s="18" t="str">
        <f aca="false">IF(C447="","",IFERROR(INDEX(Tables!$A:$A,MATCH(C447,Tables!$B:$B,0)),"Not found"))</f>
        <v/>
      </c>
      <c r="E447" s="21" t="str">
        <f aca="false">IF(D447="","",IFERROR(INDEX(Tables!$D:$D,MATCH(D447,Tables!$A:$A,0)),""))</f>
        <v/>
      </c>
      <c r="F447" s="20"/>
      <c r="G447" s="20"/>
      <c r="H447" s="18"/>
      <c r="I447" s="20"/>
      <c r="J447" s="20"/>
      <c r="K447" s="20"/>
      <c r="L447" s="20"/>
      <c r="M447" s="20"/>
      <c r="N447" s="20"/>
      <c r="O447" s="20"/>
      <c r="P447" s="20"/>
      <c r="Q447" s="21" t="str">
        <f aca="false">IF(A447="","",COUNTIF('Metric to Field'!$B:$B,A447))</f>
        <v/>
      </c>
      <c r="R447" s="21" t="str">
        <f aca="false">IF(A447="","",SUMIF('Metric to Field'!$B:$B,A447,'Metric to Field'!$G:$G))</f>
        <v/>
      </c>
      <c r="S447" s="20"/>
      <c r="T447" s="20"/>
      <c r="U447" s="20"/>
      <c r="V447" s="20"/>
      <c r="W447" s="20"/>
    </row>
    <row r="448" customFormat="false" ht="15" hidden="false" customHeight="false" outlineLevel="0" collapsed="false">
      <c r="A448" s="18"/>
      <c r="B448" s="19"/>
      <c r="C448" s="20"/>
      <c r="D448" s="18" t="str">
        <f aca="false">IF(C448="","",IFERROR(INDEX(Tables!$A:$A,MATCH(C448,Tables!$B:$B,0)),"Not found"))</f>
        <v/>
      </c>
      <c r="E448" s="21" t="str">
        <f aca="false">IF(D448="","",IFERROR(INDEX(Tables!$D:$D,MATCH(D448,Tables!$A:$A,0)),""))</f>
        <v/>
      </c>
      <c r="F448" s="20"/>
      <c r="G448" s="20"/>
      <c r="H448" s="18"/>
      <c r="I448" s="20"/>
      <c r="J448" s="20"/>
      <c r="K448" s="20"/>
      <c r="L448" s="20"/>
      <c r="M448" s="20"/>
      <c r="N448" s="20"/>
      <c r="O448" s="20"/>
      <c r="P448" s="20"/>
      <c r="Q448" s="21" t="str">
        <f aca="false">IF(A448="","",COUNTIF('Metric to Field'!$B:$B,A448))</f>
        <v/>
      </c>
      <c r="R448" s="21" t="str">
        <f aca="false">IF(A448="","",SUMIF('Metric to Field'!$B:$B,A448,'Metric to Field'!$G:$G))</f>
        <v/>
      </c>
      <c r="S448" s="20"/>
      <c r="T448" s="20"/>
      <c r="U448" s="20"/>
      <c r="V448" s="20"/>
      <c r="W448" s="20"/>
    </row>
    <row r="449" customFormat="false" ht="15" hidden="false" customHeight="false" outlineLevel="0" collapsed="false">
      <c r="A449" s="18"/>
      <c r="B449" s="19"/>
      <c r="C449" s="20"/>
      <c r="D449" s="18" t="str">
        <f aca="false">IF(C449="","",IFERROR(INDEX(Tables!$A:$A,MATCH(C449,Tables!$B:$B,0)),"Not found"))</f>
        <v/>
      </c>
      <c r="E449" s="21" t="str">
        <f aca="false">IF(D449="","",IFERROR(INDEX(Tables!$D:$D,MATCH(D449,Tables!$A:$A,0)),""))</f>
        <v/>
      </c>
      <c r="F449" s="20"/>
      <c r="G449" s="20"/>
      <c r="H449" s="18"/>
      <c r="I449" s="20"/>
      <c r="J449" s="20"/>
      <c r="K449" s="20"/>
      <c r="L449" s="20"/>
      <c r="M449" s="20"/>
      <c r="N449" s="20"/>
      <c r="O449" s="20"/>
      <c r="P449" s="20"/>
      <c r="Q449" s="21" t="str">
        <f aca="false">IF(A449="","",COUNTIF('Metric to Field'!$B:$B,A449))</f>
        <v/>
      </c>
      <c r="R449" s="21" t="str">
        <f aca="false">IF(A449="","",SUMIF('Metric to Field'!$B:$B,A449,'Metric to Field'!$G:$G))</f>
        <v/>
      </c>
      <c r="S449" s="20"/>
      <c r="T449" s="20"/>
      <c r="U449" s="20"/>
      <c r="V449" s="20"/>
      <c r="W449" s="20"/>
    </row>
    <row r="450" customFormat="false" ht="15" hidden="false" customHeight="false" outlineLevel="0" collapsed="false">
      <c r="A450" s="18"/>
      <c r="B450" s="19"/>
      <c r="C450" s="20"/>
      <c r="D450" s="18" t="str">
        <f aca="false">IF(C450="","",IFERROR(INDEX(Tables!$A:$A,MATCH(C450,Tables!$B:$B,0)),"Not found"))</f>
        <v/>
      </c>
      <c r="E450" s="21" t="str">
        <f aca="false">IF(D450="","",IFERROR(INDEX(Tables!$D:$D,MATCH(D450,Tables!$A:$A,0)),""))</f>
        <v/>
      </c>
      <c r="F450" s="20"/>
      <c r="G450" s="20"/>
      <c r="H450" s="18"/>
      <c r="I450" s="20"/>
      <c r="J450" s="20"/>
      <c r="K450" s="20"/>
      <c r="L450" s="20"/>
      <c r="M450" s="20"/>
      <c r="N450" s="20"/>
      <c r="O450" s="20"/>
      <c r="P450" s="20"/>
      <c r="Q450" s="21" t="str">
        <f aca="false">IF(A450="","",COUNTIF('Metric to Field'!$B:$B,A450))</f>
        <v/>
      </c>
      <c r="R450" s="21" t="str">
        <f aca="false">IF(A450="","",SUMIF('Metric to Field'!$B:$B,A450,'Metric to Field'!$G:$G))</f>
        <v/>
      </c>
      <c r="S450" s="20"/>
      <c r="T450" s="20"/>
      <c r="U450" s="20"/>
      <c r="V450" s="20"/>
      <c r="W450" s="20"/>
    </row>
    <row r="451" customFormat="false" ht="15" hidden="false" customHeight="false" outlineLevel="0" collapsed="false">
      <c r="A451" s="18"/>
      <c r="B451" s="19"/>
      <c r="C451" s="20"/>
      <c r="D451" s="18" t="str">
        <f aca="false">IF(C451="","",IFERROR(INDEX(Tables!$A:$A,MATCH(C451,Tables!$B:$B,0)),"Not found"))</f>
        <v/>
      </c>
      <c r="E451" s="21" t="str">
        <f aca="false">IF(D451="","",IFERROR(INDEX(Tables!$D:$D,MATCH(D451,Tables!$A:$A,0)),""))</f>
        <v/>
      </c>
      <c r="F451" s="20"/>
      <c r="G451" s="20"/>
      <c r="H451" s="18"/>
      <c r="I451" s="20"/>
      <c r="J451" s="20"/>
      <c r="K451" s="20"/>
      <c r="L451" s="20"/>
      <c r="M451" s="20"/>
      <c r="N451" s="20"/>
      <c r="O451" s="20"/>
      <c r="P451" s="20"/>
      <c r="Q451" s="21" t="str">
        <f aca="false">IF(A451="","",COUNTIF('Metric to Field'!$B:$B,A451))</f>
        <v/>
      </c>
      <c r="R451" s="21" t="str">
        <f aca="false">IF(A451="","",SUMIF('Metric to Field'!$B:$B,A451,'Metric to Field'!$G:$G))</f>
        <v/>
      </c>
      <c r="S451" s="20"/>
      <c r="T451" s="20"/>
      <c r="U451" s="20"/>
      <c r="V451" s="20"/>
      <c r="W451" s="20"/>
    </row>
    <row r="452" customFormat="false" ht="15" hidden="false" customHeight="false" outlineLevel="0" collapsed="false">
      <c r="A452" s="18"/>
      <c r="B452" s="19"/>
      <c r="C452" s="20"/>
      <c r="D452" s="18" t="str">
        <f aca="false">IF(C452="","",IFERROR(INDEX(Tables!$A:$A,MATCH(C452,Tables!$B:$B,0)),"Not found"))</f>
        <v/>
      </c>
      <c r="E452" s="21" t="str">
        <f aca="false">IF(D452="","",IFERROR(INDEX(Tables!$D:$D,MATCH(D452,Tables!$A:$A,0)),""))</f>
        <v/>
      </c>
      <c r="F452" s="20"/>
      <c r="G452" s="20"/>
      <c r="H452" s="18"/>
      <c r="I452" s="20"/>
      <c r="J452" s="20"/>
      <c r="K452" s="20"/>
      <c r="L452" s="20"/>
      <c r="M452" s="20"/>
      <c r="N452" s="20"/>
      <c r="O452" s="20"/>
      <c r="P452" s="20"/>
      <c r="Q452" s="21" t="str">
        <f aca="false">IF(A452="","",COUNTIF('Metric to Field'!$B:$B,A452))</f>
        <v/>
      </c>
      <c r="R452" s="21" t="str">
        <f aca="false">IF(A452="","",SUMIF('Metric to Field'!$B:$B,A452,'Metric to Field'!$G:$G))</f>
        <v/>
      </c>
      <c r="S452" s="20"/>
      <c r="T452" s="20"/>
      <c r="U452" s="20"/>
      <c r="V452" s="20"/>
      <c r="W452" s="20"/>
    </row>
    <row r="453" customFormat="false" ht="15" hidden="false" customHeight="false" outlineLevel="0" collapsed="false">
      <c r="A453" s="18"/>
      <c r="B453" s="19"/>
      <c r="C453" s="20"/>
      <c r="D453" s="18" t="str">
        <f aca="false">IF(C453="","",IFERROR(INDEX(Tables!$A:$A,MATCH(C453,Tables!$B:$B,0)),"Not found"))</f>
        <v/>
      </c>
      <c r="E453" s="21" t="str">
        <f aca="false">IF(D453="","",IFERROR(INDEX(Tables!$D:$D,MATCH(D453,Tables!$A:$A,0)),""))</f>
        <v/>
      </c>
      <c r="F453" s="20"/>
      <c r="G453" s="20"/>
      <c r="H453" s="18"/>
      <c r="I453" s="20"/>
      <c r="J453" s="20"/>
      <c r="K453" s="20"/>
      <c r="L453" s="20"/>
      <c r="M453" s="20"/>
      <c r="N453" s="20"/>
      <c r="O453" s="20"/>
      <c r="P453" s="20"/>
      <c r="Q453" s="21" t="str">
        <f aca="false">IF(A453="","",COUNTIF('Metric to Field'!$B:$B,A453))</f>
        <v/>
      </c>
      <c r="R453" s="21" t="str">
        <f aca="false">IF(A453="","",SUMIF('Metric to Field'!$B:$B,A453,'Metric to Field'!$G:$G))</f>
        <v/>
      </c>
      <c r="S453" s="20"/>
      <c r="T453" s="20"/>
      <c r="U453" s="20"/>
      <c r="V453" s="20"/>
      <c r="W453" s="20"/>
    </row>
    <row r="454" customFormat="false" ht="15" hidden="false" customHeight="false" outlineLevel="0" collapsed="false">
      <c r="A454" s="18"/>
      <c r="B454" s="19"/>
      <c r="C454" s="20"/>
      <c r="D454" s="18" t="str">
        <f aca="false">IF(C454="","",IFERROR(INDEX(Tables!$A:$A,MATCH(C454,Tables!$B:$B,0)),"Not found"))</f>
        <v/>
      </c>
      <c r="E454" s="21" t="str">
        <f aca="false">IF(D454="","",IFERROR(INDEX(Tables!$D:$D,MATCH(D454,Tables!$A:$A,0)),""))</f>
        <v/>
      </c>
      <c r="F454" s="20"/>
      <c r="G454" s="20"/>
      <c r="H454" s="18"/>
      <c r="I454" s="20"/>
      <c r="J454" s="20"/>
      <c r="K454" s="20"/>
      <c r="L454" s="20"/>
      <c r="M454" s="20"/>
      <c r="N454" s="20"/>
      <c r="O454" s="20"/>
      <c r="P454" s="20"/>
      <c r="Q454" s="21" t="str">
        <f aca="false">IF(A454="","",COUNTIF('Metric to Field'!$B:$B,A454))</f>
        <v/>
      </c>
      <c r="R454" s="21" t="str">
        <f aca="false">IF(A454="","",SUMIF('Metric to Field'!$B:$B,A454,'Metric to Field'!$G:$G))</f>
        <v/>
      </c>
      <c r="S454" s="20"/>
      <c r="T454" s="20"/>
      <c r="U454" s="20"/>
      <c r="V454" s="20"/>
      <c r="W454" s="20"/>
    </row>
    <row r="455" customFormat="false" ht="15" hidden="false" customHeight="false" outlineLevel="0" collapsed="false">
      <c r="A455" s="18"/>
      <c r="B455" s="19"/>
      <c r="C455" s="20"/>
      <c r="D455" s="18" t="str">
        <f aca="false">IF(C455="","",IFERROR(INDEX(Tables!$A:$A,MATCH(C455,Tables!$B:$B,0)),"Not found"))</f>
        <v/>
      </c>
      <c r="E455" s="21" t="str">
        <f aca="false">IF(D455="","",IFERROR(INDEX(Tables!$D:$D,MATCH(D455,Tables!$A:$A,0)),""))</f>
        <v/>
      </c>
      <c r="F455" s="20"/>
      <c r="G455" s="20"/>
      <c r="H455" s="18"/>
      <c r="I455" s="20"/>
      <c r="J455" s="20"/>
      <c r="K455" s="20"/>
      <c r="L455" s="20"/>
      <c r="M455" s="20"/>
      <c r="N455" s="20"/>
      <c r="O455" s="20"/>
      <c r="P455" s="20"/>
      <c r="Q455" s="21" t="str">
        <f aca="false">IF(A455="","",COUNTIF('Metric to Field'!$B:$B,A455))</f>
        <v/>
      </c>
      <c r="R455" s="21" t="str">
        <f aca="false">IF(A455="","",SUMIF('Metric to Field'!$B:$B,A455,'Metric to Field'!$G:$G))</f>
        <v/>
      </c>
      <c r="S455" s="20"/>
      <c r="T455" s="20"/>
      <c r="U455" s="20"/>
      <c r="V455" s="20"/>
      <c r="W455" s="20"/>
    </row>
    <row r="456" customFormat="false" ht="15" hidden="false" customHeight="false" outlineLevel="0" collapsed="false">
      <c r="A456" s="18"/>
      <c r="B456" s="19"/>
      <c r="C456" s="20"/>
      <c r="D456" s="18" t="str">
        <f aca="false">IF(C456="","",IFERROR(INDEX(Tables!$A:$A,MATCH(C456,Tables!$B:$B,0)),"Not found"))</f>
        <v/>
      </c>
      <c r="E456" s="21" t="str">
        <f aca="false">IF(D456="","",IFERROR(INDEX(Tables!$D:$D,MATCH(D456,Tables!$A:$A,0)),""))</f>
        <v/>
      </c>
      <c r="F456" s="20"/>
      <c r="G456" s="20"/>
      <c r="H456" s="18"/>
      <c r="I456" s="20"/>
      <c r="J456" s="20"/>
      <c r="K456" s="20"/>
      <c r="L456" s="20"/>
      <c r="M456" s="20"/>
      <c r="N456" s="20"/>
      <c r="O456" s="20"/>
      <c r="P456" s="20"/>
      <c r="Q456" s="21" t="str">
        <f aca="false">IF(A456="","",COUNTIF('Metric to Field'!$B:$B,A456))</f>
        <v/>
      </c>
      <c r="R456" s="21" t="str">
        <f aca="false">IF(A456="","",SUMIF('Metric to Field'!$B:$B,A456,'Metric to Field'!$G:$G))</f>
        <v/>
      </c>
      <c r="S456" s="20"/>
      <c r="T456" s="20"/>
      <c r="U456" s="20"/>
      <c r="V456" s="20"/>
      <c r="W456" s="20"/>
    </row>
    <row r="457" customFormat="false" ht="15" hidden="false" customHeight="false" outlineLevel="0" collapsed="false">
      <c r="A457" s="18"/>
      <c r="B457" s="19"/>
      <c r="C457" s="20"/>
      <c r="D457" s="18" t="str">
        <f aca="false">IF(C457="","",IFERROR(INDEX(Tables!$A:$A,MATCH(C457,Tables!$B:$B,0)),"Not found"))</f>
        <v/>
      </c>
      <c r="E457" s="21" t="str">
        <f aca="false">IF(D457="","",IFERROR(INDEX(Tables!$D:$D,MATCH(D457,Tables!$A:$A,0)),""))</f>
        <v/>
      </c>
      <c r="F457" s="20"/>
      <c r="G457" s="20"/>
      <c r="H457" s="18"/>
      <c r="I457" s="20"/>
      <c r="J457" s="20"/>
      <c r="K457" s="20"/>
      <c r="L457" s="20"/>
      <c r="M457" s="20"/>
      <c r="N457" s="20"/>
      <c r="O457" s="20"/>
      <c r="P457" s="20"/>
      <c r="Q457" s="21" t="str">
        <f aca="false">IF(A457="","",COUNTIF('Metric to Field'!$B:$B,A457))</f>
        <v/>
      </c>
      <c r="R457" s="21" t="str">
        <f aca="false">IF(A457="","",SUMIF('Metric to Field'!$B:$B,A457,'Metric to Field'!$G:$G))</f>
        <v/>
      </c>
      <c r="S457" s="20"/>
      <c r="T457" s="20"/>
      <c r="U457" s="20"/>
      <c r="V457" s="20"/>
      <c r="W457" s="20"/>
    </row>
    <row r="458" customFormat="false" ht="15" hidden="false" customHeight="false" outlineLevel="0" collapsed="false">
      <c r="A458" s="18"/>
      <c r="B458" s="19"/>
      <c r="C458" s="20"/>
      <c r="D458" s="18" t="str">
        <f aca="false">IF(C458="","",IFERROR(INDEX(Tables!$A:$A,MATCH(C458,Tables!$B:$B,0)),"Not found"))</f>
        <v/>
      </c>
      <c r="E458" s="21" t="str">
        <f aca="false">IF(D458="","",IFERROR(INDEX(Tables!$D:$D,MATCH(D458,Tables!$A:$A,0)),""))</f>
        <v/>
      </c>
      <c r="F458" s="20"/>
      <c r="G458" s="20"/>
      <c r="H458" s="18"/>
      <c r="I458" s="20"/>
      <c r="J458" s="20"/>
      <c r="K458" s="20"/>
      <c r="L458" s="20"/>
      <c r="M458" s="20"/>
      <c r="N458" s="20"/>
      <c r="O458" s="20"/>
      <c r="P458" s="20"/>
      <c r="Q458" s="21" t="str">
        <f aca="false">IF(A458="","",COUNTIF('Metric to Field'!$B:$B,A458))</f>
        <v/>
      </c>
      <c r="R458" s="21" t="str">
        <f aca="false">IF(A458="","",SUMIF('Metric to Field'!$B:$B,A458,'Metric to Field'!$G:$G))</f>
        <v/>
      </c>
      <c r="S458" s="20"/>
      <c r="T458" s="20"/>
      <c r="U458" s="20"/>
      <c r="V458" s="20"/>
      <c r="W458" s="20"/>
    </row>
    <row r="459" customFormat="false" ht="15" hidden="false" customHeight="false" outlineLevel="0" collapsed="false">
      <c r="A459" s="18"/>
      <c r="B459" s="19"/>
      <c r="C459" s="20"/>
      <c r="D459" s="18" t="str">
        <f aca="false">IF(C459="","",IFERROR(INDEX(Tables!$A:$A,MATCH(C459,Tables!$B:$B,0)),"Not found"))</f>
        <v/>
      </c>
      <c r="E459" s="21" t="str">
        <f aca="false">IF(D459="","",IFERROR(INDEX(Tables!$D:$D,MATCH(D459,Tables!$A:$A,0)),""))</f>
        <v/>
      </c>
      <c r="F459" s="20"/>
      <c r="G459" s="20"/>
      <c r="H459" s="18"/>
      <c r="I459" s="20"/>
      <c r="J459" s="20"/>
      <c r="K459" s="20"/>
      <c r="L459" s="20"/>
      <c r="M459" s="20"/>
      <c r="N459" s="20"/>
      <c r="O459" s="20"/>
      <c r="P459" s="20"/>
      <c r="Q459" s="21" t="str">
        <f aca="false">IF(A459="","",COUNTIF('Metric to Field'!$B:$B,A459))</f>
        <v/>
      </c>
      <c r="R459" s="21" t="str">
        <f aca="false">IF(A459="","",SUMIF('Metric to Field'!$B:$B,A459,'Metric to Field'!$G:$G))</f>
        <v/>
      </c>
      <c r="S459" s="20"/>
      <c r="T459" s="20"/>
      <c r="U459" s="20"/>
      <c r="V459" s="20"/>
      <c r="W459" s="20"/>
    </row>
    <row r="460" customFormat="false" ht="15" hidden="false" customHeight="false" outlineLevel="0" collapsed="false">
      <c r="A460" s="18"/>
      <c r="B460" s="19"/>
      <c r="C460" s="20"/>
      <c r="D460" s="18" t="str">
        <f aca="false">IF(C460="","",IFERROR(INDEX(Tables!$A:$A,MATCH(C460,Tables!$B:$B,0)),"Not found"))</f>
        <v/>
      </c>
      <c r="E460" s="21" t="str">
        <f aca="false">IF(D460="","",IFERROR(INDEX(Tables!$D:$D,MATCH(D460,Tables!$A:$A,0)),""))</f>
        <v/>
      </c>
      <c r="F460" s="20"/>
      <c r="G460" s="20"/>
      <c r="H460" s="18"/>
      <c r="I460" s="20"/>
      <c r="J460" s="20"/>
      <c r="K460" s="20"/>
      <c r="L460" s="20"/>
      <c r="M460" s="20"/>
      <c r="N460" s="20"/>
      <c r="O460" s="20"/>
      <c r="P460" s="20"/>
      <c r="Q460" s="21" t="str">
        <f aca="false">IF(A460="","",COUNTIF('Metric to Field'!$B:$B,A460))</f>
        <v/>
      </c>
      <c r="R460" s="21" t="str">
        <f aca="false">IF(A460="","",SUMIF('Metric to Field'!$B:$B,A460,'Metric to Field'!$G:$G))</f>
        <v/>
      </c>
      <c r="S460" s="20"/>
      <c r="T460" s="20"/>
      <c r="U460" s="20"/>
      <c r="V460" s="20"/>
      <c r="W460" s="20"/>
    </row>
    <row r="461" customFormat="false" ht="15" hidden="false" customHeight="false" outlineLevel="0" collapsed="false">
      <c r="A461" s="18"/>
      <c r="B461" s="19"/>
      <c r="C461" s="20"/>
      <c r="D461" s="18" t="str">
        <f aca="false">IF(C461="","",IFERROR(INDEX(Tables!$A:$A,MATCH(C461,Tables!$B:$B,0)),"Not found"))</f>
        <v/>
      </c>
      <c r="E461" s="21" t="str">
        <f aca="false">IF(D461="","",IFERROR(INDEX(Tables!$D:$D,MATCH(D461,Tables!$A:$A,0)),""))</f>
        <v/>
      </c>
      <c r="F461" s="20"/>
      <c r="G461" s="20"/>
      <c r="H461" s="18"/>
      <c r="I461" s="20"/>
      <c r="J461" s="20"/>
      <c r="K461" s="20"/>
      <c r="L461" s="20"/>
      <c r="M461" s="20"/>
      <c r="N461" s="20"/>
      <c r="O461" s="20"/>
      <c r="P461" s="20"/>
      <c r="Q461" s="21" t="str">
        <f aca="false">IF(A461="","",COUNTIF('Metric to Field'!$B:$B,A461))</f>
        <v/>
      </c>
      <c r="R461" s="21" t="str">
        <f aca="false">IF(A461="","",SUMIF('Metric to Field'!$B:$B,A461,'Metric to Field'!$G:$G))</f>
        <v/>
      </c>
      <c r="S461" s="20"/>
      <c r="T461" s="20"/>
      <c r="U461" s="20"/>
      <c r="V461" s="20"/>
      <c r="W461" s="20"/>
    </row>
    <row r="462" customFormat="false" ht="15" hidden="false" customHeight="false" outlineLevel="0" collapsed="false">
      <c r="A462" s="18"/>
      <c r="B462" s="19"/>
      <c r="C462" s="20"/>
      <c r="D462" s="18" t="str">
        <f aca="false">IF(C462="","",IFERROR(INDEX(Tables!$A:$A,MATCH(C462,Tables!$B:$B,0)),"Not found"))</f>
        <v/>
      </c>
      <c r="E462" s="21" t="str">
        <f aca="false">IF(D462="","",IFERROR(INDEX(Tables!$D:$D,MATCH(D462,Tables!$A:$A,0)),""))</f>
        <v/>
      </c>
      <c r="F462" s="20"/>
      <c r="G462" s="20"/>
      <c r="H462" s="18"/>
      <c r="I462" s="20"/>
      <c r="J462" s="20"/>
      <c r="K462" s="20"/>
      <c r="L462" s="20"/>
      <c r="M462" s="20"/>
      <c r="N462" s="20"/>
      <c r="O462" s="20"/>
      <c r="P462" s="20"/>
      <c r="Q462" s="21" t="str">
        <f aca="false">IF(A462="","",COUNTIF('Metric to Field'!$B:$B,A462))</f>
        <v/>
      </c>
      <c r="R462" s="21" t="str">
        <f aca="false">IF(A462="","",SUMIF('Metric to Field'!$B:$B,A462,'Metric to Field'!$G:$G))</f>
        <v/>
      </c>
      <c r="S462" s="20"/>
      <c r="T462" s="20"/>
      <c r="U462" s="20"/>
      <c r="V462" s="20"/>
      <c r="W462" s="20"/>
    </row>
    <row r="463" customFormat="false" ht="15" hidden="false" customHeight="false" outlineLevel="0" collapsed="false">
      <c r="A463" s="18"/>
      <c r="B463" s="19"/>
      <c r="C463" s="20"/>
      <c r="D463" s="18" t="str">
        <f aca="false">IF(C463="","",IFERROR(INDEX(Tables!$A:$A,MATCH(C463,Tables!$B:$B,0)),"Not found"))</f>
        <v/>
      </c>
      <c r="E463" s="21" t="str">
        <f aca="false">IF(D463="","",IFERROR(INDEX(Tables!$D:$D,MATCH(D463,Tables!$A:$A,0)),""))</f>
        <v/>
      </c>
      <c r="F463" s="20"/>
      <c r="G463" s="20"/>
      <c r="H463" s="18"/>
      <c r="I463" s="20"/>
      <c r="J463" s="20"/>
      <c r="K463" s="20"/>
      <c r="L463" s="20"/>
      <c r="M463" s="20"/>
      <c r="N463" s="20"/>
      <c r="O463" s="20"/>
      <c r="P463" s="20"/>
      <c r="Q463" s="21" t="str">
        <f aca="false">IF(A463="","",COUNTIF('Metric to Field'!$B:$B,A463))</f>
        <v/>
      </c>
      <c r="R463" s="21" t="str">
        <f aca="false">IF(A463="","",SUMIF('Metric to Field'!$B:$B,A463,'Metric to Field'!$G:$G))</f>
        <v/>
      </c>
      <c r="S463" s="20"/>
      <c r="T463" s="20"/>
      <c r="U463" s="20"/>
      <c r="V463" s="20"/>
      <c r="W463" s="20"/>
    </row>
    <row r="464" customFormat="false" ht="15" hidden="false" customHeight="false" outlineLevel="0" collapsed="false">
      <c r="A464" s="18"/>
      <c r="B464" s="19"/>
      <c r="C464" s="20"/>
      <c r="D464" s="18" t="str">
        <f aca="false">IF(C464="","",IFERROR(INDEX(Tables!$A:$A,MATCH(C464,Tables!$B:$B,0)),"Not found"))</f>
        <v/>
      </c>
      <c r="E464" s="21" t="str">
        <f aca="false">IF(D464="","",IFERROR(INDEX(Tables!$D:$D,MATCH(D464,Tables!$A:$A,0)),""))</f>
        <v/>
      </c>
      <c r="F464" s="20"/>
      <c r="G464" s="20"/>
      <c r="H464" s="18"/>
      <c r="I464" s="20"/>
      <c r="J464" s="20"/>
      <c r="K464" s="20"/>
      <c r="L464" s="20"/>
      <c r="M464" s="20"/>
      <c r="N464" s="20"/>
      <c r="O464" s="20"/>
      <c r="P464" s="20"/>
      <c r="Q464" s="21" t="str">
        <f aca="false">IF(A464="","",COUNTIF('Metric to Field'!$B:$B,A464))</f>
        <v/>
      </c>
      <c r="R464" s="21" t="str">
        <f aca="false">IF(A464="","",SUMIF('Metric to Field'!$B:$B,A464,'Metric to Field'!$G:$G))</f>
        <v/>
      </c>
      <c r="S464" s="20"/>
      <c r="T464" s="20"/>
      <c r="U464" s="20"/>
      <c r="V464" s="20"/>
      <c r="W464" s="20"/>
    </row>
    <row r="465" customFormat="false" ht="15" hidden="false" customHeight="false" outlineLevel="0" collapsed="false">
      <c r="A465" s="18"/>
      <c r="B465" s="19"/>
      <c r="C465" s="20"/>
      <c r="D465" s="18" t="str">
        <f aca="false">IF(C465="","",IFERROR(INDEX(Tables!$A:$A,MATCH(C465,Tables!$B:$B,0)),"Not found"))</f>
        <v/>
      </c>
      <c r="E465" s="21" t="str">
        <f aca="false">IF(D465="","",IFERROR(INDEX(Tables!$D:$D,MATCH(D465,Tables!$A:$A,0)),""))</f>
        <v/>
      </c>
      <c r="F465" s="20"/>
      <c r="G465" s="20"/>
      <c r="H465" s="18"/>
      <c r="I465" s="20"/>
      <c r="J465" s="20"/>
      <c r="K465" s="20"/>
      <c r="L465" s="20"/>
      <c r="M465" s="20"/>
      <c r="N465" s="20"/>
      <c r="O465" s="20"/>
      <c r="P465" s="20"/>
      <c r="Q465" s="21" t="str">
        <f aca="false">IF(A465="","",COUNTIF('Metric to Field'!$B:$B,A465))</f>
        <v/>
      </c>
      <c r="R465" s="21" t="str">
        <f aca="false">IF(A465="","",SUMIF('Metric to Field'!$B:$B,A465,'Metric to Field'!$G:$G))</f>
        <v/>
      </c>
      <c r="S465" s="20"/>
      <c r="T465" s="20"/>
      <c r="U465" s="20"/>
      <c r="V465" s="20"/>
      <c r="W465" s="20"/>
    </row>
    <row r="466" customFormat="false" ht="15" hidden="false" customHeight="false" outlineLevel="0" collapsed="false">
      <c r="A466" s="18"/>
      <c r="B466" s="19"/>
      <c r="C466" s="20"/>
      <c r="D466" s="18" t="str">
        <f aca="false">IF(C466="","",IFERROR(INDEX(Tables!$A:$A,MATCH(C466,Tables!$B:$B,0)),"Not found"))</f>
        <v/>
      </c>
      <c r="E466" s="21" t="str">
        <f aca="false">IF(D466="","",IFERROR(INDEX(Tables!$D:$D,MATCH(D466,Tables!$A:$A,0)),""))</f>
        <v/>
      </c>
      <c r="F466" s="20"/>
      <c r="G466" s="20"/>
      <c r="H466" s="18"/>
      <c r="I466" s="20"/>
      <c r="J466" s="20"/>
      <c r="K466" s="20"/>
      <c r="L466" s="20"/>
      <c r="M466" s="20"/>
      <c r="N466" s="20"/>
      <c r="O466" s="20"/>
      <c r="P466" s="20"/>
      <c r="Q466" s="21" t="str">
        <f aca="false">IF(A466="","",COUNTIF('Metric to Field'!$B:$B,A466))</f>
        <v/>
      </c>
      <c r="R466" s="21" t="str">
        <f aca="false">IF(A466="","",SUMIF('Metric to Field'!$B:$B,A466,'Metric to Field'!$G:$G))</f>
        <v/>
      </c>
      <c r="S466" s="20"/>
      <c r="T466" s="20"/>
      <c r="U466" s="20"/>
      <c r="V466" s="20"/>
      <c r="W466" s="20"/>
    </row>
    <row r="467" customFormat="false" ht="15" hidden="false" customHeight="false" outlineLevel="0" collapsed="false">
      <c r="A467" s="18"/>
      <c r="B467" s="19"/>
      <c r="C467" s="20"/>
      <c r="D467" s="18" t="str">
        <f aca="false">IF(C467="","",IFERROR(INDEX(Tables!$A:$A,MATCH(C467,Tables!$B:$B,0)),"Not found"))</f>
        <v/>
      </c>
      <c r="E467" s="21" t="str">
        <f aca="false">IF(D467="","",IFERROR(INDEX(Tables!$D:$D,MATCH(D467,Tables!$A:$A,0)),""))</f>
        <v/>
      </c>
      <c r="F467" s="20"/>
      <c r="G467" s="20"/>
      <c r="H467" s="18"/>
      <c r="I467" s="20"/>
      <c r="J467" s="20"/>
      <c r="K467" s="20"/>
      <c r="L467" s="20"/>
      <c r="M467" s="20"/>
      <c r="N467" s="20"/>
      <c r="O467" s="20"/>
      <c r="P467" s="20"/>
      <c r="Q467" s="21" t="str">
        <f aca="false">IF(A467="","",COUNTIF('Metric to Field'!$B:$B,A467))</f>
        <v/>
      </c>
      <c r="R467" s="21" t="str">
        <f aca="false">IF(A467="","",SUMIF('Metric to Field'!$B:$B,A467,'Metric to Field'!$G:$G))</f>
        <v/>
      </c>
      <c r="S467" s="20"/>
      <c r="T467" s="20"/>
      <c r="U467" s="20"/>
      <c r="V467" s="20"/>
      <c r="W467" s="20"/>
    </row>
    <row r="468" customFormat="false" ht="15" hidden="false" customHeight="false" outlineLevel="0" collapsed="false">
      <c r="A468" s="18"/>
      <c r="B468" s="19"/>
      <c r="C468" s="20"/>
      <c r="D468" s="18" t="str">
        <f aca="false">IF(C468="","",IFERROR(INDEX(Tables!$A:$A,MATCH(C468,Tables!$B:$B,0)),"Not found"))</f>
        <v/>
      </c>
      <c r="E468" s="21" t="str">
        <f aca="false">IF(D468="","",IFERROR(INDEX(Tables!$D:$D,MATCH(D468,Tables!$A:$A,0)),""))</f>
        <v/>
      </c>
      <c r="F468" s="20"/>
      <c r="G468" s="20"/>
      <c r="H468" s="18"/>
      <c r="I468" s="20"/>
      <c r="J468" s="20"/>
      <c r="K468" s="20"/>
      <c r="L468" s="20"/>
      <c r="M468" s="20"/>
      <c r="N468" s="20"/>
      <c r="O468" s="20"/>
      <c r="P468" s="20"/>
      <c r="Q468" s="21" t="str">
        <f aca="false">IF(A468="","",COUNTIF('Metric to Field'!$B:$B,A468))</f>
        <v/>
      </c>
      <c r="R468" s="21" t="str">
        <f aca="false">IF(A468="","",SUMIF('Metric to Field'!$B:$B,A468,'Metric to Field'!$G:$G))</f>
        <v/>
      </c>
      <c r="S468" s="20"/>
      <c r="T468" s="20"/>
      <c r="U468" s="20"/>
      <c r="V468" s="20"/>
      <c r="W468" s="20"/>
    </row>
    <row r="469" customFormat="false" ht="15" hidden="false" customHeight="false" outlineLevel="0" collapsed="false">
      <c r="A469" s="18"/>
      <c r="B469" s="19"/>
      <c r="C469" s="20"/>
      <c r="D469" s="18" t="str">
        <f aca="false">IF(C469="","",IFERROR(INDEX(Tables!$A:$A,MATCH(C469,Tables!$B:$B,0)),"Not found"))</f>
        <v/>
      </c>
      <c r="E469" s="21" t="str">
        <f aca="false">IF(D469="","",IFERROR(INDEX(Tables!$D:$D,MATCH(D469,Tables!$A:$A,0)),""))</f>
        <v/>
      </c>
      <c r="F469" s="20"/>
      <c r="G469" s="20"/>
      <c r="H469" s="18"/>
      <c r="I469" s="20"/>
      <c r="J469" s="20"/>
      <c r="K469" s="20"/>
      <c r="L469" s="20"/>
      <c r="M469" s="20"/>
      <c r="N469" s="20"/>
      <c r="O469" s="20"/>
      <c r="P469" s="20"/>
      <c r="Q469" s="21" t="str">
        <f aca="false">IF(A469="","",COUNTIF('Metric to Field'!$B:$B,A469))</f>
        <v/>
      </c>
      <c r="R469" s="21" t="str">
        <f aca="false">IF(A469="","",SUMIF('Metric to Field'!$B:$B,A469,'Metric to Field'!$G:$G))</f>
        <v/>
      </c>
      <c r="S469" s="20"/>
      <c r="T469" s="20"/>
      <c r="U469" s="20"/>
      <c r="V469" s="20"/>
      <c r="W469" s="20"/>
    </row>
    <row r="470" customFormat="false" ht="15" hidden="false" customHeight="false" outlineLevel="0" collapsed="false">
      <c r="A470" s="18"/>
      <c r="B470" s="19"/>
      <c r="C470" s="20"/>
      <c r="D470" s="18" t="str">
        <f aca="false">IF(C470="","",IFERROR(INDEX(Tables!$A:$A,MATCH(C470,Tables!$B:$B,0)),"Not found"))</f>
        <v/>
      </c>
      <c r="E470" s="21" t="str">
        <f aca="false">IF(D470="","",IFERROR(INDEX(Tables!$D:$D,MATCH(D470,Tables!$A:$A,0)),""))</f>
        <v/>
      </c>
      <c r="F470" s="20"/>
      <c r="G470" s="20"/>
      <c r="H470" s="18"/>
      <c r="I470" s="20"/>
      <c r="J470" s="20"/>
      <c r="K470" s="20"/>
      <c r="L470" s="20"/>
      <c r="M470" s="20"/>
      <c r="N470" s="20"/>
      <c r="O470" s="20"/>
      <c r="P470" s="20"/>
      <c r="Q470" s="21" t="str">
        <f aca="false">IF(A470="","",COUNTIF('Metric to Field'!$B:$B,A470))</f>
        <v/>
      </c>
      <c r="R470" s="21" t="str">
        <f aca="false">IF(A470="","",SUMIF('Metric to Field'!$B:$B,A470,'Metric to Field'!$G:$G))</f>
        <v/>
      </c>
      <c r="S470" s="20"/>
      <c r="T470" s="20"/>
      <c r="U470" s="20"/>
      <c r="V470" s="20"/>
      <c r="W470" s="20"/>
    </row>
    <row r="471" customFormat="false" ht="15" hidden="false" customHeight="false" outlineLevel="0" collapsed="false">
      <c r="A471" s="18"/>
      <c r="B471" s="19"/>
      <c r="C471" s="20"/>
      <c r="D471" s="18" t="str">
        <f aca="false">IF(C471="","",IFERROR(INDEX(Tables!$A:$A,MATCH(C471,Tables!$B:$B,0)),"Not found"))</f>
        <v/>
      </c>
      <c r="E471" s="21" t="str">
        <f aca="false">IF(D471="","",IFERROR(INDEX(Tables!$D:$D,MATCH(D471,Tables!$A:$A,0)),""))</f>
        <v/>
      </c>
      <c r="F471" s="20"/>
      <c r="G471" s="20"/>
      <c r="H471" s="18"/>
      <c r="I471" s="20"/>
      <c r="J471" s="20"/>
      <c r="K471" s="20"/>
      <c r="L471" s="20"/>
      <c r="M471" s="20"/>
      <c r="N471" s="20"/>
      <c r="O471" s="20"/>
      <c r="P471" s="20"/>
      <c r="Q471" s="21" t="str">
        <f aca="false">IF(A471="","",COUNTIF('Metric to Field'!$B:$B,A471))</f>
        <v/>
      </c>
      <c r="R471" s="21" t="str">
        <f aca="false">IF(A471="","",SUMIF('Metric to Field'!$B:$B,A471,'Metric to Field'!$G:$G))</f>
        <v/>
      </c>
      <c r="S471" s="20"/>
      <c r="T471" s="20"/>
      <c r="U471" s="20"/>
      <c r="V471" s="20"/>
      <c r="W471" s="20"/>
    </row>
    <row r="472" customFormat="false" ht="15" hidden="false" customHeight="false" outlineLevel="0" collapsed="false">
      <c r="A472" s="18"/>
      <c r="B472" s="19"/>
      <c r="C472" s="20"/>
      <c r="D472" s="18" t="str">
        <f aca="false">IF(C472="","",IFERROR(INDEX(Tables!$A:$A,MATCH(C472,Tables!$B:$B,0)),"Not found"))</f>
        <v/>
      </c>
      <c r="E472" s="21" t="str">
        <f aca="false">IF(D472="","",IFERROR(INDEX(Tables!$D:$D,MATCH(D472,Tables!$A:$A,0)),""))</f>
        <v/>
      </c>
      <c r="F472" s="20"/>
      <c r="G472" s="20"/>
      <c r="H472" s="18"/>
      <c r="I472" s="20"/>
      <c r="J472" s="20"/>
      <c r="K472" s="20"/>
      <c r="L472" s="20"/>
      <c r="M472" s="20"/>
      <c r="N472" s="20"/>
      <c r="O472" s="20"/>
      <c r="P472" s="20"/>
      <c r="Q472" s="21" t="str">
        <f aca="false">IF(A472="","",COUNTIF('Metric to Field'!$B:$B,A472))</f>
        <v/>
      </c>
      <c r="R472" s="21" t="str">
        <f aca="false">IF(A472="","",SUMIF('Metric to Field'!$B:$B,A472,'Metric to Field'!$G:$G))</f>
        <v/>
      </c>
      <c r="S472" s="20"/>
      <c r="T472" s="20"/>
      <c r="U472" s="20"/>
      <c r="V472" s="20"/>
      <c r="W472" s="20"/>
    </row>
    <row r="473" customFormat="false" ht="15" hidden="false" customHeight="false" outlineLevel="0" collapsed="false">
      <c r="A473" s="18"/>
      <c r="B473" s="19"/>
      <c r="C473" s="20"/>
      <c r="D473" s="18" t="str">
        <f aca="false">IF(C473="","",IFERROR(INDEX(Tables!$A:$A,MATCH(C473,Tables!$B:$B,0)),"Not found"))</f>
        <v/>
      </c>
      <c r="E473" s="21" t="str">
        <f aca="false">IF(D473="","",IFERROR(INDEX(Tables!$D:$D,MATCH(D473,Tables!$A:$A,0)),""))</f>
        <v/>
      </c>
      <c r="F473" s="20"/>
      <c r="G473" s="20"/>
      <c r="H473" s="18"/>
      <c r="I473" s="20"/>
      <c r="J473" s="20"/>
      <c r="K473" s="20"/>
      <c r="L473" s="20"/>
      <c r="M473" s="20"/>
      <c r="N473" s="20"/>
      <c r="O473" s="20"/>
      <c r="P473" s="20"/>
      <c r="Q473" s="21" t="str">
        <f aca="false">IF(A473="","",COUNTIF('Metric to Field'!$B:$B,A473))</f>
        <v/>
      </c>
      <c r="R473" s="21" t="str">
        <f aca="false">IF(A473="","",SUMIF('Metric to Field'!$B:$B,A473,'Metric to Field'!$G:$G))</f>
        <v/>
      </c>
      <c r="S473" s="20"/>
      <c r="T473" s="20"/>
      <c r="U473" s="20"/>
      <c r="V473" s="20"/>
      <c r="W473" s="20"/>
    </row>
    <row r="474" customFormat="false" ht="15" hidden="false" customHeight="false" outlineLevel="0" collapsed="false">
      <c r="A474" s="18"/>
      <c r="B474" s="19"/>
      <c r="C474" s="20"/>
      <c r="D474" s="18" t="str">
        <f aca="false">IF(C474="","",IFERROR(INDEX(Tables!$A:$A,MATCH(C474,Tables!$B:$B,0)),"Not found"))</f>
        <v/>
      </c>
      <c r="E474" s="21" t="str">
        <f aca="false">IF(D474="","",IFERROR(INDEX(Tables!$D:$D,MATCH(D474,Tables!$A:$A,0)),""))</f>
        <v/>
      </c>
      <c r="F474" s="20"/>
      <c r="G474" s="20"/>
      <c r="H474" s="18"/>
      <c r="I474" s="20"/>
      <c r="J474" s="20"/>
      <c r="K474" s="20"/>
      <c r="L474" s="20"/>
      <c r="M474" s="20"/>
      <c r="N474" s="20"/>
      <c r="O474" s="20"/>
      <c r="P474" s="20"/>
      <c r="Q474" s="21" t="str">
        <f aca="false">IF(A474="","",COUNTIF('Metric to Field'!$B:$B,A474))</f>
        <v/>
      </c>
      <c r="R474" s="21" t="str">
        <f aca="false">IF(A474="","",SUMIF('Metric to Field'!$B:$B,A474,'Metric to Field'!$G:$G))</f>
        <v/>
      </c>
      <c r="S474" s="20"/>
      <c r="T474" s="20"/>
      <c r="U474" s="20"/>
      <c r="V474" s="20"/>
      <c r="W474" s="20"/>
    </row>
    <row r="475" customFormat="false" ht="15" hidden="false" customHeight="false" outlineLevel="0" collapsed="false">
      <c r="A475" s="18"/>
      <c r="B475" s="19"/>
      <c r="C475" s="20"/>
      <c r="D475" s="18" t="str">
        <f aca="false">IF(C475="","",IFERROR(INDEX(Tables!$A:$A,MATCH(C475,Tables!$B:$B,0)),"Not found"))</f>
        <v/>
      </c>
      <c r="E475" s="21" t="str">
        <f aca="false">IF(D475="","",IFERROR(INDEX(Tables!$D:$D,MATCH(D475,Tables!$A:$A,0)),""))</f>
        <v/>
      </c>
      <c r="F475" s="20"/>
      <c r="G475" s="20"/>
      <c r="H475" s="18"/>
      <c r="I475" s="20"/>
      <c r="J475" s="20"/>
      <c r="K475" s="20"/>
      <c r="L475" s="20"/>
      <c r="M475" s="20"/>
      <c r="N475" s="20"/>
      <c r="O475" s="20"/>
      <c r="P475" s="20"/>
      <c r="Q475" s="21" t="str">
        <f aca="false">IF(A475="","",COUNTIF('Metric to Field'!$B:$B,A475))</f>
        <v/>
      </c>
      <c r="R475" s="21" t="str">
        <f aca="false">IF(A475="","",SUMIF('Metric to Field'!$B:$B,A475,'Metric to Field'!$G:$G))</f>
        <v/>
      </c>
      <c r="S475" s="20"/>
      <c r="T475" s="20"/>
      <c r="U475" s="20"/>
      <c r="V475" s="20"/>
      <c r="W475" s="20"/>
    </row>
    <row r="476" customFormat="false" ht="15" hidden="false" customHeight="false" outlineLevel="0" collapsed="false">
      <c r="A476" s="18"/>
      <c r="B476" s="19"/>
      <c r="C476" s="20"/>
      <c r="D476" s="18" t="str">
        <f aca="false">IF(C476="","",IFERROR(INDEX(Tables!$A:$A,MATCH(C476,Tables!$B:$B,0)),"Not found"))</f>
        <v/>
      </c>
      <c r="E476" s="21" t="str">
        <f aca="false">IF(D476="","",IFERROR(INDEX(Tables!$D:$D,MATCH(D476,Tables!$A:$A,0)),""))</f>
        <v/>
      </c>
      <c r="F476" s="20"/>
      <c r="G476" s="20"/>
      <c r="H476" s="18"/>
      <c r="I476" s="20"/>
      <c r="J476" s="20"/>
      <c r="K476" s="20"/>
      <c r="L476" s="20"/>
      <c r="M476" s="20"/>
      <c r="N476" s="20"/>
      <c r="O476" s="20"/>
      <c r="P476" s="20"/>
      <c r="Q476" s="21" t="str">
        <f aca="false">IF(A476="","",COUNTIF('Metric to Field'!$B:$B,A476))</f>
        <v/>
      </c>
      <c r="R476" s="21" t="str">
        <f aca="false">IF(A476="","",SUMIF('Metric to Field'!$B:$B,A476,'Metric to Field'!$G:$G))</f>
        <v/>
      </c>
      <c r="S476" s="20"/>
      <c r="T476" s="20"/>
      <c r="U476" s="20"/>
      <c r="V476" s="20"/>
      <c r="W476" s="20"/>
    </row>
    <row r="477" customFormat="false" ht="15" hidden="false" customHeight="false" outlineLevel="0" collapsed="false">
      <c r="A477" s="18"/>
      <c r="B477" s="19"/>
      <c r="C477" s="20"/>
      <c r="D477" s="18" t="str">
        <f aca="false">IF(C477="","",IFERROR(INDEX(Tables!$A:$A,MATCH(C477,Tables!$B:$B,0)),"Not found"))</f>
        <v/>
      </c>
      <c r="E477" s="21" t="str">
        <f aca="false">IF(D477="","",IFERROR(INDEX(Tables!$D:$D,MATCH(D477,Tables!$A:$A,0)),""))</f>
        <v/>
      </c>
      <c r="F477" s="20"/>
      <c r="G477" s="20"/>
      <c r="H477" s="18"/>
      <c r="I477" s="20"/>
      <c r="J477" s="20"/>
      <c r="K477" s="20"/>
      <c r="L477" s="20"/>
      <c r="M477" s="20"/>
      <c r="N477" s="20"/>
      <c r="O477" s="20"/>
      <c r="P477" s="20"/>
      <c r="Q477" s="21" t="str">
        <f aca="false">IF(A477="","",COUNTIF('Metric to Field'!$B:$B,A477))</f>
        <v/>
      </c>
      <c r="R477" s="21" t="str">
        <f aca="false">IF(A477="","",SUMIF('Metric to Field'!$B:$B,A477,'Metric to Field'!$G:$G))</f>
        <v/>
      </c>
      <c r="S477" s="20"/>
      <c r="T477" s="20"/>
      <c r="U477" s="20"/>
      <c r="V477" s="20"/>
      <c r="W477" s="20"/>
    </row>
    <row r="478" customFormat="false" ht="15" hidden="false" customHeight="false" outlineLevel="0" collapsed="false">
      <c r="A478" s="18"/>
      <c r="B478" s="19"/>
      <c r="C478" s="20"/>
      <c r="D478" s="18" t="str">
        <f aca="false">IF(C478="","",IFERROR(INDEX(Tables!$A:$A,MATCH(C478,Tables!$B:$B,0)),"Not found"))</f>
        <v/>
      </c>
      <c r="E478" s="21" t="str">
        <f aca="false">IF(D478="","",IFERROR(INDEX(Tables!$D:$D,MATCH(D478,Tables!$A:$A,0)),""))</f>
        <v/>
      </c>
      <c r="F478" s="20"/>
      <c r="G478" s="20"/>
      <c r="H478" s="18"/>
      <c r="I478" s="20"/>
      <c r="J478" s="20"/>
      <c r="K478" s="20"/>
      <c r="L478" s="20"/>
      <c r="M478" s="20"/>
      <c r="N478" s="20"/>
      <c r="O478" s="20"/>
      <c r="P478" s="20"/>
      <c r="Q478" s="21" t="str">
        <f aca="false">IF(A478="","",COUNTIF('Metric to Field'!$B:$B,A478))</f>
        <v/>
      </c>
      <c r="R478" s="21" t="str">
        <f aca="false">IF(A478="","",SUMIF('Metric to Field'!$B:$B,A478,'Metric to Field'!$G:$G))</f>
        <v/>
      </c>
      <c r="S478" s="20"/>
      <c r="T478" s="20"/>
      <c r="U478" s="20"/>
      <c r="V478" s="20"/>
      <c r="W478" s="20"/>
    </row>
    <row r="479" customFormat="false" ht="15" hidden="false" customHeight="false" outlineLevel="0" collapsed="false">
      <c r="A479" s="18"/>
      <c r="B479" s="19"/>
      <c r="C479" s="20"/>
      <c r="D479" s="18" t="str">
        <f aca="false">IF(C479="","",IFERROR(INDEX(Tables!$A:$A,MATCH(C479,Tables!$B:$B,0)),"Not found"))</f>
        <v/>
      </c>
      <c r="E479" s="21" t="str">
        <f aca="false">IF(D479="","",IFERROR(INDEX(Tables!$D:$D,MATCH(D479,Tables!$A:$A,0)),""))</f>
        <v/>
      </c>
      <c r="F479" s="20"/>
      <c r="G479" s="20"/>
      <c r="H479" s="18"/>
      <c r="I479" s="20"/>
      <c r="J479" s="20"/>
      <c r="K479" s="20"/>
      <c r="L479" s="20"/>
      <c r="M479" s="20"/>
      <c r="N479" s="20"/>
      <c r="O479" s="20"/>
      <c r="P479" s="20"/>
      <c r="Q479" s="21" t="str">
        <f aca="false">IF(A479="","",COUNTIF('Metric to Field'!$B:$B,A479))</f>
        <v/>
      </c>
      <c r="R479" s="21" t="str">
        <f aca="false">IF(A479="","",SUMIF('Metric to Field'!$B:$B,A479,'Metric to Field'!$G:$G))</f>
        <v/>
      </c>
      <c r="S479" s="20"/>
      <c r="T479" s="20"/>
      <c r="U479" s="20"/>
      <c r="V479" s="20"/>
      <c r="W479" s="20"/>
    </row>
    <row r="480" customFormat="false" ht="15" hidden="false" customHeight="false" outlineLevel="0" collapsed="false">
      <c r="A480" s="18"/>
      <c r="B480" s="19"/>
      <c r="C480" s="20"/>
      <c r="D480" s="18" t="str">
        <f aca="false">IF(C480="","",IFERROR(INDEX(Tables!$A:$A,MATCH(C480,Tables!$B:$B,0)),"Not found"))</f>
        <v/>
      </c>
      <c r="E480" s="21" t="str">
        <f aca="false">IF(D480="","",IFERROR(INDEX(Tables!$D:$D,MATCH(D480,Tables!$A:$A,0)),""))</f>
        <v/>
      </c>
      <c r="F480" s="20"/>
      <c r="G480" s="20"/>
      <c r="H480" s="18"/>
      <c r="I480" s="20"/>
      <c r="J480" s="20"/>
      <c r="K480" s="20"/>
      <c r="L480" s="20"/>
      <c r="M480" s="20"/>
      <c r="N480" s="20"/>
      <c r="O480" s="20"/>
      <c r="P480" s="20"/>
      <c r="Q480" s="21" t="str">
        <f aca="false">IF(A480="","",COUNTIF('Metric to Field'!$B:$B,A480))</f>
        <v/>
      </c>
      <c r="R480" s="21" t="str">
        <f aca="false">IF(A480="","",SUMIF('Metric to Field'!$B:$B,A480,'Metric to Field'!$G:$G))</f>
        <v/>
      </c>
      <c r="S480" s="20"/>
      <c r="T480" s="20"/>
      <c r="U480" s="20"/>
      <c r="V480" s="20"/>
      <c r="W480" s="20"/>
    </row>
    <row r="481" customFormat="false" ht="15" hidden="false" customHeight="false" outlineLevel="0" collapsed="false">
      <c r="A481" s="18"/>
      <c r="B481" s="19"/>
      <c r="C481" s="20"/>
      <c r="D481" s="18" t="str">
        <f aca="false">IF(C481="","",IFERROR(INDEX(Tables!$A:$A,MATCH(C481,Tables!$B:$B,0)),"Not found"))</f>
        <v/>
      </c>
      <c r="E481" s="21" t="str">
        <f aca="false">IF(D481="","",IFERROR(INDEX(Tables!$D:$D,MATCH(D481,Tables!$A:$A,0)),""))</f>
        <v/>
      </c>
      <c r="F481" s="20"/>
      <c r="G481" s="20"/>
      <c r="H481" s="18"/>
      <c r="I481" s="20"/>
      <c r="J481" s="20"/>
      <c r="K481" s="20"/>
      <c r="L481" s="20"/>
      <c r="M481" s="20"/>
      <c r="N481" s="20"/>
      <c r="O481" s="20"/>
      <c r="P481" s="20"/>
      <c r="Q481" s="21" t="str">
        <f aca="false">IF(A481="","",COUNTIF('Metric to Field'!$B:$B,A481))</f>
        <v/>
      </c>
      <c r="R481" s="21" t="str">
        <f aca="false">IF(A481="","",SUMIF('Metric to Field'!$B:$B,A481,'Metric to Field'!$G:$G))</f>
        <v/>
      </c>
      <c r="S481" s="20"/>
      <c r="T481" s="20"/>
      <c r="U481" s="20"/>
      <c r="V481" s="20"/>
      <c r="W481" s="20"/>
    </row>
    <row r="482" customFormat="false" ht="15" hidden="false" customHeight="false" outlineLevel="0" collapsed="false">
      <c r="A482" s="18"/>
      <c r="B482" s="19"/>
      <c r="C482" s="20"/>
      <c r="D482" s="18" t="str">
        <f aca="false">IF(C482="","",IFERROR(INDEX(Tables!$A:$A,MATCH(C482,Tables!$B:$B,0)),"Not found"))</f>
        <v/>
      </c>
      <c r="E482" s="21" t="str">
        <f aca="false">IF(D482="","",IFERROR(INDEX(Tables!$D:$D,MATCH(D482,Tables!$A:$A,0)),""))</f>
        <v/>
      </c>
      <c r="F482" s="20"/>
      <c r="G482" s="20"/>
      <c r="H482" s="18"/>
      <c r="I482" s="20"/>
      <c r="J482" s="20"/>
      <c r="K482" s="20"/>
      <c r="L482" s="20"/>
      <c r="M482" s="20"/>
      <c r="N482" s="20"/>
      <c r="O482" s="20"/>
      <c r="P482" s="20"/>
      <c r="Q482" s="21" t="str">
        <f aca="false">IF(A482="","",COUNTIF('Metric to Field'!$B:$B,A482))</f>
        <v/>
      </c>
      <c r="R482" s="21" t="str">
        <f aca="false">IF(A482="","",SUMIF('Metric to Field'!$B:$B,A482,'Metric to Field'!$G:$G))</f>
        <v/>
      </c>
      <c r="S482" s="20"/>
      <c r="T482" s="20"/>
      <c r="U482" s="20"/>
      <c r="V482" s="20"/>
      <c r="W482" s="20"/>
    </row>
    <row r="483" customFormat="false" ht="15" hidden="false" customHeight="false" outlineLevel="0" collapsed="false">
      <c r="A483" s="18"/>
      <c r="B483" s="19"/>
      <c r="C483" s="20"/>
      <c r="D483" s="18" t="str">
        <f aca="false">IF(C483="","",IFERROR(INDEX(Tables!$A:$A,MATCH(C483,Tables!$B:$B,0)),"Not found"))</f>
        <v/>
      </c>
      <c r="E483" s="21" t="str">
        <f aca="false">IF(D483="","",IFERROR(INDEX(Tables!$D:$D,MATCH(D483,Tables!$A:$A,0)),""))</f>
        <v/>
      </c>
      <c r="F483" s="20"/>
      <c r="G483" s="20"/>
      <c r="H483" s="18"/>
      <c r="I483" s="20"/>
      <c r="J483" s="20"/>
      <c r="K483" s="20"/>
      <c r="L483" s="20"/>
      <c r="M483" s="20"/>
      <c r="N483" s="20"/>
      <c r="O483" s="20"/>
      <c r="P483" s="20"/>
      <c r="Q483" s="21" t="str">
        <f aca="false">IF(A483="","",COUNTIF('Metric to Field'!$B:$B,A483))</f>
        <v/>
      </c>
      <c r="R483" s="21" t="str">
        <f aca="false">IF(A483="","",SUMIF('Metric to Field'!$B:$B,A483,'Metric to Field'!$G:$G))</f>
        <v/>
      </c>
      <c r="S483" s="20"/>
      <c r="T483" s="20"/>
      <c r="U483" s="20"/>
      <c r="V483" s="20"/>
      <c r="W483" s="20"/>
    </row>
    <row r="484" customFormat="false" ht="15" hidden="false" customHeight="false" outlineLevel="0" collapsed="false">
      <c r="A484" s="18"/>
      <c r="B484" s="19"/>
      <c r="C484" s="20"/>
      <c r="D484" s="18" t="str">
        <f aca="false">IF(C484="","",IFERROR(INDEX(Tables!$A:$A,MATCH(C484,Tables!$B:$B,0)),"Not found"))</f>
        <v/>
      </c>
      <c r="E484" s="21" t="str">
        <f aca="false">IF(D484="","",IFERROR(INDEX(Tables!$D:$D,MATCH(D484,Tables!$A:$A,0)),""))</f>
        <v/>
      </c>
      <c r="F484" s="20"/>
      <c r="G484" s="20"/>
      <c r="H484" s="18"/>
      <c r="I484" s="20"/>
      <c r="J484" s="20"/>
      <c r="K484" s="20"/>
      <c r="L484" s="20"/>
      <c r="M484" s="20"/>
      <c r="N484" s="20"/>
      <c r="O484" s="20"/>
      <c r="P484" s="20"/>
      <c r="Q484" s="21" t="str">
        <f aca="false">IF(A484="","",COUNTIF('Metric to Field'!$B:$B,A484))</f>
        <v/>
      </c>
      <c r="R484" s="21" t="str">
        <f aca="false">IF(A484="","",SUMIF('Metric to Field'!$B:$B,A484,'Metric to Field'!$G:$G))</f>
        <v/>
      </c>
      <c r="S484" s="20"/>
      <c r="T484" s="20"/>
      <c r="U484" s="20"/>
      <c r="V484" s="20"/>
      <c r="W484" s="20"/>
    </row>
    <row r="485" customFormat="false" ht="15" hidden="false" customHeight="false" outlineLevel="0" collapsed="false">
      <c r="A485" s="18"/>
      <c r="B485" s="19"/>
      <c r="C485" s="20"/>
      <c r="D485" s="18" t="str">
        <f aca="false">IF(C485="","",IFERROR(INDEX(Tables!$A:$A,MATCH(C485,Tables!$B:$B,0)),"Not found"))</f>
        <v/>
      </c>
      <c r="E485" s="21" t="str">
        <f aca="false">IF(D485="","",IFERROR(INDEX(Tables!$D:$D,MATCH(D485,Tables!$A:$A,0)),""))</f>
        <v/>
      </c>
      <c r="F485" s="20"/>
      <c r="G485" s="20"/>
      <c r="H485" s="18"/>
      <c r="I485" s="20"/>
      <c r="J485" s="20"/>
      <c r="K485" s="20"/>
      <c r="L485" s="20"/>
      <c r="M485" s="20"/>
      <c r="N485" s="20"/>
      <c r="O485" s="20"/>
      <c r="P485" s="20"/>
      <c r="Q485" s="21" t="str">
        <f aca="false">IF(A485="","",COUNTIF('Metric to Field'!$B:$B,A485))</f>
        <v/>
      </c>
      <c r="R485" s="21" t="str">
        <f aca="false">IF(A485="","",SUMIF('Metric to Field'!$B:$B,A485,'Metric to Field'!$G:$G))</f>
        <v/>
      </c>
      <c r="S485" s="20"/>
      <c r="T485" s="20"/>
      <c r="U485" s="20"/>
      <c r="V485" s="20"/>
      <c r="W485" s="20"/>
    </row>
    <row r="486" customFormat="false" ht="15" hidden="false" customHeight="false" outlineLevel="0" collapsed="false">
      <c r="A486" s="18"/>
      <c r="B486" s="19"/>
      <c r="C486" s="20"/>
      <c r="D486" s="18" t="str">
        <f aca="false">IF(C486="","",IFERROR(INDEX(Tables!$A:$A,MATCH(C486,Tables!$B:$B,0)),"Not found"))</f>
        <v/>
      </c>
      <c r="E486" s="21" t="str">
        <f aca="false">IF(D486="","",IFERROR(INDEX(Tables!$D:$D,MATCH(D486,Tables!$A:$A,0)),""))</f>
        <v/>
      </c>
      <c r="F486" s="20"/>
      <c r="G486" s="20"/>
      <c r="H486" s="18"/>
      <c r="I486" s="20"/>
      <c r="J486" s="20"/>
      <c r="K486" s="20"/>
      <c r="L486" s="20"/>
      <c r="M486" s="20"/>
      <c r="N486" s="20"/>
      <c r="O486" s="20"/>
      <c r="P486" s="20"/>
      <c r="Q486" s="21" t="str">
        <f aca="false">IF(A486="","",COUNTIF('Metric to Field'!$B:$B,A486))</f>
        <v/>
      </c>
      <c r="R486" s="21" t="str">
        <f aca="false">IF(A486="","",SUMIF('Metric to Field'!$B:$B,A486,'Metric to Field'!$G:$G))</f>
        <v/>
      </c>
      <c r="S486" s="20"/>
      <c r="T486" s="20"/>
      <c r="U486" s="20"/>
      <c r="V486" s="20"/>
      <c r="W486" s="20"/>
    </row>
    <row r="487" customFormat="false" ht="15" hidden="false" customHeight="false" outlineLevel="0" collapsed="false">
      <c r="A487" s="18"/>
      <c r="B487" s="19"/>
      <c r="C487" s="20"/>
      <c r="D487" s="18" t="str">
        <f aca="false">IF(C487="","",IFERROR(INDEX(Tables!$A:$A,MATCH(C487,Tables!$B:$B,0)),"Not found"))</f>
        <v/>
      </c>
      <c r="E487" s="21" t="str">
        <f aca="false">IF(D487="","",IFERROR(INDEX(Tables!$D:$D,MATCH(D487,Tables!$A:$A,0)),""))</f>
        <v/>
      </c>
      <c r="F487" s="20"/>
      <c r="G487" s="20"/>
      <c r="H487" s="18"/>
      <c r="I487" s="20"/>
      <c r="J487" s="20"/>
      <c r="K487" s="20"/>
      <c r="L487" s="20"/>
      <c r="M487" s="20"/>
      <c r="N487" s="20"/>
      <c r="O487" s="20"/>
      <c r="P487" s="20"/>
      <c r="Q487" s="21" t="str">
        <f aca="false">IF(A487="","",COUNTIF('Metric to Field'!$B:$B,A487))</f>
        <v/>
      </c>
      <c r="R487" s="21" t="str">
        <f aca="false">IF(A487="","",SUMIF('Metric to Field'!$B:$B,A487,'Metric to Field'!$G:$G))</f>
        <v/>
      </c>
      <c r="S487" s="20"/>
      <c r="T487" s="20"/>
      <c r="U487" s="20"/>
      <c r="V487" s="20"/>
      <c r="W487" s="20"/>
    </row>
    <row r="488" customFormat="false" ht="15" hidden="false" customHeight="false" outlineLevel="0" collapsed="false">
      <c r="A488" s="18"/>
      <c r="B488" s="19"/>
      <c r="C488" s="20"/>
      <c r="D488" s="18" t="str">
        <f aca="false">IF(C488="","",IFERROR(INDEX(Tables!$A:$A,MATCH(C488,Tables!$B:$B,0)),"Not found"))</f>
        <v/>
      </c>
      <c r="E488" s="21" t="str">
        <f aca="false">IF(D488="","",IFERROR(INDEX(Tables!$D:$D,MATCH(D488,Tables!$A:$A,0)),""))</f>
        <v/>
      </c>
      <c r="F488" s="20"/>
      <c r="G488" s="20"/>
      <c r="H488" s="18"/>
      <c r="I488" s="20"/>
      <c r="J488" s="20"/>
      <c r="K488" s="20"/>
      <c r="L488" s="20"/>
      <c r="M488" s="20"/>
      <c r="N488" s="20"/>
      <c r="O488" s="20"/>
      <c r="P488" s="20"/>
      <c r="Q488" s="21" t="str">
        <f aca="false">IF(A488="","",COUNTIF('Metric to Field'!$B:$B,A488))</f>
        <v/>
      </c>
      <c r="R488" s="21" t="str">
        <f aca="false">IF(A488="","",SUMIF('Metric to Field'!$B:$B,A488,'Metric to Field'!$G:$G))</f>
        <v/>
      </c>
      <c r="S488" s="20"/>
      <c r="T488" s="20"/>
      <c r="U488" s="20"/>
      <c r="V488" s="20"/>
      <c r="W488" s="20"/>
    </row>
    <row r="489" customFormat="false" ht="15" hidden="false" customHeight="false" outlineLevel="0" collapsed="false">
      <c r="A489" s="18"/>
      <c r="B489" s="19"/>
      <c r="C489" s="20"/>
      <c r="D489" s="18" t="str">
        <f aca="false">IF(C489="","",IFERROR(INDEX(Tables!$A:$A,MATCH(C489,Tables!$B:$B,0)),"Not found"))</f>
        <v/>
      </c>
      <c r="E489" s="21" t="str">
        <f aca="false">IF(D489="","",IFERROR(INDEX(Tables!$D:$D,MATCH(D489,Tables!$A:$A,0)),""))</f>
        <v/>
      </c>
      <c r="F489" s="20"/>
      <c r="G489" s="20"/>
      <c r="H489" s="18"/>
      <c r="I489" s="20"/>
      <c r="J489" s="20"/>
      <c r="K489" s="20"/>
      <c r="L489" s="20"/>
      <c r="M489" s="20"/>
      <c r="N489" s="20"/>
      <c r="O489" s="20"/>
      <c r="P489" s="20"/>
      <c r="Q489" s="21" t="str">
        <f aca="false">IF(A489="","",COUNTIF('Metric to Field'!$B:$B,A489))</f>
        <v/>
      </c>
      <c r="R489" s="21" t="str">
        <f aca="false">IF(A489="","",SUMIF('Metric to Field'!$B:$B,A489,'Metric to Field'!$G:$G))</f>
        <v/>
      </c>
      <c r="S489" s="20"/>
      <c r="T489" s="20"/>
      <c r="U489" s="20"/>
      <c r="V489" s="20"/>
      <c r="W489" s="20"/>
    </row>
    <row r="490" customFormat="false" ht="15" hidden="false" customHeight="false" outlineLevel="0" collapsed="false">
      <c r="A490" s="18"/>
      <c r="B490" s="19"/>
      <c r="C490" s="20"/>
      <c r="D490" s="18" t="str">
        <f aca="false">IF(C490="","",IFERROR(INDEX(Tables!$A:$A,MATCH(C490,Tables!$B:$B,0)),"Not found"))</f>
        <v/>
      </c>
      <c r="E490" s="21" t="str">
        <f aca="false">IF(D490="","",IFERROR(INDEX(Tables!$D:$D,MATCH(D490,Tables!$A:$A,0)),""))</f>
        <v/>
      </c>
      <c r="F490" s="20"/>
      <c r="G490" s="20"/>
      <c r="H490" s="18"/>
      <c r="I490" s="20"/>
      <c r="J490" s="20"/>
      <c r="K490" s="20"/>
      <c r="L490" s="20"/>
      <c r="M490" s="20"/>
      <c r="N490" s="20"/>
      <c r="O490" s="20"/>
      <c r="P490" s="20"/>
      <c r="Q490" s="21" t="str">
        <f aca="false">IF(A490="","",COUNTIF('Metric to Field'!$B:$B,A490))</f>
        <v/>
      </c>
      <c r="R490" s="21" t="str">
        <f aca="false">IF(A490="","",SUMIF('Metric to Field'!$B:$B,A490,'Metric to Field'!$G:$G))</f>
        <v/>
      </c>
      <c r="S490" s="20"/>
      <c r="T490" s="20"/>
      <c r="U490" s="20"/>
      <c r="V490" s="20"/>
      <c r="W490" s="20"/>
    </row>
    <row r="491" customFormat="false" ht="15" hidden="false" customHeight="false" outlineLevel="0" collapsed="false">
      <c r="A491" s="18"/>
      <c r="B491" s="19"/>
      <c r="C491" s="20"/>
      <c r="D491" s="18" t="str">
        <f aca="false">IF(C491="","",IFERROR(INDEX(Tables!$A:$A,MATCH(C491,Tables!$B:$B,0)),"Not found"))</f>
        <v/>
      </c>
      <c r="E491" s="21" t="str">
        <f aca="false">IF(D491="","",IFERROR(INDEX(Tables!$D:$D,MATCH(D491,Tables!$A:$A,0)),""))</f>
        <v/>
      </c>
      <c r="F491" s="20"/>
      <c r="G491" s="20"/>
      <c r="H491" s="18"/>
      <c r="I491" s="20"/>
      <c r="J491" s="20"/>
      <c r="K491" s="20"/>
      <c r="L491" s="20"/>
      <c r="M491" s="20"/>
      <c r="N491" s="20"/>
      <c r="O491" s="20"/>
      <c r="P491" s="20"/>
      <c r="Q491" s="21" t="str">
        <f aca="false">IF(A491="","",COUNTIF('Metric to Field'!$B:$B,A491))</f>
        <v/>
      </c>
      <c r="R491" s="21" t="str">
        <f aca="false">IF(A491="","",SUMIF('Metric to Field'!$B:$B,A491,'Metric to Field'!$G:$G))</f>
        <v/>
      </c>
      <c r="S491" s="20"/>
      <c r="T491" s="20"/>
      <c r="U491" s="20"/>
      <c r="V491" s="20"/>
      <c r="W491" s="20"/>
    </row>
    <row r="492" customFormat="false" ht="15" hidden="false" customHeight="false" outlineLevel="0" collapsed="false">
      <c r="A492" s="18"/>
      <c r="B492" s="19"/>
      <c r="C492" s="20"/>
      <c r="D492" s="18" t="str">
        <f aca="false">IF(C492="","",IFERROR(INDEX(Tables!$A:$A,MATCH(C492,Tables!$B:$B,0)),"Not found"))</f>
        <v/>
      </c>
      <c r="E492" s="21" t="str">
        <f aca="false">IF(D492="","",IFERROR(INDEX(Tables!$D:$D,MATCH(D492,Tables!$A:$A,0)),""))</f>
        <v/>
      </c>
      <c r="F492" s="20"/>
      <c r="G492" s="20"/>
      <c r="H492" s="18"/>
      <c r="I492" s="20"/>
      <c r="J492" s="20"/>
      <c r="K492" s="20"/>
      <c r="L492" s="20"/>
      <c r="M492" s="20"/>
      <c r="N492" s="20"/>
      <c r="O492" s="20"/>
      <c r="P492" s="20"/>
      <c r="Q492" s="21" t="str">
        <f aca="false">IF(A492="","",COUNTIF('Metric to Field'!$B:$B,A492))</f>
        <v/>
      </c>
      <c r="R492" s="21" t="str">
        <f aca="false">IF(A492="","",SUMIF('Metric to Field'!$B:$B,A492,'Metric to Field'!$G:$G))</f>
        <v/>
      </c>
      <c r="S492" s="20"/>
      <c r="T492" s="20"/>
      <c r="U492" s="20"/>
      <c r="V492" s="20"/>
      <c r="W492" s="20"/>
    </row>
    <row r="493" customFormat="false" ht="15" hidden="false" customHeight="false" outlineLevel="0" collapsed="false">
      <c r="A493" s="18"/>
      <c r="B493" s="19"/>
      <c r="C493" s="20"/>
      <c r="D493" s="18" t="str">
        <f aca="false">IF(C493="","",IFERROR(INDEX(Tables!$A:$A,MATCH(C493,Tables!$B:$B,0)),"Not found"))</f>
        <v/>
      </c>
      <c r="E493" s="21" t="str">
        <f aca="false">IF(D493="","",IFERROR(INDEX(Tables!$D:$D,MATCH(D493,Tables!$A:$A,0)),""))</f>
        <v/>
      </c>
      <c r="F493" s="20"/>
      <c r="G493" s="20"/>
      <c r="H493" s="18"/>
      <c r="I493" s="20"/>
      <c r="J493" s="20"/>
      <c r="K493" s="20"/>
      <c r="L493" s="20"/>
      <c r="M493" s="20"/>
      <c r="N493" s="20"/>
      <c r="O493" s="20"/>
      <c r="P493" s="20"/>
      <c r="Q493" s="21" t="str">
        <f aca="false">IF(A493="","",COUNTIF('Metric to Field'!$B:$B,A493))</f>
        <v/>
      </c>
      <c r="R493" s="21" t="str">
        <f aca="false">IF(A493="","",SUMIF('Metric to Field'!$B:$B,A493,'Metric to Field'!$G:$G))</f>
        <v/>
      </c>
      <c r="S493" s="20"/>
      <c r="T493" s="20"/>
      <c r="U493" s="20"/>
      <c r="V493" s="20"/>
      <c r="W493" s="20"/>
    </row>
    <row r="494" customFormat="false" ht="15" hidden="false" customHeight="false" outlineLevel="0" collapsed="false">
      <c r="A494" s="18"/>
      <c r="B494" s="19"/>
      <c r="C494" s="20"/>
      <c r="D494" s="18" t="str">
        <f aca="false">IF(C494="","",IFERROR(INDEX(Tables!$A:$A,MATCH(C494,Tables!$B:$B,0)),"Not found"))</f>
        <v/>
      </c>
      <c r="E494" s="21" t="str">
        <f aca="false">IF(D494="","",IFERROR(INDEX(Tables!$D:$D,MATCH(D494,Tables!$A:$A,0)),""))</f>
        <v/>
      </c>
      <c r="F494" s="20"/>
      <c r="G494" s="20"/>
      <c r="H494" s="18"/>
      <c r="I494" s="20"/>
      <c r="J494" s="20"/>
      <c r="K494" s="20"/>
      <c r="L494" s="20"/>
      <c r="M494" s="20"/>
      <c r="N494" s="20"/>
      <c r="O494" s="20"/>
      <c r="P494" s="20"/>
      <c r="Q494" s="21" t="str">
        <f aca="false">IF(A494="","",COUNTIF('Metric to Field'!$B:$B,A494))</f>
        <v/>
      </c>
      <c r="R494" s="21" t="str">
        <f aca="false">IF(A494="","",SUMIF('Metric to Field'!$B:$B,A494,'Metric to Field'!$G:$G))</f>
        <v/>
      </c>
      <c r="S494" s="20"/>
      <c r="T494" s="20"/>
      <c r="U494" s="20"/>
      <c r="V494" s="20"/>
      <c r="W494" s="20"/>
    </row>
    <row r="495" customFormat="false" ht="15" hidden="false" customHeight="false" outlineLevel="0" collapsed="false">
      <c r="A495" s="18"/>
      <c r="B495" s="19"/>
      <c r="C495" s="20"/>
      <c r="D495" s="18" t="str">
        <f aca="false">IF(C495="","",IFERROR(INDEX(Tables!$A:$A,MATCH(C495,Tables!$B:$B,0)),"Not found"))</f>
        <v/>
      </c>
      <c r="E495" s="21" t="str">
        <f aca="false">IF(D495="","",IFERROR(INDEX(Tables!$D:$D,MATCH(D495,Tables!$A:$A,0)),""))</f>
        <v/>
      </c>
      <c r="F495" s="20"/>
      <c r="G495" s="20"/>
      <c r="H495" s="18"/>
      <c r="I495" s="20"/>
      <c r="J495" s="20"/>
      <c r="K495" s="20"/>
      <c r="L495" s="20"/>
      <c r="M495" s="20"/>
      <c r="N495" s="20"/>
      <c r="O495" s="20"/>
      <c r="P495" s="20"/>
      <c r="Q495" s="21" t="str">
        <f aca="false">IF(A495="","",COUNTIF('Metric to Field'!$B:$B,A495))</f>
        <v/>
      </c>
      <c r="R495" s="21" t="str">
        <f aca="false">IF(A495="","",SUMIF('Metric to Field'!$B:$B,A495,'Metric to Field'!$G:$G))</f>
        <v/>
      </c>
      <c r="S495" s="20"/>
      <c r="T495" s="20"/>
      <c r="U495" s="20"/>
      <c r="V495" s="20"/>
      <c r="W495" s="20"/>
    </row>
    <row r="496" customFormat="false" ht="15" hidden="false" customHeight="false" outlineLevel="0" collapsed="false">
      <c r="A496" s="18"/>
      <c r="B496" s="19"/>
      <c r="C496" s="20"/>
      <c r="D496" s="18" t="str">
        <f aca="false">IF(C496="","",IFERROR(INDEX(Tables!$A:$A,MATCH(C496,Tables!$B:$B,0)),"Not found"))</f>
        <v/>
      </c>
      <c r="E496" s="21" t="str">
        <f aca="false">IF(D496="","",IFERROR(INDEX(Tables!$D:$D,MATCH(D496,Tables!$A:$A,0)),""))</f>
        <v/>
      </c>
      <c r="F496" s="20"/>
      <c r="G496" s="20"/>
      <c r="H496" s="18"/>
      <c r="I496" s="20"/>
      <c r="J496" s="20"/>
      <c r="K496" s="20"/>
      <c r="L496" s="20"/>
      <c r="M496" s="20"/>
      <c r="N496" s="20"/>
      <c r="O496" s="20"/>
      <c r="P496" s="20"/>
      <c r="Q496" s="21" t="str">
        <f aca="false">IF(A496="","",COUNTIF('Metric to Field'!$B:$B,A496))</f>
        <v/>
      </c>
      <c r="R496" s="21" t="str">
        <f aca="false">IF(A496="","",SUMIF('Metric to Field'!$B:$B,A496,'Metric to Field'!$G:$G))</f>
        <v/>
      </c>
      <c r="S496" s="20"/>
      <c r="T496" s="20"/>
      <c r="U496" s="20"/>
      <c r="V496" s="20"/>
      <c r="W496" s="20"/>
    </row>
    <row r="497" customFormat="false" ht="15" hidden="false" customHeight="false" outlineLevel="0" collapsed="false">
      <c r="A497" s="18"/>
      <c r="B497" s="19"/>
      <c r="C497" s="20"/>
      <c r="D497" s="18" t="str">
        <f aca="false">IF(C497="","",IFERROR(INDEX(Tables!$A:$A,MATCH(C497,Tables!$B:$B,0)),"Not found"))</f>
        <v/>
      </c>
      <c r="E497" s="21" t="str">
        <f aca="false">IF(D497="","",IFERROR(INDEX(Tables!$D:$D,MATCH(D497,Tables!$A:$A,0)),""))</f>
        <v/>
      </c>
      <c r="F497" s="20"/>
      <c r="G497" s="20"/>
      <c r="H497" s="18"/>
      <c r="I497" s="20"/>
      <c r="J497" s="20"/>
      <c r="K497" s="20"/>
      <c r="L497" s="20"/>
      <c r="M497" s="20"/>
      <c r="N497" s="20"/>
      <c r="O497" s="20"/>
      <c r="P497" s="20"/>
      <c r="Q497" s="21" t="str">
        <f aca="false">IF(A497="","",COUNTIF('Metric to Field'!$B:$B,A497))</f>
        <v/>
      </c>
      <c r="R497" s="21" t="str">
        <f aca="false">IF(A497="","",SUMIF('Metric to Field'!$B:$B,A497,'Metric to Field'!$G:$G))</f>
        <v/>
      </c>
      <c r="S497" s="20"/>
      <c r="T497" s="20"/>
      <c r="U497" s="20"/>
      <c r="V497" s="20"/>
      <c r="W497" s="20"/>
    </row>
    <row r="498" customFormat="false" ht="15" hidden="false" customHeight="false" outlineLevel="0" collapsed="false">
      <c r="A498" s="18"/>
      <c r="B498" s="19"/>
      <c r="C498" s="20"/>
      <c r="D498" s="18" t="str">
        <f aca="false">IF(C498="","",IFERROR(INDEX(Tables!$A:$A,MATCH(C498,Tables!$B:$B,0)),"Not found"))</f>
        <v/>
      </c>
      <c r="E498" s="21" t="str">
        <f aca="false">IF(D498="","",IFERROR(INDEX(Tables!$D:$D,MATCH(D498,Tables!$A:$A,0)),""))</f>
        <v/>
      </c>
      <c r="F498" s="20"/>
      <c r="G498" s="20"/>
      <c r="H498" s="18"/>
      <c r="I498" s="20"/>
      <c r="J498" s="20"/>
      <c r="K498" s="20"/>
      <c r="L498" s="20"/>
      <c r="M498" s="20"/>
      <c r="N498" s="20"/>
      <c r="O498" s="20"/>
      <c r="P498" s="20"/>
      <c r="Q498" s="21" t="str">
        <f aca="false">IF(A498="","",COUNTIF('Metric to Field'!$B:$B,A498))</f>
        <v/>
      </c>
      <c r="R498" s="21" t="str">
        <f aca="false">IF(A498="","",SUMIF('Metric to Field'!$B:$B,A498,'Metric to Field'!$G:$G))</f>
        <v/>
      </c>
      <c r="S498" s="20"/>
      <c r="T498" s="20"/>
      <c r="U498" s="20"/>
      <c r="V498" s="20"/>
      <c r="W498" s="20"/>
    </row>
    <row r="499" customFormat="false" ht="15" hidden="false" customHeight="false" outlineLevel="0" collapsed="false">
      <c r="A499" s="18"/>
      <c r="B499" s="19"/>
      <c r="C499" s="20"/>
      <c r="D499" s="18" t="str">
        <f aca="false">IF(C499="","",IFERROR(INDEX(Tables!$A:$A,MATCH(C499,Tables!$B:$B,0)),"Not found"))</f>
        <v/>
      </c>
      <c r="E499" s="21" t="str">
        <f aca="false">IF(D499="","",IFERROR(INDEX(Tables!$D:$D,MATCH(D499,Tables!$A:$A,0)),""))</f>
        <v/>
      </c>
      <c r="F499" s="20"/>
      <c r="G499" s="20"/>
      <c r="H499" s="18"/>
      <c r="I499" s="20"/>
      <c r="J499" s="20"/>
      <c r="K499" s="20"/>
      <c r="L499" s="20"/>
      <c r="M499" s="20"/>
      <c r="N499" s="20"/>
      <c r="O499" s="20"/>
      <c r="P499" s="20"/>
      <c r="Q499" s="21" t="str">
        <f aca="false">IF(A499="","",COUNTIF('Metric to Field'!$B:$B,A499))</f>
        <v/>
      </c>
      <c r="R499" s="21" t="str">
        <f aca="false">IF(A499="","",SUMIF('Metric to Field'!$B:$B,A499,'Metric to Field'!$G:$G))</f>
        <v/>
      </c>
      <c r="S499" s="20"/>
      <c r="T499" s="20"/>
      <c r="U499" s="20"/>
      <c r="V499" s="20"/>
      <c r="W499" s="20"/>
    </row>
    <row r="500" customFormat="false" ht="15" hidden="false" customHeight="false" outlineLevel="0" collapsed="false">
      <c r="A500" s="18"/>
      <c r="B500" s="19"/>
      <c r="C500" s="20"/>
      <c r="D500" s="18" t="str">
        <f aca="false">IF(C500="","",IFERROR(INDEX(Tables!$A:$A,MATCH(C500,Tables!$B:$B,0)),"Not found"))</f>
        <v/>
      </c>
      <c r="E500" s="21" t="str">
        <f aca="false">IF(D500="","",IFERROR(INDEX(Tables!$D:$D,MATCH(D500,Tables!$A:$A,0)),""))</f>
        <v/>
      </c>
      <c r="F500" s="20"/>
      <c r="G500" s="20"/>
      <c r="H500" s="18"/>
      <c r="I500" s="20"/>
      <c r="J500" s="20"/>
      <c r="K500" s="20"/>
      <c r="L500" s="20"/>
      <c r="M500" s="20"/>
      <c r="N500" s="20"/>
      <c r="O500" s="20"/>
      <c r="P500" s="20"/>
      <c r="Q500" s="21" t="str">
        <f aca="false">IF(A500="","",COUNTIF('Metric to Field'!$B:$B,A500))</f>
        <v/>
      </c>
      <c r="R500" s="21" t="str">
        <f aca="false">IF(A500="","",SUMIF('Metric to Field'!$B:$B,A500,'Metric to Field'!$G:$G))</f>
        <v/>
      </c>
      <c r="S500" s="20"/>
      <c r="T500" s="20"/>
      <c r="U500" s="20"/>
      <c r="V500" s="20"/>
      <c r="W500" s="20"/>
    </row>
    <row r="501" customFormat="false" ht="15" hidden="false" customHeight="false" outlineLevel="0" collapsed="false">
      <c r="A501" s="18"/>
      <c r="B501" s="19"/>
      <c r="C501" s="20"/>
      <c r="D501" s="18" t="str">
        <f aca="false">IF(C501="","",IFERROR(INDEX(Tables!$A:$A,MATCH(C501,Tables!$B:$B,0)),"Not found"))</f>
        <v/>
      </c>
      <c r="E501" s="21" t="str">
        <f aca="false">IF(D501="","",IFERROR(INDEX(Tables!$D:$D,MATCH(D501,Tables!$A:$A,0)),""))</f>
        <v/>
      </c>
      <c r="F501" s="20"/>
      <c r="G501" s="20"/>
      <c r="H501" s="18"/>
      <c r="I501" s="20"/>
      <c r="J501" s="20"/>
      <c r="K501" s="20"/>
      <c r="L501" s="20"/>
      <c r="M501" s="20"/>
      <c r="N501" s="20"/>
      <c r="O501" s="20"/>
      <c r="P501" s="20"/>
      <c r="Q501" s="21" t="str">
        <f aca="false">IF(A501="","",COUNTIF('Metric to Field'!$B:$B,A501))</f>
        <v/>
      </c>
      <c r="R501" s="21" t="str">
        <f aca="false">IF(A501="","",SUMIF('Metric to Field'!$B:$B,A501,'Metric to Field'!$G:$G))</f>
        <v/>
      </c>
      <c r="S501" s="20"/>
      <c r="T501" s="20"/>
      <c r="U501" s="20"/>
      <c r="V501" s="20"/>
      <c r="W501" s="20"/>
    </row>
    <row r="502" customFormat="false" ht="15" hidden="false" customHeight="false" outlineLevel="0" collapsed="false">
      <c r="A502" s="18"/>
      <c r="B502" s="19"/>
      <c r="C502" s="20"/>
      <c r="D502" s="18" t="str">
        <f aca="false">IF(C502="","",IFERROR(INDEX(Tables!$A:$A,MATCH(C502,Tables!$B:$B,0)),"Not found"))</f>
        <v/>
      </c>
      <c r="E502" s="21" t="str">
        <f aca="false">IF(D502="","",IFERROR(INDEX(Tables!$D:$D,MATCH(D502,Tables!$A:$A,0)),""))</f>
        <v/>
      </c>
      <c r="F502" s="20"/>
      <c r="G502" s="20"/>
      <c r="H502" s="18"/>
      <c r="I502" s="20"/>
      <c r="J502" s="20"/>
      <c r="K502" s="20"/>
      <c r="L502" s="20"/>
      <c r="M502" s="20"/>
      <c r="N502" s="20"/>
      <c r="O502" s="20"/>
      <c r="P502" s="20"/>
      <c r="Q502" s="21" t="str">
        <f aca="false">IF(A502="","",COUNTIF('Metric to Field'!$B:$B,A502))</f>
        <v/>
      </c>
      <c r="R502" s="21" t="str">
        <f aca="false">IF(A502="","",SUMIF('Metric to Field'!$B:$B,A502,'Metric to Field'!$G:$G))</f>
        <v/>
      </c>
      <c r="S502" s="20"/>
      <c r="T502" s="20"/>
      <c r="U502" s="20"/>
      <c r="V502" s="20"/>
      <c r="W502" s="20"/>
    </row>
    <row r="503" customFormat="false" ht="15" hidden="false" customHeight="false" outlineLevel="0" collapsed="false">
      <c r="A503" s="18"/>
      <c r="B503" s="19"/>
      <c r="C503" s="20"/>
      <c r="D503" s="18" t="str">
        <f aca="false">IF(C503="","",IFERROR(INDEX(Tables!$A:$A,MATCH(C503,Tables!$B:$B,0)),"Not found"))</f>
        <v/>
      </c>
      <c r="E503" s="21" t="str">
        <f aca="false">IF(D503="","",IFERROR(INDEX(Tables!$D:$D,MATCH(D503,Tables!$A:$A,0)),""))</f>
        <v/>
      </c>
      <c r="F503" s="20"/>
      <c r="G503" s="20"/>
      <c r="H503" s="18"/>
      <c r="I503" s="20"/>
      <c r="J503" s="20"/>
      <c r="K503" s="20"/>
      <c r="L503" s="20"/>
      <c r="M503" s="20"/>
      <c r="N503" s="20"/>
      <c r="O503" s="20"/>
      <c r="P503" s="20"/>
      <c r="Q503" s="21" t="str">
        <f aca="false">IF(A503="","",COUNTIF('Metric to Field'!$B:$B,A503))</f>
        <v/>
      </c>
      <c r="R503" s="21" t="str">
        <f aca="false">IF(A503="","",SUMIF('Metric to Field'!$B:$B,A503,'Metric to Field'!$G:$G))</f>
        <v/>
      </c>
      <c r="S503" s="20"/>
      <c r="T503" s="20"/>
      <c r="U503" s="20"/>
      <c r="V503" s="20"/>
      <c r="W503" s="20"/>
    </row>
    <row r="504" customFormat="false" ht="15" hidden="false" customHeight="false" outlineLevel="0" collapsed="false">
      <c r="A504" s="18"/>
      <c r="B504" s="19"/>
      <c r="C504" s="20"/>
      <c r="D504" s="18" t="str">
        <f aca="false">IF(C504="","",IFERROR(INDEX(Tables!$A:$A,MATCH(C504,Tables!$B:$B,0)),"Not found"))</f>
        <v/>
      </c>
      <c r="E504" s="21" t="str">
        <f aca="false">IF(D504="","",IFERROR(INDEX(Tables!$D:$D,MATCH(D504,Tables!$A:$A,0)),""))</f>
        <v/>
      </c>
      <c r="F504" s="20"/>
      <c r="G504" s="20"/>
      <c r="H504" s="18"/>
      <c r="I504" s="20"/>
      <c r="J504" s="20"/>
      <c r="K504" s="20"/>
      <c r="L504" s="20"/>
      <c r="M504" s="20"/>
      <c r="N504" s="20"/>
      <c r="O504" s="20"/>
      <c r="P504" s="20"/>
      <c r="Q504" s="21" t="str">
        <f aca="false">IF(A504="","",COUNTIF('Metric to Field'!$B:$B,A504))</f>
        <v/>
      </c>
      <c r="R504" s="21" t="str">
        <f aca="false">IF(A504="","",SUMIF('Metric to Field'!$B:$B,A504,'Metric to Field'!$G:$G))</f>
        <v/>
      </c>
      <c r="S504" s="20"/>
      <c r="T504" s="20"/>
      <c r="U504" s="20"/>
      <c r="V504" s="20"/>
      <c r="W504" s="20"/>
    </row>
    <row r="505" customFormat="false" ht="15" hidden="false" customHeight="false" outlineLevel="0" collapsed="false">
      <c r="A505" s="18"/>
      <c r="B505" s="19"/>
      <c r="C505" s="20"/>
      <c r="D505" s="18" t="str">
        <f aca="false">IF(C505="","",IFERROR(INDEX(Tables!$A:$A,MATCH(C505,Tables!$B:$B,0)),"Not found"))</f>
        <v/>
      </c>
      <c r="E505" s="21" t="str">
        <f aca="false">IF(D505="","",IFERROR(INDEX(Tables!$D:$D,MATCH(D505,Tables!$A:$A,0)),""))</f>
        <v/>
      </c>
      <c r="F505" s="20"/>
      <c r="G505" s="20"/>
      <c r="H505" s="18"/>
      <c r="I505" s="20"/>
      <c r="J505" s="20"/>
      <c r="K505" s="20"/>
      <c r="L505" s="20"/>
      <c r="M505" s="20"/>
      <c r="N505" s="20"/>
      <c r="O505" s="20"/>
      <c r="P505" s="20"/>
      <c r="Q505" s="21" t="str">
        <f aca="false">IF(A505="","",COUNTIF('Metric to Field'!$B:$B,A505))</f>
        <v/>
      </c>
      <c r="R505" s="21" t="str">
        <f aca="false">IF(A505="","",SUMIF('Metric to Field'!$B:$B,A505,'Metric to Field'!$G:$G))</f>
        <v/>
      </c>
      <c r="S505" s="20"/>
      <c r="T505" s="20"/>
      <c r="U505" s="20"/>
      <c r="V505" s="20"/>
      <c r="W505" s="20"/>
    </row>
    <row r="506" customFormat="false" ht="15" hidden="false" customHeight="false" outlineLevel="0" collapsed="false">
      <c r="A506" s="18"/>
      <c r="B506" s="19"/>
      <c r="C506" s="20"/>
      <c r="D506" s="18" t="str">
        <f aca="false">IF(C506="","",IFERROR(INDEX(Tables!$A:$A,MATCH(C506,Tables!$B:$B,0)),"Not found"))</f>
        <v/>
      </c>
      <c r="E506" s="21" t="str">
        <f aca="false">IF(D506="","",IFERROR(INDEX(Tables!$D:$D,MATCH(D506,Tables!$A:$A,0)),""))</f>
        <v/>
      </c>
      <c r="F506" s="20"/>
      <c r="G506" s="20"/>
      <c r="H506" s="18"/>
      <c r="I506" s="20"/>
      <c r="J506" s="20"/>
      <c r="K506" s="20"/>
      <c r="L506" s="20"/>
      <c r="M506" s="20"/>
      <c r="N506" s="20"/>
      <c r="O506" s="20"/>
      <c r="P506" s="20"/>
      <c r="Q506" s="21" t="str">
        <f aca="false">IF(A506="","",COUNTIF('Metric to Field'!$B:$B,A506))</f>
        <v/>
      </c>
      <c r="R506" s="21" t="str">
        <f aca="false">IF(A506="","",SUMIF('Metric to Field'!$B:$B,A506,'Metric to Field'!$G:$G))</f>
        <v/>
      </c>
      <c r="S506" s="20"/>
      <c r="T506" s="20"/>
      <c r="U506" s="20"/>
      <c r="V506" s="20"/>
      <c r="W506" s="20"/>
    </row>
    <row r="507" customFormat="false" ht="15" hidden="false" customHeight="false" outlineLevel="0" collapsed="false">
      <c r="A507" s="18"/>
      <c r="B507" s="19"/>
      <c r="C507" s="20"/>
      <c r="D507" s="18" t="str">
        <f aca="false">IF(C507="","",IFERROR(INDEX(Tables!$A:$A,MATCH(C507,Tables!$B:$B,0)),"Not found"))</f>
        <v/>
      </c>
      <c r="E507" s="21" t="str">
        <f aca="false">IF(D507="","",IFERROR(INDEX(Tables!$D:$D,MATCH(D507,Tables!$A:$A,0)),""))</f>
        <v/>
      </c>
      <c r="F507" s="20"/>
      <c r="G507" s="20"/>
      <c r="H507" s="18"/>
      <c r="I507" s="20"/>
      <c r="J507" s="20"/>
      <c r="K507" s="20"/>
      <c r="L507" s="20"/>
      <c r="M507" s="20"/>
      <c r="N507" s="20"/>
      <c r="O507" s="20"/>
      <c r="P507" s="20"/>
      <c r="Q507" s="21" t="str">
        <f aca="false">IF(A507="","",COUNTIF('Metric to Field'!$B:$B,A507))</f>
        <v/>
      </c>
      <c r="R507" s="21" t="str">
        <f aca="false">IF(A507="","",SUMIF('Metric to Field'!$B:$B,A507,'Metric to Field'!$G:$G))</f>
        <v/>
      </c>
      <c r="S507" s="20"/>
      <c r="T507" s="20"/>
      <c r="U507" s="20"/>
      <c r="V507" s="20"/>
      <c r="W507" s="20"/>
    </row>
    <row r="508" customFormat="false" ht="15" hidden="false" customHeight="false" outlineLevel="0" collapsed="false">
      <c r="A508" s="18"/>
      <c r="B508" s="19"/>
      <c r="C508" s="20"/>
      <c r="D508" s="18" t="str">
        <f aca="false">IF(C508="","",IFERROR(INDEX(Tables!$A:$A,MATCH(C508,Tables!$B:$B,0)),"Not found"))</f>
        <v/>
      </c>
      <c r="E508" s="21" t="str">
        <f aca="false">IF(D508="","",IFERROR(INDEX(Tables!$D:$D,MATCH(D508,Tables!$A:$A,0)),""))</f>
        <v/>
      </c>
      <c r="F508" s="20"/>
      <c r="G508" s="20"/>
      <c r="H508" s="18"/>
      <c r="I508" s="20"/>
      <c r="J508" s="20"/>
      <c r="K508" s="20"/>
      <c r="L508" s="20"/>
      <c r="M508" s="20"/>
      <c r="N508" s="20"/>
      <c r="O508" s="20"/>
      <c r="P508" s="20"/>
      <c r="Q508" s="21" t="str">
        <f aca="false">IF(A508="","",COUNTIF('Metric to Field'!$B:$B,A508))</f>
        <v/>
      </c>
      <c r="R508" s="21" t="str">
        <f aca="false">IF(A508="","",SUMIF('Metric to Field'!$B:$B,A508,'Metric to Field'!$G:$G))</f>
        <v/>
      </c>
      <c r="S508" s="20"/>
      <c r="T508" s="20"/>
      <c r="U508" s="20"/>
      <c r="V508" s="20"/>
      <c r="W508" s="20"/>
    </row>
    <row r="509" customFormat="false" ht="15" hidden="false" customHeight="false" outlineLevel="0" collapsed="false">
      <c r="A509" s="18"/>
      <c r="B509" s="19"/>
      <c r="C509" s="20"/>
      <c r="D509" s="18" t="str">
        <f aca="false">IF(C509="","",IFERROR(INDEX(Tables!$A:$A,MATCH(C509,Tables!$B:$B,0)),"Not found"))</f>
        <v/>
      </c>
      <c r="E509" s="21" t="str">
        <f aca="false">IF(D509="","",IFERROR(INDEX(Tables!$D:$D,MATCH(D509,Tables!$A:$A,0)),""))</f>
        <v/>
      </c>
      <c r="F509" s="20"/>
      <c r="G509" s="20"/>
      <c r="H509" s="18"/>
      <c r="I509" s="20"/>
      <c r="J509" s="20"/>
      <c r="K509" s="20"/>
      <c r="L509" s="20"/>
      <c r="M509" s="20"/>
      <c r="N509" s="20"/>
      <c r="O509" s="20"/>
      <c r="P509" s="20"/>
      <c r="Q509" s="21" t="str">
        <f aca="false">IF(A509="","",COUNTIF('Metric to Field'!$B:$B,A509))</f>
        <v/>
      </c>
      <c r="R509" s="21" t="str">
        <f aca="false">IF(A509="","",SUMIF('Metric to Field'!$B:$B,A509,'Metric to Field'!$G:$G))</f>
        <v/>
      </c>
      <c r="S509" s="20"/>
      <c r="T509" s="20"/>
      <c r="U509" s="20"/>
      <c r="V509" s="20"/>
      <c r="W509" s="20"/>
    </row>
    <row r="510" customFormat="false" ht="15" hidden="false" customHeight="false" outlineLevel="0" collapsed="false">
      <c r="A510" s="18"/>
      <c r="B510" s="19"/>
      <c r="C510" s="20"/>
      <c r="D510" s="18" t="str">
        <f aca="false">IF(C510="","",IFERROR(INDEX(Tables!$A:$A,MATCH(C510,Tables!$B:$B,0)),"Not found"))</f>
        <v/>
      </c>
      <c r="E510" s="21" t="str">
        <f aca="false">IF(D510="","",IFERROR(INDEX(Tables!$D:$D,MATCH(D510,Tables!$A:$A,0)),""))</f>
        <v/>
      </c>
      <c r="F510" s="20"/>
      <c r="G510" s="20"/>
      <c r="H510" s="18"/>
      <c r="I510" s="20"/>
      <c r="J510" s="20"/>
      <c r="K510" s="20"/>
      <c r="L510" s="20"/>
      <c r="M510" s="20"/>
      <c r="N510" s="20"/>
      <c r="O510" s="20"/>
      <c r="P510" s="20"/>
      <c r="Q510" s="21" t="str">
        <f aca="false">IF(A510="","",COUNTIF('Metric to Field'!$B:$B,A510))</f>
        <v/>
      </c>
      <c r="R510" s="21" t="str">
        <f aca="false">IF(A510="","",SUMIF('Metric to Field'!$B:$B,A510,'Metric to Field'!$G:$G))</f>
        <v/>
      </c>
      <c r="S510" s="20"/>
      <c r="T510" s="20"/>
      <c r="U510" s="20"/>
      <c r="V510" s="20"/>
      <c r="W510" s="20"/>
    </row>
    <row r="511" customFormat="false" ht="15" hidden="false" customHeight="false" outlineLevel="0" collapsed="false">
      <c r="A511" s="18"/>
      <c r="B511" s="19"/>
      <c r="C511" s="20"/>
      <c r="D511" s="18" t="str">
        <f aca="false">IF(C511="","",IFERROR(INDEX(Tables!$A:$A,MATCH(C511,Tables!$B:$B,0)),"Not found"))</f>
        <v/>
      </c>
      <c r="E511" s="21" t="str">
        <f aca="false">IF(D511="","",IFERROR(INDEX(Tables!$D:$D,MATCH(D511,Tables!$A:$A,0)),""))</f>
        <v/>
      </c>
      <c r="F511" s="20"/>
      <c r="G511" s="20"/>
      <c r="H511" s="18"/>
      <c r="I511" s="20"/>
      <c r="J511" s="20"/>
      <c r="K511" s="20"/>
      <c r="L511" s="20"/>
      <c r="M511" s="20"/>
      <c r="N511" s="20"/>
      <c r="O511" s="20"/>
      <c r="P511" s="20"/>
      <c r="Q511" s="21" t="str">
        <f aca="false">IF(A511="","",COUNTIF('Metric to Field'!$B:$B,A511))</f>
        <v/>
      </c>
      <c r="R511" s="21" t="str">
        <f aca="false">IF(A511="","",SUMIF('Metric to Field'!$B:$B,A511,'Metric to Field'!$G:$G))</f>
        <v/>
      </c>
      <c r="S511" s="20"/>
      <c r="T511" s="20"/>
      <c r="U511" s="20"/>
      <c r="V511" s="20"/>
      <c r="W511" s="20"/>
    </row>
    <row r="512" customFormat="false" ht="15" hidden="false" customHeight="false" outlineLevel="0" collapsed="false">
      <c r="A512" s="18"/>
      <c r="B512" s="19"/>
      <c r="C512" s="20"/>
      <c r="D512" s="18" t="str">
        <f aca="false">IF(C512="","",IFERROR(INDEX(Tables!$A:$A,MATCH(C512,Tables!$B:$B,0)),"Not found"))</f>
        <v/>
      </c>
      <c r="E512" s="21" t="str">
        <f aca="false">IF(D512="","",IFERROR(INDEX(Tables!$D:$D,MATCH(D512,Tables!$A:$A,0)),""))</f>
        <v/>
      </c>
      <c r="F512" s="20"/>
      <c r="G512" s="20"/>
      <c r="H512" s="18"/>
      <c r="I512" s="20"/>
      <c r="J512" s="20"/>
      <c r="K512" s="20"/>
      <c r="L512" s="20"/>
      <c r="M512" s="20"/>
      <c r="N512" s="20"/>
      <c r="O512" s="20"/>
      <c r="P512" s="20"/>
      <c r="Q512" s="21" t="str">
        <f aca="false">IF(A512="","",COUNTIF('Metric to Field'!$B:$B,A512))</f>
        <v/>
      </c>
      <c r="R512" s="21" t="str">
        <f aca="false">IF(A512="","",SUMIF('Metric to Field'!$B:$B,A512,'Metric to Field'!$G:$G))</f>
        <v/>
      </c>
      <c r="S512" s="20"/>
      <c r="T512" s="20"/>
      <c r="U512" s="20"/>
      <c r="V512" s="20"/>
      <c r="W512" s="20"/>
    </row>
    <row r="513" customFormat="false" ht="15" hidden="false" customHeight="false" outlineLevel="0" collapsed="false">
      <c r="A513" s="18"/>
      <c r="B513" s="19"/>
      <c r="C513" s="20"/>
      <c r="D513" s="18" t="str">
        <f aca="false">IF(C513="","",IFERROR(INDEX(Tables!$A:$A,MATCH(C513,Tables!$B:$B,0)),"Not found"))</f>
        <v/>
      </c>
      <c r="E513" s="21" t="str">
        <f aca="false">IF(D513="","",IFERROR(INDEX(Tables!$D:$D,MATCH(D513,Tables!$A:$A,0)),""))</f>
        <v/>
      </c>
      <c r="F513" s="20"/>
      <c r="G513" s="20"/>
      <c r="H513" s="18"/>
      <c r="I513" s="20"/>
      <c r="J513" s="20"/>
      <c r="K513" s="20"/>
      <c r="L513" s="20"/>
      <c r="M513" s="20"/>
      <c r="N513" s="20"/>
      <c r="O513" s="20"/>
      <c r="P513" s="20"/>
      <c r="Q513" s="21" t="str">
        <f aca="false">IF(A513="","",COUNTIF('Metric to Field'!$B:$B,A513))</f>
        <v/>
      </c>
      <c r="R513" s="21" t="str">
        <f aca="false">IF(A513="","",SUMIF('Metric to Field'!$B:$B,A513,'Metric to Field'!$G:$G))</f>
        <v/>
      </c>
      <c r="S513" s="20"/>
      <c r="T513" s="20"/>
      <c r="U513" s="20"/>
      <c r="V513" s="20"/>
      <c r="W513" s="20"/>
    </row>
    <row r="514" customFormat="false" ht="15" hidden="false" customHeight="false" outlineLevel="0" collapsed="false">
      <c r="A514" s="18"/>
      <c r="B514" s="19"/>
      <c r="C514" s="20"/>
      <c r="D514" s="18" t="str">
        <f aca="false">IF(C514="","",IFERROR(INDEX(Tables!$A:$A,MATCH(C514,Tables!$B:$B,0)),"Not found"))</f>
        <v/>
      </c>
      <c r="E514" s="21" t="str">
        <f aca="false">IF(D514="","",IFERROR(INDEX(Tables!$D:$D,MATCH(D514,Tables!$A:$A,0)),""))</f>
        <v/>
      </c>
      <c r="F514" s="20"/>
      <c r="G514" s="20"/>
      <c r="H514" s="18"/>
      <c r="I514" s="20"/>
      <c r="J514" s="20"/>
      <c r="K514" s="20"/>
      <c r="L514" s="20"/>
      <c r="M514" s="20"/>
      <c r="N514" s="20"/>
      <c r="O514" s="20"/>
      <c r="P514" s="20"/>
      <c r="Q514" s="21" t="str">
        <f aca="false">IF(A514="","",COUNTIF('Metric to Field'!$B:$B,A514))</f>
        <v/>
      </c>
      <c r="R514" s="21" t="str">
        <f aca="false">IF(A514="","",SUMIF('Metric to Field'!$B:$B,A514,'Metric to Field'!$G:$G))</f>
        <v/>
      </c>
      <c r="S514" s="20"/>
      <c r="T514" s="20"/>
      <c r="U514" s="20"/>
      <c r="V514" s="20"/>
      <c r="W514" s="20"/>
    </row>
    <row r="515" customFormat="false" ht="15" hidden="false" customHeight="false" outlineLevel="0" collapsed="false">
      <c r="A515" s="18"/>
      <c r="B515" s="19"/>
      <c r="C515" s="20"/>
      <c r="D515" s="18" t="str">
        <f aca="false">IF(C515="","",IFERROR(INDEX(Tables!$A:$A,MATCH(C515,Tables!$B:$B,0)),"Not found"))</f>
        <v/>
      </c>
      <c r="E515" s="21" t="str">
        <f aca="false">IF(D515="","",IFERROR(INDEX(Tables!$D:$D,MATCH(D515,Tables!$A:$A,0)),""))</f>
        <v/>
      </c>
      <c r="F515" s="20"/>
      <c r="G515" s="20"/>
      <c r="H515" s="18"/>
      <c r="I515" s="20"/>
      <c r="J515" s="20"/>
      <c r="K515" s="20"/>
      <c r="L515" s="20"/>
      <c r="M515" s="20"/>
      <c r="N515" s="20"/>
      <c r="O515" s="20"/>
      <c r="P515" s="20"/>
      <c r="Q515" s="21" t="str">
        <f aca="false">IF(A515="","",COUNTIF('Metric to Field'!$B:$B,A515))</f>
        <v/>
      </c>
      <c r="R515" s="21" t="str">
        <f aca="false">IF(A515="","",SUMIF('Metric to Field'!$B:$B,A515,'Metric to Field'!$G:$G))</f>
        <v/>
      </c>
      <c r="S515" s="20"/>
      <c r="T515" s="20"/>
      <c r="U515" s="20"/>
      <c r="V515" s="20"/>
      <c r="W515" s="20"/>
    </row>
    <row r="516" customFormat="false" ht="15" hidden="false" customHeight="false" outlineLevel="0" collapsed="false">
      <c r="A516" s="18"/>
      <c r="B516" s="19"/>
      <c r="C516" s="20"/>
      <c r="D516" s="18" t="str">
        <f aca="false">IF(C516="","",IFERROR(INDEX(Tables!$A:$A,MATCH(C516,Tables!$B:$B,0)),"Not found"))</f>
        <v/>
      </c>
      <c r="E516" s="21" t="str">
        <f aca="false">IF(D516="","",IFERROR(INDEX(Tables!$D:$D,MATCH(D516,Tables!$A:$A,0)),""))</f>
        <v/>
      </c>
      <c r="F516" s="20"/>
      <c r="G516" s="20"/>
      <c r="H516" s="18"/>
      <c r="I516" s="20"/>
      <c r="J516" s="20"/>
      <c r="K516" s="20"/>
      <c r="L516" s="20"/>
      <c r="M516" s="20"/>
      <c r="N516" s="20"/>
      <c r="O516" s="20"/>
      <c r="P516" s="20"/>
      <c r="Q516" s="21" t="str">
        <f aca="false">IF(A516="","",COUNTIF('Metric to Field'!$B:$B,A516))</f>
        <v/>
      </c>
      <c r="R516" s="21" t="str">
        <f aca="false">IF(A516="","",SUMIF('Metric to Field'!$B:$B,A516,'Metric to Field'!$G:$G))</f>
        <v/>
      </c>
      <c r="S516" s="20"/>
      <c r="T516" s="20"/>
      <c r="U516" s="20"/>
      <c r="V516" s="20"/>
      <c r="W516" s="20"/>
    </row>
    <row r="517" customFormat="false" ht="15" hidden="false" customHeight="false" outlineLevel="0" collapsed="false">
      <c r="A517" s="18"/>
      <c r="B517" s="19"/>
      <c r="C517" s="20"/>
      <c r="D517" s="18" t="str">
        <f aca="false">IF(C517="","",IFERROR(INDEX(Tables!$A:$A,MATCH(C517,Tables!$B:$B,0)),"Not found"))</f>
        <v/>
      </c>
      <c r="E517" s="21" t="str">
        <f aca="false">IF(D517="","",IFERROR(INDEX(Tables!$D:$D,MATCH(D517,Tables!$A:$A,0)),""))</f>
        <v/>
      </c>
      <c r="F517" s="20"/>
      <c r="G517" s="20"/>
      <c r="H517" s="18"/>
      <c r="I517" s="20"/>
      <c r="J517" s="20"/>
      <c r="K517" s="20"/>
      <c r="L517" s="20"/>
      <c r="M517" s="20"/>
      <c r="N517" s="20"/>
      <c r="O517" s="20"/>
      <c r="P517" s="20"/>
      <c r="Q517" s="21" t="str">
        <f aca="false">IF(A517="","",COUNTIF('Metric to Field'!$B:$B,A517))</f>
        <v/>
      </c>
      <c r="R517" s="21" t="str">
        <f aca="false">IF(A517="","",SUMIF('Metric to Field'!$B:$B,A517,'Metric to Field'!$G:$G))</f>
        <v/>
      </c>
      <c r="S517" s="20"/>
      <c r="T517" s="20"/>
      <c r="U517" s="20"/>
      <c r="V517" s="20"/>
      <c r="W517" s="20"/>
    </row>
    <row r="518" customFormat="false" ht="15" hidden="false" customHeight="false" outlineLevel="0" collapsed="false">
      <c r="A518" s="18"/>
      <c r="B518" s="19"/>
      <c r="C518" s="20"/>
      <c r="D518" s="18" t="str">
        <f aca="false">IF(C518="","",IFERROR(INDEX(Tables!$A:$A,MATCH(C518,Tables!$B:$B,0)),"Not found"))</f>
        <v/>
      </c>
      <c r="E518" s="21" t="str">
        <f aca="false">IF(D518="","",IFERROR(INDEX(Tables!$D:$D,MATCH(D518,Tables!$A:$A,0)),""))</f>
        <v/>
      </c>
      <c r="F518" s="20"/>
      <c r="G518" s="20"/>
      <c r="H518" s="18"/>
      <c r="I518" s="20"/>
      <c r="J518" s="20"/>
      <c r="K518" s="20"/>
      <c r="L518" s="20"/>
      <c r="M518" s="20"/>
      <c r="N518" s="20"/>
      <c r="O518" s="20"/>
      <c r="P518" s="20"/>
      <c r="Q518" s="21" t="str">
        <f aca="false">IF(A518="","",COUNTIF('Metric to Field'!$B:$B,A518))</f>
        <v/>
      </c>
      <c r="R518" s="21" t="str">
        <f aca="false">IF(A518="","",SUMIF('Metric to Field'!$B:$B,A518,'Metric to Field'!$G:$G))</f>
        <v/>
      </c>
      <c r="S518" s="20"/>
      <c r="T518" s="20"/>
      <c r="U518" s="20"/>
      <c r="V518" s="20"/>
      <c r="W518" s="20"/>
    </row>
    <row r="519" customFormat="false" ht="15" hidden="false" customHeight="false" outlineLevel="0" collapsed="false">
      <c r="A519" s="18"/>
      <c r="B519" s="19"/>
      <c r="C519" s="20"/>
      <c r="D519" s="18" t="str">
        <f aca="false">IF(C519="","",IFERROR(INDEX(Tables!$A:$A,MATCH(C519,Tables!$B:$B,0)),"Not found"))</f>
        <v/>
      </c>
      <c r="E519" s="21" t="str">
        <f aca="false">IF(D519="","",IFERROR(INDEX(Tables!$D:$D,MATCH(D519,Tables!$A:$A,0)),""))</f>
        <v/>
      </c>
      <c r="F519" s="20"/>
      <c r="G519" s="20"/>
      <c r="H519" s="18"/>
      <c r="I519" s="20"/>
      <c r="J519" s="20"/>
      <c r="K519" s="20"/>
      <c r="L519" s="20"/>
      <c r="M519" s="20"/>
      <c r="N519" s="20"/>
      <c r="O519" s="20"/>
      <c r="P519" s="20"/>
      <c r="Q519" s="21" t="str">
        <f aca="false">IF(A519="","",COUNTIF('Metric to Field'!$B:$B,A519))</f>
        <v/>
      </c>
      <c r="R519" s="21" t="str">
        <f aca="false">IF(A519="","",SUMIF('Metric to Field'!$B:$B,A519,'Metric to Field'!$G:$G))</f>
        <v/>
      </c>
      <c r="S519" s="20"/>
      <c r="T519" s="20"/>
      <c r="U519" s="20"/>
      <c r="V519" s="20"/>
      <c r="W519" s="20"/>
    </row>
    <row r="520" customFormat="false" ht="15" hidden="false" customHeight="false" outlineLevel="0" collapsed="false">
      <c r="A520" s="18"/>
      <c r="B520" s="19"/>
      <c r="C520" s="20"/>
      <c r="D520" s="18" t="str">
        <f aca="false">IF(C520="","",IFERROR(INDEX(Tables!$A:$A,MATCH(C520,Tables!$B:$B,0)),"Not found"))</f>
        <v/>
      </c>
      <c r="E520" s="21" t="str">
        <f aca="false">IF(D520="","",IFERROR(INDEX(Tables!$D:$D,MATCH(D520,Tables!$A:$A,0)),""))</f>
        <v/>
      </c>
      <c r="F520" s="20"/>
      <c r="G520" s="20"/>
      <c r="H520" s="18"/>
      <c r="I520" s="20"/>
      <c r="J520" s="20"/>
      <c r="K520" s="20"/>
      <c r="L520" s="20"/>
      <c r="M520" s="20"/>
      <c r="N520" s="20"/>
      <c r="O520" s="20"/>
      <c r="P520" s="20"/>
      <c r="Q520" s="21" t="str">
        <f aca="false">IF(A520="","",COUNTIF('Metric to Field'!$B:$B,A520))</f>
        <v/>
      </c>
      <c r="R520" s="21" t="str">
        <f aca="false">IF(A520="","",SUMIF('Metric to Field'!$B:$B,A520,'Metric to Field'!$G:$G))</f>
        <v/>
      </c>
      <c r="S520" s="20"/>
      <c r="T520" s="20"/>
      <c r="U520" s="20"/>
      <c r="V520" s="20"/>
      <c r="W520" s="20"/>
    </row>
    <row r="521" customFormat="false" ht="15" hidden="false" customHeight="false" outlineLevel="0" collapsed="false">
      <c r="A521" s="18"/>
      <c r="B521" s="19"/>
      <c r="C521" s="20"/>
      <c r="D521" s="18" t="str">
        <f aca="false">IF(C521="","",IFERROR(INDEX(Tables!$A:$A,MATCH(C521,Tables!$B:$B,0)),"Not found"))</f>
        <v/>
      </c>
      <c r="E521" s="21" t="str">
        <f aca="false">IF(D521="","",IFERROR(INDEX(Tables!$D:$D,MATCH(D521,Tables!$A:$A,0)),""))</f>
        <v/>
      </c>
      <c r="F521" s="20"/>
      <c r="G521" s="20"/>
      <c r="H521" s="18"/>
      <c r="I521" s="20"/>
      <c r="J521" s="20"/>
      <c r="K521" s="20"/>
      <c r="L521" s="20"/>
      <c r="M521" s="20"/>
      <c r="N521" s="20"/>
      <c r="O521" s="20"/>
      <c r="P521" s="20"/>
      <c r="Q521" s="21" t="str">
        <f aca="false">IF(A521="","",COUNTIF('Metric to Field'!$B:$B,A521))</f>
        <v/>
      </c>
      <c r="R521" s="21" t="str">
        <f aca="false">IF(A521="","",SUMIF('Metric to Field'!$B:$B,A521,'Metric to Field'!$G:$G))</f>
        <v/>
      </c>
      <c r="S521" s="20"/>
      <c r="T521" s="20"/>
      <c r="U521" s="20"/>
      <c r="V521" s="20"/>
      <c r="W521" s="20"/>
    </row>
    <row r="522" customFormat="false" ht="15" hidden="false" customHeight="false" outlineLevel="0" collapsed="false">
      <c r="A522" s="18"/>
      <c r="B522" s="19"/>
      <c r="C522" s="20"/>
      <c r="D522" s="18" t="str">
        <f aca="false">IF(C522="","",IFERROR(INDEX(Tables!$A:$A,MATCH(C522,Tables!$B:$B,0)),"Not found"))</f>
        <v/>
      </c>
      <c r="E522" s="21" t="str">
        <f aca="false">IF(D522="","",IFERROR(INDEX(Tables!$D:$D,MATCH(D522,Tables!$A:$A,0)),""))</f>
        <v/>
      </c>
      <c r="F522" s="20"/>
      <c r="G522" s="20"/>
      <c r="H522" s="18"/>
      <c r="I522" s="20"/>
      <c r="J522" s="20"/>
      <c r="K522" s="20"/>
      <c r="L522" s="20"/>
      <c r="M522" s="20"/>
      <c r="N522" s="20"/>
      <c r="O522" s="20"/>
      <c r="P522" s="20"/>
      <c r="Q522" s="21" t="str">
        <f aca="false">IF(A522="","",COUNTIF('Metric to Field'!$B:$B,A522))</f>
        <v/>
      </c>
      <c r="R522" s="21" t="str">
        <f aca="false">IF(A522="","",SUMIF('Metric to Field'!$B:$B,A522,'Metric to Field'!$G:$G))</f>
        <v/>
      </c>
      <c r="S522" s="20"/>
      <c r="T522" s="20"/>
      <c r="U522" s="20"/>
      <c r="V522" s="20"/>
      <c r="W522" s="20"/>
    </row>
    <row r="523" customFormat="false" ht="15" hidden="false" customHeight="false" outlineLevel="0" collapsed="false">
      <c r="A523" s="18"/>
      <c r="B523" s="19"/>
      <c r="C523" s="20"/>
      <c r="D523" s="18" t="str">
        <f aca="false">IF(C523="","",IFERROR(INDEX(Tables!$A:$A,MATCH(C523,Tables!$B:$B,0)),"Not found"))</f>
        <v/>
      </c>
      <c r="E523" s="21" t="str">
        <f aca="false">IF(D523="","",IFERROR(INDEX(Tables!$D:$D,MATCH(D523,Tables!$A:$A,0)),""))</f>
        <v/>
      </c>
      <c r="F523" s="20"/>
      <c r="G523" s="20"/>
      <c r="H523" s="18"/>
      <c r="I523" s="20"/>
      <c r="J523" s="20"/>
      <c r="K523" s="20"/>
      <c r="L523" s="20"/>
      <c r="M523" s="20"/>
      <c r="N523" s="20"/>
      <c r="O523" s="20"/>
      <c r="P523" s="20"/>
      <c r="Q523" s="21" t="str">
        <f aca="false">IF(A523="","",COUNTIF('Metric to Field'!$B:$B,A523))</f>
        <v/>
      </c>
      <c r="R523" s="21" t="str">
        <f aca="false">IF(A523="","",SUMIF('Metric to Field'!$B:$B,A523,'Metric to Field'!$G:$G))</f>
        <v/>
      </c>
      <c r="S523" s="20"/>
      <c r="T523" s="20"/>
      <c r="U523" s="20"/>
      <c r="V523" s="20"/>
      <c r="W523" s="20"/>
    </row>
    <row r="524" customFormat="false" ht="15" hidden="false" customHeight="false" outlineLevel="0" collapsed="false">
      <c r="A524" s="18"/>
      <c r="B524" s="19"/>
      <c r="C524" s="20"/>
      <c r="D524" s="18" t="str">
        <f aca="false">IF(C524="","",IFERROR(INDEX(Tables!$A:$A,MATCH(C524,Tables!$B:$B,0)),"Not found"))</f>
        <v/>
      </c>
      <c r="E524" s="21" t="str">
        <f aca="false">IF(D524="","",IFERROR(INDEX(Tables!$D:$D,MATCH(D524,Tables!$A:$A,0)),""))</f>
        <v/>
      </c>
      <c r="F524" s="20"/>
      <c r="G524" s="20"/>
      <c r="H524" s="18"/>
      <c r="I524" s="20"/>
      <c r="J524" s="20"/>
      <c r="K524" s="20"/>
      <c r="L524" s="20"/>
      <c r="M524" s="20"/>
      <c r="N524" s="20"/>
      <c r="O524" s="20"/>
      <c r="P524" s="20"/>
      <c r="Q524" s="21" t="str">
        <f aca="false">IF(A524="","",COUNTIF('Metric to Field'!$B:$B,A524))</f>
        <v/>
      </c>
      <c r="R524" s="21" t="str">
        <f aca="false">IF(A524="","",SUMIF('Metric to Field'!$B:$B,A524,'Metric to Field'!$G:$G))</f>
        <v/>
      </c>
      <c r="S524" s="20"/>
      <c r="T524" s="20"/>
      <c r="U524" s="20"/>
      <c r="V524" s="20"/>
      <c r="W524" s="20"/>
    </row>
    <row r="525" customFormat="false" ht="15" hidden="false" customHeight="false" outlineLevel="0" collapsed="false">
      <c r="A525" s="18"/>
      <c r="B525" s="19"/>
      <c r="C525" s="20"/>
      <c r="D525" s="18" t="str">
        <f aca="false">IF(C525="","",IFERROR(INDEX(Tables!$A:$A,MATCH(C525,Tables!$B:$B,0)),"Not found"))</f>
        <v/>
      </c>
      <c r="E525" s="21" t="str">
        <f aca="false">IF(D525="","",IFERROR(INDEX(Tables!$D:$D,MATCH(D525,Tables!$A:$A,0)),""))</f>
        <v/>
      </c>
      <c r="F525" s="20"/>
      <c r="G525" s="20"/>
      <c r="H525" s="18"/>
      <c r="I525" s="20"/>
      <c r="J525" s="20"/>
      <c r="K525" s="20"/>
      <c r="L525" s="20"/>
      <c r="M525" s="20"/>
      <c r="N525" s="20"/>
      <c r="O525" s="20"/>
      <c r="P525" s="20"/>
      <c r="Q525" s="21" t="str">
        <f aca="false">IF(A525="","",COUNTIF('Metric to Field'!$B:$B,A525))</f>
        <v/>
      </c>
      <c r="R525" s="21" t="str">
        <f aca="false">IF(A525="","",SUMIF('Metric to Field'!$B:$B,A525,'Metric to Field'!$G:$G))</f>
        <v/>
      </c>
      <c r="S525" s="20"/>
      <c r="T525" s="20"/>
      <c r="U525" s="20"/>
      <c r="V525" s="20"/>
      <c r="W525" s="20"/>
    </row>
    <row r="526" customFormat="false" ht="15" hidden="false" customHeight="false" outlineLevel="0" collapsed="false">
      <c r="A526" s="18"/>
      <c r="B526" s="19"/>
      <c r="C526" s="20"/>
      <c r="D526" s="18" t="str">
        <f aca="false">IF(C526="","",IFERROR(INDEX(Tables!$A:$A,MATCH(C526,Tables!$B:$B,0)),"Not found"))</f>
        <v/>
      </c>
      <c r="E526" s="21" t="str">
        <f aca="false">IF(D526="","",IFERROR(INDEX(Tables!$D:$D,MATCH(D526,Tables!$A:$A,0)),""))</f>
        <v/>
      </c>
      <c r="F526" s="20"/>
      <c r="G526" s="20"/>
      <c r="H526" s="18"/>
      <c r="I526" s="20"/>
      <c r="J526" s="20"/>
      <c r="K526" s="20"/>
      <c r="L526" s="20"/>
      <c r="M526" s="20"/>
      <c r="N526" s="20"/>
      <c r="O526" s="20"/>
      <c r="P526" s="20"/>
      <c r="Q526" s="21" t="str">
        <f aca="false">IF(A526="","",COUNTIF('Metric to Field'!$B:$B,A526))</f>
        <v/>
      </c>
      <c r="R526" s="21" t="str">
        <f aca="false">IF(A526="","",SUMIF('Metric to Field'!$B:$B,A526,'Metric to Field'!$G:$G))</f>
        <v/>
      </c>
      <c r="S526" s="20"/>
      <c r="T526" s="20"/>
      <c r="U526" s="20"/>
      <c r="V526" s="20"/>
      <c r="W526" s="20"/>
    </row>
    <row r="527" customFormat="false" ht="15" hidden="false" customHeight="false" outlineLevel="0" collapsed="false">
      <c r="A527" s="18"/>
      <c r="B527" s="19"/>
      <c r="C527" s="20"/>
      <c r="D527" s="18" t="str">
        <f aca="false">IF(C527="","",IFERROR(INDEX(Tables!$A:$A,MATCH(C527,Tables!$B:$B,0)),"Not found"))</f>
        <v/>
      </c>
      <c r="E527" s="21" t="str">
        <f aca="false">IF(D527="","",IFERROR(INDEX(Tables!$D:$D,MATCH(D527,Tables!$A:$A,0)),""))</f>
        <v/>
      </c>
      <c r="F527" s="20"/>
      <c r="G527" s="20"/>
      <c r="H527" s="18"/>
      <c r="I527" s="20"/>
      <c r="J527" s="20"/>
      <c r="K527" s="20"/>
      <c r="L527" s="20"/>
      <c r="M527" s="20"/>
      <c r="N527" s="20"/>
      <c r="O527" s="20"/>
      <c r="P527" s="20"/>
      <c r="Q527" s="21" t="str">
        <f aca="false">IF(A527="","",COUNTIF('Metric to Field'!$B:$B,A527))</f>
        <v/>
      </c>
      <c r="R527" s="21" t="str">
        <f aca="false">IF(A527="","",SUMIF('Metric to Field'!$B:$B,A527,'Metric to Field'!$G:$G))</f>
        <v/>
      </c>
      <c r="S527" s="20"/>
      <c r="T527" s="20"/>
      <c r="U527" s="20"/>
      <c r="V527" s="20"/>
      <c r="W527" s="20"/>
    </row>
    <row r="528" customFormat="false" ht="15" hidden="false" customHeight="false" outlineLevel="0" collapsed="false">
      <c r="A528" s="18"/>
      <c r="B528" s="19"/>
      <c r="C528" s="20"/>
      <c r="D528" s="18" t="str">
        <f aca="false">IF(C528="","",IFERROR(INDEX(Tables!$A:$A,MATCH(C528,Tables!$B:$B,0)),"Not found"))</f>
        <v/>
      </c>
      <c r="E528" s="21" t="str">
        <f aca="false">IF(D528="","",IFERROR(INDEX(Tables!$D:$D,MATCH(D528,Tables!$A:$A,0)),""))</f>
        <v/>
      </c>
      <c r="F528" s="20"/>
      <c r="G528" s="20"/>
      <c r="H528" s="18"/>
      <c r="I528" s="20"/>
      <c r="J528" s="20"/>
      <c r="K528" s="20"/>
      <c r="L528" s="20"/>
      <c r="M528" s="20"/>
      <c r="N528" s="20"/>
      <c r="O528" s="20"/>
      <c r="P528" s="20"/>
      <c r="Q528" s="21" t="str">
        <f aca="false">IF(A528="","",COUNTIF('Metric to Field'!$B:$B,A528))</f>
        <v/>
      </c>
      <c r="R528" s="21" t="str">
        <f aca="false">IF(A528="","",SUMIF('Metric to Field'!$B:$B,A528,'Metric to Field'!$G:$G))</f>
        <v/>
      </c>
      <c r="S528" s="20"/>
      <c r="T528" s="20"/>
      <c r="U528" s="20"/>
      <c r="V528" s="20"/>
      <c r="W528" s="20"/>
    </row>
    <row r="529" customFormat="false" ht="15" hidden="false" customHeight="false" outlineLevel="0" collapsed="false">
      <c r="A529" s="18"/>
      <c r="B529" s="19"/>
      <c r="C529" s="20"/>
      <c r="D529" s="18" t="str">
        <f aca="false">IF(C529="","",IFERROR(INDEX(Tables!$A:$A,MATCH(C529,Tables!$B:$B,0)),"Not found"))</f>
        <v/>
      </c>
      <c r="E529" s="21" t="str">
        <f aca="false">IF(D529="","",IFERROR(INDEX(Tables!$D:$D,MATCH(D529,Tables!$A:$A,0)),""))</f>
        <v/>
      </c>
      <c r="F529" s="20"/>
      <c r="G529" s="20"/>
      <c r="H529" s="18"/>
      <c r="I529" s="20"/>
      <c r="J529" s="20"/>
      <c r="K529" s="20"/>
      <c r="L529" s="20"/>
      <c r="M529" s="20"/>
      <c r="N529" s="20"/>
      <c r="O529" s="20"/>
      <c r="P529" s="20"/>
      <c r="Q529" s="21" t="str">
        <f aca="false">IF(A529="","",COUNTIF('Metric to Field'!$B:$B,A529))</f>
        <v/>
      </c>
      <c r="R529" s="21" t="str">
        <f aca="false">IF(A529="","",SUMIF('Metric to Field'!$B:$B,A529,'Metric to Field'!$G:$G))</f>
        <v/>
      </c>
      <c r="S529" s="20"/>
      <c r="T529" s="20"/>
      <c r="U529" s="20"/>
      <c r="V529" s="20"/>
      <c r="W529" s="20"/>
    </row>
    <row r="530" customFormat="false" ht="15" hidden="false" customHeight="false" outlineLevel="0" collapsed="false">
      <c r="A530" s="18"/>
      <c r="B530" s="19"/>
      <c r="C530" s="20"/>
      <c r="D530" s="18" t="str">
        <f aca="false">IF(C530="","",IFERROR(INDEX(Tables!$A:$A,MATCH(C530,Tables!$B:$B,0)),"Not found"))</f>
        <v/>
      </c>
      <c r="E530" s="21" t="str">
        <f aca="false">IF(D530="","",IFERROR(INDEX(Tables!$D:$D,MATCH(D530,Tables!$A:$A,0)),""))</f>
        <v/>
      </c>
      <c r="F530" s="20"/>
      <c r="G530" s="20"/>
      <c r="H530" s="18"/>
      <c r="I530" s="20"/>
      <c r="J530" s="20"/>
      <c r="K530" s="20"/>
      <c r="L530" s="20"/>
      <c r="M530" s="20"/>
      <c r="N530" s="20"/>
      <c r="O530" s="20"/>
      <c r="P530" s="20"/>
      <c r="Q530" s="21" t="str">
        <f aca="false">IF(A530="","",COUNTIF('Metric to Field'!$B:$B,A530))</f>
        <v/>
      </c>
      <c r="R530" s="21" t="str">
        <f aca="false">IF(A530="","",SUMIF('Metric to Field'!$B:$B,A530,'Metric to Field'!$G:$G))</f>
        <v/>
      </c>
      <c r="S530" s="20"/>
      <c r="T530" s="20"/>
      <c r="U530" s="20"/>
      <c r="V530" s="20"/>
      <c r="W530" s="20"/>
    </row>
    <row r="531" customFormat="false" ht="15" hidden="false" customHeight="false" outlineLevel="0" collapsed="false">
      <c r="A531" s="18"/>
      <c r="B531" s="19"/>
      <c r="C531" s="20"/>
      <c r="D531" s="18" t="str">
        <f aca="false">IF(C531="","",IFERROR(INDEX(Tables!$A:$A,MATCH(C531,Tables!$B:$B,0)),"Not found"))</f>
        <v/>
      </c>
      <c r="E531" s="21" t="str">
        <f aca="false">IF(D531="","",IFERROR(INDEX(Tables!$D:$D,MATCH(D531,Tables!$A:$A,0)),""))</f>
        <v/>
      </c>
      <c r="F531" s="20"/>
      <c r="G531" s="20"/>
      <c r="H531" s="18"/>
      <c r="I531" s="20"/>
      <c r="J531" s="20"/>
      <c r="K531" s="20"/>
      <c r="L531" s="20"/>
      <c r="M531" s="20"/>
      <c r="N531" s="20"/>
      <c r="O531" s="20"/>
      <c r="P531" s="20"/>
      <c r="Q531" s="21" t="str">
        <f aca="false">IF(A531="","",COUNTIF('Metric to Field'!$B:$B,A531))</f>
        <v/>
      </c>
      <c r="R531" s="21" t="str">
        <f aca="false">IF(A531="","",SUMIF('Metric to Field'!$B:$B,A531,'Metric to Field'!$G:$G))</f>
        <v/>
      </c>
      <c r="S531" s="20"/>
      <c r="T531" s="20"/>
      <c r="U531" s="20"/>
      <c r="V531" s="20"/>
      <c r="W531" s="20"/>
    </row>
    <row r="532" customFormat="false" ht="15" hidden="false" customHeight="false" outlineLevel="0" collapsed="false">
      <c r="A532" s="18"/>
      <c r="B532" s="19"/>
      <c r="C532" s="20"/>
      <c r="D532" s="18" t="str">
        <f aca="false">IF(C532="","",IFERROR(INDEX(Tables!$A:$A,MATCH(C532,Tables!$B:$B,0)),"Not found"))</f>
        <v/>
      </c>
      <c r="E532" s="21" t="str">
        <f aca="false">IF(D532="","",IFERROR(INDEX(Tables!$D:$D,MATCH(D532,Tables!$A:$A,0)),""))</f>
        <v/>
      </c>
      <c r="F532" s="20"/>
      <c r="G532" s="20"/>
      <c r="H532" s="18"/>
      <c r="I532" s="20"/>
      <c r="J532" s="20"/>
      <c r="K532" s="20"/>
      <c r="L532" s="20"/>
      <c r="M532" s="20"/>
      <c r="N532" s="20"/>
      <c r="O532" s="20"/>
      <c r="P532" s="20"/>
      <c r="Q532" s="21" t="str">
        <f aca="false">IF(A532="","",COUNTIF('Metric to Field'!$B:$B,A532))</f>
        <v/>
      </c>
      <c r="R532" s="21" t="str">
        <f aca="false">IF(A532="","",SUMIF('Metric to Field'!$B:$B,A532,'Metric to Field'!$G:$G))</f>
        <v/>
      </c>
      <c r="S532" s="20"/>
      <c r="T532" s="20"/>
      <c r="U532" s="20"/>
      <c r="V532" s="20"/>
      <c r="W532" s="20"/>
    </row>
    <row r="533" customFormat="false" ht="15" hidden="false" customHeight="false" outlineLevel="0" collapsed="false">
      <c r="A533" s="18"/>
      <c r="B533" s="19"/>
      <c r="C533" s="20"/>
      <c r="D533" s="18" t="str">
        <f aca="false">IF(C533="","",IFERROR(INDEX(Tables!$A:$A,MATCH(C533,Tables!$B:$B,0)),"Not found"))</f>
        <v/>
      </c>
      <c r="E533" s="21" t="str">
        <f aca="false">IF(D533="","",IFERROR(INDEX(Tables!$D:$D,MATCH(D533,Tables!$A:$A,0)),""))</f>
        <v/>
      </c>
      <c r="F533" s="20"/>
      <c r="G533" s="20"/>
      <c r="H533" s="18"/>
      <c r="I533" s="20"/>
      <c r="J533" s="20"/>
      <c r="K533" s="20"/>
      <c r="L533" s="20"/>
      <c r="M533" s="20"/>
      <c r="N533" s="20"/>
      <c r="O533" s="20"/>
      <c r="P533" s="20"/>
      <c r="Q533" s="21" t="str">
        <f aca="false">IF(A533="","",COUNTIF('Metric to Field'!$B:$B,A533))</f>
        <v/>
      </c>
      <c r="R533" s="21" t="str">
        <f aca="false">IF(A533="","",SUMIF('Metric to Field'!$B:$B,A533,'Metric to Field'!$G:$G))</f>
        <v/>
      </c>
      <c r="S533" s="20"/>
      <c r="T533" s="20"/>
      <c r="U533" s="20"/>
      <c r="V533" s="20"/>
      <c r="W533" s="20"/>
    </row>
    <row r="534" customFormat="false" ht="15" hidden="false" customHeight="false" outlineLevel="0" collapsed="false">
      <c r="A534" s="18"/>
      <c r="B534" s="19"/>
      <c r="C534" s="20"/>
      <c r="D534" s="18" t="str">
        <f aca="false">IF(C534="","",IFERROR(INDEX(Tables!$A:$A,MATCH(C534,Tables!$B:$B,0)),"Not found"))</f>
        <v/>
      </c>
      <c r="E534" s="21" t="str">
        <f aca="false">IF(D534="","",IFERROR(INDEX(Tables!$D:$D,MATCH(D534,Tables!$A:$A,0)),""))</f>
        <v/>
      </c>
      <c r="F534" s="20"/>
      <c r="G534" s="20"/>
      <c r="H534" s="18"/>
      <c r="I534" s="20"/>
      <c r="J534" s="20"/>
      <c r="K534" s="20"/>
      <c r="L534" s="20"/>
      <c r="M534" s="20"/>
      <c r="N534" s="20"/>
      <c r="O534" s="20"/>
      <c r="P534" s="20"/>
      <c r="Q534" s="21" t="str">
        <f aca="false">IF(A534="","",COUNTIF('Metric to Field'!$B:$B,A534))</f>
        <v/>
      </c>
      <c r="R534" s="21" t="str">
        <f aca="false">IF(A534="","",SUMIF('Metric to Field'!$B:$B,A534,'Metric to Field'!$G:$G))</f>
        <v/>
      </c>
      <c r="S534" s="20"/>
      <c r="T534" s="20"/>
      <c r="U534" s="20"/>
      <c r="V534" s="20"/>
      <c r="W534" s="20"/>
    </row>
    <row r="535" customFormat="false" ht="15" hidden="false" customHeight="false" outlineLevel="0" collapsed="false">
      <c r="A535" s="18"/>
      <c r="B535" s="19"/>
      <c r="C535" s="20"/>
      <c r="D535" s="18" t="str">
        <f aca="false">IF(C535="","",IFERROR(INDEX(Tables!$A:$A,MATCH(C535,Tables!$B:$B,0)),"Not found"))</f>
        <v/>
      </c>
      <c r="E535" s="21" t="str">
        <f aca="false">IF(D535="","",IFERROR(INDEX(Tables!$D:$D,MATCH(D535,Tables!$A:$A,0)),""))</f>
        <v/>
      </c>
      <c r="F535" s="20"/>
      <c r="G535" s="20"/>
      <c r="H535" s="18"/>
      <c r="I535" s="20"/>
      <c r="J535" s="20"/>
      <c r="K535" s="20"/>
      <c r="L535" s="20"/>
      <c r="M535" s="20"/>
      <c r="N535" s="20"/>
      <c r="O535" s="20"/>
      <c r="P535" s="20"/>
      <c r="Q535" s="21" t="str">
        <f aca="false">IF(A535="","",COUNTIF('Metric to Field'!$B:$B,A535))</f>
        <v/>
      </c>
      <c r="R535" s="21" t="str">
        <f aca="false">IF(A535="","",SUMIF('Metric to Field'!$B:$B,A535,'Metric to Field'!$G:$G))</f>
        <v/>
      </c>
      <c r="S535" s="20"/>
      <c r="T535" s="20"/>
      <c r="U535" s="20"/>
      <c r="V535" s="20"/>
      <c r="W535" s="20"/>
    </row>
    <row r="536" customFormat="false" ht="15" hidden="false" customHeight="false" outlineLevel="0" collapsed="false">
      <c r="A536" s="18"/>
      <c r="B536" s="19"/>
      <c r="C536" s="20"/>
      <c r="D536" s="18" t="str">
        <f aca="false">IF(C536="","",IFERROR(INDEX(Tables!$A:$A,MATCH(C536,Tables!$B:$B,0)),"Not found"))</f>
        <v/>
      </c>
      <c r="E536" s="21" t="str">
        <f aca="false">IF(D536="","",IFERROR(INDEX(Tables!$D:$D,MATCH(D536,Tables!$A:$A,0)),""))</f>
        <v/>
      </c>
      <c r="F536" s="20"/>
      <c r="G536" s="20"/>
      <c r="H536" s="18"/>
      <c r="I536" s="20"/>
      <c r="J536" s="20"/>
      <c r="K536" s="20"/>
      <c r="L536" s="20"/>
      <c r="M536" s="20"/>
      <c r="N536" s="20"/>
      <c r="O536" s="20"/>
      <c r="P536" s="20"/>
      <c r="Q536" s="21" t="str">
        <f aca="false">IF(A536="","",COUNTIF('Metric to Field'!$B:$B,A536))</f>
        <v/>
      </c>
      <c r="R536" s="21" t="str">
        <f aca="false">IF(A536="","",SUMIF('Metric to Field'!$B:$B,A536,'Metric to Field'!$G:$G))</f>
        <v/>
      </c>
      <c r="S536" s="20"/>
      <c r="T536" s="20"/>
      <c r="U536" s="20"/>
      <c r="V536" s="20"/>
      <c r="W536" s="20"/>
    </row>
    <row r="537" customFormat="false" ht="15" hidden="false" customHeight="false" outlineLevel="0" collapsed="false">
      <c r="A537" s="18"/>
      <c r="B537" s="19"/>
      <c r="C537" s="20"/>
      <c r="D537" s="18" t="str">
        <f aca="false">IF(C537="","",IFERROR(INDEX(Tables!$A:$A,MATCH(C537,Tables!$B:$B,0)),"Not found"))</f>
        <v/>
      </c>
      <c r="E537" s="21" t="str">
        <f aca="false">IF(D537="","",IFERROR(INDEX(Tables!$D:$D,MATCH(D537,Tables!$A:$A,0)),""))</f>
        <v/>
      </c>
      <c r="F537" s="20"/>
      <c r="G537" s="20"/>
      <c r="H537" s="18"/>
      <c r="I537" s="20"/>
      <c r="J537" s="20"/>
      <c r="K537" s="20"/>
      <c r="L537" s="20"/>
      <c r="M537" s="20"/>
      <c r="N537" s="20"/>
      <c r="O537" s="20"/>
      <c r="P537" s="20"/>
      <c r="Q537" s="21" t="str">
        <f aca="false">IF(A537="","",COUNTIF('Metric to Field'!$B:$B,A537))</f>
        <v/>
      </c>
      <c r="R537" s="21" t="str">
        <f aca="false">IF(A537="","",SUMIF('Metric to Field'!$B:$B,A537,'Metric to Field'!$G:$G))</f>
        <v/>
      </c>
      <c r="S537" s="20"/>
      <c r="T537" s="20"/>
      <c r="U537" s="20"/>
      <c r="V537" s="20"/>
      <c r="W537" s="20"/>
    </row>
    <row r="538" customFormat="false" ht="15" hidden="false" customHeight="false" outlineLevel="0" collapsed="false">
      <c r="A538" s="18"/>
      <c r="B538" s="19"/>
      <c r="C538" s="20"/>
      <c r="D538" s="18" t="str">
        <f aca="false">IF(C538="","",IFERROR(INDEX(Tables!$A:$A,MATCH(C538,Tables!$B:$B,0)),"Not found"))</f>
        <v/>
      </c>
      <c r="E538" s="21" t="str">
        <f aca="false">IF(D538="","",IFERROR(INDEX(Tables!$D:$D,MATCH(D538,Tables!$A:$A,0)),""))</f>
        <v/>
      </c>
      <c r="F538" s="20"/>
      <c r="G538" s="20"/>
      <c r="H538" s="18"/>
      <c r="I538" s="20"/>
      <c r="J538" s="20"/>
      <c r="K538" s="20"/>
      <c r="L538" s="20"/>
      <c r="M538" s="20"/>
      <c r="N538" s="20"/>
      <c r="O538" s="20"/>
      <c r="P538" s="20"/>
      <c r="Q538" s="21" t="str">
        <f aca="false">IF(A538="","",COUNTIF('Metric to Field'!$B:$B,A538))</f>
        <v/>
      </c>
      <c r="R538" s="21" t="str">
        <f aca="false">IF(A538="","",SUMIF('Metric to Field'!$B:$B,A538,'Metric to Field'!$G:$G))</f>
        <v/>
      </c>
      <c r="S538" s="20"/>
      <c r="T538" s="20"/>
      <c r="U538" s="20"/>
      <c r="V538" s="20"/>
      <c r="W538" s="20"/>
    </row>
    <row r="539" customFormat="false" ht="15" hidden="false" customHeight="false" outlineLevel="0" collapsed="false">
      <c r="A539" s="18"/>
      <c r="B539" s="19"/>
      <c r="C539" s="20"/>
      <c r="D539" s="18" t="str">
        <f aca="false">IF(C539="","",IFERROR(INDEX(Tables!$A:$A,MATCH(C539,Tables!$B:$B,0)),"Not found"))</f>
        <v/>
      </c>
      <c r="E539" s="21" t="str">
        <f aca="false">IF(D539="","",IFERROR(INDEX(Tables!$D:$D,MATCH(D539,Tables!$A:$A,0)),""))</f>
        <v/>
      </c>
      <c r="F539" s="20"/>
      <c r="G539" s="20"/>
      <c r="H539" s="18"/>
      <c r="I539" s="20"/>
      <c r="J539" s="20"/>
      <c r="K539" s="20"/>
      <c r="L539" s="20"/>
      <c r="M539" s="20"/>
      <c r="N539" s="20"/>
      <c r="O539" s="20"/>
      <c r="P539" s="20"/>
      <c r="Q539" s="21" t="str">
        <f aca="false">IF(A539="","",COUNTIF('Metric to Field'!$B:$B,A539))</f>
        <v/>
      </c>
      <c r="R539" s="21" t="str">
        <f aca="false">IF(A539="","",SUMIF('Metric to Field'!$B:$B,A539,'Metric to Field'!$G:$G))</f>
        <v/>
      </c>
      <c r="S539" s="20"/>
      <c r="T539" s="20"/>
      <c r="U539" s="20"/>
      <c r="V539" s="20"/>
      <c r="W539" s="20"/>
    </row>
    <row r="540" customFormat="false" ht="15" hidden="false" customHeight="false" outlineLevel="0" collapsed="false">
      <c r="A540" s="18"/>
      <c r="B540" s="19"/>
      <c r="C540" s="20"/>
      <c r="D540" s="18" t="str">
        <f aca="false">IF(C540="","",IFERROR(INDEX(Tables!$A:$A,MATCH(C540,Tables!$B:$B,0)),"Not found"))</f>
        <v/>
      </c>
      <c r="E540" s="21" t="str">
        <f aca="false">IF(D540="","",IFERROR(INDEX(Tables!$D:$D,MATCH(D540,Tables!$A:$A,0)),""))</f>
        <v/>
      </c>
      <c r="F540" s="20"/>
      <c r="G540" s="20"/>
      <c r="H540" s="18"/>
      <c r="I540" s="20"/>
      <c r="J540" s="20"/>
      <c r="K540" s="20"/>
      <c r="L540" s="20"/>
      <c r="M540" s="20"/>
      <c r="N540" s="20"/>
      <c r="O540" s="20"/>
      <c r="P540" s="20"/>
      <c r="Q540" s="21" t="str">
        <f aca="false">IF(A540="","",COUNTIF('Metric to Field'!$B:$B,A540))</f>
        <v/>
      </c>
      <c r="R540" s="21" t="str">
        <f aca="false">IF(A540="","",SUMIF('Metric to Field'!$B:$B,A540,'Metric to Field'!$G:$G))</f>
        <v/>
      </c>
      <c r="S540" s="20"/>
      <c r="T540" s="20"/>
      <c r="U540" s="20"/>
      <c r="V540" s="20"/>
      <c r="W540" s="20"/>
    </row>
    <row r="541" customFormat="false" ht="15" hidden="false" customHeight="false" outlineLevel="0" collapsed="false">
      <c r="A541" s="18"/>
      <c r="B541" s="19"/>
      <c r="C541" s="20"/>
      <c r="D541" s="18" t="str">
        <f aca="false">IF(C541="","",IFERROR(INDEX(Tables!$A:$A,MATCH(C541,Tables!$B:$B,0)),"Not found"))</f>
        <v/>
      </c>
      <c r="E541" s="21" t="str">
        <f aca="false">IF(D541="","",IFERROR(INDEX(Tables!$D:$D,MATCH(D541,Tables!$A:$A,0)),""))</f>
        <v/>
      </c>
      <c r="F541" s="20"/>
      <c r="G541" s="20"/>
      <c r="H541" s="18"/>
      <c r="I541" s="20"/>
      <c r="J541" s="20"/>
      <c r="K541" s="20"/>
      <c r="L541" s="20"/>
      <c r="M541" s="20"/>
      <c r="N541" s="20"/>
      <c r="O541" s="20"/>
      <c r="P541" s="20"/>
      <c r="Q541" s="21" t="str">
        <f aca="false">IF(A541="","",COUNTIF('Metric to Field'!$B:$B,A541))</f>
        <v/>
      </c>
      <c r="R541" s="21" t="str">
        <f aca="false">IF(A541="","",SUMIF('Metric to Field'!$B:$B,A541,'Metric to Field'!$G:$G))</f>
        <v/>
      </c>
      <c r="S541" s="20"/>
      <c r="T541" s="20"/>
      <c r="U541" s="20"/>
      <c r="V541" s="20"/>
      <c r="W541" s="20"/>
    </row>
    <row r="542" customFormat="false" ht="15" hidden="false" customHeight="false" outlineLevel="0" collapsed="false">
      <c r="A542" s="18"/>
      <c r="B542" s="19"/>
      <c r="C542" s="20"/>
      <c r="D542" s="18" t="str">
        <f aca="false">IF(C542="","",IFERROR(INDEX(Tables!$A:$A,MATCH(C542,Tables!$B:$B,0)),"Not found"))</f>
        <v/>
      </c>
      <c r="E542" s="21" t="str">
        <f aca="false">IF(D542="","",IFERROR(INDEX(Tables!$D:$D,MATCH(D542,Tables!$A:$A,0)),""))</f>
        <v/>
      </c>
      <c r="F542" s="20"/>
      <c r="G542" s="20"/>
      <c r="H542" s="18"/>
      <c r="I542" s="20"/>
      <c r="J542" s="20"/>
      <c r="K542" s="20"/>
      <c r="L542" s="20"/>
      <c r="M542" s="20"/>
      <c r="N542" s="20"/>
      <c r="O542" s="20"/>
      <c r="P542" s="20"/>
      <c r="Q542" s="21" t="str">
        <f aca="false">IF(A542="","",COUNTIF('Metric to Field'!$B:$B,A542))</f>
        <v/>
      </c>
      <c r="R542" s="21" t="str">
        <f aca="false">IF(A542="","",SUMIF('Metric to Field'!$B:$B,A542,'Metric to Field'!$G:$G))</f>
        <v/>
      </c>
      <c r="S542" s="20"/>
      <c r="T542" s="20"/>
      <c r="U542" s="20"/>
      <c r="V542" s="20"/>
      <c r="W542" s="20"/>
    </row>
    <row r="543" customFormat="false" ht="15" hidden="false" customHeight="false" outlineLevel="0" collapsed="false">
      <c r="A543" s="18"/>
      <c r="B543" s="19"/>
      <c r="C543" s="20"/>
      <c r="D543" s="18" t="str">
        <f aca="false">IF(C543="","",IFERROR(INDEX(Tables!$A:$A,MATCH(C543,Tables!$B:$B,0)),"Not found"))</f>
        <v/>
      </c>
      <c r="E543" s="21" t="str">
        <f aca="false">IF(D543="","",IFERROR(INDEX(Tables!$D:$D,MATCH(D543,Tables!$A:$A,0)),""))</f>
        <v/>
      </c>
      <c r="F543" s="20"/>
      <c r="G543" s="20"/>
      <c r="H543" s="18"/>
      <c r="I543" s="20"/>
      <c r="J543" s="20"/>
      <c r="K543" s="20"/>
      <c r="L543" s="20"/>
      <c r="M543" s="20"/>
      <c r="N543" s="20"/>
      <c r="O543" s="20"/>
      <c r="P543" s="20"/>
      <c r="Q543" s="21" t="str">
        <f aca="false">IF(A543="","",COUNTIF('Metric to Field'!$B:$B,A543))</f>
        <v/>
      </c>
      <c r="R543" s="21" t="str">
        <f aca="false">IF(A543="","",SUMIF('Metric to Field'!$B:$B,A543,'Metric to Field'!$G:$G))</f>
        <v/>
      </c>
      <c r="S543" s="20"/>
      <c r="T543" s="20"/>
      <c r="U543" s="20"/>
      <c r="V543" s="20"/>
      <c r="W543" s="20"/>
    </row>
    <row r="544" customFormat="false" ht="15" hidden="false" customHeight="false" outlineLevel="0" collapsed="false">
      <c r="A544" s="18"/>
      <c r="B544" s="19"/>
      <c r="C544" s="20"/>
      <c r="D544" s="18" t="str">
        <f aca="false">IF(C544="","",IFERROR(INDEX(Tables!$A:$A,MATCH(C544,Tables!$B:$B,0)),"Not found"))</f>
        <v/>
      </c>
      <c r="E544" s="21" t="str">
        <f aca="false">IF(D544="","",IFERROR(INDEX(Tables!$D:$D,MATCH(D544,Tables!$A:$A,0)),""))</f>
        <v/>
      </c>
      <c r="F544" s="20"/>
      <c r="G544" s="20"/>
      <c r="H544" s="18"/>
      <c r="I544" s="20"/>
      <c r="J544" s="20"/>
      <c r="K544" s="20"/>
      <c r="L544" s="20"/>
      <c r="M544" s="20"/>
      <c r="N544" s="20"/>
      <c r="O544" s="20"/>
      <c r="P544" s="20"/>
      <c r="Q544" s="21" t="str">
        <f aca="false">IF(A544="","",COUNTIF('Metric to Field'!$B:$B,A544))</f>
        <v/>
      </c>
      <c r="R544" s="21" t="str">
        <f aca="false">IF(A544="","",SUMIF('Metric to Field'!$B:$B,A544,'Metric to Field'!$G:$G))</f>
        <v/>
      </c>
      <c r="S544" s="20"/>
      <c r="T544" s="20"/>
      <c r="U544" s="20"/>
      <c r="V544" s="20"/>
      <c r="W544" s="20"/>
    </row>
    <row r="545" customFormat="false" ht="15" hidden="false" customHeight="false" outlineLevel="0" collapsed="false">
      <c r="A545" s="18"/>
      <c r="B545" s="19"/>
      <c r="C545" s="20"/>
      <c r="D545" s="18" t="str">
        <f aca="false">IF(C545="","",IFERROR(INDEX(Tables!$A:$A,MATCH(C545,Tables!$B:$B,0)),"Not found"))</f>
        <v/>
      </c>
      <c r="E545" s="21" t="str">
        <f aca="false">IF(D545="","",IFERROR(INDEX(Tables!$D:$D,MATCH(D545,Tables!$A:$A,0)),""))</f>
        <v/>
      </c>
      <c r="F545" s="20"/>
      <c r="G545" s="20"/>
      <c r="H545" s="18"/>
      <c r="I545" s="20"/>
      <c r="J545" s="20"/>
      <c r="K545" s="20"/>
      <c r="L545" s="20"/>
      <c r="M545" s="20"/>
      <c r="N545" s="20"/>
      <c r="O545" s="20"/>
      <c r="P545" s="20"/>
      <c r="Q545" s="21" t="str">
        <f aca="false">IF(A545="","",COUNTIF('Metric to Field'!$B:$B,A545))</f>
        <v/>
      </c>
      <c r="R545" s="21" t="str">
        <f aca="false">IF(A545="","",SUMIF('Metric to Field'!$B:$B,A545,'Metric to Field'!$G:$G))</f>
        <v/>
      </c>
      <c r="S545" s="20"/>
      <c r="T545" s="20"/>
      <c r="U545" s="20"/>
      <c r="V545" s="20"/>
      <c r="W545" s="20"/>
    </row>
    <row r="546" customFormat="false" ht="15" hidden="false" customHeight="false" outlineLevel="0" collapsed="false">
      <c r="A546" s="18"/>
      <c r="B546" s="19"/>
      <c r="C546" s="20"/>
      <c r="D546" s="18" t="str">
        <f aca="false">IF(C546="","",IFERROR(INDEX(Tables!$A:$A,MATCH(C546,Tables!$B:$B,0)),"Not found"))</f>
        <v/>
      </c>
      <c r="E546" s="21" t="str">
        <f aca="false">IF(D546="","",IFERROR(INDEX(Tables!$D:$D,MATCH(D546,Tables!$A:$A,0)),""))</f>
        <v/>
      </c>
      <c r="F546" s="20"/>
      <c r="G546" s="20"/>
      <c r="H546" s="18"/>
      <c r="I546" s="20"/>
      <c r="J546" s="20"/>
      <c r="K546" s="20"/>
      <c r="L546" s="20"/>
      <c r="M546" s="20"/>
      <c r="N546" s="20"/>
      <c r="O546" s="20"/>
      <c r="P546" s="20"/>
      <c r="Q546" s="21" t="str">
        <f aca="false">IF(A546="","",COUNTIF('Metric to Field'!$B:$B,A546))</f>
        <v/>
      </c>
      <c r="R546" s="21" t="str">
        <f aca="false">IF(A546="","",SUMIF('Metric to Field'!$B:$B,A546,'Metric to Field'!$G:$G))</f>
        <v/>
      </c>
      <c r="S546" s="20"/>
      <c r="T546" s="20"/>
      <c r="U546" s="20"/>
      <c r="V546" s="20"/>
      <c r="W546" s="20"/>
    </row>
    <row r="547" customFormat="false" ht="15" hidden="false" customHeight="false" outlineLevel="0" collapsed="false">
      <c r="A547" s="18"/>
      <c r="B547" s="19"/>
      <c r="C547" s="20"/>
      <c r="D547" s="18" t="str">
        <f aca="false">IF(C547="","",IFERROR(INDEX(Tables!$A:$A,MATCH(C547,Tables!$B:$B,0)),"Not found"))</f>
        <v/>
      </c>
      <c r="E547" s="21" t="str">
        <f aca="false">IF(D547="","",IFERROR(INDEX(Tables!$D:$D,MATCH(D547,Tables!$A:$A,0)),""))</f>
        <v/>
      </c>
      <c r="F547" s="20"/>
      <c r="G547" s="20"/>
      <c r="H547" s="18"/>
      <c r="I547" s="20"/>
      <c r="J547" s="20"/>
      <c r="K547" s="20"/>
      <c r="L547" s="20"/>
      <c r="M547" s="20"/>
      <c r="N547" s="20"/>
      <c r="O547" s="20"/>
      <c r="P547" s="20"/>
      <c r="Q547" s="21" t="str">
        <f aca="false">IF(A547="","",COUNTIF('Metric to Field'!$B:$B,A547))</f>
        <v/>
      </c>
      <c r="R547" s="21" t="str">
        <f aca="false">IF(A547="","",SUMIF('Metric to Field'!$B:$B,A547,'Metric to Field'!$G:$G))</f>
        <v/>
      </c>
      <c r="S547" s="20"/>
      <c r="T547" s="20"/>
      <c r="U547" s="20"/>
      <c r="V547" s="20"/>
      <c r="W547" s="20"/>
    </row>
    <row r="548" customFormat="false" ht="15" hidden="false" customHeight="false" outlineLevel="0" collapsed="false">
      <c r="A548" s="18"/>
      <c r="B548" s="19"/>
      <c r="C548" s="20"/>
      <c r="D548" s="18" t="str">
        <f aca="false">IF(C548="","",IFERROR(INDEX(Tables!$A:$A,MATCH(C548,Tables!$B:$B,0)),"Not found"))</f>
        <v/>
      </c>
      <c r="E548" s="21" t="str">
        <f aca="false">IF(D548="","",IFERROR(INDEX(Tables!$D:$D,MATCH(D548,Tables!$A:$A,0)),""))</f>
        <v/>
      </c>
      <c r="F548" s="20"/>
      <c r="G548" s="20"/>
      <c r="H548" s="18"/>
      <c r="I548" s="20"/>
      <c r="J548" s="20"/>
      <c r="K548" s="20"/>
      <c r="L548" s="20"/>
      <c r="M548" s="20"/>
      <c r="N548" s="20"/>
      <c r="O548" s="20"/>
      <c r="P548" s="20"/>
      <c r="Q548" s="21" t="str">
        <f aca="false">IF(A548="","",COUNTIF('Metric to Field'!$B:$B,A548))</f>
        <v/>
      </c>
      <c r="R548" s="21" t="str">
        <f aca="false">IF(A548="","",SUMIF('Metric to Field'!$B:$B,A548,'Metric to Field'!$G:$G))</f>
        <v/>
      </c>
      <c r="S548" s="20"/>
      <c r="T548" s="20"/>
      <c r="U548" s="20"/>
      <c r="V548" s="20"/>
      <c r="W548" s="20"/>
    </row>
    <row r="549" customFormat="false" ht="15" hidden="false" customHeight="false" outlineLevel="0" collapsed="false">
      <c r="A549" s="18"/>
      <c r="B549" s="19"/>
      <c r="C549" s="20"/>
      <c r="D549" s="18" t="str">
        <f aca="false">IF(C549="","",IFERROR(INDEX(Tables!$A:$A,MATCH(C549,Tables!$B:$B,0)),"Not found"))</f>
        <v/>
      </c>
      <c r="E549" s="21" t="str">
        <f aca="false">IF(D549="","",IFERROR(INDEX(Tables!$D:$D,MATCH(D549,Tables!$A:$A,0)),""))</f>
        <v/>
      </c>
      <c r="F549" s="20"/>
      <c r="G549" s="20"/>
      <c r="H549" s="18"/>
      <c r="I549" s="20"/>
      <c r="J549" s="20"/>
      <c r="K549" s="20"/>
      <c r="L549" s="20"/>
      <c r="M549" s="20"/>
      <c r="N549" s="20"/>
      <c r="O549" s="20"/>
      <c r="P549" s="20"/>
      <c r="Q549" s="21" t="str">
        <f aca="false">IF(A549="","",COUNTIF('Metric to Field'!$B:$B,A549))</f>
        <v/>
      </c>
      <c r="R549" s="21" t="str">
        <f aca="false">IF(A549="","",SUMIF('Metric to Field'!$B:$B,A549,'Metric to Field'!$G:$G))</f>
        <v/>
      </c>
      <c r="S549" s="20"/>
      <c r="T549" s="20"/>
      <c r="U549" s="20"/>
      <c r="V549" s="20"/>
      <c r="W549" s="20"/>
    </row>
    <row r="550" customFormat="false" ht="15" hidden="false" customHeight="false" outlineLevel="0" collapsed="false">
      <c r="A550" s="18"/>
      <c r="B550" s="19"/>
      <c r="C550" s="20"/>
      <c r="D550" s="18" t="str">
        <f aca="false">IF(C550="","",IFERROR(INDEX(Tables!$A:$A,MATCH(C550,Tables!$B:$B,0)),"Not found"))</f>
        <v/>
      </c>
      <c r="E550" s="21" t="str">
        <f aca="false">IF(D550="","",IFERROR(INDEX(Tables!$D:$D,MATCH(D550,Tables!$A:$A,0)),""))</f>
        <v/>
      </c>
      <c r="F550" s="20"/>
      <c r="G550" s="20"/>
      <c r="H550" s="18"/>
      <c r="I550" s="20"/>
      <c r="J550" s="20"/>
      <c r="K550" s="20"/>
      <c r="L550" s="20"/>
      <c r="M550" s="20"/>
      <c r="N550" s="20"/>
      <c r="O550" s="20"/>
      <c r="P550" s="20"/>
      <c r="Q550" s="21" t="str">
        <f aca="false">IF(A550="","",COUNTIF('Metric to Field'!$B:$B,A550))</f>
        <v/>
      </c>
      <c r="R550" s="21" t="str">
        <f aca="false">IF(A550="","",SUMIF('Metric to Field'!$B:$B,A550,'Metric to Field'!$G:$G))</f>
        <v/>
      </c>
      <c r="S550" s="20"/>
      <c r="T550" s="20"/>
      <c r="U550" s="20"/>
      <c r="V550" s="20"/>
      <c r="W550" s="20"/>
    </row>
    <row r="551" customFormat="false" ht="15" hidden="false" customHeight="false" outlineLevel="0" collapsed="false">
      <c r="A551" s="18"/>
      <c r="B551" s="19"/>
      <c r="C551" s="20"/>
      <c r="D551" s="18" t="str">
        <f aca="false">IF(C551="","",IFERROR(INDEX(Tables!$A:$A,MATCH(C551,Tables!$B:$B,0)),"Not found"))</f>
        <v/>
      </c>
      <c r="E551" s="21" t="str">
        <f aca="false">IF(D551="","",IFERROR(INDEX(Tables!$D:$D,MATCH(D551,Tables!$A:$A,0)),""))</f>
        <v/>
      </c>
      <c r="F551" s="20"/>
      <c r="G551" s="20"/>
      <c r="H551" s="18"/>
      <c r="I551" s="20"/>
      <c r="J551" s="20"/>
      <c r="K551" s="20"/>
      <c r="L551" s="20"/>
      <c r="M551" s="20"/>
      <c r="N551" s="20"/>
      <c r="O551" s="20"/>
      <c r="P551" s="20"/>
      <c r="Q551" s="21" t="str">
        <f aca="false">IF(A551="","",COUNTIF('Metric to Field'!$B:$B,A551))</f>
        <v/>
      </c>
      <c r="R551" s="21" t="str">
        <f aca="false">IF(A551="","",SUMIF('Metric to Field'!$B:$B,A551,'Metric to Field'!$G:$G))</f>
        <v/>
      </c>
      <c r="S551" s="20"/>
      <c r="T551" s="20"/>
      <c r="U551" s="20"/>
      <c r="V551" s="20"/>
      <c r="W551" s="20"/>
    </row>
    <row r="552" customFormat="false" ht="15" hidden="false" customHeight="false" outlineLevel="0" collapsed="false">
      <c r="A552" s="18"/>
      <c r="B552" s="19"/>
      <c r="C552" s="20"/>
      <c r="D552" s="18" t="str">
        <f aca="false">IF(C552="","",IFERROR(INDEX(Tables!$A:$A,MATCH(C552,Tables!$B:$B,0)),"Not found"))</f>
        <v/>
      </c>
      <c r="E552" s="21" t="str">
        <f aca="false">IF(D552="","",IFERROR(INDEX(Tables!$D:$D,MATCH(D552,Tables!$A:$A,0)),""))</f>
        <v/>
      </c>
      <c r="F552" s="20"/>
      <c r="G552" s="20"/>
      <c r="H552" s="18"/>
      <c r="I552" s="20"/>
      <c r="J552" s="20"/>
      <c r="K552" s="20"/>
      <c r="L552" s="20"/>
      <c r="M552" s="20"/>
      <c r="N552" s="20"/>
      <c r="O552" s="20"/>
      <c r="P552" s="20"/>
      <c r="Q552" s="21" t="str">
        <f aca="false">IF(A552="","",COUNTIF('Metric to Field'!$B:$B,A552))</f>
        <v/>
      </c>
      <c r="R552" s="21" t="str">
        <f aca="false">IF(A552="","",SUMIF('Metric to Field'!$B:$B,A552,'Metric to Field'!$G:$G))</f>
        <v/>
      </c>
      <c r="S552" s="20"/>
      <c r="T552" s="20"/>
      <c r="U552" s="20"/>
      <c r="V552" s="20"/>
      <c r="W552" s="20"/>
    </row>
    <row r="553" customFormat="false" ht="15" hidden="false" customHeight="false" outlineLevel="0" collapsed="false">
      <c r="A553" s="18"/>
      <c r="B553" s="19"/>
      <c r="C553" s="20"/>
      <c r="D553" s="18" t="str">
        <f aca="false">IF(C553="","",IFERROR(INDEX(Tables!$A:$A,MATCH(C553,Tables!$B:$B,0)),"Not found"))</f>
        <v/>
      </c>
      <c r="E553" s="21" t="str">
        <f aca="false">IF(D553="","",IFERROR(INDEX(Tables!$D:$D,MATCH(D553,Tables!$A:$A,0)),""))</f>
        <v/>
      </c>
      <c r="F553" s="20"/>
      <c r="G553" s="20"/>
      <c r="H553" s="18"/>
      <c r="I553" s="20"/>
      <c r="J553" s="20"/>
      <c r="K553" s="20"/>
      <c r="L553" s="20"/>
      <c r="M553" s="20"/>
      <c r="N553" s="20"/>
      <c r="O553" s="20"/>
      <c r="P553" s="20"/>
      <c r="Q553" s="21" t="str">
        <f aca="false">IF(A553="","",COUNTIF('Metric to Field'!$B:$B,A553))</f>
        <v/>
      </c>
      <c r="R553" s="21" t="str">
        <f aca="false">IF(A553="","",SUMIF('Metric to Field'!$B:$B,A553,'Metric to Field'!$G:$G))</f>
        <v/>
      </c>
      <c r="S553" s="20"/>
      <c r="T553" s="20"/>
      <c r="U553" s="20"/>
      <c r="V553" s="20"/>
      <c r="W553" s="20"/>
    </row>
    <row r="554" customFormat="false" ht="15" hidden="false" customHeight="false" outlineLevel="0" collapsed="false">
      <c r="A554" s="18"/>
      <c r="B554" s="19"/>
      <c r="C554" s="20"/>
      <c r="D554" s="18" t="str">
        <f aca="false">IF(C554="","",IFERROR(INDEX(Tables!$A:$A,MATCH(C554,Tables!$B:$B,0)),"Not found"))</f>
        <v/>
      </c>
      <c r="E554" s="21" t="str">
        <f aca="false">IF(D554="","",IFERROR(INDEX(Tables!$D:$D,MATCH(D554,Tables!$A:$A,0)),""))</f>
        <v/>
      </c>
      <c r="F554" s="20"/>
      <c r="G554" s="20"/>
      <c r="H554" s="18"/>
      <c r="I554" s="20"/>
      <c r="J554" s="20"/>
      <c r="K554" s="20"/>
      <c r="L554" s="20"/>
      <c r="M554" s="20"/>
      <c r="N554" s="20"/>
      <c r="O554" s="20"/>
      <c r="P554" s="20"/>
      <c r="Q554" s="21" t="str">
        <f aca="false">IF(A554="","",COUNTIF('Metric to Field'!$B:$B,A554))</f>
        <v/>
      </c>
      <c r="R554" s="21" t="str">
        <f aca="false">IF(A554="","",SUMIF('Metric to Field'!$B:$B,A554,'Metric to Field'!$G:$G))</f>
        <v/>
      </c>
      <c r="S554" s="20"/>
      <c r="T554" s="20"/>
      <c r="U554" s="20"/>
      <c r="V554" s="20"/>
      <c r="W554" s="20"/>
    </row>
    <row r="555" customFormat="false" ht="15" hidden="false" customHeight="false" outlineLevel="0" collapsed="false">
      <c r="A555" s="18"/>
      <c r="B555" s="19"/>
      <c r="C555" s="20"/>
      <c r="D555" s="18" t="str">
        <f aca="false">IF(C555="","",IFERROR(INDEX(Tables!$A:$A,MATCH(C555,Tables!$B:$B,0)),"Not found"))</f>
        <v/>
      </c>
      <c r="E555" s="21" t="str">
        <f aca="false">IF(D555="","",IFERROR(INDEX(Tables!$D:$D,MATCH(D555,Tables!$A:$A,0)),""))</f>
        <v/>
      </c>
      <c r="F555" s="20"/>
      <c r="G555" s="20"/>
      <c r="H555" s="18"/>
      <c r="I555" s="20"/>
      <c r="J555" s="20"/>
      <c r="K555" s="20"/>
      <c r="L555" s="20"/>
      <c r="M555" s="20"/>
      <c r="N555" s="20"/>
      <c r="O555" s="20"/>
      <c r="P555" s="20"/>
      <c r="Q555" s="21" t="str">
        <f aca="false">IF(A555="","",COUNTIF('Metric to Field'!$B:$B,A555))</f>
        <v/>
      </c>
      <c r="R555" s="21" t="str">
        <f aca="false">IF(A555="","",SUMIF('Metric to Field'!$B:$B,A555,'Metric to Field'!$G:$G))</f>
        <v/>
      </c>
      <c r="S555" s="20"/>
      <c r="T555" s="20"/>
      <c r="U555" s="20"/>
      <c r="V555" s="20"/>
      <c r="W555" s="20"/>
    </row>
    <row r="556" customFormat="false" ht="15" hidden="false" customHeight="false" outlineLevel="0" collapsed="false">
      <c r="A556" s="18"/>
      <c r="B556" s="19"/>
      <c r="C556" s="20"/>
      <c r="D556" s="18" t="str">
        <f aca="false">IF(C556="","",IFERROR(INDEX(Tables!$A:$A,MATCH(C556,Tables!$B:$B,0)),"Not found"))</f>
        <v/>
      </c>
      <c r="E556" s="21" t="str">
        <f aca="false">IF(D556="","",IFERROR(INDEX(Tables!$D:$D,MATCH(D556,Tables!$A:$A,0)),""))</f>
        <v/>
      </c>
      <c r="F556" s="20"/>
      <c r="G556" s="20"/>
      <c r="H556" s="18"/>
      <c r="I556" s="20"/>
      <c r="J556" s="20"/>
      <c r="K556" s="20"/>
      <c r="L556" s="20"/>
      <c r="M556" s="20"/>
      <c r="N556" s="20"/>
      <c r="O556" s="20"/>
      <c r="P556" s="20"/>
      <c r="Q556" s="21" t="str">
        <f aca="false">IF(A556="","",COUNTIF('Metric to Field'!$B:$B,A556))</f>
        <v/>
      </c>
      <c r="R556" s="21" t="str">
        <f aca="false">IF(A556="","",SUMIF('Metric to Field'!$B:$B,A556,'Metric to Field'!$G:$G))</f>
        <v/>
      </c>
      <c r="S556" s="20"/>
      <c r="T556" s="20"/>
      <c r="U556" s="20"/>
      <c r="V556" s="20"/>
      <c r="W556" s="20"/>
    </row>
    <row r="557" customFormat="false" ht="15" hidden="false" customHeight="false" outlineLevel="0" collapsed="false">
      <c r="A557" s="18"/>
      <c r="B557" s="19"/>
      <c r="C557" s="20"/>
      <c r="D557" s="18" t="str">
        <f aca="false">IF(C557="","",IFERROR(INDEX(Tables!$A:$A,MATCH(C557,Tables!$B:$B,0)),"Not found"))</f>
        <v/>
      </c>
      <c r="E557" s="21" t="str">
        <f aca="false">IF(D557="","",IFERROR(INDEX(Tables!$D:$D,MATCH(D557,Tables!$A:$A,0)),""))</f>
        <v/>
      </c>
      <c r="F557" s="20"/>
      <c r="G557" s="20"/>
      <c r="H557" s="18"/>
      <c r="I557" s="20"/>
      <c r="J557" s="20"/>
      <c r="K557" s="20"/>
      <c r="L557" s="20"/>
      <c r="M557" s="20"/>
      <c r="N557" s="20"/>
      <c r="O557" s="20"/>
      <c r="P557" s="20"/>
      <c r="Q557" s="21" t="str">
        <f aca="false">IF(A557="","",COUNTIF('Metric to Field'!$B:$B,A557))</f>
        <v/>
      </c>
      <c r="R557" s="21" t="str">
        <f aca="false">IF(A557="","",SUMIF('Metric to Field'!$B:$B,A557,'Metric to Field'!$G:$G))</f>
        <v/>
      </c>
      <c r="S557" s="20"/>
      <c r="T557" s="20"/>
      <c r="U557" s="20"/>
      <c r="V557" s="20"/>
      <c r="W557" s="20"/>
    </row>
    <row r="558" customFormat="false" ht="15" hidden="false" customHeight="false" outlineLevel="0" collapsed="false">
      <c r="A558" s="18"/>
      <c r="B558" s="19"/>
      <c r="C558" s="20"/>
      <c r="D558" s="18" t="str">
        <f aca="false">IF(C558="","",IFERROR(INDEX(Tables!$A:$A,MATCH(C558,Tables!$B:$B,0)),"Not found"))</f>
        <v/>
      </c>
      <c r="E558" s="21" t="str">
        <f aca="false">IF(D558="","",IFERROR(INDEX(Tables!$D:$D,MATCH(D558,Tables!$A:$A,0)),""))</f>
        <v/>
      </c>
      <c r="F558" s="20"/>
      <c r="G558" s="20"/>
      <c r="H558" s="18"/>
      <c r="I558" s="20"/>
      <c r="J558" s="20"/>
      <c r="K558" s="20"/>
      <c r="L558" s="20"/>
      <c r="M558" s="20"/>
      <c r="N558" s="20"/>
      <c r="O558" s="20"/>
      <c r="P558" s="20"/>
      <c r="Q558" s="21" t="str">
        <f aca="false">IF(A558="","",COUNTIF('Metric to Field'!$B:$B,A558))</f>
        <v/>
      </c>
      <c r="R558" s="21" t="str">
        <f aca="false">IF(A558="","",SUMIF('Metric to Field'!$B:$B,A558,'Metric to Field'!$G:$G))</f>
        <v/>
      </c>
      <c r="S558" s="20"/>
      <c r="T558" s="20"/>
      <c r="U558" s="20"/>
      <c r="V558" s="20"/>
      <c r="W558" s="20"/>
    </row>
    <row r="559" customFormat="false" ht="15" hidden="false" customHeight="false" outlineLevel="0" collapsed="false">
      <c r="A559" s="18"/>
      <c r="B559" s="19"/>
      <c r="C559" s="20"/>
      <c r="D559" s="18" t="str">
        <f aca="false">IF(C559="","",IFERROR(INDEX(Tables!$A:$A,MATCH(C559,Tables!$B:$B,0)),"Not found"))</f>
        <v/>
      </c>
      <c r="E559" s="21" t="str">
        <f aca="false">IF(D559="","",IFERROR(INDEX(Tables!$D:$D,MATCH(D559,Tables!$A:$A,0)),""))</f>
        <v/>
      </c>
      <c r="F559" s="20"/>
      <c r="G559" s="20"/>
      <c r="H559" s="18"/>
      <c r="I559" s="20"/>
      <c r="J559" s="20"/>
      <c r="K559" s="20"/>
      <c r="L559" s="20"/>
      <c r="M559" s="20"/>
      <c r="N559" s="20"/>
      <c r="O559" s="20"/>
      <c r="P559" s="20"/>
      <c r="Q559" s="21" t="str">
        <f aca="false">IF(A559="","",COUNTIF('Metric to Field'!$B:$B,A559))</f>
        <v/>
      </c>
      <c r="R559" s="21" t="str">
        <f aca="false">IF(A559="","",SUMIF('Metric to Field'!$B:$B,A559,'Metric to Field'!$G:$G))</f>
        <v/>
      </c>
      <c r="S559" s="20"/>
      <c r="T559" s="20"/>
      <c r="U559" s="20"/>
      <c r="V559" s="20"/>
      <c r="W559" s="20"/>
    </row>
    <row r="560" customFormat="false" ht="15" hidden="false" customHeight="false" outlineLevel="0" collapsed="false">
      <c r="A560" s="18"/>
      <c r="B560" s="19"/>
      <c r="C560" s="20"/>
      <c r="D560" s="18" t="str">
        <f aca="false">IF(C560="","",IFERROR(INDEX(Tables!$A:$A,MATCH(C560,Tables!$B:$B,0)),"Not found"))</f>
        <v/>
      </c>
      <c r="E560" s="21" t="str">
        <f aca="false">IF(D560="","",IFERROR(INDEX(Tables!$D:$D,MATCH(D560,Tables!$A:$A,0)),""))</f>
        <v/>
      </c>
      <c r="F560" s="20"/>
      <c r="G560" s="20"/>
      <c r="H560" s="18"/>
      <c r="I560" s="20"/>
      <c r="J560" s="20"/>
      <c r="K560" s="20"/>
      <c r="L560" s="20"/>
      <c r="M560" s="20"/>
      <c r="N560" s="20"/>
      <c r="O560" s="20"/>
      <c r="P560" s="20"/>
      <c r="Q560" s="21" t="str">
        <f aca="false">IF(A560="","",COUNTIF('Metric to Field'!$B:$B,A560))</f>
        <v/>
      </c>
      <c r="R560" s="21" t="str">
        <f aca="false">IF(A560="","",SUMIF('Metric to Field'!$B:$B,A560,'Metric to Field'!$G:$G))</f>
        <v/>
      </c>
      <c r="S560" s="20"/>
      <c r="T560" s="20"/>
      <c r="U560" s="20"/>
      <c r="V560" s="20"/>
      <c r="W560" s="20"/>
    </row>
    <row r="561" customFormat="false" ht="15" hidden="false" customHeight="false" outlineLevel="0" collapsed="false">
      <c r="A561" s="18"/>
      <c r="B561" s="19"/>
      <c r="C561" s="20"/>
      <c r="D561" s="18" t="str">
        <f aca="false">IF(C561="","",IFERROR(INDEX(Tables!$A:$A,MATCH(C561,Tables!$B:$B,0)),"Not found"))</f>
        <v/>
      </c>
      <c r="E561" s="21" t="str">
        <f aca="false">IF(D561="","",IFERROR(INDEX(Tables!$D:$D,MATCH(D561,Tables!$A:$A,0)),""))</f>
        <v/>
      </c>
      <c r="F561" s="20"/>
      <c r="G561" s="20"/>
      <c r="H561" s="18"/>
      <c r="I561" s="20"/>
      <c r="J561" s="20"/>
      <c r="K561" s="20"/>
      <c r="L561" s="20"/>
      <c r="M561" s="20"/>
      <c r="N561" s="20"/>
      <c r="O561" s="20"/>
      <c r="P561" s="20"/>
      <c r="Q561" s="21" t="str">
        <f aca="false">IF(A561="","",COUNTIF('Metric to Field'!$B:$B,A561))</f>
        <v/>
      </c>
      <c r="R561" s="21" t="str">
        <f aca="false">IF(A561="","",SUMIF('Metric to Field'!$B:$B,A561,'Metric to Field'!$G:$G))</f>
        <v/>
      </c>
      <c r="S561" s="20"/>
      <c r="T561" s="20"/>
      <c r="U561" s="20"/>
      <c r="V561" s="20"/>
      <c r="W561" s="20"/>
    </row>
    <row r="562" customFormat="false" ht="15" hidden="false" customHeight="false" outlineLevel="0" collapsed="false">
      <c r="A562" s="18"/>
      <c r="B562" s="19"/>
      <c r="C562" s="20"/>
      <c r="D562" s="18" t="str">
        <f aca="false">IF(C562="","",IFERROR(INDEX(Tables!$A:$A,MATCH(C562,Tables!$B:$B,0)),"Not found"))</f>
        <v/>
      </c>
      <c r="E562" s="21" t="str">
        <f aca="false">IF(D562="","",IFERROR(INDEX(Tables!$D:$D,MATCH(D562,Tables!$A:$A,0)),""))</f>
        <v/>
      </c>
      <c r="F562" s="20"/>
      <c r="G562" s="20"/>
      <c r="H562" s="18"/>
      <c r="I562" s="20"/>
      <c r="J562" s="20"/>
      <c r="K562" s="20"/>
      <c r="L562" s="20"/>
      <c r="M562" s="20"/>
      <c r="N562" s="20"/>
      <c r="O562" s="20"/>
      <c r="P562" s="20"/>
      <c r="Q562" s="21" t="str">
        <f aca="false">IF(A562="","",COUNTIF('Metric to Field'!$B:$B,A562))</f>
        <v/>
      </c>
      <c r="R562" s="21" t="str">
        <f aca="false">IF(A562="","",SUMIF('Metric to Field'!$B:$B,A562,'Metric to Field'!$G:$G))</f>
        <v/>
      </c>
      <c r="S562" s="20"/>
      <c r="T562" s="20"/>
      <c r="U562" s="20"/>
      <c r="V562" s="20"/>
      <c r="W562" s="20"/>
    </row>
    <row r="563" customFormat="false" ht="15" hidden="false" customHeight="false" outlineLevel="0" collapsed="false">
      <c r="A563" s="18"/>
      <c r="B563" s="19"/>
      <c r="C563" s="20"/>
      <c r="D563" s="18" t="str">
        <f aca="false">IF(C563="","",IFERROR(INDEX(Tables!$A:$A,MATCH(C563,Tables!$B:$B,0)),"Not found"))</f>
        <v/>
      </c>
      <c r="E563" s="21" t="str">
        <f aca="false">IF(D563="","",IFERROR(INDEX(Tables!$D:$D,MATCH(D563,Tables!$A:$A,0)),""))</f>
        <v/>
      </c>
      <c r="F563" s="20"/>
      <c r="G563" s="20"/>
      <c r="H563" s="18"/>
      <c r="I563" s="20"/>
      <c r="J563" s="20"/>
      <c r="K563" s="20"/>
      <c r="L563" s="20"/>
      <c r="M563" s="20"/>
      <c r="N563" s="20"/>
      <c r="O563" s="20"/>
      <c r="P563" s="20"/>
      <c r="Q563" s="21" t="str">
        <f aca="false">IF(A563="","",COUNTIF('Metric to Field'!$B:$B,A563))</f>
        <v/>
      </c>
      <c r="R563" s="21" t="str">
        <f aca="false">IF(A563="","",SUMIF('Metric to Field'!$B:$B,A563,'Metric to Field'!$G:$G))</f>
        <v/>
      </c>
      <c r="S563" s="20"/>
      <c r="T563" s="20"/>
      <c r="U563" s="20"/>
      <c r="V563" s="20"/>
      <c r="W563" s="20"/>
    </row>
    <row r="564" customFormat="false" ht="15" hidden="false" customHeight="false" outlineLevel="0" collapsed="false">
      <c r="A564" s="18"/>
      <c r="B564" s="19"/>
      <c r="C564" s="20"/>
      <c r="D564" s="18" t="str">
        <f aca="false">IF(C564="","",IFERROR(INDEX(Tables!$A:$A,MATCH(C564,Tables!$B:$B,0)),"Not found"))</f>
        <v/>
      </c>
      <c r="E564" s="21" t="str">
        <f aca="false">IF(D564="","",IFERROR(INDEX(Tables!$D:$D,MATCH(D564,Tables!$A:$A,0)),""))</f>
        <v/>
      </c>
      <c r="F564" s="20"/>
      <c r="G564" s="20"/>
      <c r="H564" s="18"/>
      <c r="I564" s="20"/>
      <c r="J564" s="20"/>
      <c r="K564" s="20"/>
      <c r="L564" s="20"/>
      <c r="M564" s="20"/>
      <c r="N564" s="20"/>
      <c r="O564" s="20"/>
      <c r="P564" s="20"/>
      <c r="Q564" s="21" t="str">
        <f aca="false">IF(A564="","",COUNTIF('Metric to Field'!$B:$B,A564))</f>
        <v/>
      </c>
      <c r="R564" s="21" t="str">
        <f aca="false">IF(A564="","",SUMIF('Metric to Field'!$B:$B,A564,'Metric to Field'!$G:$G))</f>
        <v/>
      </c>
      <c r="S564" s="20"/>
      <c r="T564" s="20"/>
      <c r="U564" s="20"/>
      <c r="V564" s="20"/>
      <c r="W564" s="20"/>
    </row>
    <row r="565" customFormat="false" ht="15" hidden="false" customHeight="false" outlineLevel="0" collapsed="false">
      <c r="A565" s="18"/>
      <c r="B565" s="19"/>
      <c r="C565" s="20"/>
      <c r="D565" s="18" t="str">
        <f aca="false">IF(C565="","",IFERROR(INDEX(Tables!$A:$A,MATCH(C565,Tables!$B:$B,0)),"Not found"))</f>
        <v/>
      </c>
      <c r="E565" s="21" t="str">
        <f aca="false">IF(D565="","",IFERROR(INDEX(Tables!$D:$D,MATCH(D565,Tables!$A:$A,0)),""))</f>
        <v/>
      </c>
      <c r="F565" s="20"/>
      <c r="G565" s="20"/>
      <c r="H565" s="18"/>
      <c r="I565" s="20"/>
      <c r="J565" s="20"/>
      <c r="K565" s="20"/>
      <c r="L565" s="20"/>
      <c r="M565" s="20"/>
      <c r="N565" s="20"/>
      <c r="O565" s="20"/>
      <c r="P565" s="20"/>
      <c r="Q565" s="21" t="str">
        <f aca="false">IF(A565="","",COUNTIF('Metric to Field'!$B:$B,A565))</f>
        <v/>
      </c>
      <c r="R565" s="21" t="str">
        <f aca="false">IF(A565="","",SUMIF('Metric to Field'!$B:$B,A565,'Metric to Field'!$G:$G))</f>
        <v/>
      </c>
      <c r="S565" s="20"/>
      <c r="T565" s="20"/>
      <c r="U565" s="20"/>
      <c r="V565" s="20"/>
      <c r="W565" s="20"/>
    </row>
    <row r="566" customFormat="false" ht="15" hidden="false" customHeight="false" outlineLevel="0" collapsed="false">
      <c r="A566" s="18"/>
      <c r="B566" s="19"/>
      <c r="C566" s="20"/>
      <c r="D566" s="18" t="str">
        <f aca="false">IF(C566="","",IFERROR(INDEX(Tables!$A:$A,MATCH(C566,Tables!$B:$B,0)),"Not found"))</f>
        <v/>
      </c>
      <c r="E566" s="21" t="str">
        <f aca="false">IF(D566="","",IFERROR(INDEX(Tables!$D:$D,MATCH(D566,Tables!$A:$A,0)),""))</f>
        <v/>
      </c>
      <c r="F566" s="20"/>
      <c r="G566" s="20"/>
      <c r="H566" s="18"/>
      <c r="I566" s="20"/>
      <c r="J566" s="20"/>
      <c r="K566" s="20"/>
      <c r="L566" s="20"/>
      <c r="M566" s="20"/>
      <c r="N566" s="20"/>
      <c r="O566" s="20"/>
      <c r="P566" s="20"/>
      <c r="Q566" s="21" t="str">
        <f aca="false">IF(A566="","",COUNTIF('Metric to Field'!$B:$B,A566))</f>
        <v/>
      </c>
      <c r="R566" s="21" t="str">
        <f aca="false">IF(A566="","",SUMIF('Metric to Field'!$B:$B,A566,'Metric to Field'!$G:$G))</f>
        <v/>
      </c>
      <c r="S566" s="20"/>
      <c r="T566" s="20"/>
      <c r="U566" s="20"/>
      <c r="V566" s="20"/>
      <c r="W566" s="20"/>
    </row>
    <row r="567" customFormat="false" ht="15" hidden="false" customHeight="false" outlineLevel="0" collapsed="false">
      <c r="A567" s="18"/>
      <c r="B567" s="19"/>
      <c r="C567" s="20"/>
      <c r="D567" s="18" t="str">
        <f aca="false">IF(C567="","",IFERROR(INDEX(Tables!$A:$A,MATCH(C567,Tables!$B:$B,0)),"Not found"))</f>
        <v/>
      </c>
      <c r="E567" s="21" t="str">
        <f aca="false">IF(D567="","",IFERROR(INDEX(Tables!$D:$D,MATCH(D567,Tables!$A:$A,0)),""))</f>
        <v/>
      </c>
      <c r="F567" s="20"/>
      <c r="G567" s="20"/>
      <c r="H567" s="18"/>
      <c r="I567" s="20"/>
      <c r="J567" s="20"/>
      <c r="K567" s="20"/>
      <c r="L567" s="20"/>
      <c r="M567" s="20"/>
      <c r="N567" s="20"/>
      <c r="O567" s="20"/>
      <c r="P567" s="20"/>
      <c r="Q567" s="21" t="str">
        <f aca="false">IF(A567="","",COUNTIF('Metric to Field'!$B:$B,A567))</f>
        <v/>
      </c>
      <c r="R567" s="21" t="str">
        <f aca="false">IF(A567="","",SUMIF('Metric to Field'!$B:$B,A567,'Metric to Field'!$G:$G))</f>
        <v/>
      </c>
      <c r="S567" s="20"/>
      <c r="T567" s="20"/>
      <c r="U567" s="20"/>
      <c r="V567" s="20"/>
      <c r="W567" s="20"/>
    </row>
    <row r="568" customFormat="false" ht="15" hidden="false" customHeight="false" outlineLevel="0" collapsed="false">
      <c r="A568" s="18"/>
      <c r="B568" s="19"/>
      <c r="C568" s="20"/>
      <c r="D568" s="18" t="str">
        <f aca="false">IF(C568="","",IFERROR(INDEX(Tables!$A:$A,MATCH(C568,Tables!$B:$B,0)),"Not found"))</f>
        <v/>
      </c>
      <c r="E568" s="21" t="str">
        <f aca="false">IF(D568="","",IFERROR(INDEX(Tables!$D:$D,MATCH(D568,Tables!$A:$A,0)),""))</f>
        <v/>
      </c>
      <c r="F568" s="20"/>
      <c r="G568" s="20"/>
      <c r="H568" s="18"/>
      <c r="I568" s="20"/>
      <c r="J568" s="20"/>
      <c r="K568" s="20"/>
      <c r="L568" s="20"/>
      <c r="M568" s="20"/>
      <c r="N568" s="20"/>
      <c r="O568" s="20"/>
      <c r="P568" s="20"/>
      <c r="Q568" s="21" t="str">
        <f aca="false">IF(A568="","",COUNTIF('Metric to Field'!$B:$B,A568))</f>
        <v/>
      </c>
      <c r="R568" s="21" t="str">
        <f aca="false">IF(A568="","",SUMIF('Metric to Field'!$B:$B,A568,'Metric to Field'!$G:$G))</f>
        <v/>
      </c>
      <c r="S568" s="20"/>
      <c r="T568" s="20"/>
      <c r="U568" s="20"/>
      <c r="V568" s="20"/>
      <c r="W568" s="20"/>
    </row>
    <row r="569" customFormat="false" ht="15" hidden="false" customHeight="false" outlineLevel="0" collapsed="false">
      <c r="A569" s="18"/>
      <c r="B569" s="19"/>
      <c r="C569" s="20"/>
      <c r="D569" s="18" t="str">
        <f aca="false">IF(C569="","",IFERROR(INDEX(Tables!$A:$A,MATCH(C569,Tables!$B:$B,0)),"Not found"))</f>
        <v/>
      </c>
      <c r="E569" s="21" t="str">
        <f aca="false">IF(D569="","",IFERROR(INDEX(Tables!$D:$D,MATCH(D569,Tables!$A:$A,0)),""))</f>
        <v/>
      </c>
      <c r="F569" s="20"/>
      <c r="G569" s="20"/>
      <c r="H569" s="18"/>
      <c r="I569" s="20"/>
      <c r="J569" s="20"/>
      <c r="K569" s="20"/>
      <c r="L569" s="20"/>
      <c r="M569" s="20"/>
      <c r="N569" s="20"/>
      <c r="O569" s="20"/>
      <c r="P569" s="20"/>
      <c r="Q569" s="21" t="str">
        <f aca="false">IF(A569="","",COUNTIF('Metric to Field'!$B:$B,A569))</f>
        <v/>
      </c>
      <c r="R569" s="21" t="str">
        <f aca="false">IF(A569="","",SUMIF('Metric to Field'!$B:$B,A569,'Metric to Field'!$G:$G))</f>
        <v/>
      </c>
      <c r="S569" s="20"/>
      <c r="T569" s="20"/>
      <c r="U569" s="20"/>
      <c r="V569" s="20"/>
      <c r="W569" s="20"/>
    </row>
    <row r="570" customFormat="false" ht="15" hidden="false" customHeight="false" outlineLevel="0" collapsed="false">
      <c r="A570" s="18"/>
      <c r="B570" s="19"/>
      <c r="C570" s="20"/>
      <c r="D570" s="18" t="str">
        <f aca="false">IF(C570="","",IFERROR(INDEX(Tables!$A:$A,MATCH(C570,Tables!$B:$B,0)),"Not found"))</f>
        <v/>
      </c>
      <c r="E570" s="21" t="str">
        <f aca="false">IF(D570="","",IFERROR(INDEX(Tables!$D:$D,MATCH(D570,Tables!$A:$A,0)),""))</f>
        <v/>
      </c>
      <c r="F570" s="20"/>
      <c r="G570" s="20"/>
      <c r="H570" s="18"/>
      <c r="I570" s="20"/>
      <c r="J570" s="20"/>
      <c r="K570" s="20"/>
      <c r="L570" s="20"/>
      <c r="M570" s="20"/>
      <c r="N570" s="20"/>
      <c r="O570" s="20"/>
      <c r="P570" s="20"/>
      <c r="Q570" s="21" t="str">
        <f aca="false">IF(A570="","",COUNTIF('Metric to Field'!$B:$B,A570))</f>
        <v/>
      </c>
      <c r="R570" s="21" t="str">
        <f aca="false">IF(A570="","",SUMIF('Metric to Field'!$B:$B,A570,'Metric to Field'!$G:$G))</f>
        <v/>
      </c>
      <c r="S570" s="20"/>
      <c r="T570" s="20"/>
      <c r="U570" s="20"/>
      <c r="V570" s="20"/>
      <c r="W570" s="20"/>
    </row>
    <row r="571" customFormat="false" ht="15" hidden="false" customHeight="false" outlineLevel="0" collapsed="false">
      <c r="A571" s="18"/>
      <c r="B571" s="19"/>
      <c r="C571" s="20"/>
      <c r="D571" s="18" t="str">
        <f aca="false">IF(C571="","",IFERROR(INDEX(Tables!$A:$A,MATCH(C571,Tables!$B:$B,0)),"Not found"))</f>
        <v/>
      </c>
      <c r="E571" s="21" t="str">
        <f aca="false">IF(D571="","",IFERROR(INDEX(Tables!$D:$D,MATCH(D571,Tables!$A:$A,0)),""))</f>
        <v/>
      </c>
      <c r="F571" s="20"/>
      <c r="G571" s="20"/>
      <c r="H571" s="18"/>
      <c r="I571" s="20"/>
      <c r="J571" s="20"/>
      <c r="K571" s="20"/>
      <c r="L571" s="20"/>
      <c r="M571" s="20"/>
      <c r="N571" s="20"/>
      <c r="O571" s="20"/>
      <c r="P571" s="20"/>
      <c r="Q571" s="21" t="str">
        <f aca="false">IF(A571="","",COUNTIF('Metric to Field'!$B:$B,A571))</f>
        <v/>
      </c>
      <c r="R571" s="21" t="str">
        <f aca="false">IF(A571="","",SUMIF('Metric to Field'!$B:$B,A571,'Metric to Field'!$G:$G))</f>
        <v/>
      </c>
      <c r="S571" s="20"/>
      <c r="T571" s="20"/>
      <c r="U571" s="20"/>
      <c r="V571" s="20"/>
      <c r="W571" s="20"/>
    </row>
    <row r="572" customFormat="false" ht="15" hidden="false" customHeight="false" outlineLevel="0" collapsed="false">
      <c r="A572" s="18"/>
      <c r="B572" s="19"/>
      <c r="C572" s="20"/>
      <c r="D572" s="18" t="str">
        <f aca="false">IF(C572="","",IFERROR(INDEX(Tables!$A:$A,MATCH(C572,Tables!$B:$B,0)),"Not found"))</f>
        <v/>
      </c>
      <c r="E572" s="21" t="str">
        <f aca="false">IF(D572="","",IFERROR(INDEX(Tables!$D:$D,MATCH(D572,Tables!$A:$A,0)),""))</f>
        <v/>
      </c>
      <c r="F572" s="20"/>
      <c r="G572" s="20"/>
      <c r="H572" s="18"/>
      <c r="I572" s="20"/>
      <c r="J572" s="20"/>
      <c r="K572" s="20"/>
      <c r="L572" s="20"/>
      <c r="M572" s="20"/>
      <c r="N572" s="20"/>
      <c r="O572" s="20"/>
      <c r="P572" s="20"/>
      <c r="Q572" s="21" t="str">
        <f aca="false">IF(A572="","",COUNTIF('Metric to Field'!$B:$B,A572))</f>
        <v/>
      </c>
      <c r="R572" s="21" t="str">
        <f aca="false">IF(A572="","",SUMIF('Metric to Field'!$B:$B,A572,'Metric to Field'!$G:$G))</f>
        <v/>
      </c>
      <c r="S572" s="20"/>
      <c r="T572" s="20"/>
      <c r="U572" s="20"/>
      <c r="V572" s="20"/>
      <c r="W572" s="20"/>
    </row>
    <row r="573" customFormat="false" ht="15" hidden="false" customHeight="false" outlineLevel="0" collapsed="false">
      <c r="A573" s="18"/>
      <c r="B573" s="19"/>
      <c r="C573" s="20"/>
      <c r="D573" s="18" t="str">
        <f aca="false">IF(C573="","",IFERROR(INDEX(Tables!$A:$A,MATCH(C573,Tables!$B:$B,0)),"Not found"))</f>
        <v/>
      </c>
      <c r="E573" s="21" t="str">
        <f aca="false">IF(D573="","",IFERROR(INDEX(Tables!$D:$D,MATCH(D573,Tables!$A:$A,0)),""))</f>
        <v/>
      </c>
      <c r="F573" s="20"/>
      <c r="G573" s="20"/>
      <c r="H573" s="18"/>
      <c r="I573" s="20"/>
      <c r="J573" s="20"/>
      <c r="K573" s="20"/>
      <c r="L573" s="20"/>
      <c r="M573" s="20"/>
      <c r="N573" s="20"/>
      <c r="O573" s="20"/>
      <c r="P573" s="20"/>
      <c r="Q573" s="21" t="str">
        <f aca="false">IF(A573="","",COUNTIF('Metric to Field'!$B:$B,A573))</f>
        <v/>
      </c>
      <c r="R573" s="21" t="str">
        <f aca="false">IF(A573="","",SUMIF('Metric to Field'!$B:$B,A573,'Metric to Field'!$G:$G))</f>
        <v/>
      </c>
      <c r="S573" s="20"/>
      <c r="T573" s="20"/>
      <c r="U573" s="20"/>
      <c r="V573" s="20"/>
      <c r="W573" s="20"/>
    </row>
    <row r="574" customFormat="false" ht="15" hidden="false" customHeight="false" outlineLevel="0" collapsed="false">
      <c r="A574" s="18"/>
      <c r="B574" s="19"/>
      <c r="C574" s="20"/>
      <c r="D574" s="18" t="str">
        <f aca="false">IF(C574="","",IFERROR(INDEX(Tables!$A:$A,MATCH(C574,Tables!$B:$B,0)),"Not found"))</f>
        <v/>
      </c>
      <c r="E574" s="21" t="str">
        <f aca="false">IF(D574="","",IFERROR(INDEX(Tables!$D:$D,MATCH(D574,Tables!$A:$A,0)),""))</f>
        <v/>
      </c>
      <c r="F574" s="20"/>
      <c r="G574" s="20"/>
      <c r="H574" s="18"/>
      <c r="I574" s="20"/>
      <c r="J574" s="20"/>
      <c r="K574" s="20"/>
      <c r="L574" s="20"/>
      <c r="M574" s="20"/>
      <c r="N574" s="20"/>
      <c r="O574" s="20"/>
      <c r="P574" s="20"/>
      <c r="Q574" s="21" t="str">
        <f aca="false">IF(A574="","",COUNTIF('Metric to Field'!$B:$B,A574))</f>
        <v/>
      </c>
      <c r="R574" s="21" t="str">
        <f aca="false">IF(A574="","",SUMIF('Metric to Field'!$B:$B,A574,'Metric to Field'!$G:$G))</f>
        <v/>
      </c>
      <c r="S574" s="20"/>
      <c r="T574" s="20"/>
      <c r="U574" s="20"/>
      <c r="V574" s="20"/>
      <c r="W574" s="20"/>
    </row>
    <row r="575" customFormat="false" ht="15" hidden="false" customHeight="false" outlineLevel="0" collapsed="false">
      <c r="A575" s="18"/>
      <c r="B575" s="19"/>
      <c r="C575" s="20"/>
      <c r="D575" s="18" t="str">
        <f aca="false">IF(C575="","",IFERROR(INDEX(Tables!$A:$A,MATCH(C575,Tables!$B:$B,0)),"Not found"))</f>
        <v/>
      </c>
      <c r="E575" s="21" t="str">
        <f aca="false">IF(D575="","",IFERROR(INDEX(Tables!$D:$D,MATCH(D575,Tables!$A:$A,0)),""))</f>
        <v/>
      </c>
      <c r="F575" s="20"/>
      <c r="G575" s="20"/>
      <c r="H575" s="18"/>
      <c r="I575" s="20"/>
      <c r="J575" s="20"/>
      <c r="K575" s="20"/>
      <c r="L575" s="20"/>
      <c r="M575" s="20"/>
      <c r="N575" s="20"/>
      <c r="O575" s="20"/>
      <c r="P575" s="20"/>
      <c r="Q575" s="21" t="str">
        <f aca="false">IF(A575="","",COUNTIF('Metric to Field'!$B:$B,A575))</f>
        <v/>
      </c>
      <c r="R575" s="21" t="str">
        <f aca="false">IF(A575="","",SUMIF('Metric to Field'!$B:$B,A575,'Metric to Field'!$G:$G))</f>
        <v/>
      </c>
      <c r="S575" s="20"/>
      <c r="T575" s="20"/>
      <c r="U575" s="20"/>
      <c r="V575" s="20"/>
      <c r="W575" s="20"/>
    </row>
    <row r="576" customFormat="false" ht="15" hidden="false" customHeight="false" outlineLevel="0" collapsed="false">
      <c r="A576" s="18"/>
      <c r="B576" s="19"/>
      <c r="C576" s="20"/>
      <c r="D576" s="18" t="str">
        <f aca="false">IF(C576="","",IFERROR(INDEX(Tables!$A:$A,MATCH(C576,Tables!$B:$B,0)),"Not found"))</f>
        <v/>
      </c>
      <c r="E576" s="21" t="str">
        <f aca="false">IF(D576="","",IFERROR(INDEX(Tables!$D:$D,MATCH(D576,Tables!$A:$A,0)),""))</f>
        <v/>
      </c>
      <c r="F576" s="20"/>
      <c r="G576" s="20"/>
      <c r="H576" s="18"/>
      <c r="I576" s="20"/>
      <c r="J576" s="20"/>
      <c r="K576" s="20"/>
      <c r="L576" s="20"/>
      <c r="M576" s="20"/>
      <c r="N576" s="20"/>
      <c r="O576" s="20"/>
      <c r="P576" s="20"/>
      <c r="Q576" s="21" t="str">
        <f aca="false">IF(A576="","",COUNTIF('Metric to Field'!$B:$B,A576))</f>
        <v/>
      </c>
      <c r="R576" s="21" t="str">
        <f aca="false">IF(A576="","",SUMIF('Metric to Field'!$B:$B,A576,'Metric to Field'!$G:$G))</f>
        <v/>
      </c>
      <c r="S576" s="20"/>
      <c r="T576" s="20"/>
      <c r="U576" s="20"/>
      <c r="V576" s="20"/>
      <c r="W576" s="20"/>
    </row>
    <row r="577" customFormat="false" ht="15" hidden="false" customHeight="false" outlineLevel="0" collapsed="false">
      <c r="A577" s="18"/>
      <c r="B577" s="19"/>
      <c r="C577" s="20"/>
      <c r="D577" s="18" t="str">
        <f aca="false">IF(C577="","",IFERROR(INDEX(Tables!$A:$A,MATCH(C577,Tables!$B:$B,0)),"Not found"))</f>
        <v/>
      </c>
      <c r="E577" s="21" t="str">
        <f aca="false">IF(D577="","",IFERROR(INDEX(Tables!$D:$D,MATCH(D577,Tables!$A:$A,0)),""))</f>
        <v/>
      </c>
      <c r="F577" s="20"/>
      <c r="G577" s="20"/>
      <c r="H577" s="18"/>
      <c r="I577" s="20"/>
      <c r="J577" s="20"/>
      <c r="K577" s="20"/>
      <c r="L577" s="20"/>
      <c r="M577" s="20"/>
      <c r="N577" s="20"/>
      <c r="O577" s="20"/>
      <c r="P577" s="20"/>
      <c r="Q577" s="21" t="str">
        <f aca="false">IF(A577="","",COUNTIF('Metric to Field'!$B:$B,A577))</f>
        <v/>
      </c>
      <c r="R577" s="21" t="str">
        <f aca="false">IF(A577="","",SUMIF('Metric to Field'!$B:$B,A577,'Metric to Field'!$G:$G))</f>
        <v/>
      </c>
      <c r="S577" s="20"/>
      <c r="T577" s="20"/>
      <c r="U577" s="20"/>
      <c r="V577" s="20"/>
      <c r="W577" s="20"/>
    </row>
    <row r="578" customFormat="false" ht="15" hidden="false" customHeight="false" outlineLevel="0" collapsed="false">
      <c r="A578" s="18"/>
      <c r="B578" s="19"/>
      <c r="C578" s="20"/>
      <c r="D578" s="18" t="str">
        <f aca="false">IF(C578="","",IFERROR(INDEX(Tables!$A:$A,MATCH(C578,Tables!$B:$B,0)),"Not found"))</f>
        <v/>
      </c>
      <c r="E578" s="21" t="str">
        <f aca="false">IF(D578="","",IFERROR(INDEX(Tables!$D:$D,MATCH(D578,Tables!$A:$A,0)),""))</f>
        <v/>
      </c>
      <c r="F578" s="20"/>
      <c r="G578" s="20"/>
      <c r="H578" s="18"/>
      <c r="I578" s="20"/>
      <c r="J578" s="20"/>
      <c r="K578" s="20"/>
      <c r="L578" s="20"/>
      <c r="M578" s="20"/>
      <c r="N578" s="20"/>
      <c r="O578" s="20"/>
      <c r="P578" s="20"/>
      <c r="Q578" s="21" t="str">
        <f aca="false">IF(A578="","",COUNTIF('Metric to Field'!$B:$B,A578))</f>
        <v/>
      </c>
      <c r="R578" s="21" t="str">
        <f aca="false">IF(A578="","",SUMIF('Metric to Field'!$B:$B,A578,'Metric to Field'!$G:$G))</f>
        <v/>
      </c>
      <c r="S578" s="20"/>
      <c r="T578" s="20"/>
      <c r="U578" s="20"/>
      <c r="V578" s="20"/>
      <c r="W578" s="20"/>
    </row>
    <row r="579" customFormat="false" ht="15" hidden="false" customHeight="false" outlineLevel="0" collapsed="false">
      <c r="A579" s="18"/>
      <c r="B579" s="19"/>
      <c r="C579" s="20"/>
      <c r="D579" s="18" t="str">
        <f aca="false">IF(C579="","",IFERROR(INDEX(Tables!$A:$A,MATCH(C579,Tables!$B:$B,0)),"Not found"))</f>
        <v/>
      </c>
      <c r="E579" s="21" t="str">
        <f aca="false">IF(D579="","",IFERROR(INDEX(Tables!$D:$D,MATCH(D579,Tables!$A:$A,0)),""))</f>
        <v/>
      </c>
      <c r="F579" s="20"/>
      <c r="G579" s="20"/>
      <c r="H579" s="18"/>
      <c r="I579" s="20"/>
      <c r="J579" s="20"/>
      <c r="K579" s="20"/>
      <c r="L579" s="20"/>
      <c r="M579" s="20"/>
      <c r="N579" s="20"/>
      <c r="O579" s="20"/>
      <c r="P579" s="20"/>
      <c r="Q579" s="21" t="str">
        <f aca="false">IF(A579="","",COUNTIF('Metric to Field'!$B:$B,A579))</f>
        <v/>
      </c>
      <c r="R579" s="21" t="str">
        <f aca="false">IF(A579="","",SUMIF('Metric to Field'!$B:$B,A579,'Metric to Field'!$G:$G))</f>
        <v/>
      </c>
      <c r="S579" s="20"/>
      <c r="T579" s="20"/>
      <c r="U579" s="20"/>
      <c r="V579" s="20"/>
      <c r="W579" s="20"/>
    </row>
    <row r="580" customFormat="false" ht="15" hidden="false" customHeight="false" outlineLevel="0" collapsed="false">
      <c r="A580" s="18"/>
      <c r="B580" s="19"/>
      <c r="C580" s="20"/>
      <c r="D580" s="18" t="str">
        <f aca="false">IF(C580="","",IFERROR(INDEX(Tables!$A:$A,MATCH(C580,Tables!$B:$B,0)),"Not found"))</f>
        <v/>
      </c>
      <c r="E580" s="21" t="str">
        <f aca="false">IF(D580="","",IFERROR(INDEX(Tables!$D:$D,MATCH(D580,Tables!$A:$A,0)),""))</f>
        <v/>
      </c>
      <c r="F580" s="20"/>
      <c r="G580" s="20"/>
      <c r="H580" s="18"/>
      <c r="I580" s="20"/>
      <c r="J580" s="20"/>
      <c r="K580" s="20"/>
      <c r="L580" s="20"/>
      <c r="M580" s="20"/>
      <c r="N580" s="20"/>
      <c r="O580" s="20"/>
      <c r="P580" s="20"/>
      <c r="Q580" s="21" t="str">
        <f aca="false">IF(A580="","",COUNTIF('Metric to Field'!$B:$B,A580))</f>
        <v/>
      </c>
      <c r="R580" s="21" t="str">
        <f aca="false">IF(A580="","",SUMIF('Metric to Field'!$B:$B,A580,'Metric to Field'!$G:$G))</f>
        <v/>
      </c>
      <c r="S580" s="20"/>
      <c r="T580" s="20"/>
      <c r="U580" s="20"/>
      <c r="V580" s="20"/>
      <c r="W580" s="20"/>
    </row>
    <row r="581" customFormat="false" ht="15" hidden="false" customHeight="false" outlineLevel="0" collapsed="false">
      <c r="A581" s="18"/>
      <c r="B581" s="19"/>
      <c r="C581" s="20"/>
      <c r="D581" s="18" t="str">
        <f aca="false">IF(C581="","",IFERROR(INDEX(Tables!$A:$A,MATCH(C581,Tables!$B:$B,0)),"Not found"))</f>
        <v/>
      </c>
      <c r="E581" s="21" t="str">
        <f aca="false">IF(D581="","",IFERROR(INDEX(Tables!$D:$D,MATCH(D581,Tables!$A:$A,0)),""))</f>
        <v/>
      </c>
      <c r="F581" s="20"/>
      <c r="G581" s="20"/>
      <c r="H581" s="18"/>
      <c r="I581" s="20"/>
      <c r="J581" s="20"/>
      <c r="K581" s="20"/>
      <c r="L581" s="20"/>
      <c r="M581" s="20"/>
      <c r="N581" s="20"/>
      <c r="O581" s="20"/>
      <c r="P581" s="20"/>
      <c r="Q581" s="21" t="str">
        <f aca="false">IF(A581="","",COUNTIF('Metric to Field'!$B:$B,A581))</f>
        <v/>
      </c>
      <c r="R581" s="21" t="str">
        <f aca="false">IF(A581="","",SUMIF('Metric to Field'!$B:$B,A581,'Metric to Field'!$G:$G))</f>
        <v/>
      </c>
      <c r="S581" s="20"/>
      <c r="T581" s="20"/>
      <c r="U581" s="20"/>
      <c r="V581" s="20"/>
      <c r="W581" s="20"/>
    </row>
    <row r="582" customFormat="false" ht="15" hidden="false" customHeight="false" outlineLevel="0" collapsed="false">
      <c r="A582" s="18"/>
      <c r="B582" s="19"/>
      <c r="C582" s="20"/>
      <c r="D582" s="18" t="str">
        <f aca="false">IF(C582="","",IFERROR(INDEX(Tables!$A:$A,MATCH(C582,Tables!$B:$B,0)),"Not found"))</f>
        <v/>
      </c>
      <c r="E582" s="21" t="str">
        <f aca="false">IF(D582="","",IFERROR(INDEX(Tables!$D:$D,MATCH(D582,Tables!$A:$A,0)),""))</f>
        <v/>
      </c>
      <c r="F582" s="20"/>
      <c r="G582" s="20"/>
      <c r="H582" s="18"/>
      <c r="I582" s="20"/>
      <c r="J582" s="20"/>
      <c r="K582" s="20"/>
      <c r="L582" s="20"/>
      <c r="M582" s="20"/>
      <c r="N582" s="20"/>
      <c r="O582" s="20"/>
      <c r="P582" s="20"/>
      <c r="Q582" s="21" t="str">
        <f aca="false">IF(A582="","",COUNTIF('Metric to Field'!$B:$B,A582))</f>
        <v/>
      </c>
      <c r="R582" s="21" t="str">
        <f aca="false">IF(A582="","",SUMIF('Metric to Field'!$B:$B,A582,'Metric to Field'!$G:$G))</f>
        <v/>
      </c>
      <c r="S582" s="20"/>
      <c r="T582" s="20"/>
      <c r="U582" s="20"/>
      <c r="V582" s="20"/>
      <c r="W582" s="20"/>
    </row>
    <row r="583" customFormat="false" ht="15" hidden="false" customHeight="false" outlineLevel="0" collapsed="false">
      <c r="A583" s="18"/>
      <c r="B583" s="19"/>
      <c r="C583" s="20"/>
      <c r="D583" s="18" t="str">
        <f aca="false">IF(C583="","",IFERROR(INDEX(Tables!$A:$A,MATCH(C583,Tables!$B:$B,0)),"Not found"))</f>
        <v/>
      </c>
      <c r="E583" s="21" t="str">
        <f aca="false">IF(D583="","",IFERROR(INDEX(Tables!$D:$D,MATCH(D583,Tables!$A:$A,0)),""))</f>
        <v/>
      </c>
      <c r="F583" s="20"/>
      <c r="G583" s="20"/>
      <c r="H583" s="18"/>
      <c r="I583" s="20"/>
      <c r="J583" s="20"/>
      <c r="K583" s="20"/>
      <c r="L583" s="20"/>
      <c r="M583" s="20"/>
      <c r="N583" s="20"/>
      <c r="O583" s="20"/>
      <c r="P583" s="20"/>
      <c r="Q583" s="21" t="str">
        <f aca="false">IF(A583="","",COUNTIF('Metric to Field'!$B:$B,A583))</f>
        <v/>
      </c>
      <c r="R583" s="21" t="str">
        <f aca="false">IF(A583="","",SUMIF('Metric to Field'!$B:$B,A583,'Metric to Field'!$G:$G))</f>
        <v/>
      </c>
      <c r="S583" s="20"/>
      <c r="T583" s="20"/>
      <c r="U583" s="20"/>
      <c r="V583" s="20"/>
      <c r="W583" s="20"/>
    </row>
    <row r="584" customFormat="false" ht="15" hidden="false" customHeight="false" outlineLevel="0" collapsed="false">
      <c r="A584" s="18"/>
      <c r="B584" s="19"/>
      <c r="C584" s="20"/>
      <c r="D584" s="18" t="str">
        <f aca="false">IF(C584="","",IFERROR(INDEX(Tables!$A:$A,MATCH(C584,Tables!$B:$B,0)),"Not found"))</f>
        <v/>
      </c>
      <c r="E584" s="21" t="str">
        <f aca="false">IF(D584="","",IFERROR(INDEX(Tables!$D:$D,MATCH(D584,Tables!$A:$A,0)),""))</f>
        <v/>
      </c>
      <c r="F584" s="20"/>
      <c r="G584" s="20"/>
      <c r="H584" s="18"/>
      <c r="I584" s="20"/>
      <c r="J584" s="20"/>
      <c r="K584" s="20"/>
      <c r="L584" s="20"/>
      <c r="M584" s="20"/>
      <c r="N584" s="20"/>
      <c r="O584" s="20"/>
      <c r="P584" s="20"/>
      <c r="Q584" s="21" t="str">
        <f aca="false">IF(A584="","",COUNTIF('Metric to Field'!$B:$B,A584))</f>
        <v/>
      </c>
      <c r="R584" s="21" t="str">
        <f aca="false">IF(A584="","",SUMIF('Metric to Field'!$B:$B,A584,'Metric to Field'!$G:$G))</f>
        <v/>
      </c>
      <c r="S584" s="20"/>
      <c r="T584" s="20"/>
      <c r="U584" s="20"/>
      <c r="V584" s="20"/>
      <c r="W584" s="20"/>
    </row>
    <row r="585" customFormat="false" ht="15" hidden="false" customHeight="false" outlineLevel="0" collapsed="false">
      <c r="A585" s="18"/>
      <c r="B585" s="19"/>
      <c r="C585" s="20"/>
      <c r="D585" s="18" t="str">
        <f aca="false">IF(C585="","",IFERROR(INDEX(Tables!$A:$A,MATCH(C585,Tables!$B:$B,0)),"Not found"))</f>
        <v/>
      </c>
      <c r="E585" s="21" t="str">
        <f aca="false">IF(D585="","",IFERROR(INDEX(Tables!$D:$D,MATCH(D585,Tables!$A:$A,0)),""))</f>
        <v/>
      </c>
      <c r="F585" s="20"/>
      <c r="G585" s="20"/>
      <c r="H585" s="18"/>
      <c r="I585" s="20"/>
      <c r="J585" s="20"/>
      <c r="K585" s="20"/>
      <c r="L585" s="20"/>
      <c r="M585" s="20"/>
      <c r="N585" s="20"/>
      <c r="O585" s="20"/>
      <c r="P585" s="20"/>
      <c r="Q585" s="21" t="str">
        <f aca="false">IF(A585="","",COUNTIF('Metric to Field'!$B:$B,A585))</f>
        <v/>
      </c>
      <c r="R585" s="21" t="str">
        <f aca="false">IF(A585="","",SUMIF('Metric to Field'!$B:$B,A585,'Metric to Field'!$G:$G))</f>
        <v/>
      </c>
      <c r="S585" s="20"/>
      <c r="T585" s="20"/>
      <c r="U585" s="20"/>
      <c r="V585" s="20"/>
      <c r="W585" s="20"/>
    </row>
    <row r="586" customFormat="false" ht="15" hidden="false" customHeight="false" outlineLevel="0" collapsed="false">
      <c r="A586" s="18"/>
      <c r="B586" s="19"/>
      <c r="C586" s="20"/>
      <c r="D586" s="18" t="str">
        <f aca="false">IF(C586="","",IFERROR(INDEX(Tables!$A:$A,MATCH(C586,Tables!$B:$B,0)),"Not found"))</f>
        <v/>
      </c>
      <c r="E586" s="21" t="str">
        <f aca="false">IF(D586="","",IFERROR(INDEX(Tables!$D:$D,MATCH(D586,Tables!$A:$A,0)),""))</f>
        <v/>
      </c>
      <c r="F586" s="20"/>
      <c r="G586" s="20"/>
      <c r="H586" s="18"/>
      <c r="I586" s="20"/>
      <c r="J586" s="20"/>
      <c r="K586" s="20"/>
      <c r="L586" s="20"/>
      <c r="M586" s="20"/>
      <c r="N586" s="20"/>
      <c r="O586" s="20"/>
      <c r="P586" s="20"/>
      <c r="Q586" s="21" t="str">
        <f aca="false">IF(A586="","",COUNTIF('Metric to Field'!$B:$B,A586))</f>
        <v/>
      </c>
      <c r="R586" s="21" t="str">
        <f aca="false">IF(A586="","",SUMIF('Metric to Field'!$B:$B,A586,'Metric to Field'!$G:$G))</f>
        <v/>
      </c>
      <c r="S586" s="20"/>
      <c r="T586" s="20"/>
      <c r="U586" s="20"/>
      <c r="V586" s="20"/>
      <c r="W586" s="20"/>
    </row>
    <row r="587" customFormat="false" ht="15" hidden="false" customHeight="false" outlineLevel="0" collapsed="false">
      <c r="A587" s="18"/>
      <c r="B587" s="19"/>
      <c r="C587" s="20"/>
      <c r="D587" s="18" t="str">
        <f aca="false">IF(C587="","",IFERROR(INDEX(Tables!$A:$A,MATCH(C587,Tables!$B:$B,0)),"Not found"))</f>
        <v/>
      </c>
      <c r="E587" s="21" t="str">
        <f aca="false">IF(D587="","",IFERROR(INDEX(Tables!$D:$D,MATCH(D587,Tables!$A:$A,0)),""))</f>
        <v/>
      </c>
      <c r="F587" s="20"/>
      <c r="G587" s="20"/>
      <c r="H587" s="18"/>
      <c r="I587" s="20"/>
      <c r="J587" s="20"/>
      <c r="K587" s="20"/>
      <c r="L587" s="20"/>
      <c r="M587" s="20"/>
      <c r="N587" s="20"/>
      <c r="O587" s="20"/>
      <c r="P587" s="20"/>
      <c r="Q587" s="21" t="str">
        <f aca="false">IF(A587="","",COUNTIF('Metric to Field'!$B:$B,A587))</f>
        <v/>
      </c>
      <c r="R587" s="21" t="str">
        <f aca="false">IF(A587="","",SUMIF('Metric to Field'!$B:$B,A587,'Metric to Field'!$G:$G))</f>
        <v/>
      </c>
      <c r="S587" s="20"/>
      <c r="T587" s="20"/>
      <c r="U587" s="20"/>
      <c r="V587" s="20"/>
      <c r="W587" s="20"/>
    </row>
    <row r="588" customFormat="false" ht="15" hidden="false" customHeight="false" outlineLevel="0" collapsed="false">
      <c r="A588" s="18"/>
      <c r="B588" s="19"/>
      <c r="C588" s="20"/>
      <c r="D588" s="18" t="str">
        <f aca="false">IF(C588="","",IFERROR(INDEX(Tables!$A:$A,MATCH(C588,Tables!$B:$B,0)),"Not found"))</f>
        <v/>
      </c>
      <c r="E588" s="21" t="str">
        <f aca="false">IF(D588="","",IFERROR(INDEX(Tables!$D:$D,MATCH(D588,Tables!$A:$A,0)),""))</f>
        <v/>
      </c>
      <c r="F588" s="20"/>
      <c r="G588" s="20"/>
      <c r="H588" s="18"/>
      <c r="I588" s="20"/>
      <c r="J588" s="20"/>
      <c r="K588" s="20"/>
      <c r="L588" s="20"/>
      <c r="M588" s="20"/>
      <c r="N588" s="20"/>
      <c r="O588" s="20"/>
      <c r="P588" s="20"/>
      <c r="Q588" s="21" t="str">
        <f aca="false">IF(A588="","",COUNTIF('Metric to Field'!$B:$B,A588))</f>
        <v/>
      </c>
      <c r="R588" s="21" t="str">
        <f aca="false">IF(A588="","",SUMIF('Metric to Field'!$B:$B,A588,'Metric to Field'!$G:$G))</f>
        <v/>
      </c>
      <c r="S588" s="20"/>
      <c r="T588" s="20"/>
      <c r="U588" s="20"/>
      <c r="V588" s="20"/>
      <c r="W588" s="20"/>
    </row>
    <row r="589" customFormat="false" ht="15" hidden="false" customHeight="false" outlineLevel="0" collapsed="false">
      <c r="A589" s="18"/>
      <c r="B589" s="19"/>
      <c r="C589" s="20"/>
      <c r="D589" s="18" t="str">
        <f aca="false">IF(C589="","",IFERROR(INDEX(Tables!$A:$A,MATCH(C589,Tables!$B:$B,0)),"Not found"))</f>
        <v/>
      </c>
      <c r="E589" s="21" t="str">
        <f aca="false">IF(D589="","",IFERROR(INDEX(Tables!$D:$D,MATCH(D589,Tables!$A:$A,0)),""))</f>
        <v/>
      </c>
      <c r="F589" s="20"/>
      <c r="G589" s="20"/>
      <c r="H589" s="18"/>
      <c r="I589" s="20"/>
      <c r="J589" s="20"/>
      <c r="K589" s="20"/>
      <c r="L589" s="20"/>
      <c r="M589" s="20"/>
      <c r="N589" s="20"/>
      <c r="O589" s="20"/>
      <c r="P589" s="20"/>
      <c r="Q589" s="21" t="str">
        <f aca="false">IF(A589="","",COUNTIF('Metric to Field'!$B:$B,A589))</f>
        <v/>
      </c>
      <c r="R589" s="21" t="str">
        <f aca="false">IF(A589="","",SUMIF('Metric to Field'!$B:$B,A589,'Metric to Field'!$G:$G))</f>
        <v/>
      </c>
      <c r="S589" s="20"/>
      <c r="T589" s="20"/>
      <c r="U589" s="20"/>
      <c r="V589" s="20"/>
      <c r="W589" s="20"/>
    </row>
    <row r="590" customFormat="false" ht="15" hidden="false" customHeight="false" outlineLevel="0" collapsed="false">
      <c r="A590" s="18"/>
      <c r="B590" s="19"/>
      <c r="C590" s="20"/>
      <c r="D590" s="18" t="str">
        <f aca="false">IF(C590="","",IFERROR(INDEX(Tables!$A:$A,MATCH(C590,Tables!$B:$B,0)),"Not found"))</f>
        <v/>
      </c>
      <c r="E590" s="21" t="str">
        <f aca="false">IF(D590="","",IFERROR(INDEX(Tables!$D:$D,MATCH(D590,Tables!$A:$A,0)),""))</f>
        <v/>
      </c>
      <c r="F590" s="20"/>
      <c r="G590" s="20"/>
      <c r="H590" s="18"/>
      <c r="I590" s="20"/>
      <c r="J590" s="20"/>
      <c r="K590" s="20"/>
      <c r="L590" s="20"/>
      <c r="M590" s="20"/>
      <c r="N590" s="20"/>
      <c r="O590" s="20"/>
      <c r="P590" s="20"/>
      <c r="Q590" s="21" t="str">
        <f aca="false">IF(A590="","",COUNTIF('Metric to Field'!$B:$B,A590))</f>
        <v/>
      </c>
      <c r="R590" s="21" t="str">
        <f aca="false">IF(A590="","",SUMIF('Metric to Field'!$B:$B,A590,'Metric to Field'!$G:$G))</f>
        <v/>
      </c>
      <c r="S590" s="20"/>
      <c r="T590" s="20"/>
      <c r="U590" s="20"/>
      <c r="V590" s="20"/>
      <c r="W590" s="20"/>
    </row>
    <row r="591" customFormat="false" ht="15" hidden="false" customHeight="false" outlineLevel="0" collapsed="false">
      <c r="A591" s="18"/>
      <c r="B591" s="19"/>
      <c r="C591" s="20"/>
      <c r="D591" s="18" t="str">
        <f aca="false">IF(C591="","",IFERROR(INDEX(Tables!$A:$A,MATCH(C591,Tables!$B:$B,0)),"Not found"))</f>
        <v/>
      </c>
      <c r="E591" s="21" t="str">
        <f aca="false">IF(D591="","",IFERROR(INDEX(Tables!$D:$D,MATCH(D591,Tables!$A:$A,0)),""))</f>
        <v/>
      </c>
      <c r="F591" s="20"/>
      <c r="G591" s="20"/>
      <c r="H591" s="18"/>
      <c r="I591" s="20"/>
      <c r="J591" s="20"/>
      <c r="K591" s="20"/>
      <c r="L591" s="20"/>
      <c r="M591" s="20"/>
      <c r="N591" s="20"/>
      <c r="O591" s="20"/>
      <c r="P591" s="20"/>
      <c r="Q591" s="21" t="str">
        <f aca="false">IF(A591="","",COUNTIF('Metric to Field'!$B:$B,A591))</f>
        <v/>
      </c>
      <c r="R591" s="21" t="str">
        <f aca="false">IF(A591="","",SUMIF('Metric to Field'!$B:$B,A591,'Metric to Field'!$G:$G))</f>
        <v/>
      </c>
      <c r="S591" s="20"/>
      <c r="T591" s="20"/>
      <c r="U591" s="20"/>
      <c r="V591" s="20"/>
      <c r="W591" s="20"/>
    </row>
    <row r="592" customFormat="false" ht="15" hidden="false" customHeight="false" outlineLevel="0" collapsed="false">
      <c r="A592" s="18"/>
      <c r="B592" s="19"/>
      <c r="C592" s="20"/>
      <c r="D592" s="18" t="str">
        <f aca="false">IF(C592="","",IFERROR(INDEX(Tables!$A:$A,MATCH(C592,Tables!$B:$B,0)),"Not found"))</f>
        <v/>
      </c>
      <c r="E592" s="21" t="str">
        <f aca="false">IF(D592="","",IFERROR(INDEX(Tables!$D:$D,MATCH(D592,Tables!$A:$A,0)),""))</f>
        <v/>
      </c>
      <c r="F592" s="20"/>
      <c r="G592" s="20"/>
      <c r="H592" s="18"/>
      <c r="I592" s="20"/>
      <c r="J592" s="20"/>
      <c r="K592" s="20"/>
      <c r="L592" s="20"/>
      <c r="M592" s="20"/>
      <c r="N592" s="20"/>
      <c r="O592" s="20"/>
      <c r="P592" s="20"/>
      <c r="Q592" s="21" t="str">
        <f aca="false">IF(A592="","",COUNTIF('Metric to Field'!$B:$B,A592))</f>
        <v/>
      </c>
      <c r="R592" s="21" t="str">
        <f aca="false">IF(A592="","",SUMIF('Metric to Field'!$B:$B,A592,'Metric to Field'!$G:$G))</f>
        <v/>
      </c>
      <c r="S592" s="20"/>
      <c r="T592" s="20"/>
      <c r="U592" s="20"/>
      <c r="V592" s="20"/>
      <c r="W592" s="20"/>
    </row>
    <row r="593" customFormat="false" ht="15" hidden="false" customHeight="false" outlineLevel="0" collapsed="false">
      <c r="A593" s="18"/>
      <c r="B593" s="19"/>
      <c r="C593" s="20"/>
      <c r="D593" s="18" t="str">
        <f aca="false">IF(C593="","",IFERROR(INDEX(Tables!$A:$A,MATCH(C593,Tables!$B:$B,0)),"Not found"))</f>
        <v/>
      </c>
      <c r="E593" s="21" t="str">
        <f aca="false">IF(D593="","",IFERROR(INDEX(Tables!$D:$D,MATCH(D593,Tables!$A:$A,0)),""))</f>
        <v/>
      </c>
      <c r="F593" s="20"/>
      <c r="G593" s="20"/>
      <c r="H593" s="18"/>
      <c r="I593" s="20"/>
      <c r="J593" s="20"/>
      <c r="K593" s="20"/>
      <c r="L593" s="20"/>
      <c r="M593" s="20"/>
      <c r="N593" s="20"/>
      <c r="O593" s="20"/>
      <c r="P593" s="20"/>
      <c r="Q593" s="21" t="str">
        <f aca="false">IF(A593="","",COUNTIF('Metric to Field'!$B:$B,A593))</f>
        <v/>
      </c>
      <c r="R593" s="21" t="str">
        <f aca="false">IF(A593="","",SUMIF('Metric to Field'!$B:$B,A593,'Metric to Field'!$G:$G))</f>
        <v/>
      </c>
      <c r="S593" s="20"/>
      <c r="T593" s="20"/>
      <c r="U593" s="20"/>
      <c r="V593" s="20"/>
      <c r="W593" s="20"/>
    </row>
    <row r="594" customFormat="false" ht="15" hidden="false" customHeight="false" outlineLevel="0" collapsed="false">
      <c r="A594" s="18"/>
      <c r="B594" s="19"/>
      <c r="C594" s="20"/>
      <c r="D594" s="18" t="str">
        <f aca="false">IF(C594="","",IFERROR(INDEX(Tables!$A:$A,MATCH(C594,Tables!$B:$B,0)),"Not found"))</f>
        <v/>
      </c>
      <c r="E594" s="21" t="str">
        <f aca="false">IF(D594="","",IFERROR(INDEX(Tables!$D:$D,MATCH(D594,Tables!$A:$A,0)),""))</f>
        <v/>
      </c>
      <c r="F594" s="20"/>
      <c r="G594" s="20"/>
      <c r="H594" s="18"/>
      <c r="I594" s="20"/>
      <c r="J594" s="20"/>
      <c r="K594" s="20"/>
      <c r="L594" s="20"/>
      <c r="M594" s="20"/>
      <c r="N594" s="20"/>
      <c r="O594" s="20"/>
      <c r="P594" s="20"/>
      <c r="Q594" s="21" t="str">
        <f aca="false">IF(A594="","",COUNTIF('Metric to Field'!$B:$B,A594))</f>
        <v/>
      </c>
      <c r="R594" s="21" t="str">
        <f aca="false">IF(A594="","",SUMIF('Metric to Field'!$B:$B,A594,'Metric to Field'!$G:$G))</f>
        <v/>
      </c>
      <c r="S594" s="20"/>
      <c r="T594" s="20"/>
      <c r="U594" s="20"/>
      <c r="V594" s="20"/>
      <c r="W594" s="20"/>
    </row>
    <row r="595" customFormat="false" ht="15" hidden="false" customHeight="false" outlineLevel="0" collapsed="false">
      <c r="A595" s="18"/>
      <c r="B595" s="19"/>
      <c r="C595" s="20"/>
      <c r="D595" s="18" t="str">
        <f aca="false">IF(C595="","",IFERROR(INDEX(Tables!$A:$A,MATCH(C595,Tables!$B:$B,0)),"Not found"))</f>
        <v/>
      </c>
      <c r="E595" s="21" t="str">
        <f aca="false">IF(D595="","",IFERROR(INDEX(Tables!$D:$D,MATCH(D595,Tables!$A:$A,0)),""))</f>
        <v/>
      </c>
      <c r="F595" s="20"/>
      <c r="G595" s="20"/>
      <c r="H595" s="18"/>
      <c r="I595" s="20"/>
      <c r="J595" s="20"/>
      <c r="K595" s="20"/>
      <c r="L595" s="20"/>
      <c r="M595" s="20"/>
      <c r="N595" s="20"/>
      <c r="O595" s="20"/>
      <c r="P595" s="20"/>
      <c r="Q595" s="21" t="str">
        <f aca="false">IF(A595="","",COUNTIF('Metric to Field'!$B:$B,A595))</f>
        <v/>
      </c>
      <c r="R595" s="21" t="str">
        <f aca="false">IF(A595="","",SUMIF('Metric to Field'!$B:$B,A595,'Metric to Field'!$G:$G))</f>
        <v/>
      </c>
      <c r="S595" s="20"/>
      <c r="T595" s="20"/>
      <c r="U595" s="20"/>
      <c r="V595" s="20"/>
      <c r="W595" s="20"/>
    </row>
    <row r="596" customFormat="false" ht="15" hidden="false" customHeight="false" outlineLevel="0" collapsed="false">
      <c r="A596" s="18"/>
      <c r="B596" s="19"/>
      <c r="C596" s="20"/>
      <c r="D596" s="18" t="str">
        <f aca="false">IF(C596="","",IFERROR(INDEX(Tables!$A:$A,MATCH(C596,Tables!$B:$B,0)),"Not found"))</f>
        <v/>
      </c>
      <c r="E596" s="21" t="str">
        <f aca="false">IF(D596="","",IFERROR(INDEX(Tables!$D:$D,MATCH(D596,Tables!$A:$A,0)),""))</f>
        <v/>
      </c>
      <c r="F596" s="20"/>
      <c r="G596" s="20"/>
      <c r="H596" s="18"/>
      <c r="I596" s="20"/>
      <c r="J596" s="20"/>
      <c r="K596" s="20"/>
      <c r="L596" s="20"/>
      <c r="M596" s="20"/>
      <c r="N596" s="20"/>
      <c r="O596" s="20"/>
      <c r="P596" s="20"/>
      <c r="Q596" s="21" t="str">
        <f aca="false">IF(A596="","",COUNTIF('Metric to Field'!$B:$B,A596))</f>
        <v/>
      </c>
      <c r="R596" s="21" t="str">
        <f aca="false">IF(A596="","",SUMIF('Metric to Field'!$B:$B,A596,'Metric to Field'!$G:$G))</f>
        <v/>
      </c>
      <c r="S596" s="20"/>
      <c r="T596" s="20"/>
      <c r="U596" s="20"/>
      <c r="V596" s="20"/>
      <c r="W596" s="20"/>
    </row>
    <row r="597" customFormat="false" ht="15" hidden="false" customHeight="false" outlineLevel="0" collapsed="false">
      <c r="A597" s="18"/>
      <c r="B597" s="19"/>
      <c r="C597" s="20"/>
      <c r="D597" s="18" t="str">
        <f aca="false">IF(C597="","",IFERROR(INDEX(Tables!$A:$A,MATCH(C597,Tables!$B:$B,0)),"Not found"))</f>
        <v/>
      </c>
      <c r="E597" s="21" t="str">
        <f aca="false">IF(D597="","",IFERROR(INDEX(Tables!$D:$D,MATCH(D597,Tables!$A:$A,0)),""))</f>
        <v/>
      </c>
      <c r="F597" s="20"/>
      <c r="G597" s="20"/>
      <c r="H597" s="18"/>
      <c r="I597" s="20"/>
      <c r="J597" s="20"/>
      <c r="K597" s="20"/>
      <c r="L597" s="20"/>
      <c r="M597" s="20"/>
      <c r="N597" s="20"/>
      <c r="O597" s="20"/>
      <c r="P597" s="20"/>
      <c r="Q597" s="21" t="str">
        <f aca="false">IF(A597="","",COUNTIF('Metric to Field'!$B:$B,A597))</f>
        <v/>
      </c>
      <c r="R597" s="21" t="str">
        <f aca="false">IF(A597="","",SUMIF('Metric to Field'!$B:$B,A597,'Metric to Field'!$G:$G))</f>
        <v/>
      </c>
      <c r="S597" s="20"/>
      <c r="T597" s="20"/>
      <c r="U597" s="20"/>
      <c r="V597" s="20"/>
      <c r="W597" s="20"/>
    </row>
    <row r="598" customFormat="false" ht="15" hidden="false" customHeight="false" outlineLevel="0" collapsed="false">
      <c r="A598" s="18"/>
      <c r="B598" s="19"/>
      <c r="C598" s="20"/>
      <c r="D598" s="18" t="str">
        <f aca="false">IF(C598="","",IFERROR(INDEX(Tables!$A:$A,MATCH(C598,Tables!$B:$B,0)),"Not found"))</f>
        <v/>
      </c>
      <c r="E598" s="21" t="str">
        <f aca="false">IF(D598="","",IFERROR(INDEX(Tables!$D:$D,MATCH(D598,Tables!$A:$A,0)),""))</f>
        <v/>
      </c>
      <c r="F598" s="20"/>
      <c r="G598" s="20"/>
      <c r="H598" s="18"/>
      <c r="I598" s="20"/>
      <c r="J598" s="20"/>
      <c r="K598" s="20"/>
      <c r="L598" s="20"/>
      <c r="M598" s="20"/>
      <c r="N598" s="20"/>
      <c r="O598" s="20"/>
      <c r="P598" s="20"/>
      <c r="Q598" s="21" t="str">
        <f aca="false">IF(A598="","",COUNTIF('Metric to Field'!$B:$B,A598))</f>
        <v/>
      </c>
      <c r="R598" s="21" t="str">
        <f aca="false">IF(A598="","",SUMIF('Metric to Field'!$B:$B,A598,'Metric to Field'!$G:$G))</f>
        <v/>
      </c>
      <c r="S598" s="20"/>
      <c r="T598" s="20"/>
      <c r="U598" s="20"/>
      <c r="V598" s="20"/>
      <c r="W598" s="20"/>
    </row>
    <row r="599" customFormat="false" ht="15" hidden="false" customHeight="false" outlineLevel="0" collapsed="false">
      <c r="A599" s="18"/>
      <c r="B599" s="19"/>
      <c r="C599" s="20"/>
      <c r="D599" s="18" t="str">
        <f aca="false">IF(C599="","",IFERROR(INDEX(Tables!$A:$A,MATCH(C599,Tables!$B:$B,0)),"Not found"))</f>
        <v/>
      </c>
      <c r="E599" s="21" t="str">
        <f aca="false">IF(D599="","",IFERROR(INDEX(Tables!$D:$D,MATCH(D599,Tables!$A:$A,0)),""))</f>
        <v/>
      </c>
      <c r="F599" s="20"/>
      <c r="G599" s="20"/>
      <c r="H599" s="18"/>
      <c r="I599" s="20"/>
      <c r="J599" s="20"/>
      <c r="K599" s="20"/>
      <c r="L599" s="20"/>
      <c r="M599" s="20"/>
      <c r="N599" s="20"/>
      <c r="O599" s="20"/>
      <c r="P599" s="20"/>
      <c r="Q599" s="21" t="str">
        <f aca="false">IF(A599="","",COUNTIF('Metric to Field'!$B:$B,A599))</f>
        <v/>
      </c>
      <c r="R599" s="21" t="str">
        <f aca="false">IF(A599="","",SUMIF('Metric to Field'!$B:$B,A599,'Metric to Field'!$G:$G))</f>
        <v/>
      </c>
      <c r="S599" s="20"/>
      <c r="T599" s="20"/>
      <c r="U599" s="20"/>
      <c r="V599" s="20"/>
      <c r="W599" s="20"/>
    </row>
    <row r="600" customFormat="false" ht="15" hidden="false" customHeight="false" outlineLevel="0" collapsed="false">
      <c r="A600" s="18"/>
      <c r="B600" s="19"/>
      <c r="C600" s="20"/>
      <c r="D600" s="18" t="str">
        <f aca="false">IF(C600="","",IFERROR(INDEX(Tables!$A:$A,MATCH(C600,Tables!$B:$B,0)),"Not found"))</f>
        <v/>
      </c>
      <c r="E600" s="21" t="str">
        <f aca="false">IF(D600="","",IFERROR(INDEX(Tables!$D:$D,MATCH(D600,Tables!$A:$A,0)),""))</f>
        <v/>
      </c>
      <c r="F600" s="20"/>
      <c r="G600" s="20"/>
      <c r="H600" s="18"/>
      <c r="I600" s="20"/>
      <c r="J600" s="20"/>
      <c r="K600" s="20"/>
      <c r="L600" s="20"/>
      <c r="M600" s="20"/>
      <c r="N600" s="20"/>
      <c r="O600" s="20"/>
      <c r="P600" s="20"/>
      <c r="Q600" s="21" t="str">
        <f aca="false">IF(A600="","",COUNTIF('Metric to Field'!$B:$B,A600))</f>
        <v/>
      </c>
      <c r="R600" s="21" t="str">
        <f aca="false">IF(A600="","",SUMIF('Metric to Field'!$B:$B,A600,'Metric to Field'!$G:$G))</f>
        <v/>
      </c>
      <c r="S600" s="20"/>
      <c r="T600" s="20"/>
      <c r="U600" s="20"/>
      <c r="V600" s="20"/>
      <c r="W600" s="20"/>
    </row>
    <row r="601" customFormat="false" ht="15" hidden="false" customHeight="false" outlineLevel="0" collapsed="false">
      <c r="A601" s="18"/>
      <c r="B601" s="19"/>
      <c r="C601" s="20"/>
      <c r="D601" s="18" t="str">
        <f aca="false">IF(C601="","",IFERROR(INDEX(Tables!$A:$A,MATCH(C601,Tables!$B:$B,0)),"Not found"))</f>
        <v/>
      </c>
      <c r="E601" s="21" t="str">
        <f aca="false">IF(D601="","",IFERROR(INDEX(Tables!$D:$D,MATCH(D601,Tables!$A:$A,0)),""))</f>
        <v/>
      </c>
      <c r="F601" s="20"/>
      <c r="G601" s="20"/>
      <c r="H601" s="18"/>
      <c r="I601" s="20"/>
      <c r="J601" s="20"/>
      <c r="K601" s="20"/>
      <c r="L601" s="20"/>
      <c r="M601" s="20"/>
      <c r="N601" s="20"/>
      <c r="O601" s="20"/>
      <c r="P601" s="20"/>
      <c r="Q601" s="21" t="str">
        <f aca="false">IF(A601="","",COUNTIF('Metric to Field'!$B:$B,A601))</f>
        <v/>
      </c>
      <c r="R601" s="21" t="str">
        <f aca="false">IF(A601="","",SUMIF('Metric to Field'!$B:$B,A601,'Metric to Field'!$G:$G))</f>
        <v/>
      </c>
      <c r="S601" s="20"/>
      <c r="T601" s="20"/>
      <c r="U601" s="20"/>
      <c r="V601" s="20"/>
      <c r="W601" s="20"/>
    </row>
    <row r="602" customFormat="false" ht="15" hidden="false" customHeight="false" outlineLevel="0" collapsed="false">
      <c r="A602" s="18"/>
      <c r="B602" s="19"/>
      <c r="C602" s="20"/>
      <c r="D602" s="18" t="str">
        <f aca="false">IF(C602="","",IFERROR(INDEX(Tables!$A:$A,MATCH(C602,Tables!$B:$B,0)),"Not found"))</f>
        <v/>
      </c>
      <c r="E602" s="21" t="str">
        <f aca="false">IF(D602="","",IFERROR(INDEX(Tables!$D:$D,MATCH(D602,Tables!$A:$A,0)),""))</f>
        <v/>
      </c>
      <c r="F602" s="20"/>
      <c r="G602" s="20"/>
      <c r="H602" s="18"/>
      <c r="I602" s="20"/>
      <c r="J602" s="20"/>
      <c r="K602" s="20"/>
      <c r="L602" s="20"/>
      <c r="M602" s="20"/>
      <c r="N602" s="20"/>
      <c r="O602" s="20"/>
      <c r="P602" s="20"/>
      <c r="Q602" s="21" t="str">
        <f aca="false">IF(A602="","",COUNTIF('Metric to Field'!$B:$B,A602))</f>
        <v/>
      </c>
      <c r="R602" s="21" t="str">
        <f aca="false">IF(A602="","",SUMIF('Metric to Field'!$B:$B,A602,'Metric to Field'!$G:$G))</f>
        <v/>
      </c>
      <c r="S602" s="20"/>
      <c r="T602" s="20"/>
      <c r="U602" s="20"/>
      <c r="V602" s="20"/>
      <c r="W602" s="20"/>
    </row>
    <row r="603" customFormat="false" ht="15" hidden="false" customHeight="false" outlineLevel="0" collapsed="false">
      <c r="A603" s="18"/>
      <c r="B603" s="19"/>
      <c r="C603" s="20"/>
      <c r="D603" s="18" t="str">
        <f aca="false">IF(C603="","",IFERROR(INDEX(Tables!$A:$A,MATCH(C603,Tables!$B:$B,0)),"Not found"))</f>
        <v/>
      </c>
      <c r="E603" s="21" t="str">
        <f aca="false">IF(D603="","",IFERROR(INDEX(Tables!$D:$D,MATCH(D603,Tables!$A:$A,0)),""))</f>
        <v/>
      </c>
      <c r="F603" s="20"/>
      <c r="G603" s="20"/>
      <c r="H603" s="18"/>
      <c r="I603" s="20"/>
      <c r="J603" s="20"/>
      <c r="K603" s="20"/>
      <c r="L603" s="20"/>
      <c r="M603" s="20"/>
      <c r="N603" s="20"/>
      <c r="O603" s="20"/>
      <c r="P603" s="20"/>
      <c r="Q603" s="21" t="str">
        <f aca="false">IF(A603="","",COUNTIF('Metric to Field'!$B:$B,A603))</f>
        <v/>
      </c>
      <c r="R603" s="21" t="str">
        <f aca="false">IF(A603="","",SUMIF('Metric to Field'!$B:$B,A603,'Metric to Field'!$G:$G))</f>
        <v/>
      </c>
      <c r="S603" s="20"/>
      <c r="T603" s="20"/>
      <c r="U603" s="20"/>
      <c r="V603" s="20"/>
      <c r="W603" s="20"/>
    </row>
    <row r="604" customFormat="false" ht="15" hidden="false" customHeight="false" outlineLevel="0" collapsed="false">
      <c r="A604" s="18"/>
      <c r="B604" s="19"/>
      <c r="C604" s="20"/>
      <c r="D604" s="18" t="str">
        <f aca="false">IF(C604="","",IFERROR(INDEX(Tables!$A:$A,MATCH(C604,Tables!$B:$B,0)),"Not found"))</f>
        <v/>
      </c>
      <c r="E604" s="21" t="str">
        <f aca="false">IF(D604="","",IFERROR(INDEX(Tables!$D:$D,MATCH(D604,Tables!$A:$A,0)),""))</f>
        <v/>
      </c>
      <c r="F604" s="20"/>
      <c r="G604" s="20"/>
      <c r="H604" s="18"/>
      <c r="I604" s="20"/>
      <c r="J604" s="20"/>
      <c r="K604" s="20"/>
      <c r="L604" s="20"/>
      <c r="M604" s="20"/>
      <c r="N604" s="20"/>
      <c r="O604" s="20"/>
      <c r="P604" s="20"/>
      <c r="Q604" s="21" t="str">
        <f aca="false">IF(A604="","",COUNTIF('Metric to Field'!$B:$B,A604))</f>
        <v/>
      </c>
      <c r="R604" s="21" t="str">
        <f aca="false">IF(A604="","",SUMIF('Metric to Field'!$B:$B,A604,'Metric to Field'!$G:$G))</f>
        <v/>
      </c>
      <c r="S604" s="20"/>
      <c r="T604" s="20"/>
      <c r="U604" s="20"/>
      <c r="V604" s="20"/>
      <c r="W604" s="20"/>
    </row>
    <row r="605" customFormat="false" ht="15" hidden="false" customHeight="false" outlineLevel="0" collapsed="false">
      <c r="A605" s="18"/>
      <c r="B605" s="19"/>
      <c r="C605" s="20"/>
      <c r="D605" s="18" t="str">
        <f aca="false">IF(C605="","",IFERROR(INDEX(Tables!$A:$A,MATCH(C605,Tables!$B:$B,0)),"Not found"))</f>
        <v/>
      </c>
      <c r="E605" s="21" t="str">
        <f aca="false">IF(D605="","",IFERROR(INDEX(Tables!$D:$D,MATCH(D605,Tables!$A:$A,0)),""))</f>
        <v/>
      </c>
      <c r="F605" s="20"/>
      <c r="G605" s="20"/>
      <c r="H605" s="18"/>
      <c r="I605" s="20"/>
      <c r="J605" s="20"/>
      <c r="K605" s="20"/>
      <c r="L605" s="20"/>
      <c r="M605" s="20"/>
      <c r="N605" s="20"/>
      <c r="O605" s="20"/>
      <c r="P605" s="20"/>
      <c r="Q605" s="21" t="str">
        <f aca="false">IF(A605="","",COUNTIF('Metric to Field'!$B:$B,A605))</f>
        <v/>
      </c>
      <c r="R605" s="21" t="str">
        <f aca="false">IF(A605="","",SUMIF('Metric to Field'!$B:$B,A605,'Metric to Field'!$G:$G))</f>
        <v/>
      </c>
      <c r="S605" s="20"/>
      <c r="T605" s="20"/>
      <c r="U605" s="20"/>
      <c r="V605" s="20"/>
      <c r="W605" s="20"/>
    </row>
    <row r="606" customFormat="false" ht="15" hidden="false" customHeight="false" outlineLevel="0" collapsed="false">
      <c r="A606" s="18"/>
      <c r="B606" s="19"/>
      <c r="C606" s="20"/>
      <c r="D606" s="18" t="str">
        <f aca="false">IF(C606="","",IFERROR(INDEX(Tables!$A:$A,MATCH(C606,Tables!$B:$B,0)),"Not found"))</f>
        <v/>
      </c>
      <c r="E606" s="21" t="str">
        <f aca="false">IF(D606="","",IFERROR(INDEX(Tables!$D:$D,MATCH(D606,Tables!$A:$A,0)),""))</f>
        <v/>
      </c>
      <c r="F606" s="20"/>
      <c r="G606" s="20"/>
      <c r="H606" s="18"/>
      <c r="I606" s="20"/>
      <c r="J606" s="20"/>
      <c r="K606" s="20"/>
      <c r="L606" s="20"/>
      <c r="M606" s="20"/>
      <c r="N606" s="20"/>
      <c r="O606" s="20"/>
      <c r="P606" s="20"/>
      <c r="Q606" s="21" t="str">
        <f aca="false">IF(A606="","",COUNTIF('Metric to Field'!$B:$B,A606))</f>
        <v/>
      </c>
      <c r="R606" s="21" t="str">
        <f aca="false">IF(A606="","",SUMIF('Metric to Field'!$B:$B,A606,'Metric to Field'!$G:$G))</f>
        <v/>
      </c>
      <c r="S606" s="20"/>
      <c r="T606" s="20"/>
      <c r="U606" s="20"/>
      <c r="V606" s="20"/>
      <c r="W606" s="20"/>
    </row>
    <row r="607" customFormat="false" ht="15" hidden="false" customHeight="false" outlineLevel="0" collapsed="false">
      <c r="A607" s="18"/>
      <c r="B607" s="19"/>
      <c r="C607" s="20"/>
      <c r="D607" s="18" t="str">
        <f aca="false">IF(C607="","",IFERROR(INDEX(Tables!$A:$A,MATCH(C607,Tables!$B:$B,0)),"Not found"))</f>
        <v/>
      </c>
      <c r="E607" s="21" t="str">
        <f aca="false">IF(D607="","",IFERROR(INDEX(Tables!$D:$D,MATCH(D607,Tables!$A:$A,0)),""))</f>
        <v/>
      </c>
      <c r="F607" s="20"/>
      <c r="G607" s="20"/>
      <c r="H607" s="18"/>
      <c r="I607" s="20"/>
      <c r="J607" s="20"/>
      <c r="K607" s="20"/>
      <c r="L607" s="20"/>
      <c r="M607" s="20"/>
      <c r="N607" s="20"/>
      <c r="O607" s="20"/>
      <c r="P607" s="20"/>
      <c r="Q607" s="21" t="str">
        <f aca="false">IF(A607="","",COUNTIF('Metric to Field'!$B:$B,A607))</f>
        <v/>
      </c>
      <c r="R607" s="21" t="str">
        <f aca="false">IF(A607="","",SUMIF('Metric to Field'!$B:$B,A607,'Metric to Field'!$G:$G))</f>
        <v/>
      </c>
      <c r="S607" s="20"/>
      <c r="T607" s="20"/>
      <c r="U607" s="20"/>
      <c r="V607" s="20"/>
      <c r="W607" s="20"/>
    </row>
    <row r="608" customFormat="false" ht="15" hidden="false" customHeight="false" outlineLevel="0" collapsed="false">
      <c r="A608" s="18"/>
      <c r="B608" s="19"/>
      <c r="C608" s="20"/>
      <c r="D608" s="18" t="str">
        <f aca="false">IF(C608="","",IFERROR(INDEX(Tables!$A:$A,MATCH(C608,Tables!$B:$B,0)),"Not found"))</f>
        <v/>
      </c>
      <c r="E608" s="21" t="str">
        <f aca="false">IF(D608="","",IFERROR(INDEX(Tables!$D:$D,MATCH(D608,Tables!$A:$A,0)),""))</f>
        <v/>
      </c>
      <c r="F608" s="20"/>
      <c r="G608" s="20"/>
      <c r="H608" s="18"/>
      <c r="I608" s="20"/>
      <c r="J608" s="20"/>
      <c r="K608" s="20"/>
      <c r="L608" s="20"/>
      <c r="M608" s="20"/>
      <c r="N608" s="20"/>
      <c r="O608" s="20"/>
      <c r="P608" s="20"/>
      <c r="Q608" s="21" t="str">
        <f aca="false">IF(A608="","",COUNTIF('Metric to Field'!$B:$B,A608))</f>
        <v/>
      </c>
      <c r="R608" s="21" t="str">
        <f aca="false">IF(A608="","",SUMIF('Metric to Field'!$B:$B,A608,'Metric to Field'!$G:$G))</f>
        <v/>
      </c>
      <c r="S608" s="20"/>
      <c r="T608" s="20"/>
      <c r="U608" s="20"/>
      <c r="V608" s="20"/>
      <c r="W608" s="20"/>
    </row>
    <row r="609" customFormat="false" ht="15" hidden="false" customHeight="false" outlineLevel="0" collapsed="false">
      <c r="A609" s="18"/>
      <c r="B609" s="19"/>
      <c r="C609" s="20"/>
      <c r="D609" s="18" t="str">
        <f aca="false">IF(C609="","",IFERROR(INDEX(Tables!$A:$A,MATCH(C609,Tables!$B:$B,0)),"Not found"))</f>
        <v/>
      </c>
      <c r="E609" s="21" t="str">
        <f aca="false">IF(D609="","",IFERROR(INDEX(Tables!$D:$D,MATCH(D609,Tables!$A:$A,0)),""))</f>
        <v/>
      </c>
      <c r="F609" s="20"/>
      <c r="G609" s="20"/>
      <c r="H609" s="18"/>
      <c r="I609" s="20"/>
      <c r="J609" s="20"/>
      <c r="K609" s="20"/>
      <c r="L609" s="20"/>
      <c r="M609" s="20"/>
      <c r="N609" s="20"/>
      <c r="O609" s="20"/>
      <c r="P609" s="20"/>
      <c r="Q609" s="21" t="str">
        <f aca="false">IF(A609="","",COUNTIF('Metric to Field'!$B:$B,A609))</f>
        <v/>
      </c>
      <c r="R609" s="21" t="str">
        <f aca="false">IF(A609="","",SUMIF('Metric to Field'!$B:$B,A609,'Metric to Field'!$G:$G))</f>
        <v/>
      </c>
      <c r="S609" s="20"/>
      <c r="T609" s="20"/>
      <c r="U609" s="20"/>
      <c r="V609" s="20"/>
      <c r="W609" s="20"/>
    </row>
    <row r="610" customFormat="false" ht="15" hidden="false" customHeight="false" outlineLevel="0" collapsed="false">
      <c r="A610" s="18"/>
      <c r="B610" s="19"/>
      <c r="C610" s="20"/>
      <c r="D610" s="18" t="str">
        <f aca="false">IF(C610="","",IFERROR(INDEX(Tables!$A:$A,MATCH(C610,Tables!$B:$B,0)),"Not found"))</f>
        <v/>
      </c>
      <c r="E610" s="21" t="str">
        <f aca="false">IF(D610="","",IFERROR(INDEX(Tables!$D:$D,MATCH(D610,Tables!$A:$A,0)),""))</f>
        <v/>
      </c>
      <c r="F610" s="20"/>
      <c r="G610" s="20"/>
      <c r="H610" s="18"/>
      <c r="I610" s="20"/>
      <c r="J610" s="20"/>
      <c r="K610" s="20"/>
      <c r="L610" s="20"/>
      <c r="M610" s="20"/>
      <c r="N610" s="20"/>
      <c r="O610" s="20"/>
      <c r="P610" s="20"/>
      <c r="Q610" s="21" t="str">
        <f aca="false">IF(A610="","",COUNTIF('Metric to Field'!$B:$B,A610))</f>
        <v/>
      </c>
      <c r="R610" s="21" t="str">
        <f aca="false">IF(A610="","",SUMIF('Metric to Field'!$B:$B,A610,'Metric to Field'!$G:$G))</f>
        <v/>
      </c>
      <c r="S610" s="20"/>
      <c r="T610" s="20"/>
      <c r="U610" s="20"/>
      <c r="V610" s="20"/>
      <c r="W610" s="20"/>
    </row>
    <row r="611" customFormat="false" ht="15" hidden="false" customHeight="false" outlineLevel="0" collapsed="false">
      <c r="A611" s="18"/>
      <c r="B611" s="19"/>
      <c r="C611" s="20"/>
      <c r="D611" s="18" t="str">
        <f aca="false">IF(C611="","",IFERROR(INDEX(Tables!$A:$A,MATCH(C611,Tables!$B:$B,0)),"Not found"))</f>
        <v/>
      </c>
      <c r="E611" s="21" t="str">
        <f aca="false">IF(D611="","",IFERROR(INDEX(Tables!$D:$D,MATCH(D611,Tables!$A:$A,0)),""))</f>
        <v/>
      </c>
      <c r="F611" s="20"/>
      <c r="G611" s="20"/>
      <c r="H611" s="18"/>
      <c r="I611" s="20"/>
      <c r="J611" s="20"/>
      <c r="K611" s="20"/>
      <c r="L611" s="20"/>
      <c r="M611" s="20"/>
      <c r="N611" s="20"/>
      <c r="O611" s="20"/>
      <c r="P611" s="20"/>
      <c r="Q611" s="21" t="str">
        <f aca="false">IF(A611="","",COUNTIF('Metric to Field'!$B:$B,A611))</f>
        <v/>
      </c>
      <c r="R611" s="21" t="str">
        <f aca="false">IF(A611="","",SUMIF('Metric to Field'!$B:$B,A611,'Metric to Field'!$G:$G))</f>
        <v/>
      </c>
      <c r="S611" s="20"/>
      <c r="T611" s="20"/>
      <c r="U611" s="20"/>
      <c r="V611" s="20"/>
      <c r="W611" s="20"/>
    </row>
    <row r="612" customFormat="false" ht="15" hidden="false" customHeight="false" outlineLevel="0" collapsed="false">
      <c r="A612" s="18"/>
      <c r="B612" s="19"/>
      <c r="C612" s="20"/>
      <c r="D612" s="18" t="str">
        <f aca="false">IF(C612="","",IFERROR(INDEX(Tables!$A:$A,MATCH(C612,Tables!$B:$B,0)),"Not found"))</f>
        <v/>
      </c>
      <c r="E612" s="21" t="str">
        <f aca="false">IF(D612="","",IFERROR(INDEX(Tables!$D:$D,MATCH(D612,Tables!$A:$A,0)),""))</f>
        <v/>
      </c>
      <c r="F612" s="20"/>
      <c r="G612" s="20"/>
      <c r="H612" s="18"/>
      <c r="I612" s="20"/>
      <c r="J612" s="20"/>
      <c r="K612" s="20"/>
      <c r="L612" s="20"/>
      <c r="M612" s="20"/>
      <c r="N612" s="20"/>
      <c r="O612" s="20"/>
      <c r="P612" s="20"/>
      <c r="Q612" s="21" t="str">
        <f aca="false">IF(A612="","",COUNTIF('Metric to Field'!$B:$B,A612))</f>
        <v/>
      </c>
      <c r="R612" s="21" t="str">
        <f aca="false">IF(A612="","",SUMIF('Metric to Field'!$B:$B,A612,'Metric to Field'!$G:$G))</f>
        <v/>
      </c>
      <c r="S612" s="20"/>
      <c r="T612" s="20"/>
      <c r="U612" s="20"/>
      <c r="V612" s="20"/>
      <c r="W612" s="20"/>
    </row>
    <row r="613" customFormat="false" ht="15" hidden="false" customHeight="false" outlineLevel="0" collapsed="false">
      <c r="A613" s="18"/>
      <c r="B613" s="19"/>
      <c r="C613" s="20"/>
      <c r="D613" s="18" t="str">
        <f aca="false">IF(C613="","",IFERROR(INDEX(Tables!$A:$A,MATCH(C613,Tables!$B:$B,0)),"Not found"))</f>
        <v/>
      </c>
      <c r="E613" s="21" t="str">
        <f aca="false">IF(D613="","",IFERROR(INDEX(Tables!$D:$D,MATCH(D613,Tables!$A:$A,0)),""))</f>
        <v/>
      </c>
      <c r="F613" s="20"/>
      <c r="G613" s="20"/>
      <c r="H613" s="18"/>
      <c r="I613" s="20"/>
      <c r="J613" s="20"/>
      <c r="K613" s="20"/>
      <c r="L613" s="20"/>
      <c r="M613" s="20"/>
      <c r="N613" s="20"/>
      <c r="O613" s="20"/>
      <c r="P613" s="20"/>
      <c r="Q613" s="21" t="str">
        <f aca="false">IF(A613="","",COUNTIF('Metric to Field'!$B:$B,A613))</f>
        <v/>
      </c>
      <c r="R613" s="21" t="str">
        <f aca="false">IF(A613="","",SUMIF('Metric to Field'!$B:$B,A613,'Metric to Field'!$G:$G))</f>
        <v/>
      </c>
      <c r="S613" s="20"/>
      <c r="T613" s="20"/>
      <c r="U613" s="20"/>
      <c r="V613" s="20"/>
      <c r="W613" s="20"/>
    </row>
    <row r="614" customFormat="false" ht="15" hidden="false" customHeight="false" outlineLevel="0" collapsed="false">
      <c r="A614" s="18"/>
      <c r="B614" s="19"/>
      <c r="C614" s="20"/>
      <c r="D614" s="18" t="str">
        <f aca="false">IF(C614="","",IFERROR(INDEX(Tables!$A:$A,MATCH(C614,Tables!$B:$B,0)),"Not found"))</f>
        <v/>
      </c>
      <c r="E614" s="21" t="str">
        <f aca="false">IF(D614="","",IFERROR(INDEX(Tables!$D:$D,MATCH(D614,Tables!$A:$A,0)),""))</f>
        <v/>
      </c>
      <c r="F614" s="20"/>
      <c r="G614" s="20"/>
      <c r="H614" s="18"/>
      <c r="I614" s="20"/>
      <c r="J614" s="20"/>
      <c r="K614" s="20"/>
      <c r="L614" s="20"/>
      <c r="M614" s="20"/>
      <c r="N614" s="20"/>
      <c r="O614" s="20"/>
      <c r="P614" s="20"/>
      <c r="Q614" s="21" t="str">
        <f aca="false">IF(A614="","",COUNTIF('Metric to Field'!$B:$B,A614))</f>
        <v/>
      </c>
      <c r="R614" s="21" t="str">
        <f aca="false">IF(A614="","",SUMIF('Metric to Field'!$B:$B,A614,'Metric to Field'!$G:$G))</f>
        <v/>
      </c>
      <c r="S614" s="20"/>
      <c r="T614" s="20"/>
      <c r="U614" s="20"/>
      <c r="V614" s="20"/>
      <c r="W614" s="20"/>
    </row>
    <row r="615" customFormat="false" ht="15" hidden="false" customHeight="false" outlineLevel="0" collapsed="false">
      <c r="A615" s="18"/>
      <c r="B615" s="19"/>
      <c r="C615" s="20"/>
      <c r="D615" s="18" t="str">
        <f aca="false">IF(C615="","",IFERROR(INDEX(Tables!$A:$A,MATCH(C615,Tables!$B:$B,0)),"Not found"))</f>
        <v/>
      </c>
      <c r="E615" s="21" t="str">
        <f aca="false">IF(D615="","",IFERROR(INDEX(Tables!$D:$D,MATCH(D615,Tables!$A:$A,0)),""))</f>
        <v/>
      </c>
      <c r="F615" s="20"/>
      <c r="G615" s="20"/>
      <c r="H615" s="18"/>
      <c r="I615" s="20"/>
      <c r="J615" s="20"/>
      <c r="K615" s="20"/>
      <c r="L615" s="20"/>
      <c r="M615" s="20"/>
      <c r="N615" s="20"/>
      <c r="O615" s="20"/>
      <c r="P615" s="20"/>
      <c r="Q615" s="21" t="str">
        <f aca="false">IF(A615="","",COUNTIF('Metric to Field'!$B:$B,A615))</f>
        <v/>
      </c>
      <c r="R615" s="21" t="str">
        <f aca="false">IF(A615="","",SUMIF('Metric to Field'!$B:$B,A615,'Metric to Field'!$G:$G))</f>
        <v/>
      </c>
      <c r="S615" s="20"/>
      <c r="T615" s="20"/>
      <c r="U615" s="20"/>
      <c r="V615" s="20"/>
      <c r="W615" s="20"/>
    </row>
    <row r="616" customFormat="false" ht="15" hidden="false" customHeight="false" outlineLevel="0" collapsed="false">
      <c r="A616" s="18"/>
      <c r="B616" s="19"/>
      <c r="C616" s="20"/>
      <c r="D616" s="18" t="str">
        <f aca="false">IF(C616="","",IFERROR(INDEX(Tables!$A:$A,MATCH(C616,Tables!$B:$B,0)),"Not found"))</f>
        <v/>
      </c>
      <c r="E616" s="21" t="str">
        <f aca="false">IF(D616="","",IFERROR(INDEX(Tables!$D:$D,MATCH(D616,Tables!$A:$A,0)),""))</f>
        <v/>
      </c>
      <c r="F616" s="20"/>
      <c r="G616" s="20"/>
      <c r="H616" s="18"/>
      <c r="I616" s="20"/>
      <c r="J616" s="20"/>
      <c r="K616" s="20"/>
      <c r="L616" s="20"/>
      <c r="M616" s="20"/>
      <c r="N616" s="20"/>
      <c r="O616" s="20"/>
      <c r="P616" s="20"/>
      <c r="Q616" s="21" t="str">
        <f aca="false">IF(A616="","",COUNTIF('Metric to Field'!$B:$B,A616))</f>
        <v/>
      </c>
      <c r="R616" s="21" t="str">
        <f aca="false">IF(A616="","",SUMIF('Metric to Field'!$B:$B,A616,'Metric to Field'!$G:$G))</f>
        <v/>
      </c>
      <c r="S616" s="20"/>
      <c r="T616" s="20"/>
      <c r="U616" s="20"/>
      <c r="V616" s="20"/>
      <c r="W616" s="20"/>
    </row>
    <row r="617" customFormat="false" ht="15" hidden="false" customHeight="false" outlineLevel="0" collapsed="false">
      <c r="A617" s="18"/>
      <c r="B617" s="19"/>
      <c r="C617" s="20"/>
      <c r="D617" s="18" t="str">
        <f aca="false">IF(C617="","",IFERROR(INDEX(Tables!$A:$A,MATCH(C617,Tables!$B:$B,0)),"Not found"))</f>
        <v/>
      </c>
      <c r="E617" s="21" t="str">
        <f aca="false">IF(D617="","",IFERROR(INDEX(Tables!$D:$D,MATCH(D617,Tables!$A:$A,0)),""))</f>
        <v/>
      </c>
      <c r="F617" s="20"/>
      <c r="G617" s="20"/>
      <c r="H617" s="18"/>
      <c r="I617" s="20"/>
      <c r="J617" s="20"/>
      <c r="K617" s="20"/>
      <c r="L617" s="20"/>
      <c r="M617" s="20"/>
      <c r="N617" s="20"/>
      <c r="O617" s="20"/>
      <c r="P617" s="20"/>
      <c r="Q617" s="21" t="str">
        <f aca="false">IF(A617="","",COUNTIF('Metric to Field'!$B:$B,A617))</f>
        <v/>
      </c>
      <c r="R617" s="21" t="str">
        <f aca="false">IF(A617="","",SUMIF('Metric to Field'!$B:$B,A617,'Metric to Field'!$G:$G))</f>
        <v/>
      </c>
      <c r="S617" s="20"/>
      <c r="T617" s="20"/>
      <c r="U617" s="20"/>
      <c r="V617" s="20"/>
      <c r="W617" s="20"/>
    </row>
    <row r="618" customFormat="false" ht="15" hidden="false" customHeight="false" outlineLevel="0" collapsed="false">
      <c r="A618" s="18"/>
      <c r="B618" s="19"/>
      <c r="C618" s="20"/>
      <c r="D618" s="18" t="str">
        <f aca="false">IF(C618="","",IFERROR(INDEX(Tables!$A:$A,MATCH(C618,Tables!$B:$B,0)),"Not found"))</f>
        <v/>
      </c>
      <c r="E618" s="21" t="str">
        <f aca="false">IF(D618="","",IFERROR(INDEX(Tables!$D:$D,MATCH(D618,Tables!$A:$A,0)),""))</f>
        <v/>
      </c>
      <c r="F618" s="20"/>
      <c r="G618" s="20"/>
      <c r="H618" s="18"/>
      <c r="I618" s="20"/>
      <c r="J618" s="20"/>
      <c r="K618" s="20"/>
      <c r="L618" s="20"/>
      <c r="M618" s="20"/>
      <c r="N618" s="20"/>
      <c r="O618" s="20"/>
      <c r="P618" s="20"/>
      <c r="Q618" s="21" t="str">
        <f aca="false">IF(A618="","",COUNTIF('Metric to Field'!$B:$B,A618))</f>
        <v/>
      </c>
      <c r="R618" s="21" t="str">
        <f aca="false">IF(A618="","",SUMIF('Metric to Field'!$B:$B,A618,'Metric to Field'!$G:$G))</f>
        <v/>
      </c>
      <c r="S618" s="20"/>
      <c r="T618" s="20"/>
      <c r="U618" s="20"/>
      <c r="V618" s="20"/>
      <c r="W618" s="20"/>
    </row>
    <row r="619" customFormat="false" ht="15" hidden="false" customHeight="false" outlineLevel="0" collapsed="false">
      <c r="A619" s="18"/>
      <c r="B619" s="19"/>
      <c r="C619" s="20"/>
      <c r="D619" s="18" t="str">
        <f aca="false">IF(C619="","",IFERROR(INDEX(Tables!$A:$A,MATCH(C619,Tables!$B:$B,0)),"Not found"))</f>
        <v/>
      </c>
      <c r="E619" s="21" t="str">
        <f aca="false">IF(D619="","",IFERROR(INDEX(Tables!$D:$D,MATCH(D619,Tables!$A:$A,0)),""))</f>
        <v/>
      </c>
      <c r="F619" s="20"/>
      <c r="G619" s="20"/>
      <c r="H619" s="18"/>
      <c r="I619" s="20"/>
      <c r="J619" s="20"/>
      <c r="K619" s="20"/>
      <c r="L619" s="20"/>
      <c r="M619" s="20"/>
      <c r="N619" s="20"/>
      <c r="O619" s="20"/>
      <c r="P619" s="20"/>
      <c r="Q619" s="21" t="str">
        <f aca="false">IF(A619="","",COUNTIF('Metric to Field'!$B:$B,A619))</f>
        <v/>
      </c>
      <c r="R619" s="21" t="str">
        <f aca="false">IF(A619="","",SUMIF('Metric to Field'!$B:$B,A619,'Metric to Field'!$G:$G))</f>
        <v/>
      </c>
      <c r="S619" s="20"/>
      <c r="T619" s="20"/>
      <c r="U619" s="20"/>
      <c r="V619" s="20"/>
      <c r="W619" s="20"/>
    </row>
    <row r="620" customFormat="false" ht="15" hidden="false" customHeight="false" outlineLevel="0" collapsed="false">
      <c r="A620" s="18"/>
      <c r="B620" s="19"/>
      <c r="C620" s="20"/>
      <c r="D620" s="18" t="str">
        <f aca="false">IF(C620="","",IFERROR(INDEX(Tables!$A:$A,MATCH(C620,Tables!$B:$B,0)),"Not found"))</f>
        <v/>
      </c>
      <c r="E620" s="21" t="str">
        <f aca="false">IF(D620="","",IFERROR(INDEX(Tables!$D:$D,MATCH(D620,Tables!$A:$A,0)),""))</f>
        <v/>
      </c>
      <c r="F620" s="20"/>
      <c r="G620" s="20"/>
      <c r="H620" s="18"/>
      <c r="I620" s="20"/>
      <c r="J620" s="20"/>
      <c r="K620" s="20"/>
      <c r="L620" s="20"/>
      <c r="M620" s="20"/>
      <c r="N620" s="20"/>
      <c r="O620" s="20"/>
      <c r="P620" s="20"/>
      <c r="Q620" s="21" t="str">
        <f aca="false">IF(A620="","",COUNTIF('Metric to Field'!$B:$B,A620))</f>
        <v/>
      </c>
      <c r="R620" s="21" t="str">
        <f aca="false">IF(A620="","",SUMIF('Metric to Field'!$B:$B,A620,'Metric to Field'!$G:$G))</f>
        <v/>
      </c>
      <c r="S620" s="20"/>
      <c r="T620" s="20"/>
      <c r="U620" s="20"/>
      <c r="V620" s="20"/>
      <c r="W620" s="20"/>
    </row>
    <row r="621" customFormat="false" ht="15" hidden="false" customHeight="false" outlineLevel="0" collapsed="false">
      <c r="A621" s="18"/>
      <c r="B621" s="19"/>
      <c r="C621" s="20"/>
      <c r="D621" s="18" t="str">
        <f aca="false">IF(C621="","",IFERROR(INDEX(Tables!$A:$A,MATCH(C621,Tables!$B:$B,0)),"Not found"))</f>
        <v/>
      </c>
      <c r="E621" s="21" t="str">
        <f aca="false">IF(D621="","",IFERROR(INDEX(Tables!$D:$D,MATCH(D621,Tables!$A:$A,0)),""))</f>
        <v/>
      </c>
      <c r="F621" s="20"/>
      <c r="G621" s="20"/>
      <c r="H621" s="18"/>
      <c r="I621" s="20"/>
      <c r="J621" s="20"/>
      <c r="K621" s="20"/>
      <c r="L621" s="20"/>
      <c r="M621" s="20"/>
      <c r="N621" s="20"/>
      <c r="O621" s="20"/>
      <c r="P621" s="20"/>
      <c r="Q621" s="21" t="str">
        <f aca="false">IF(A621="","",COUNTIF('Metric to Field'!$B:$B,A621))</f>
        <v/>
      </c>
      <c r="R621" s="21" t="str">
        <f aca="false">IF(A621="","",SUMIF('Metric to Field'!$B:$B,A621,'Metric to Field'!$G:$G))</f>
        <v/>
      </c>
      <c r="S621" s="20"/>
      <c r="T621" s="20"/>
      <c r="U621" s="20"/>
      <c r="V621" s="20"/>
      <c r="W621" s="20"/>
    </row>
    <row r="622" customFormat="false" ht="15" hidden="false" customHeight="false" outlineLevel="0" collapsed="false">
      <c r="A622" s="18"/>
      <c r="B622" s="19"/>
      <c r="C622" s="20"/>
      <c r="D622" s="18" t="str">
        <f aca="false">IF(C622="","",IFERROR(INDEX(Tables!$A:$A,MATCH(C622,Tables!$B:$B,0)),"Not found"))</f>
        <v/>
      </c>
      <c r="E622" s="21" t="str">
        <f aca="false">IF(D622="","",IFERROR(INDEX(Tables!$D:$D,MATCH(D622,Tables!$A:$A,0)),""))</f>
        <v/>
      </c>
      <c r="F622" s="20"/>
      <c r="G622" s="20"/>
      <c r="H622" s="18"/>
      <c r="I622" s="20"/>
      <c r="J622" s="20"/>
      <c r="K622" s="20"/>
      <c r="L622" s="20"/>
      <c r="M622" s="20"/>
      <c r="N622" s="20"/>
      <c r="O622" s="20"/>
      <c r="P622" s="20"/>
      <c r="Q622" s="21" t="str">
        <f aca="false">IF(A622="","",COUNTIF('Metric to Field'!$B:$B,A622))</f>
        <v/>
      </c>
      <c r="R622" s="21" t="str">
        <f aca="false">IF(A622="","",SUMIF('Metric to Field'!$B:$B,A622,'Metric to Field'!$G:$G))</f>
        <v/>
      </c>
      <c r="S622" s="20"/>
      <c r="T622" s="20"/>
      <c r="U622" s="20"/>
      <c r="V622" s="20"/>
      <c r="W622" s="20"/>
    </row>
    <row r="623" customFormat="false" ht="15" hidden="false" customHeight="false" outlineLevel="0" collapsed="false">
      <c r="A623" s="18"/>
      <c r="B623" s="19"/>
      <c r="C623" s="20"/>
      <c r="D623" s="18" t="str">
        <f aca="false">IF(C623="","",IFERROR(INDEX(Tables!$A:$A,MATCH(C623,Tables!$B:$B,0)),"Not found"))</f>
        <v/>
      </c>
      <c r="E623" s="21" t="str">
        <f aca="false">IF(D623="","",IFERROR(INDEX(Tables!$D:$D,MATCH(D623,Tables!$A:$A,0)),""))</f>
        <v/>
      </c>
      <c r="F623" s="20"/>
      <c r="G623" s="20"/>
      <c r="H623" s="18"/>
      <c r="I623" s="20"/>
      <c r="J623" s="20"/>
      <c r="K623" s="20"/>
      <c r="L623" s="20"/>
      <c r="M623" s="20"/>
      <c r="N623" s="20"/>
      <c r="O623" s="20"/>
      <c r="P623" s="20"/>
      <c r="Q623" s="21" t="str">
        <f aca="false">IF(A623="","",COUNTIF('Metric to Field'!$B:$B,A623))</f>
        <v/>
      </c>
      <c r="R623" s="21" t="str">
        <f aca="false">IF(A623="","",SUMIF('Metric to Field'!$B:$B,A623,'Metric to Field'!$G:$G))</f>
        <v/>
      </c>
      <c r="S623" s="20"/>
      <c r="T623" s="20"/>
      <c r="U623" s="20"/>
      <c r="V623" s="20"/>
      <c r="W623" s="20"/>
    </row>
    <row r="624" customFormat="false" ht="15" hidden="false" customHeight="false" outlineLevel="0" collapsed="false">
      <c r="A624" s="18"/>
      <c r="B624" s="19"/>
      <c r="C624" s="20"/>
      <c r="D624" s="18" t="str">
        <f aca="false">IF(C624="","",IFERROR(INDEX(Tables!$A:$A,MATCH(C624,Tables!$B:$B,0)),"Not found"))</f>
        <v/>
      </c>
      <c r="E624" s="21" t="str">
        <f aca="false">IF(D624="","",IFERROR(INDEX(Tables!$D:$D,MATCH(D624,Tables!$A:$A,0)),""))</f>
        <v/>
      </c>
      <c r="F624" s="20"/>
      <c r="G624" s="20"/>
      <c r="H624" s="18"/>
      <c r="I624" s="20"/>
      <c r="J624" s="20"/>
      <c r="K624" s="20"/>
      <c r="L624" s="20"/>
      <c r="M624" s="20"/>
      <c r="N624" s="20"/>
      <c r="O624" s="20"/>
      <c r="P624" s="20"/>
      <c r="Q624" s="21" t="str">
        <f aca="false">IF(A624="","",COUNTIF('Metric to Field'!$B:$B,A624))</f>
        <v/>
      </c>
      <c r="R624" s="21" t="str">
        <f aca="false">IF(A624="","",SUMIF('Metric to Field'!$B:$B,A624,'Metric to Field'!$G:$G))</f>
        <v/>
      </c>
      <c r="S624" s="20"/>
      <c r="T624" s="20"/>
      <c r="U624" s="20"/>
      <c r="V624" s="20"/>
      <c r="W624" s="20"/>
    </row>
    <row r="625" customFormat="false" ht="15" hidden="false" customHeight="false" outlineLevel="0" collapsed="false">
      <c r="A625" s="18"/>
      <c r="B625" s="19"/>
      <c r="C625" s="20"/>
      <c r="D625" s="18" t="str">
        <f aca="false">IF(C625="","",IFERROR(INDEX(Tables!$A:$A,MATCH(C625,Tables!$B:$B,0)),"Not found"))</f>
        <v/>
      </c>
      <c r="E625" s="21" t="str">
        <f aca="false">IF(D625="","",IFERROR(INDEX(Tables!$D:$D,MATCH(D625,Tables!$A:$A,0)),""))</f>
        <v/>
      </c>
      <c r="F625" s="20"/>
      <c r="G625" s="20"/>
      <c r="H625" s="18"/>
      <c r="I625" s="20"/>
      <c r="J625" s="20"/>
      <c r="K625" s="20"/>
      <c r="L625" s="20"/>
      <c r="M625" s="20"/>
      <c r="N625" s="20"/>
      <c r="O625" s="20"/>
      <c r="P625" s="20"/>
      <c r="Q625" s="21" t="str">
        <f aca="false">IF(A625="","",COUNTIF('Metric to Field'!$B:$B,A625))</f>
        <v/>
      </c>
      <c r="R625" s="21" t="str">
        <f aca="false">IF(A625="","",SUMIF('Metric to Field'!$B:$B,A625,'Metric to Field'!$G:$G))</f>
        <v/>
      </c>
      <c r="S625" s="20"/>
      <c r="T625" s="20"/>
      <c r="U625" s="20"/>
      <c r="V625" s="20"/>
      <c r="W625" s="20"/>
    </row>
    <row r="626" customFormat="false" ht="15" hidden="false" customHeight="false" outlineLevel="0" collapsed="false">
      <c r="A626" s="18"/>
      <c r="B626" s="19"/>
      <c r="C626" s="20"/>
      <c r="D626" s="18" t="str">
        <f aca="false">IF(C626="","",IFERROR(INDEX(Tables!$A:$A,MATCH(C626,Tables!$B:$B,0)),"Not found"))</f>
        <v/>
      </c>
      <c r="E626" s="21" t="str">
        <f aca="false">IF(D626="","",IFERROR(INDEX(Tables!$D:$D,MATCH(D626,Tables!$A:$A,0)),""))</f>
        <v/>
      </c>
      <c r="F626" s="20"/>
      <c r="G626" s="20"/>
      <c r="H626" s="18"/>
      <c r="I626" s="20"/>
      <c r="J626" s="20"/>
      <c r="K626" s="20"/>
      <c r="L626" s="20"/>
      <c r="M626" s="20"/>
      <c r="N626" s="20"/>
      <c r="O626" s="20"/>
      <c r="P626" s="20"/>
      <c r="Q626" s="21" t="str">
        <f aca="false">IF(A626="","",COUNTIF('Metric to Field'!$B:$B,A626))</f>
        <v/>
      </c>
      <c r="R626" s="21" t="str">
        <f aca="false">IF(A626="","",SUMIF('Metric to Field'!$B:$B,A626,'Metric to Field'!$G:$G))</f>
        <v/>
      </c>
      <c r="S626" s="20"/>
      <c r="T626" s="20"/>
      <c r="U626" s="20"/>
      <c r="V626" s="20"/>
      <c r="W626" s="20"/>
    </row>
    <row r="627" customFormat="false" ht="15" hidden="false" customHeight="false" outlineLevel="0" collapsed="false">
      <c r="A627" s="18"/>
      <c r="B627" s="19"/>
      <c r="C627" s="20"/>
      <c r="D627" s="18" t="str">
        <f aca="false">IF(C627="","",IFERROR(INDEX(Tables!$A:$A,MATCH(C627,Tables!$B:$B,0)),"Not found"))</f>
        <v/>
      </c>
      <c r="E627" s="21" t="str">
        <f aca="false">IF(D627="","",IFERROR(INDEX(Tables!$D:$D,MATCH(D627,Tables!$A:$A,0)),""))</f>
        <v/>
      </c>
      <c r="F627" s="20"/>
      <c r="G627" s="20"/>
      <c r="H627" s="18"/>
      <c r="I627" s="20"/>
      <c r="J627" s="20"/>
      <c r="K627" s="20"/>
      <c r="L627" s="20"/>
      <c r="M627" s="20"/>
      <c r="N627" s="20"/>
      <c r="O627" s="20"/>
      <c r="P627" s="20"/>
      <c r="Q627" s="21" t="str">
        <f aca="false">IF(A627="","",COUNTIF('Metric to Field'!$B:$B,A627))</f>
        <v/>
      </c>
      <c r="R627" s="21" t="str">
        <f aca="false">IF(A627="","",SUMIF('Metric to Field'!$B:$B,A627,'Metric to Field'!$G:$G))</f>
        <v/>
      </c>
      <c r="S627" s="20"/>
      <c r="T627" s="20"/>
      <c r="U627" s="20"/>
      <c r="V627" s="20"/>
      <c r="W627" s="20"/>
    </row>
    <row r="628" customFormat="false" ht="15" hidden="false" customHeight="false" outlineLevel="0" collapsed="false">
      <c r="A628" s="18"/>
      <c r="B628" s="19"/>
      <c r="C628" s="20"/>
      <c r="D628" s="18" t="str">
        <f aca="false">IF(C628="","",IFERROR(INDEX(Tables!$A:$A,MATCH(C628,Tables!$B:$B,0)),"Not found"))</f>
        <v/>
      </c>
      <c r="E628" s="21" t="str">
        <f aca="false">IF(D628="","",IFERROR(INDEX(Tables!$D:$D,MATCH(D628,Tables!$A:$A,0)),""))</f>
        <v/>
      </c>
      <c r="F628" s="20"/>
      <c r="G628" s="20"/>
      <c r="H628" s="18"/>
      <c r="I628" s="20"/>
      <c r="J628" s="20"/>
      <c r="K628" s="20"/>
      <c r="L628" s="20"/>
      <c r="M628" s="20"/>
      <c r="N628" s="20"/>
      <c r="O628" s="20"/>
      <c r="P628" s="20"/>
      <c r="Q628" s="21" t="str">
        <f aca="false">IF(A628="","",COUNTIF('Metric to Field'!$B:$B,A628))</f>
        <v/>
      </c>
      <c r="R628" s="21" t="str">
        <f aca="false">IF(A628="","",SUMIF('Metric to Field'!$B:$B,A628,'Metric to Field'!$G:$G))</f>
        <v/>
      </c>
      <c r="S628" s="20"/>
      <c r="T628" s="20"/>
      <c r="U628" s="20"/>
      <c r="V628" s="20"/>
      <c r="W628" s="20"/>
    </row>
    <row r="629" customFormat="false" ht="15" hidden="false" customHeight="false" outlineLevel="0" collapsed="false">
      <c r="A629" s="18"/>
      <c r="B629" s="19"/>
      <c r="C629" s="20"/>
      <c r="D629" s="18" t="str">
        <f aca="false">IF(C629="","",IFERROR(INDEX(Tables!$A:$A,MATCH(C629,Tables!$B:$B,0)),"Not found"))</f>
        <v/>
      </c>
      <c r="E629" s="21" t="str">
        <f aca="false">IF(D629="","",IFERROR(INDEX(Tables!$D:$D,MATCH(D629,Tables!$A:$A,0)),""))</f>
        <v/>
      </c>
      <c r="F629" s="20"/>
      <c r="G629" s="20"/>
      <c r="H629" s="18"/>
      <c r="I629" s="20"/>
      <c r="J629" s="20"/>
      <c r="K629" s="20"/>
      <c r="L629" s="20"/>
      <c r="M629" s="20"/>
      <c r="N629" s="20"/>
      <c r="O629" s="20"/>
      <c r="P629" s="20"/>
      <c r="Q629" s="21" t="str">
        <f aca="false">IF(A629="","",COUNTIF('Metric to Field'!$B:$B,A629))</f>
        <v/>
      </c>
      <c r="R629" s="21" t="str">
        <f aca="false">IF(A629="","",SUMIF('Metric to Field'!$B:$B,A629,'Metric to Field'!$G:$G))</f>
        <v/>
      </c>
      <c r="S629" s="20"/>
      <c r="T629" s="20"/>
      <c r="U629" s="20"/>
      <c r="V629" s="20"/>
      <c r="W629" s="20"/>
    </row>
    <row r="630" customFormat="false" ht="15" hidden="false" customHeight="false" outlineLevel="0" collapsed="false">
      <c r="A630" s="18"/>
      <c r="B630" s="19"/>
      <c r="C630" s="20"/>
      <c r="D630" s="18" t="str">
        <f aca="false">IF(C630="","",IFERROR(INDEX(Tables!$A:$A,MATCH(C630,Tables!$B:$B,0)),"Not found"))</f>
        <v/>
      </c>
      <c r="E630" s="21" t="str">
        <f aca="false">IF(D630="","",IFERROR(INDEX(Tables!$D:$D,MATCH(D630,Tables!$A:$A,0)),""))</f>
        <v/>
      </c>
      <c r="F630" s="20"/>
      <c r="G630" s="20"/>
      <c r="H630" s="18"/>
      <c r="I630" s="20"/>
      <c r="J630" s="20"/>
      <c r="K630" s="20"/>
      <c r="L630" s="20"/>
      <c r="M630" s="20"/>
      <c r="N630" s="20"/>
      <c r="O630" s="20"/>
      <c r="P630" s="20"/>
      <c r="Q630" s="21" t="str">
        <f aca="false">IF(A630="","",COUNTIF('Metric to Field'!$B:$B,A630))</f>
        <v/>
      </c>
      <c r="R630" s="21" t="str">
        <f aca="false">IF(A630="","",SUMIF('Metric to Field'!$B:$B,A630,'Metric to Field'!$G:$G))</f>
        <v/>
      </c>
      <c r="S630" s="20"/>
      <c r="T630" s="20"/>
      <c r="U630" s="20"/>
      <c r="V630" s="20"/>
      <c r="W630" s="20"/>
    </row>
    <row r="631" customFormat="false" ht="15" hidden="false" customHeight="false" outlineLevel="0" collapsed="false">
      <c r="A631" s="18"/>
      <c r="B631" s="19"/>
      <c r="C631" s="20"/>
      <c r="D631" s="18" t="str">
        <f aca="false">IF(C631="","",IFERROR(INDEX(Tables!$A:$A,MATCH(C631,Tables!$B:$B,0)),"Not found"))</f>
        <v/>
      </c>
      <c r="E631" s="21" t="str">
        <f aca="false">IF(D631="","",IFERROR(INDEX(Tables!$D:$D,MATCH(D631,Tables!$A:$A,0)),""))</f>
        <v/>
      </c>
      <c r="F631" s="20"/>
      <c r="G631" s="20"/>
      <c r="H631" s="18"/>
      <c r="I631" s="20"/>
      <c r="J631" s="20"/>
      <c r="K631" s="20"/>
      <c r="L631" s="20"/>
      <c r="M631" s="20"/>
      <c r="N631" s="20"/>
      <c r="O631" s="20"/>
      <c r="P631" s="20"/>
      <c r="Q631" s="21" t="str">
        <f aca="false">IF(A631="","",COUNTIF('Metric to Field'!$B:$B,A631))</f>
        <v/>
      </c>
      <c r="R631" s="21" t="str">
        <f aca="false">IF(A631="","",SUMIF('Metric to Field'!$B:$B,A631,'Metric to Field'!$G:$G))</f>
        <v/>
      </c>
      <c r="S631" s="20"/>
      <c r="T631" s="20"/>
      <c r="U631" s="20"/>
      <c r="V631" s="20"/>
      <c r="W631" s="20"/>
    </row>
    <row r="632" customFormat="false" ht="15" hidden="false" customHeight="false" outlineLevel="0" collapsed="false">
      <c r="A632" s="18"/>
      <c r="B632" s="19"/>
      <c r="C632" s="20"/>
      <c r="D632" s="18" t="str">
        <f aca="false">IF(C632="","",IFERROR(INDEX(Tables!$A:$A,MATCH(C632,Tables!$B:$B,0)),"Not found"))</f>
        <v/>
      </c>
      <c r="E632" s="21" t="str">
        <f aca="false">IF(D632="","",IFERROR(INDEX(Tables!$D:$D,MATCH(D632,Tables!$A:$A,0)),""))</f>
        <v/>
      </c>
      <c r="F632" s="20"/>
      <c r="G632" s="20"/>
      <c r="H632" s="18"/>
      <c r="I632" s="20"/>
      <c r="J632" s="20"/>
      <c r="K632" s="20"/>
      <c r="L632" s="20"/>
      <c r="M632" s="20"/>
      <c r="N632" s="20"/>
      <c r="O632" s="20"/>
      <c r="P632" s="20"/>
      <c r="Q632" s="21" t="str">
        <f aca="false">IF(A632="","",COUNTIF('Metric to Field'!$B:$B,A632))</f>
        <v/>
      </c>
      <c r="R632" s="21" t="str">
        <f aca="false">IF(A632="","",SUMIF('Metric to Field'!$B:$B,A632,'Metric to Field'!$G:$G))</f>
        <v/>
      </c>
      <c r="S632" s="20"/>
      <c r="T632" s="20"/>
      <c r="U632" s="20"/>
      <c r="V632" s="20"/>
      <c r="W632" s="20"/>
    </row>
    <row r="633" customFormat="false" ht="15" hidden="false" customHeight="false" outlineLevel="0" collapsed="false">
      <c r="A633" s="18"/>
      <c r="B633" s="19"/>
      <c r="C633" s="20"/>
      <c r="D633" s="18" t="str">
        <f aca="false">IF(C633="","",IFERROR(INDEX(Tables!$A:$A,MATCH(C633,Tables!$B:$B,0)),"Not found"))</f>
        <v/>
      </c>
      <c r="E633" s="21" t="str">
        <f aca="false">IF(D633="","",IFERROR(INDEX(Tables!$D:$D,MATCH(D633,Tables!$A:$A,0)),""))</f>
        <v/>
      </c>
      <c r="F633" s="20"/>
      <c r="G633" s="20"/>
      <c r="H633" s="18"/>
      <c r="I633" s="20"/>
      <c r="J633" s="20"/>
      <c r="K633" s="20"/>
      <c r="L633" s="20"/>
      <c r="M633" s="20"/>
      <c r="N633" s="20"/>
      <c r="O633" s="20"/>
      <c r="P633" s="20"/>
      <c r="Q633" s="21" t="str">
        <f aca="false">IF(A633="","",COUNTIF('Metric to Field'!$B:$B,A633))</f>
        <v/>
      </c>
      <c r="R633" s="21" t="str">
        <f aca="false">IF(A633="","",SUMIF('Metric to Field'!$B:$B,A633,'Metric to Field'!$G:$G))</f>
        <v/>
      </c>
      <c r="S633" s="20"/>
      <c r="T633" s="20"/>
      <c r="U633" s="20"/>
      <c r="V633" s="20"/>
      <c r="W633" s="20"/>
    </row>
    <row r="634" customFormat="false" ht="15" hidden="false" customHeight="false" outlineLevel="0" collapsed="false">
      <c r="A634" s="18"/>
      <c r="B634" s="19"/>
      <c r="C634" s="20"/>
      <c r="D634" s="18" t="str">
        <f aca="false">IF(C634="","",IFERROR(INDEX(Tables!$A:$A,MATCH(C634,Tables!$B:$B,0)),"Not found"))</f>
        <v/>
      </c>
      <c r="E634" s="21" t="str">
        <f aca="false">IF(D634="","",IFERROR(INDEX(Tables!$D:$D,MATCH(D634,Tables!$A:$A,0)),""))</f>
        <v/>
      </c>
      <c r="F634" s="20"/>
      <c r="G634" s="20"/>
      <c r="H634" s="18"/>
      <c r="I634" s="20"/>
      <c r="J634" s="20"/>
      <c r="K634" s="20"/>
      <c r="L634" s="20"/>
      <c r="M634" s="20"/>
      <c r="N634" s="20"/>
      <c r="O634" s="20"/>
      <c r="P634" s="20"/>
      <c r="Q634" s="21" t="str">
        <f aca="false">IF(A634="","",COUNTIF('Metric to Field'!$B:$B,A634))</f>
        <v/>
      </c>
      <c r="R634" s="21" t="str">
        <f aca="false">IF(A634="","",SUMIF('Metric to Field'!$B:$B,A634,'Metric to Field'!$G:$G))</f>
        <v/>
      </c>
      <c r="S634" s="20"/>
      <c r="T634" s="20"/>
      <c r="U634" s="20"/>
      <c r="V634" s="20"/>
      <c r="W634" s="20"/>
    </row>
    <row r="635" customFormat="false" ht="15" hidden="false" customHeight="false" outlineLevel="0" collapsed="false">
      <c r="A635" s="18"/>
      <c r="B635" s="19"/>
      <c r="C635" s="20"/>
      <c r="D635" s="18" t="str">
        <f aca="false">IF(C635="","",IFERROR(INDEX(Tables!$A:$A,MATCH(C635,Tables!$B:$B,0)),"Not found"))</f>
        <v/>
      </c>
      <c r="E635" s="21" t="str">
        <f aca="false">IF(D635="","",IFERROR(INDEX(Tables!$D:$D,MATCH(D635,Tables!$A:$A,0)),""))</f>
        <v/>
      </c>
      <c r="F635" s="20"/>
      <c r="G635" s="20"/>
      <c r="H635" s="18"/>
      <c r="I635" s="20"/>
      <c r="J635" s="20"/>
      <c r="K635" s="20"/>
      <c r="L635" s="20"/>
      <c r="M635" s="20"/>
      <c r="N635" s="20"/>
      <c r="O635" s="20"/>
      <c r="P635" s="20"/>
      <c r="Q635" s="21" t="str">
        <f aca="false">IF(A635="","",COUNTIF('Metric to Field'!$B:$B,A635))</f>
        <v/>
      </c>
      <c r="R635" s="21" t="str">
        <f aca="false">IF(A635="","",SUMIF('Metric to Field'!$B:$B,A635,'Metric to Field'!$G:$G))</f>
        <v/>
      </c>
      <c r="S635" s="20"/>
      <c r="T635" s="20"/>
      <c r="U635" s="20"/>
      <c r="V635" s="20"/>
      <c r="W635" s="20"/>
    </row>
    <row r="636" customFormat="false" ht="15" hidden="false" customHeight="false" outlineLevel="0" collapsed="false">
      <c r="A636" s="18"/>
      <c r="B636" s="19"/>
      <c r="C636" s="20"/>
      <c r="D636" s="18" t="str">
        <f aca="false">IF(C636="","",IFERROR(INDEX(Tables!$A:$A,MATCH(C636,Tables!$B:$B,0)),"Not found"))</f>
        <v/>
      </c>
      <c r="E636" s="21" t="str">
        <f aca="false">IF(D636="","",IFERROR(INDEX(Tables!$D:$D,MATCH(D636,Tables!$A:$A,0)),""))</f>
        <v/>
      </c>
      <c r="F636" s="20"/>
      <c r="G636" s="20"/>
      <c r="H636" s="18"/>
      <c r="I636" s="20"/>
      <c r="J636" s="20"/>
      <c r="K636" s="20"/>
      <c r="L636" s="20"/>
      <c r="M636" s="20"/>
      <c r="N636" s="20"/>
      <c r="O636" s="20"/>
      <c r="P636" s="20"/>
      <c r="Q636" s="21" t="str">
        <f aca="false">IF(A636="","",COUNTIF('Metric to Field'!$B:$B,A636))</f>
        <v/>
      </c>
      <c r="R636" s="21" t="str">
        <f aca="false">IF(A636="","",SUMIF('Metric to Field'!$B:$B,A636,'Metric to Field'!$G:$G))</f>
        <v/>
      </c>
      <c r="S636" s="20"/>
      <c r="T636" s="20"/>
      <c r="U636" s="20"/>
      <c r="V636" s="20"/>
      <c r="W636" s="20"/>
    </row>
    <row r="637" customFormat="false" ht="15" hidden="false" customHeight="false" outlineLevel="0" collapsed="false">
      <c r="A637" s="18"/>
      <c r="B637" s="19"/>
      <c r="C637" s="20"/>
      <c r="D637" s="18" t="str">
        <f aca="false">IF(C637="","",IFERROR(INDEX(Tables!$A:$A,MATCH(C637,Tables!$B:$B,0)),"Not found"))</f>
        <v/>
      </c>
      <c r="E637" s="21" t="str">
        <f aca="false">IF(D637="","",IFERROR(INDEX(Tables!$D:$D,MATCH(D637,Tables!$A:$A,0)),""))</f>
        <v/>
      </c>
      <c r="F637" s="20"/>
      <c r="G637" s="20"/>
      <c r="H637" s="18"/>
      <c r="I637" s="20"/>
      <c r="J637" s="20"/>
      <c r="K637" s="20"/>
      <c r="L637" s="20"/>
      <c r="M637" s="20"/>
      <c r="N637" s="20"/>
      <c r="O637" s="20"/>
      <c r="P637" s="20"/>
      <c r="Q637" s="21" t="str">
        <f aca="false">IF(A637="","",COUNTIF('Metric to Field'!$B:$B,A637))</f>
        <v/>
      </c>
      <c r="R637" s="21" t="str">
        <f aca="false">IF(A637="","",SUMIF('Metric to Field'!$B:$B,A637,'Metric to Field'!$G:$G))</f>
        <v/>
      </c>
      <c r="S637" s="20"/>
      <c r="T637" s="20"/>
      <c r="U637" s="20"/>
      <c r="V637" s="20"/>
      <c r="W637" s="20"/>
    </row>
    <row r="638" customFormat="false" ht="15" hidden="false" customHeight="false" outlineLevel="0" collapsed="false">
      <c r="A638" s="18"/>
      <c r="B638" s="19"/>
      <c r="C638" s="20"/>
      <c r="D638" s="18" t="str">
        <f aca="false">IF(C638="","",IFERROR(INDEX(Tables!$A:$A,MATCH(C638,Tables!$B:$B,0)),"Not found"))</f>
        <v/>
      </c>
      <c r="E638" s="21" t="str">
        <f aca="false">IF(D638="","",IFERROR(INDEX(Tables!$D:$D,MATCH(D638,Tables!$A:$A,0)),""))</f>
        <v/>
      </c>
      <c r="F638" s="20"/>
      <c r="G638" s="20"/>
      <c r="H638" s="18"/>
      <c r="I638" s="20"/>
      <c r="J638" s="20"/>
      <c r="K638" s="20"/>
      <c r="L638" s="20"/>
      <c r="M638" s="20"/>
      <c r="N638" s="20"/>
      <c r="O638" s="20"/>
      <c r="P638" s="20"/>
      <c r="Q638" s="21" t="str">
        <f aca="false">IF(A638="","",COUNTIF('Metric to Field'!$B:$B,A638))</f>
        <v/>
      </c>
      <c r="R638" s="21" t="str">
        <f aca="false">IF(A638="","",SUMIF('Metric to Field'!$B:$B,A638,'Metric to Field'!$G:$G))</f>
        <v/>
      </c>
      <c r="S638" s="20"/>
      <c r="T638" s="20"/>
      <c r="U638" s="20"/>
      <c r="V638" s="20"/>
      <c r="W638" s="20"/>
    </row>
    <row r="639" customFormat="false" ht="15" hidden="false" customHeight="false" outlineLevel="0" collapsed="false">
      <c r="A639" s="18"/>
      <c r="B639" s="19"/>
      <c r="C639" s="20"/>
      <c r="D639" s="18" t="str">
        <f aca="false">IF(C639="","",IFERROR(INDEX(Tables!$A:$A,MATCH(C639,Tables!$B:$B,0)),"Not found"))</f>
        <v/>
      </c>
      <c r="E639" s="21" t="str">
        <f aca="false">IF(D639="","",IFERROR(INDEX(Tables!$D:$D,MATCH(D639,Tables!$A:$A,0)),""))</f>
        <v/>
      </c>
      <c r="F639" s="20"/>
      <c r="G639" s="20"/>
      <c r="H639" s="18"/>
      <c r="I639" s="20"/>
      <c r="J639" s="20"/>
      <c r="K639" s="20"/>
      <c r="L639" s="20"/>
      <c r="M639" s="20"/>
      <c r="N639" s="20"/>
      <c r="O639" s="20"/>
      <c r="P639" s="20"/>
      <c r="Q639" s="21" t="str">
        <f aca="false">IF(A639="","",COUNTIF('Metric to Field'!$B:$B,A639))</f>
        <v/>
      </c>
      <c r="R639" s="21" t="str">
        <f aca="false">IF(A639="","",SUMIF('Metric to Field'!$B:$B,A639,'Metric to Field'!$G:$G))</f>
        <v/>
      </c>
      <c r="S639" s="20"/>
      <c r="T639" s="20"/>
      <c r="U639" s="20"/>
      <c r="V639" s="20"/>
      <c r="W639" s="20"/>
    </row>
    <row r="640" customFormat="false" ht="15" hidden="false" customHeight="false" outlineLevel="0" collapsed="false">
      <c r="A640" s="18"/>
      <c r="B640" s="19"/>
      <c r="C640" s="20"/>
      <c r="D640" s="18" t="str">
        <f aca="false">IF(C640="","",IFERROR(INDEX(Tables!$A:$A,MATCH(C640,Tables!$B:$B,0)),"Not found"))</f>
        <v/>
      </c>
      <c r="E640" s="21" t="str">
        <f aca="false">IF(D640="","",IFERROR(INDEX(Tables!$D:$D,MATCH(D640,Tables!$A:$A,0)),""))</f>
        <v/>
      </c>
      <c r="F640" s="20"/>
      <c r="G640" s="20"/>
      <c r="H640" s="18"/>
      <c r="I640" s="20"/>
      <c r="J640" s="20"/>
      <c r="K640" s="20"/>
      <c r="L640" s="20"/>
      <c r="M640" s="20"/>
      <c r="N640" s="20"/>
      <c r="O640" s="20"/>
      <c r="P640" s="20"/>
      <c r="Q640" s="21" t="str">
        <f aca="false">IF(A640="","",COUNTIF('Metric to Field'!$B:$B,A640))</f>
        <v/>
      </c>
      <c r="R640" s="21" t="str">
        <f aca="false">IF(A640="","",SUMIF('Metric to Field'!$B:$B,A640,'Metric to Field'!$G:$G))</f>
        <v/>
      </c>
      <c r="S640" s="20"/>
      <c r="T640" s="20"/>
      <c r="U640" s="20"/>
      <c r="V640" s="20"/>
      <c r="W640" s="20"/>
    </row>
    <row r="641" customFormat="false" ht="15" hidden="false" customHeight="false" outlineLevel="0" collapsed="false">
      <c r="A641" s="18"/>
      <c r="B641" s="19"/>
      <c r="C641" s="20"/>
      <c r="D641" s="18" t="str">
        <f aca="false">IF(C641="","",IFERROR(INDEX(Tables!$A:$A,MATCH(C641,Tables!$B:$B,0)),"Not found"))</f>
        <v/>
      </c>
      <c r="E641" s="21" t="str">
        <f aca="false">IF(D641="","",IFERROR(INDEX(Tables!$D:$D,MATCH(D641,Tables!$A:$A,0)),""))</f>
        <v/>
      </c>
      <c r="F641" s="20"/>
      <c r="G641" s="20"/>
      <c r="H641" s="18"/>
      <c r="I641" s="20"/>
      <c r="J641" s="20"/>
      <c r="K641" s="20"/>
      <c r="L641" s="20"/>
      <c r="M641" s="20"/>
      <c r="N641" s="20"/>
      <c r="O641" s="20"/>
      <c r="P641" s="20"/>
      <c r="Q641" s="21" t="str">
        <f aca="false">IF(A641="","",COUNTIF('Metric to Field'!$B:$B,A641))</f>
        <v/>
      </c>
      <c r="R641" s="21" t="str">
        <f aca="false">IF(A641="","",SUMIF('Metric to Field'!$B:$B,A641,'Metric to Field'!$G:$G))</f>
        <v/>
      </c>
      <c r="S641" s="20"/>
      <c r="T641" s="20"/>
      <c r="U641" s="20"/>
      <c r="V641" s="20"/>
      <c r="W641" s="20"/>
    </row>
    <row r="642" customFormat="false" ht="15" hidden="false" customHeight="false" outlineLevel="0" collapsed="false">
      <c r="A642" s="18"/>
      <c r="B642" s="19"/>
      <c r="C642" s="20"/>
      <c r="D642" s="18" t="str">
        <f aca="false">IF(C642="","",IFERROR(INDEX(Tables!$A:$A,MATCH(C642,Tables!$B:$B,0)),"Not found"))</f>
        <v/>
      </c>
      <c r="E642" s="21" t="str">
        <f aca="false">IF(D642="","",IFERROR(INDEX(Tables!$D:$D,MATCH(D642,Tables!$A:$A,0)),""))</f>
        <v/>
      </c>
      <c r="F642" s="20"/>
      <c r="G642" s="20"/>
      <c r="H642" s="18"/>
      <c r="I642" s="20"/>
      <c r="J642" s="20"/>
      <c r="K642" s="20"/>
      <c r="L642" s="20"/>
      <c r="M642" s="20"/>
      <c r="N642" s="20"/>
      <c r="O642" s="20"/>
      <c r="P642" s="20"/>
      <c r="Q642" s="21" t="str">
        <f aca="false">IF(A642="","",COUNTIF('Metric to Field'!$B:$B,A642))</f>
        <v/>
      </c>
      <c r="R642" s="21" t="str">
        <f aca="false">IF(A642="","",SUMIF('Metric to Field'!$B:$B,A642,'Metric to Field'!$G:$G))</f>
        <v/>
      </c>
      <c r="S642" s="20"/>
      <c r="T642" s="20"/>
      <c r="U642" s="20"/>
      <c r="V642" s="20"/>
      <c r="W642" s="20"/>
    </row>
    <row r="643" customFormat="false" ht="15" hidden="false" customHeight="false" outlineLevel="0" collapsed="false">
      <c r="A643" s="18"/>
      <c r="B643" s="19"/>
      <c r="C643" s="20"/>
      <c r="D643" s="18" t="str">
        <f aca="false">IF(C643="","",IFERROR(INDEX(Tables!$A:$A,MATCH(C643,Tables!$B:$B,0)),"Not found"))</f>
        <v/>
      </c>
      <c r="E643" s="21" t="str">
        <f aca="false">IF(D643="","",IFERROR(INDEX(Tables!$D:$D,MATCH(D643,Tables!$A:$A,0)),""))</f>
        <v/>
      </c>
      <c r="F643" s="20"/>
      <c r="G643" s="20"/>
      <c r="H643" s="18"/>
      <c r="I643" s="20"/>
      <c r="J643" s="20"/>
      <c r="K643" s="20"/>
      <c r="L643" s="20"/>
      <c r="M643" s="20"/>
      <c r="N643" s="20"/>
      <c r="O643" s="20"/>
      <c r="P643" s="20"/>
      <c r="Q643" s="21" t="str">
        <f aca="false">IF(A643="","",COUNTIF('Metric to Field'!$B:$B,A643))</f>
        <v/>
      </c>
      <c r="R643" s="21" t="str">
        <f aca="false">IF(A643="","",SUMIF('Metric to Field'!$B:$B,A643,'Metric to Field'!$G:$G))</f>
        <v/>
      </c>
      <c r="S643" s="20"/>
      <c r="T643" s="20"/>
      <c r="U643" s="20"/>
      <c r="V643" s="20"/>
      <c r="W643" s="20"/>
    </row>
    <row r="644" customFormat="false" ht="15" hidden="false" customHeight="false" outlineLevel="0" collapsed="false">
      <c r="A644" s="18"/>
      <c r="B644" s="19"/>
      <c r="C644" s="20"/>
      <c r="D644" s="18" t="str">
        <f aca="false">IF(C644="","",IFERROR(INDEX(Tables!$A:$A,MATCH(C644,Tables!$B:$B,0)),"Not found"))</f>
        <v/>
      </c>
      <c r="E644" s="21" t="str">
        <f aca="false">IF(D644="","",IFERROR(INDEX(Tables!$D:$D,MATCH(D644,Tables!$A:$A,0)),""))</f>
        <v/>
      </c>
      <c r="F644" s="20"/>
      <c r="G644" s="20"/>
      <c r="H644" s="18"/>
      <c r="I644" s="20"/>
      <c r="J644" s="20"/>
      <c r="K644" s="20"/>
      <c r="L644" s="20"/>
      <c r="M644" s="20"/>
      <c r="N644" s="20"/>
      <c r="O644" s="20"/>
      <c r="P644" s="20"/>
      <c r="Q644" s="21" t="str">
        <f aca="false">IF(A644="","",COUNTIF('Metric to Field'!$B:$B,A644))</f>
        <v/>
      </c>
      <c r="R644" s="21" t="str">
        <f aca="false">IF(A644="","",SUMIF('Metric to Field'!$B:$B,A644,'Metric to Field'!$G:$G))</f>
        <v/>
      </c>
      <c r="S644" s="20"/>
      <c r="T644" s="20"/>
      <c r="U644" s="20"/>
      <c r="V644" s="20"/>
      <c r="W644" s="20"/>
    </row>
    <row r="645" customFormat="false" ht="15" hidden="false" customHeight="false" outlineLevel="0" collapsed="false">
      <c r="A645" s="18"/>
      <c r="B645" s="19"/>
      <c r="C645" s="20"/>
      <c r="D645" s="18" t="str">
        <f aca="false">IF(C645="","",IFERROR(INDEX(Tables!$A:$A,MATCH(C645,Tables!$B:$B,0)),"Not found"))</f>
        <v/>
      </c>
      <c r="E645" s="21" t="str">
        <f aca="false">IF(D645="","",IFERROR(INDEX(Tables!$D:$D,MATCH(D645,Tables!$A:$A,0)),""))</f>
        <v/>
      </c>
      <c r="F645" s="20"/>
      <c r="G645" s="20"/>
      <c r="H645" s="18"/>
      <c r="I645" s="20"/>
      <c r="J645" s="20"/>
      <c r="K645" s="20"/>
      <c r="L645" s="20"/>
      <c r="M645" s="20"/>
      <c r="N645" s="20"/>
      <c r="O645" s="20"/>
      <c r="P645" s="20"/>
      <c r="Q645" s="21" t="str">
        <f aca="false">IF(A645="","",COUNTIF('Metric to Field'!$B:$B,A645))</f>
        <v/>
      </c>
      <c r="R645" s="21" t="str">
        <f aca="false">IF(A645="","",SUMIF('Metric to Field'!$B:$B,A645,'Metric to Field'!$G:$G))</f>
        <v/>
      </c>
      <c r="S645" s="20"/>
      <c r="T645" s="20"/>
      <c r="U645" s="20"/>
      <c r="V645" s="20"/>
      <c r="W645" s="20"/>
    </row>
    <row r="646" customFormat="false" ht="15" hidden="false" customHeight="false" outlineLevel="0" collapsed="false">
      <c r="A646" s="18"/>
      <c r="B646" s="19"/>
      <c r="C646" s="20"/>
      <c r="D646" s="18" t="str">
        <f aca="false">IF(C646="","",IFERROR(INDEX(Tables!$A:$A,MATCH(C646,Tables!$B:$B,0)),"Not found"))</f>
        <v/>
      </c>
      <c r="E646" s="21" t="str">
        <f aca="false">IF(D646="","",IFERROR(INDEX(Tables!$D:$D,MATCH(D646,Tables!$A:$A,0)),""))</f>
        <v/>
      </c>
      <c r="F646" s="20"/>
      <c r="G646" s="20"/>
      <c r="H646" s="18"/>
      <c r="I646" s="20"/>
      <c r="J646" s="20"/>
      <c r="K646" s="20"/>
      <c r="L646" s="20"/>
      <c r="M646" s="20"/>
      <c r="N646" s="20"/>
      <c r="O646" s="20"/>
      <c r="P646" s="20"/>
      <c r="Q646" s="21" t="str">
        <f aca="false">IF(A646="","",COUNTIF('Metric to Field'!$B:$B,A646))</f>
        <v/>
      </c>
      <c r="R646" s="21" t="str">
        <f aca="false">IF(A646="","",SUMIF('Metric to Field'!$B:$B,A646,'Metric to Field'!$G:$G))</f>
        <v/>
      </c>
      <c r="S646" s="20"/>
      <c r="T646" s="20"/>
      <c r="U646" s="20"/>
      <c r="V646" s="20"/>
      <c r="W646" s="20"/>
    </row>
    <row r="647" customFormat="false" ht="15" hidden="false" customHeight="false" outlineLevel="0" collapsed="false">
      <c r="A647" s="18"/>
      <c r="B647" s="19"/>
      <c r="C647" s="20"/>
      <c r="D647" s="18" t="str">
        <f aca="false">IF(C647="","",IFERROR(INDEX(Tables!$A:$A,MATCH(C647,Tables!$B:$B,0)),"Not found"))</f>
        <v/>
      </c>
      <c r="E647" s="21" t="str">
        <f aca="false">IF(D647="","",IFERROR(INDEX(Tables!$D:$D,MATCH(D647,Tables!$A:$A,0)),""))</f>
        <v/>
      </c>
      <c r="F647" s="20"/>
      <c r="G647" s="20"/>
      <c r="H647" s="18"/>
      <c r="I647" s="20"/>
      <c r="J647" s="20"/>
      <c r="K647" s="20"/>
      <c r="L647" s="20"/>
      <c r="M647" s="20"/>
      <c r="N647" s="20"/>
      <c r="O647" s="20"/>
      <c r="P647" s="20"/>
      <c r="Q647" s="21" t="str">
        <f aca="false">IF(A647="","",COUNTIF('Metric to Field'!$B:$B,A647))</f>
        <v/>
      </c>
      <c r="R647" s="21" t="str">
        <f aca="false">IF(A647="","",SUMIF('Metric to Field'!$B:$B,A647,'Metric to Field'!$G:$G))</f>
        <v/>
      </c>
      <c r="S647" s="20"/>
      <c r="T647" s="20"/>
      <c r="U647" s="20"/>
      <c r="V647" s="20"/>
      <c r="W647" s="20"/>
    </row>
    <row r="648" customFormat="false" ht="15" hidden="false" customHeight="false" outlineLevel="0" collapsed="false">
      <c r="A648" s="18"/>
      <c r="B648" s="19"/>
      <c r="C648" s="20"/>
      <c r="D648" s="18" t="str">
        <f aca="false">IF(C648="","",IFERROR(INDEX(Tables!$A:$A,MATCH(C648,Tables!$B:$B,0)),"Not found"))</f>
        <v/>
      </c>
      <c r="E648" s="21" t="str">
        <f aca="false">IF(D648="","",IFERROR(INDEX(Tables!$D:$D,MATCH(D648,Tables!$A:$A,0)),""))</f>
        <v/>
      </c>
      <c r="F648" s="20"/>
      <c r="G648" s="20"/>
      <c r="H648" s="18"/>
      <c r="I648" s="20"/>
      <c r="J648" s="20"/>
      <c r="K648" s="20"/>
      <c r="L648" s="20"/>
      <c r="M648" s="20"/>
      <c r="N648" s="20"/>
      <c r="O648" s="20"/>
      <c r="P648" s="20"/>
      <c r="Q648" s="21" t="str">
        <f aca="false">IF(A648="","",COUNTIF('Metric to Field'!$B:$B,A648))</f>
        <v/>
      </c>
      <c r="R648" s="21" t="str">
        <f aca="false">IF(A648="","",SUMIF('Metric to Field'!$B:$B,A648,'Metric to Field'!$G:$G))</f>
        <v/>
      </c>
      <c r="S648" s="20"/>
      <c r="T648" s="20"/>
      <c r="U648" s="20"/>
      <c r="V648" s="20"/>
      <c r="W648" s="20"/>
    </row>
    <row r="649" customFormat="false" ht="15" hidden="false" customHeight="false" outlineLevel="0" collapsed="false">
      <c r="A649" s="18"/>
      <c r="B649" s="19"/>
      <c r="C649" s="20"/>
      <c r="D649" s="18" t="str">
        <f aca="false">IF(C649="","",IFERROR(INDEX(Tables!$A:$A,MATCH(C649,Tables!$B:$B,0)),"Not found"))</f>
        <v/>
      </c>
      <c r="E649" s="21" t="str">
        <f aca="false">IF(D649="","",IFERROR(INDEX(Tables!$D:$D,MATCH(D649,Tables!$A:$A,0)),""))</f>
        <v/>
      </c>
      <c r="F649" s="20"/>
      <c r="G649" s="20"/>
      <c r="H649" s="18"/>
      <c r="I649" s="20"/>
      <c r="J649" s="20"/>
      <c r="K649" s="20"/>
      <c r="L649" s="20"/>
      <c r="M649" s="20"/>
      <c r="N649" s="20"/>
      <c r="O649" s="20"/>
      <c r="P649" s="20"/>
      <c r="Q649" s="21" t="str">
        <f aca="false">IF(A649="","",COUNTIF('Metric to Field'!$B:$B,A649))</f>
        <v/>
      </c>
      <c r="R649" s="21" t="str">
        <f aca="false">IF(A649="","",SUMIF('Metric to Field'!$B:$B,A649,'Metric to Field'!$G:$G))</f>
        <v/>
      </c>
      <c r="S649" s="20"/>
      <c r="T649" s="20"/>
      <c r="U649" s="20"/>
      <c r="V649" s="20"/>
      <c r="W649" s="20"/>
    </row>
    <row r="650" customFormat="false" ht="15" hidden="false" customHeight="false" outlineLevel="0" collapsed="false">
      <c r="A650" s="18"/>
      <c r="B650" s="19"/>
      <c r="C650" s="20"/>
      <c r="D650" s="18" t="str">
        <f aca="false">IF(C650="","",IFERROR(INDEX(Tables!$A:$A,MATCH(C650,Tables!$B:$B,0)),"Not found"))</f>
        <v/>
      </c>
      <c r="E650" s="21" t="str">
        <f aca="false">IF(D650="","",IFERROR(INDEX(Tables!$D:$D,MATCH(D650,Tables!$A:$A,0)),""))</f>
        <v/>
      </c>
      <c r="F650" s="20"/>
      <c r="G650" s="20"/>
      <c r="H650" s="18"/>
      <c r="I650" s="20"/>
      <c r="J650" s="20"/>
      <c r="K650" s="20"/>
      <c r="L650" s="20"/>
      <c r="M650" s="20"/>
      <c r="N650" s="20"/>
      <c r="O650" s="20"/>
      <c r="P650" s="20"/>
      <c r="Q650" s="21" t="str">
        <f aca="false">IF(A650="","",COUNTIF('Metric to Field'!$B:$B,A650))</f>
        <v/>
      </c>
      <c r="R650" s="21" t="str">
        <f aca="false">IF(A650="","",SUMIF('Metric to Field'!$B:$B,A650,'Metric to Field'!$G:$G))</f>
        <v/>
      </c>
      <c r="S650" s="20"/>
      <c r="T650" s="20"/>
      <c r="U650" s="20"/>
      <c r="V650" s="20"/>
      <c r="W650" s="20"/>
    </row>
    <row r="651" customFormat="false" ht="15" hidden="false" customHeight="false" outlineLevel="0" collapsed="false">
      <c r="A651" s="18"/>
      <c r="B651" s="19"/>
      <c r="C651" s="20"/>
      <c r="D651" s="18" t="str">
        <f aca="false">IF(C651="","",IFERROR(INDEX(Tables!$A:$A,MATCH(C651,Tables!$B:$B,0)),"Not found"))</f>
        <v/>
      </c>
      <c r="E651" s="21" t="str">
        <f aca="false">IF(D651="","",IFERROR(INDEX(Tables!$D:$D,MATCH(D651,Tables!$A:$A,0)),""))</f>
        <v/>
      </c>
      <c r="F651" s="20"/>
      <c r="G651" s="20"/>
      <c r="H651" s="18"/>
      <c r="I651" s="20"/>
      <c r="J651" s="20"/>
      <c r="K651" s="20"/>
      <c r="L651" s="20"/>
      <c r="M651" s="20"/>
      <c r="N651" s="20"/>
      <c r="O651" s="20"/>
      <c r="P651" s="20"/>
      <c r="Q651" s="21" t="str">
        <f aca="false">IF(A651="","",COUNTIF('Metric to Field'!$B:$B,A651))</f>
        <v/>
      </c>
      <c r="R651" s="21" t="str">
        <f aca="false">IF(A651="","",SUMIF('Metric to Field'!$B:$B,A651,'Metric to Field'!$G:$G))</f>
        <v/>
      </c>
      <c r="S651" s="20"/>
      <c r="T651" s="20"/>
      <c r="U651" s="20"/>
      <c r="V651" s="20"/>
      <c r="W651" s="20"/>
    </row>
    <row r="652" customFormat="false" ht="15" hidden="false" customHeight="false" outlineLevel="0" collapsed="false">
      <c r="A652" s="18"/>
      <c r="B652" s="19"/>
      <c r="C652" s="20"/>
      <c r="D652" s="18" t="str">
        <f aca="false">IF(C652="","",IFERROR(INDEX(Tables!$A:$A,MATCH(C652,Tables!$B:$B,0)),"Not found"))</f>
        <v/>
      </c>
      <c r="E652" s="21" t="str">
        <f aca="false">IF(D652="","",IFERROR(INDEX(Tables!$D:$D,MATCH(D652,Tables!$A:$A,0)),""))</f>
        <v/>
      </c>
      <c r="F652" s="20"/>
      <c r="G652" s="20"/>
      <c r="H652" s="18"/>
      <c r="I652" s="20"/>
      <c r="J652" s="20"/>
      <c r="K652" s="20"/>
      <c r="L652" s="20"/>
      <c r="M652" s="20"/>
      <c r="N652" s="20"/>
      <c r="O652" s="20"/>
      <c r="P652" s="20"/>
      <c r="Q652" s="21" t="str">
        <f aca="false">IF(A652="","",COUNTIF('Metric to Field'!$B:$B,A652))</f>
        <v/>
      </c>
      <c r="R652" s="21" t="str">
        <f aca="false">IF(A652="","",SUMIF('Metric to Field'!$B:$B,A652,'Metric to Field'!$G:$G))</f>
        <v/>
      </c>
      <c r="S652" s="20"/>
      <c r="T652" s="20"/>
      <c r="U652" s="20"/>
      <c r="V652" s="20"/>
      <c r="W652" s="20"/>
    </row>
    <row r="653" customFormat="false" ht="15" hidden="false" customHeight="false" outlineLevel="0" collapsed="false">
      <c r="A653" s="18"/>
      <c r="B653" s="19"/>
      <c r="C653" s="20"/>
      <c r="D653" s="18" t="str">
        <f aca="false">IF(C653="","",IFERROR(INDEX(Tables!$A:$A,MATCH(C653,Tables!$B:$B,0)),"Not found"))</f>
        <v/>
      </c>
      <c r="E653" s="21" t="str">
        <f aca="false">IF(D653="","",IFERROR(INDEX(Tables!$D:$D,MATCH(D653,Tables!$A:$A,0)),""))</f>
        <v/>
      </c>
      <c r="F653" s="20"/>
      <c r="G653" s="20"/>
      <c r="H653" s="18"/>
      <c r="I653" s="20"/>
      <c r="J653" s="20"/>
      <c r="K653" s="20"/>
      <c r="L653" s="20"/>
      <c r="M653" s="20"/>
      <c r="N653" s="20"/>
      <c r="O653" s="20"/>
      <c r="P653" s="20"/>
      <c r="Q653" s="21" t="str">
        <f aca="false">IF(A653="","",COUNTIF('Metric to Field'!$B:$B,A653))</f>
        <v/>
      </c>
      <c r="R653" s="21" t="str">
        <f aca="false">IF(A653="","",SUMIF('Metric to Field'!$B:$B,A653,'Metric to Field'!$G:$G))</f>
        <v/>
      </c>
      <c r="S653" s="20"/>
      <c r="T653" s="20"/>
      <c r="U653" s="20"/>
      <c r="V653" s="20"/>
      <c r="W653" s="20"/>
    </row>
    <row r="654" customFormat="false" ht="15" hidden="false" customHeight="false" outlineLevel="0" collapsed="false">
      <c r="A654" s="18"/>
      <c r="B654" s="19"/>
      <c r="C654" s="20"/>
      <c r="D654" s="18" t="str">
        <f aca="false">IF(C654="","",IFERROR(INDEX(Tables!$A:$A,MATCH(C654,Tables!$B:$B,0)),"Not found"))</f>
        <v/>
      </c>
      <c r="E654" s="21" t="str">
        <f aca="false">IF(D654="","",IFERROR(INDEX(Tables!$D:$D,MATCH(D654,Tables!$A:$A,0)),""))</f>
        <v/>
      </c>
      <c r="F654" s="20"/>
      <c r="G654" s="20"/>
      <c r="H654" s="18"/>
      <c r="I654" s="20"/>
      <c r="J654" s="20"/>
      <c r="K654" s="20"/>
      <c r="L654" s="20"/>
      <c r="M654" s="20"/>
      <c r="N654" s="20"/>
      <c r="O654" s="20"/>
      <c r="P654" s="20"/>
      <c r="Q654" s="21" t="str">
        <f aca="false">IF(A654="","",COUNTIF('Metric to Field'!$B:$B,A654))</f>
        <v/>
      </c>
      <c r="R654" s="21" t="str">
        <f aca="false">IF(A654="","",SUMIF('Metric to Field'!$B:$B,A654,'Metric to Field'!$G:$G))</f>
        <v/>
      </c>
      <c r="S654" s="20"/>
      <c r="T654" s="20"/>
      <c r="U654" s="20"/>
      <c r="V654" s="20"/>
      <c r="W654" s="20"/>
    </row>
    <row r="655" customFormat="false" ht="15" hidden="false" customHeight="false" outlineLevel="0" collapsed="false">
      <c r="A655" s="18"/>
      <c r="B655" s="19"/>
      <c r="C655" s="20"/>
      <c r="D655" s="18" t="str">
        <f aca="false">IF(C655="","",IFERROR(INDEX(Tables!$A:$A,MATCH(C655,Tables!$B:$B,0)),"Not found"))</f>
        <v/>
      </c>
      <c r="E655" s="21" t="str">
        <f aca="false">IF(D655="","",IFERROR(INDEX(Tables!$D:$D,MATCH(D655,Tables!$A:$A,0)),""))</f>
        <v/>
      </c>
      <c r="F655" s="20"/>
      <c r="G655" s="20"/>
      <c r="H655" s="18"/>
      <c r="I655" s="20"/>
      <c r="J655" s="20"/>
      <c r="K655" s="20"/>
      <c r="L655" s="20"/>
      <c r="M655" s="20"/>
      <c r="N655" s="20"/>
      <c r="O655" s="20"/>
      <c r="P655" s="20"/>
      <c r="Q655" s="21" t="str">
        <f aca="false">IF(A655="","",COUNTIF('Metric to Field'!$B:$B,A655))</f>
        <v/>
      </c>
      <c r="R655" s="21" t="str">
        <f aca="false">IF(A655="","",SUMIF('Metric to Field'!$B:$B,A655,'Metric to Field'!$G:$G))</f>
        <v/>
      </c>
      <c r="S655" s="20"/>
      <c r="T655" s="20"/>
      <c r="U655" s="20"/>
      <c r="V655" s="20"/>
      <c r="W655" s="20"/>
    </row>
    <row r="656" customFormat="false" ht="15" hidden="false" customHeight="false" outlineLevel="0" collapsed="false">
      <c r="A656" s="18"/>
      <c r="B656" s="19"/>
      <c r="C656" s="20"/>
      <c r="D656" s="18" t="str">
        <f aca="false">IF(C656="","",IFERROR(INDEX(Tables!$A:$A,MATCH(C656,Tables!$B:$B,0)),"Not found"))</f>
        <v/>
      </c>
      <c r="E656" s="21" t="str">
        <f aca="false">IF(D656="","",IFERROR(INDEX(Tables!$D:$D,MATCH(D656,Tables!$A:$A,0)),""))</f>
        <v/>
      </c>
      <c r="F656" s="20"/>
      <c r="G656" s="20"/>
      <c r="H656" s="18"/>
      <c r="I656" s="20"/>
      <c r="J656" s="20"/>
      <c r="K656" s="20"/>
      <c r="L656" s="20"/>
      <c r="M656" s="20"/>
      <c r="N656" s="20"/>
      <c r="O656" s="20"/>
      <c r="P656" s="20"/>
      <c r="Q656" s="21" t="str">
        <f aca="false">IF(A656="","",COUNTIF('Metric to Field'!$B:$B,A656))</f>
        <v/>
      </c>
      <c r="R656" s="21" t="str">
        <f aca="false">IF(A656="","",SUMIF('Metric to Field'!$B:$B,A656,'Metric to Field'!$G:$G))</f>
        <v/>
      </c>
      <c r="S656" s="20"/>
      <c r="T656" s="20"/>
      <c r="U656" s="20"/>
      <c r="V656" s="20"/>
      <c r="W656" s="20"/>
    </row>
    <row r="657" customFormat="false" ht="15" hidden="false" customHeight="false" outlineLevel="0" collapsed="false">
      <c r="A657" s="18"/>
      <c r="B657" s="19"/>
      <c r="C657" s="20"/>
      <c r="D657" s="18" t="str">
        <f aca="false">IF(C657="","",IFERROR(INDEX(Tables!$A:$A,MATCH(C657,Tables!$B:$B,0)),"Not found"))</f>
        <v/>
      </c>
      <c r="E657" s="21" t="str">
        <f aca="false">IF(D657="","",IFERROR(INDEX(Tables!$D:$D,MATCH(D657,Tables!$A:$A,0)),""))</f>
        <v/>
      </c>
      <c r="F657" s="20"/>
      <c r="G657" s="20"/>
      <c r="H657" s="18"/>
      <c r="I657" s="20"/>
      <c r="J657" s="20"/>
      <c r="K657" s="20"/>
      <c r="L657" s="20"/>
      <c r="M657" s="20"/>
      <c r="N657" s="20"/>
      <c r="O657" s="20"/>
      <c r="P657" s="20"/>
      <c r="Q657" s="21" t="str">
        <f aca="false">IF(A657="","",COUNTIF('Metric to Field'!$B:$B,A657))</f>
        <v/>
      </c>
      <c r="R657" s="21" t="str">
        <f aca="false">IF(A657="","",SUMIF('Metric to Field'!$B:$B,A657,'Metric to Field'!$G:$G))</f>
        <v/>
      </c>
      <c r="S657" s="20"/>
      <c r="T657" s="20"/>
      <c r="U657" s="20"/>
      <c r="V657" s="20"/>
      <c r="W657" s="20"/>
    </row>
    <row r="658" customFormat="false" ht="15" hidden="false" customHeight="false" outlineLevel="0" collapsed="false">
      <c r="A658" s="18"/>
      <c r="B658" s="19"/>
      <c r="C658" s="20"/>
      <c r="D658" s="18" t="str">
        <f aca="false">IF(C658="","",IFERROR(INDEX(Tables!$A:$A,MATCH(C658,Tables!$B:$B,0)),"Not found"))</f>
        <v/>
      </c>
      <c r="E658" s="21" t="str">
        <f aca="false">IF(D658="","",IFERROR(INDEX(Tables!$D:$D,MATCH(D658,Tables!$A:$A,0)),""))</f>
        <v/>
      </c>
      <c r="F658" s="20"/>
      <c r="G658" s="20"/>
      <c r="H658" s="18"/>
      <c r="I658" s="20"/>
      <c r="J658" s="20"/>
      <c r="K658" s="20"/>
      <c r="L658" s="20"/>
      <c r="M658" s="20"/>
      <c r="N658" s="20"/>
      <c r="O658" s="20"/>
      <c r="P658" s="20"/>
      <c r="Q658" s="21" t="str">
        <f aca="false">IF(A658="","",COUNTIF('Metric to Field'!$B:$B,A658))</f>
        <v/>
      </c>
      <c r="R658" s="21" t="str">
        <f aca="false">IF(A658="","",SUMIF('Metric to Field'!$B:$B,A658,'Metric to Field'!$G:$G))</f>
        <v/>
      </c>
      <c r="S658" s="20"/>
      <c r="T658" s="20"/>
      <c r="U658" s="20"/>
      <c r="V658" s="20"/>
      <c r="W658" s="20"/>
    </row>
    <row r="659" customFormat="false" ht="15" hidden="false" customHeight="false" outlineLevel="0" collapsed="false">
      <c r="A659" s="18"/>
      <c r="B659" s="19"/>
      <c r="C659" s="20"/>
      <c r="D659" s="18" t="str">
        <f aca="false">IF(C659="","",IFERROR(INDEX(Tables!$A:$A,MATCH(C659,Tables!$B:$B,0)),"Not found"))</f>
        <v/>
      </c>
      <c r="E659" s="21" t="str">
        <f aca="false">IF(D659="","",IFERROR(INDEX(Tables!$D:$D,MATCH(D659,Tables!$A:$A,0)),""))</f>
        <v/>
      </c>
      <c r="F659" s="20"/>
      <c r="G659" s="20"/>
      <c r="H659" s="18"/>
      <c r="I659" s="20"/>
      <c r="J659" s="20"/>
      <c r="K659" s="20"/>
      <c r="L659" s="20"/>
      <c r="M659" s="20"/>
      <c r="N659" s="20"/>
      <c r="O659" s="20"/>
      <c r="P659" s="20"/>
      <c r="Q659" s="21" t="str">
        <f aca="false">IF(A659="","",COUNTIF('Metric to Field'!$B:$B,A659))</f>
        <v/>
      </c>
      <c r="R659" s="21" t="str">
        <f aca="false">IF(A659="","",SUMIF('Metric to Field'!$B:$B,A659,'Metric to Field'!$G:$G))</f>
        <v/>
      </c>
      <c r="S659" s="20"/>
      <c r="T659" s="20"/>
      <c r="U659" s="20"/>
      <c r="V659" s="20"/>
      <c r="W659" s="20"/>
    </row>
    <row r="660" customFormat="false" ht="15" hidden="false" customHeight="false" outlineLevel="0" collapsed="false">
      <c r="A660" s="18"/>
      <c r="B660" s="19"/>
      <c r="C660" s="20"/>
      <c r="D660" s="18" t="str">
        <f aca="false">IF(C660="","",IFERROR(INDEX(Tables!$A:$A,MATCH(C660,Tables!$B:$B,0)),"Not found"))</f>
        <v/>
      </c>
      <c r="E660" s="21" t="str">
        <f aca="false">IF(D660="","",IFERROR(INDEX(Tables!$D:$D,MATCH(D660,Tables!$A:$A,0)),""))</f>
        <v/>
      </c>
      <c r="F660" s="20"/>
      <c r="G660" s="20"/>
      <c r="H660" s="18"/>
      <c r="I660" s="20"/>
      <c r="J660" s="20"/>
      <c r="K660" s="20"/>
      <c r="L660" s="20"/>
      <c r="M660" s="20"/>
      <c r="N660" s="20"/>
      <c r="O660" s="20"/>
      <c r="P660" s="20"/>
      <c r="Q660" s="21" t="str">
        <f aca="false">IF(A660="","",COUNTIF('Metric to Field'!$B:$B,A660))</f>
        <v/>
      </c>
      <c r="R660" s="21" t="str">
        <f aca="false">IF(A660="","",SUMIF('Metric to Field'!$B:$B,A660,'Metric to Field'!$G:$G))</f>
        <v/>
      </c>
      <c r="S660" s="20"/>
      <c r="T660" s="20"/>
      <c r="U660" s="20"/>
      <c r="V660" s="20"/>
      <c r="W660" s="20"/>
    </row>
    <row r="661" customFormat="false" ht="15" hidden="false" customHeight="false" outlineLevel="0" collapsed="false">
      <c r="A661" s="18"/>
      <c r="B661" s="19"/>
      <c r="C661" s="20"/>
      <c r="D661" s="18" t="str">
        <f aca="false">IF(C661="","",IFERROR(INDEX(Tables!$A:$A,MATCH(C661,Tables!$B:$B,0)),"Not found"))</f>
        <v/>
      </c>
      <c r="E661" s="21" t="str">
        <f aca="false">IF(D661="","",IFERROR(INDEX(Tables!$D:$D,MATCH(D661,Tables!$A:$A,0)),""))</f>
        <v/>
      </c>
      <c r="F661" s="20"/>
      <c r="G661" s="20"/>
      <c r="H661" s="18"/>
      <c r="I661" s="20"/>
      <c r="J661" s="20"/>
      <c r="K661" s="20"/>
      <c r="L661" s="20"/>
      <c r="M661" s="20"/>
      <c r="N661" s="20"/>
      <c r="O661" s="20"/>
      <c r="P661" s="20"/>
      <c r="Q661" s="21" t="str">
        <f aca="false">IF(A661="","",COUNTIF('Metric to Field'!$B:$B,A661))</f>
        <v/>
      </c>
      <c r="R661" s="21" t="str">
        <f aca="false">IF(A661="","",SUMIF('Metric to Field'!$B:$B,A661,'Metric to Field'!$G:$G))</f>
        <v/>
      </c>
      <c r="S661" s="20"/>
      <c r="T661" s="20"/>
      <c r="U661" s="20"/>
      <c r="V661" s="20"/>
      <c r="W661" s="20"/>
    </row>
    <row r="662" customFormat="false" ht="15" hidden="false" customHeight="false" outlineLevel="0" collapsed="false">
      <c r="A662" s="18"/>
      <c r="B662" s="19"/>
      <c r="C662" s="20"/>
      <c r="D662" s="18" t="str">
        <f aca="false">IF(C662="","",IFERROR(INDEX(Tables!$A:$A,MATCH(C662,Tables!$B:$B,0)),"Not found"))</f>
        <v/>
      </c>
      <c r="E662" s="21" t="str">
        <f aca="false">IF(D662="","",IFERROR(INDEX(Tables!$D:$D,MATCH(D662,Tables!$A:$A,0)),""))</f>
        <v/>
      </c>
      <c r="F662" s="20"/>
      <c r="G662" s="20"/>
      <c r="H662" s="18"/>
      <c r="I662" s="20"/>
      <c r="J662" s="20"/>
      <c r="K662" s="20"/>
      <c r="L662" s="20"/>
      <c r="M662" s="20"/>
      <c r="N662" s="20"/>
      <c r="O662" s="20"/>
      <c r="P662" s="20"/>
      <c r="Q662" s="21" t="str">
        <f aca="false">IF(A662="","",COUNTIF('Metric to Field'!$B:$B,A662))</f>
        <v/>
      </c>
      <c r="R662" s="21" t="str">
        <f aca="false">IF(A662="","",SUMIF('Metric to Field'!$B:$B,A662,'Metric to Field'!$G:$G))</f>
        <v/>
      </c>
      <c r="S662" s="20"/>
      <c r="T662" s="20"/>
      <c r="U662" s="20"/>
      <c r="V662" s="20"/>
      <c r="W662" s="20"/>
    </row>
    <row r="663" customFormat="false" ht="15" hidden="false" customHeight="false" outlineLevel="0" collapsed="false">
      <c r="A663" s="18"/>
      <c r="B663" s="19"/>
      <c r="C663" s="20"/>
      <c r="D663" s="18" t="str">
        <f aca="false">IF(C663="","",IFERROR(INDEX(Tables!$A:$A,MATCH(C663,Tables!$B:$B,0)),"Not found"))</f>
        <v/>
      </c>
      <c r="E663" s="21" t="str">
        <f aca="false">IF(D663="","",IFERROR(INDEX(Tables!$D:$D,MATCH(D663,Tables!$A:$A,0)),""))</f>
        <v/>
      </c>
      <c r="F663" s="20"/>
      <c r="G663" s="20"/>
      <c r="H663" s="18"/>
      <c r="I663" s="20"/>
      <c r="J663" s="20"/>
      <c r="K663" s="20"/>
      <c r="L663" s="20"/>
      <c r="M663" s="20"/>
      <c r="N663" s="20"/>
      <c r="O663" s="20"/>
      <c r="P663" s="20"/>
      <c r="Q663" s="21" t="str">
        <f aca="false">IF(A663="","",COUNTIF('Metric to Field'!$B:$B,A663))</f>
        <v/>
      </c>
      <c r="R663" s="21" t="str">
        <f aca="false">IF(A663="","",SUMIF('Metric to Field'!$B:$B,A663,'Metric to Field'!$G:$G))</f>
        <v/>
      </c>
      <c r="S663" s="20"/>
      <c r="T663" s="20"/>
      <c r="U663" s="20"/>
      <c r="V663" s="20"/>
      <c r="W663" s="20"/>
    </row>
    <row r="664" customFormat="false" ht="15" hidden="false" customHeight="false" outlineLevel="0" collapsed="false">
      <c r="A664" s="18"/>
      <c r="B664" s="19"/>
      <c r="C664" s="20"/>
      <c r="D664" s="18" t="str">
        <f aca="false">IF(C664="","",IFERROR(INDEX(Tables!$A:$A,MATCH(C664,Tables!$B:$B,0)),"Not found"))</f>
        <v/>
      </c>
      <c r="E664" s="21" t="str">
        <f aca="false">IF(D664="","",IFERROR(INDEX(Tables!$D:$D,MATCH(D664,Tables!$A:$A,0)),""))</f>
        <v/>
      </c>
      <c r="F664" s="20"/>
      <c r="G664" s="20"/>
      <c r="H664" s="18"/>
      <c r="I664" s="20"/>
      <c r="J664" s="20"/>
      <c r="K664" s="20"/>
      <c r="L664" s="20"/>
      <c r="M664" s="20"/>
      <c r="N664" s="20"/>
      <c r="O664" s="20"/>
      <c r="P664" s="20"/>
      <c r="Q664" s="21" t="str">
        <f aca="false">IF(A664="","",COUNTIF('Metric to Field'!$B:$B,A664))</f>
        <v/>
      </c>
      <c r="R664" s="21" t="str">
        <f aca="false">IF(A664="","",SUMIF('Metric to Field'!$B:$B,A664,'Metric to Field'!$G:$G))</f>
        <v/>
      </c>
      <c r="S664" s="20"/>
      <c r="T664" s="20"/>
      <c r="U664" s="20"/>
      <c r="V664" s="20"/>
      <c r="W664" s="20"/>
    </row>
    <row r="665" customFormat="false" ht="15" hidden="false" customHeight="false" outlineLevel="0" collapsed="false">
      <c r="A665" s="18"/>
      <c r="B665" s="19"/>
      <c r="C665" s="20"/>
      <c r="D665" s="18" t="str">
        <f aca="false">IF(C665="","",IFERROR(INDEX(Tables!$A:$A,MATCH(C665,Tables!$B:$B,0)),"Not found"))</f>
        <v/>
      </c>
      <c r="E665" s="21" t="str">
        <f aca="false">IF(D665="","",IFERROR(INDEX(Tables!$D:$D,MATCH(D665,Tables!$A:$A,0)),""))</f>
        <v/>
      </c>
      <c r="F665" s="20"/>
      <c r="G665" s="20"/>
      <c r="H665" s="18"/>
      <c r="I665" s="20"/>
      <c r="J665" s="20"/>
      <c r="K665" s="20"/>
      <c r="L665" s="20"/>
      <c r="M665" s="20"/>
      <c r="N665" s="20"/>
      <c r="O665" s="20"/>
      <c r="P665" s="20"/>
      <c r="Q665" s="21" t="str">
        <f aca="false">IF(A665="","",COUNTIF('Metric to Field'!$B:$B,A665))</f>
        <v/>
      </c>
      <c r="R665" s="21" t="str">
        <f aca="false">IF(A665="","",SUMIF('Metric to Field'!$B:$B,A665,'Metric to Field'!$G:$G))</f>
        <v/>
      </c>
      <c r="S665" s="20"/>
      <c r="T665" s="20"/>
      <c r="U665" s="20"/>
      <c r="V665" s="20"/>
      <c r="W665" s="20"/>
    </row>
    <row r="666" customFormat="false" ht="15" hidden="false" customHeight="false" outlineLevel="0" collapsed="false">
      <c r="A666" s="18"/>
      <c r="B666" s="19"/>
      <c r="C666" s="20"/>
      <c r="D666" s="18" t="str">
        <f aca="false">IF(C666="","",IFERROR(INDEX(Tables!$A:$A,MATCH(C666,Tables!$B:$B,0)),"Not found"))</f>
        <v/>
      </c>
      <c r="E666" s="21" t="str">
        <f aca="false">IF(D666="","",IFERROR(INDEX(Tables!$D:$D,MATCH(D666,Tables!$A:$A,0)),""))</f>
        <v/>
      </c>
      <c r="F666" s="20"/>
      <c r="G666" s="20"/>
      <c r="H666" s="18"/>
      <c r="I666" s="20"/>
      <c r="J666" s="20"/>
      <c r="K666" s="20"/>
      <c r="L666" s="20"/>
      <c r="M666" s="20"/>
      <c r="N666" s="20"/>
      <c r="O666" s="20"/>
      <c r="P666" s="20"/>
      <c r="Q666" s="21" t="str">
        <f aca="false">IF(A666="","",COUNTIF('Metric to Field'!$B:$B,A666))</f>
        <v/>
      </c>
      <c r="R666" s="21" t="str">
        <f aca="false">IF(A666="","",SUMIF('Metric to Field'!$B:$B,A666,'Metric to Field'!$G:$G))</f>
        <v/>
      </c>
      <c r="S666" s="20"/>
      <c r="T666" s="20"/>
      <c r="U666" s="20"/>
      <c r="V666" s="20"/>
      <c r="W666" s="20"/>
    </row>
    <row r="667" customFormat="false" ht="15" hidden="false" customHeight="false" outlineLevel="0" collapsed="false">
      <c r="A667" s="18"/>
      <c r="B667" s="19"/>
      <c r="C667" s="20"/>
      <c r="D667" s="18" t="str">
        <f aca="false">IF(C667="","",IFERROR(INDEX(Tables!$A:$A,MATCH(C667,Tables!$B:$B,0)),"Not found"))</f>
        <v/>
      </c>
      <c r="E667" s="21" t="str">
        <f aca="false">IF(D667="","",IFERROR(INDEX(Tables!$D:$D,MATCH(D667,Tables!$A:$A,0)),""))</f>
        <v/>
      </c>
      <c r="F667" s="20"/>
      <c r="G667" s="20"/>
      <c r="H667" s="18"/>
      <c r="I667" s="20"/>
      <c r="J667" s="20"/>
      <c r="K667" s="20"/>
      <c r="L667" s="20"/>
      <c r="M667" s="20"/>
      <c r="N667" s="20"/>
      <c r="O667" s="20"/>
      <c r="P667" s="20"/>
      <c r="Q667" s="21" t="str">
        <f aca="false">IF(A667="","",COUNTIF('Metric to Field'!$B:$B,A667))</f>
        <v/>
      </c>
      <c r="R667" s="21" t="str">
        <f aca="false">IF(A667="","",SUMIF('Metric to Field'!$B:$B,A667,'Metric to Field'!$G:$G))</f>
        <v/>
      </c>
      <c r="S667" s="20"/>
      <c r="T667" s="20"/>
      <c r="U667" s="20"/>
      <c r="V667" s="20"/>
      <c r="W667" s="20"/>
    </row>
    <row r="668" customFormat="false" ht="15" hidden="false" customHeight="false" outlineLevel="0" collapsed="false">
      <c r="A668" s="18"/>
      <c r="B668" s="19"/>
      <c r="C668" s="20"/>
      <c r="D668" s="18" t="str">
        <f aca="false">IF(C668="","",IFERROR(INDEX(Tables!$A:$A,MATCH(C668,Tables!$B:$B,0)),"Not found"))</f>
        <v/>
      </c>
      <c r="E668" s="21" t="str">
        <f aca="false">IF(D668="","",IFERROR(INDEX(Tables!$D:$D,MATCH(D668,Tables!$A:$A,0)),""))</f>
        <v/>
      </c>
      <c r="F668" s="20"/>
      <c r="G668" s="20"/>
      <c r="H668" s="18"/>
      <c r="I668" s="20"/>
      <c r="J668" s="20"/>
      <c r="K668" s="20"/>
      <c r="L668" s="20"/>
      <c r="M668" s="20"/>
      <c r="N668" s="20"/>
      <c r="O668" s="20"/>
      <c r="P668" s="20"/>
      <c r="Q668" s="21" t="str">
        <f aca="false">IF(A668="","",COUNTIF('Metric to Field'!$B:$B,A668))</f>
        <v/>
      </c>
      <c r="R668" s="21" t="str">
        <f aca="false">IF(A668="","",SUMIF('Metric to Field'!$B:$B,A668,'Metric to Field'!$G:$G))</f>
        <v/>
      </c>
      <c r="S668" s="20"/>
      <c r="T668" s="20"/>
      <c r="U668" s="20"/>
      <c r="V668" s="20"/>
      <c r="W668" s="20"/>
    </row>
    <row r="669" customFormat="false" ht="15" hidden="false" customHeight="false" outlineLevel="0" collapsed="false">
      <c r="A669" s="18"/>
      <c r="B669" s="19"/>
      <c r="C669" s="20"/>
      <c r="D669" s="18" t="str">
        <f aca="false">IF(C669="","",IFERROR(INDEX(Tables!$A:$A,MATCH(C669,Tables!$B:$B,0)),"Not found"))</f>
        <v/>
      </c>
      <c r="E669" s="21" t="str">
        <f aca="false">IF(D669="","",IFERROR(INDEX(Tables!$D:$D,MATCH(D669,Tables!$A:$A,0)),""))</f>
        <v/>
      </c>
      <c r="F669" s="20"/>
      <c r="G669" s="20"/>
      <c r="H669" s="18"/>
      <c r="I669" s="20"/>
      <c r="J669" s="20"/>
      <c r="K669" s="20"/>
      <c r="L669" s="20"/>
      <c r="M669" s="20"/>
      <c r="N669" s="20"/>
      <c r="O669" s="20"/>
      <c r="P669" s="20"/>
      <c r="Q669" s="21" t="str">
        <f aca="false">IF(A669="","",COUNTIF('Metric to Field'!$B:$B,A669))</f>
        <v/>
      </c>
      <c r="R669" s="21" t="str">
        <f aca="false">IF(A669="","",SUMIF('Metric to Field'!$B:$B,A669,'Metric to Field'!$G:$G))</f>
        <v/>
      </c>
      <c r="S669" s="20"/>
      <c r="T669" s="20"/>
      <c r="U669" s="20"/>
      <c r="V669" s="20"/>
      <c r="W669" s="20"/>
    </row>
    <row r="670" customFormat="false" ht="15" hidden="false" customHeight="false" outlineLevel="0" collapsed="false">
      <c r="A670" s="18"/>
      <c r="B670" s="19"/>
      <c r="C670" s="20"/>
      <c r="D670" s="18" t="str">
        <f aca="false">IF(C670="","",IFERROR(INDEX(Tables!$A:$A,MATCH(C670,Tables!$B:$B,0)),"Not found"))</f>
        <v/>
      </c>
      <c r="E670" s="21" t="str">
        <f aca="false">IF(D670="","",IFERROR(INDEX(Tables!$D:$D,MATCH(D670,Tables!$A:$A,0)),""))</f>
        <v/>
      </c>
      <c r="F670" s="20"/>
      <c r="G670" s="20"/>
      <c r="H670" s="18"/>
      <c r="I670" s="20"/>
      <c r="J670" s="20"/>
      <c r="K670" s="20"/>
      <c r="L670" s="20"/>
      <c r="M670" s="20"/>
      <c r="N670" s="20"/>
      <c r="O670" s="20"/>
      <c r="P670" s="20"/>
      <c r="Q670" s="21" t="str">
        <f aca="false">IF(A670="","",COUNTIF('Metric to Field'!$B:$B,A670))</f>
        <v/>
      </c>
      <c r="R670" s="21" t="str">
        <f aca="false">IF(A670="","",SUMIF('Metric to Field'!$B:$B,A670,'Metric to Field'!$G:$G))</f>
        <v/>
      </c>
      <c r="S670" s="20"/>
      <c r="T670" s="20"/>
      <c r="U670" s="20"/>
      <c r="V670" s="20"/>
      <c r="W670" s="20"/>
    </row>
    <row r="671" customFormat="false" ht="15" hidden="false" customHeight="false" outlineLevel="0" collapsed="false">
      <c r="A671" s="18"/>
      <c r="B671" s="19"/>
      <c r="C671" s="20"/>
      <c r="D671" s="18" t="str">
        <f aca="false">IF(C671="","",IFERROR(INDEX(Tables!$A:$A,MATCH(C671,Tables!$B:$B,0)),"Not found"))</f>
        <v/>
      </c>
      <c r="E671" s="21" t="str">
        <f aca="false">IF(D671="","",IFERROR(INDEX(Tables!$D:$D,MATCH(D671,Tables!$A:$A,0)),""))</f>
        <v/>
      </c>
      <c r="F671" s="20"/>
      <c r="G671" s="20"/>
      <c r="H671" s="18"/>
      <c r="I671" s="20"/>
      <c r="J671" s="20"/>
      <c r="K671" s="20"/>
      <c r="L671" s="20"/>
      <c r="M671" s="20"/>
      <c r="N671" s="20"/>
      <c r="O671" s="20"/>
      <c r="P671" s="20"/>
      <c r="Q671" s="21" t="str">
        <f aca="false">IF(A671="","",COUNTIF('Metric to Field'!$B:$B,A671))</f>
        <v/>
      </c>
      <c r="R671" s="21" t="str">
        <f aca="false">IF(A671="","",SUMIF('Metric to Field'!$B:$B,A671,'Metric to Field'!$G:$G))</f>
        <v/>
      </c>
      <c r="S671" s="20"/>
      <c r="T671" s="20"/>
      <c r="U671" s="20"/>
      <c r="V671" s="20"/>
      <c r="W671" s="20"/>
    </row>
    <row r="672" customFormat="false" ht="15" hidden="false" customHeight="false" outlineLevel="0" collapsed="false">
      <c r="A672" s="18"/>
      <c r="B672" s="19"/>
      <c r="C672" s="20"/>
      <c r="D672" s="18" t="str">
        <f aca="false">IF(C672="","",IFERROR(INDEX(Tables!$A:$A,MATCH(C672,Tables!$B:$B,0)),"Not found"))</f>
        <v/>
      </c>
      <c r="E672" s="21" t="str">
        <f aca="false">IF(D672="","",IFERROR(INDEX(Tables!$D:$D,MATCH(D672,Tables!$A:$A,0)),""))</f>
        <v/>
      </c>
      <c r="F672" s="20"/>
      <c r="G672" s="20"/>
      <c r="H672" s="18"/>
      <c r="I672" s="20"/>
      <c r="J672" s="20"/>
      <c r="K672" s="20"/>
      <c r="L672" s="20"/>
      <c r="M672" s="20"/>
      <c r="N672" s="20"/>
      <c r="O672" s="20"/>
      <c r="P672" s="20"/>
      <c r="Q672" s="21" t="str">
        <f aca="false">IF(A672="","",COUNTIF('Metric to Field'!$B:$B,A672))</f>
        <v/>
      </c>
      <c r="R672" s="21" t="str">
        <f aca="false">IF(A672="","",SUMIF('Metric to Field'!$B:$B,A672,'Metric to Field'!$G:$G))</f>
        <v/>
      </c>
      <c r="S672" s="20"/>
      <c r="T672" s="20"/>
      <c r="U672" s="20"/>
      <c r="V672" s="20"/>
      <c r="W672" s="20"/>
    </row>
    <row r="673" customFormat="false" ht="15" hidden="false" customHeight="false" outlineLevel="0" collapsed="false">
      <c r="A673" s="18"/>
      <c r="B673" s="19"/>
      <c r="C673" s="20"/>
      <c r="D673" s="18" t="str">
        <f aca="false">IF(C673="","",IFERROR(INDEX(Tables!$A:$A,MATCH(C673,Tables!$B:$B,0)),"Not found"))</f>
        <v/>
      </c>
      <c r="E673" s="21" t="str">
        <f aca="false">IF(D673="","",IFERROR(INDEX(Tables!$D:$D,MATCH(D673,Tables!$A:$A,0)),""))</f>
        <v/>
      </c>
      <c r="F673" s="20"/>
      <c r="G673" s="20"/>
      <c r="H673" s="18"/>
      <c r="I673" s="20"/>
      <c r="J673" s="20"/>
      <c r="K673" s="20"/>
      <c r="L673" s="20"/>
      <c r="M673" s="20"/>
      <c r="N673" s="20"/>
      <c r="O673" s="20"/>
      <c r="P673" s="20"/>
      <c r="Q673" s="21" t="str">
        <f aca="false">IF(A673="","",COUNTIF('Metric to Field'!$B:$B,A673))</f>
        <v/>
      </c>
      <c r="R673" s="21" t="str">
        <f aca="false">IF(A673="","",SUMIF('Metric to Field'!$B:$B,A673,'Metric to Field'!$G:$G))</f>
        <v/>
      </c>
      <c r="S673" s="20"/>
      <c r="T673" s="20"/>
      <c r="U673" s="20"/>
      <c r="V673" s="20"/>
      <c r="W673" s="20"/>
    </row>
    <row r="674" customFormat="false" ht="15" hidden="false" customHeight="false" outlineLevel="0" collapsed="false">
      <c r="A674" s="18"/>
      <c r="B674" s="19"/>
      <c r="C674" s="20"/>
      <c r="D674" s="18" t="str">
        <f aca="false">IF(C674="","",IFERROR(INDEX(Tables!$A:$A,MATCH(C674,Tables!$B:$B,0)),"Not found"))</f>
        <v/>
      </c>
      <c r="E674" s="21" t="str">
        <f aca="false">IF(D674="","",IFERROR(INDEX(Tables!$D:$D,MATCH(D674,Tables!$A:$A,0)),""))</f>
        <v/>
      </c>
      <c r="F674" s="20"/>
      <c r="G674" s="20"/>
      <c r="H674" s="18"/>
      <c r="I674" s="20"/>
      <c r="J674" s="20"/>
      <c r="K674" s="20"/>
      <c r="L674" s="20"/>
      <c r="M674" s="20"/>
      <c r="N674" s="20"/>
      <c r="O674" s="20"/>
      <c r="P674" s="20"/>
      <c r="Q674" s="21" t="str">
        <f aca="false">IF(A674="","",COUNTIF('Metric to Field'!$B:$B,A674))</f>
        <v/>
      </c>
      <c r="R674" s="21" t="str">
        <f aca="false">IF(A674="","",SUMIF('Metric to Field'!$B:$B,A674,'Metric to Field'!$G:$G))</f>
        <v/>
      </c>
      <c r="S674" s="20"/>
      <c r="T674" s="20"/>
      <c r="U674" s="20"/>
      <c r="V674" s="20"/>
      <c r="W674" s="20"/>
    </row>
    <row r="675" customFormat="false" ht="15" hidden="false" customHeight="false" outlineLevel="0" collapsed="false">
      <c r="A675" s="18"/>
      <c r="B675" s="19"/>
      <c r="C675" s="20"/>
      <c r="D675" s="18" t="str">
        <f aca="false">IF(C675="","",IFERROR(INDEX(Tables!$A:$A,MATCH(C675,Tables!$B:$B,0)),"Not found"))</f>
        <v/>
      </c>
      <c r="E675" s="21" t="str">
        <f aca="false">IF(D675="","",IFERROR(INDEX(Tables!$D:$D,MATCH(D675,Tables!$A:$A,0)),""))</f>
        <v/>
      </c>
      <c r="F675" s="20"/>
      <c r="G675" s="20"/>
      <c r="H675" s="18"/>
      <c r="I675" s="20"/>
      <c r="J675" s="20"/>
      <c r="K675" s="20"/>
      <c r="L675" s="20"/>
      <c r="M675" s="20"/>
      <c r="N675" s="20"/>
      <c r="O675" s="20"/>
      <c r="P675" s="20"/>
      <c r="Q675" s="21" t="str">
        <f aca="false">IF(A675="","",COUNTIF('Metric to Field'!$B:$B,A675))</f>
        <v/>
      </c>
      <c r="R675" s="21" t="str">
        <f aca="false">IF(A675="","",SUMIF('Metric to Field'!$B:$B,A675,'Metric to Field'!$G:$G))</f>
        <v/>
      </c>
      <c r="S675" s="20"/>
      <c r="T675" s="20"/>
      <c r="U675" s="20"/>
      <c r="V675" s="20"/>
      <c r="W675" s="20"/>
    </row>
    <row r="676" customFormat="false" ht="15" hidden="false" customHeight="false" outlineLevel="0" collapsed="false">
      <c r="A676" s="18"/>
      <c r="B676" s="19"/>
      <c r="C676" s="20"/>
      <c r="D676" s="18" t="str">
        <f aca="false">IF(C676="","",IFERROR(INDEX(Tables!$A:$A,MATCH(C676,Tables!$B:$B,0)),"Not found"))</f>
        <v/>
      </c>
      <c r="E676" s="21" t="str">
        <f aca="false">IF(D676="","",IFERROR(INDEX(Tables!$D:$D,MATCH(D676,Tables!$A:$A,0)),""))</f>
        <v/>
      </c>
      <c r="F676" s="20"/>
      <c r="G676" s="20"/>
      <c r="H676" s="18"/>
      <c r="I676" s="20"/>
      <c r="J676" s="20"/>
      <c r="K676" s="20"/>
      <c r="L676" s="20"/>
      <c r="M676" s="20"/>
      <c r="N676" s="20"/>
      <c r="O676" s="20"/>
      <c r="P676" s="20"/>
      <c r="Q676" s="21" t="str">
        <f aca="false">IF(A676="","",COUNTIF('Metric to Field'!$B:$B,A676))</f>
        <v/>
      </c>
      <c r="R676" s="21" t="str">
        <f aca="false">IF(A676="","",SUMIF('Metric to Field'!$B:$B,A676,'Metric to Field'!$G:$G))</f>
        <v/>
      </c>
      <c r="S676" s="20"/>
      <c r="T676" s="20"/>
      <c r="U676" s="20"/>
      <c r="V676" s="20"/>
      <c r="W676" s="20"/>
    </row>
    <row r="677" customFormat="false" ht="15" hidden="false" customHeight="false" outlineLevel="0" collapsed="false">
      <c r="A677" s="18"/>
      <c r="B677" s="19"/>
      <c r="C677" s="20"/>
      <c r="D677" s="18" t="str">
        <f aca="false">IF(C677="","",IFERROR(INDEX(Tables!$A:$A,MATCH(C677,Tables!$B:$B,0)),"Not found"))</f>
        <v/>
      </c>
      <c r="E677" s="21" t="str">
        <f aca="false">IF(D677="","",IFERROR(INDEX(Tables!$D:$D,MATCH(D677,Tables!$A:$A,0)),""))</f>
        <v/>
      </c>
      <c r="F677" s="20"/>
      <c r="G677" s="20"/>
      <c r="H677" s="18"/>
      <c r="I677" s="20"/>
      <c r="J677" s="20"/>
      <c r="K677" s="20"/>
      <c r="L677" s="20"/>
      <c r="M677" s="20"/>
      <c r="N677" s="20"/>
      <c r="O677" s="20"/>
      <c r="P677" s="20"/>
      <c r="Q677" s="21" t="str">
        <f aca="false">IF(A677="","",COUNTIF('Metric to Field'!$B:$B,A677))</f>
        <v/>
      </c>
      <c r="R677" s="21" t="str">
        <f aca="false">IF(A677="","",SUMIF('Metric to Field'!$B:$B,A677,'Metric to Field'!$G:$G))</f>
        <v/>
      </c>
      <c r="S677" s="20"/>
      <c r="T677" s="20"/>
      <c r="U677" s="20"/>
      <c r="V677" s="20"/>
      <c r="W677" s="20"/>
    </row>
    <row r="678" customFormat="false" ht="15" hidden="false" customHeight="false" outlineLevel="0" collapsed="false">
      <c r="A678" s="18"/>
      <c r="B678" s="19"/>
      <c r="C678" s="20"/>
      <c r="D678" s="18" t="str">
        <f aca="false">IF(C678="","",IFERROR(INDEX(Tables!$A:$A,MATCH(C678,Tables!$B:$B,0)),"Not found"))</f>
        <v/>
      </c>
      <c r="E678" s="21" t="str">
        <f aca="false">IF(D678="","",IFERROR(INDEX(Tables!$D:$D,MATCH(D678,Tables!$A:$A,0)),""))</f>
        <v/>
      </c>
      <c r="F678" s="20"/>
      <c r="G678" s="20"/>
      <c r="H678" s="18"/>
      <c r="I678" s="20"/>
      <c r="J678" s="20"/>
      <c r="K678" s="20"/>
      <c r="L678" s="20"/>
      <c r="M678" s="20"/>
      <c r="N678" s="20"/>
      <c r="O678" s="20"/>
      <c r="P678" s="20"/>
      <c r="Q678" s="21" t="str">
        <f aca="false">IF(A678="","",COUNTIF('Metric to Field'!$B:$B,A678))</f>
        <v/>
      </c>
      <c r="R678" s="21" t="str">
        <f aca="false">IF(A678="","",SUMIF('Metric to Field'!$B:$B,A678,'Metric to Field'!$G:$G))</f>
        <v/>
      </c>
      <c r="S678" s="20"/>
      <c r="T678" s="20"/>
      <c r="U678" s="20"/>
      <c r="V678" s="20"/>
      <c r="W678" s="20"/>
    </row>
    <row r="679" customFormat="false" ht="15" hidden="false" customHeight="false" outlineLevel="0" collapsed="false">
      <c r="A679" s="18"/>
      <c r="B679" s="19"/>
      <c r="C679" s="20"/>
      <c r="D679" s="18" t="str">
        <f aca="false">IF(C679="","",IFERROR(INDEX(Tables!$A:$A,MATCH(C679,Tables!$B:$B,0)),"Not found"))</f>
        <v/>
      </c>
      <c r="E679" s="21" t="str">
        <f aca="false">IF(D679="","",IFERROR(INDEX(Tables!$D:$D,MATCH(D679,Tables!$A:$A,0)),""))</f>
        <v/>
      </c>
      <c r="F679" s="20"/>
      <c r="G679" s="20"/>
      <c r="H679" s="18"/>
      <c r="I679" s="20"/>
      <c r="J679" s="20"/>
      <c r="K679" s="20"/>
      <c r="L679" s="20"/>
      <c r="M679" s="20"/>
      <c r="N679" s="20"/>
      <c r="O679" s="20"/>
      <c r="P679" s="20"/>
      <c r="Q679" s="21" t="str">
        <f aca="false">IF(A679="","",COUNTIF('Metric to Field'!$B:$B,A679))</f>
        <v/>
      </c>
      <c r="R679" s="21" t="str">
        <f aca="false">IF(A679="","",SUMIF('Metric to Field'!$B:$B,A679,'Metric to Field'!$G:$G))</f>
        <v/>
      </c>
      <c r="S679" s="20"/>
      <c r="T679" s="20"/>
      <c r="U679" s="20"/>
      <c r="V679" s="20"/>
      <c r="W679" s="20"/>
    </row>
    <row r="680" customFormat="false" ht="15" hidden="false" customHeight="false" outlineLevel="0" collapsed="false">
      <c r="A680" s="18"/>
      <c r="B680" s="19"/>
      <c r="C680" s="20"/>
      <c r="D680" s="18" t="str">
        <f aca="false">IF(C680="","",IFERROR(INDEX(Tables!$A:$A,MATCH(C680,Tables!$B:$B,0)),"Not found"))</f>
        <v/>
      </c>
      <c r="E680" s="21" t="str">
        <f aca="false">IF(D680="","",IFERROR(INDEX(Tables!$D:$D,MATCH(D680,Tables!$A:$A,0)),""))</f>
        <v/>
      </c>
      <c r="F680" s="20"/>
      <c r="G680" s="20"/>
      <c r="H680" s="18"/>
      <c r="I680" s="20"/>
      <c r="J680" s="20"/>
      <c r="K680" s="20"/>
      <c r="L680" s="20"/>
      <c r="M680" s="20"/>
      <c r="N680" s="20"/>
      <c r="O680" s="20"/>
      <c r="P680" s="20"/>
      <c r="Q680" s="21" t="str">
        <f aca="false">IF(A680="","",COUNTIF('Metric to Field'!$B:$B,A680))</f>
        <v/>
      </c>
      <c r="R680" s="21" t="str">
        <f aca="false">IF(A680="","",SUMIF('Metric to Field'!$B:$B,A680,'Metric to Field'!$G:$G))</f>
        <v/>
      </c>
      <c r="S680" s="20"/>
      <c r="T680" s="20"/>
      <c r="U680" s="20"/>
      <c r="V680" s="20"/>
      <c r="W680" s="20"/>
    </row>
    <row r="681" customFormat="false" ht="15" hidden="false" customHeight="false" outlineLevel="0" collapsed="false">
      <c r="A681" s="18"/>
      <c r="B681" s="19"/>
      <c r="C681" s="20"/>
      <c r="D681" s="18" t="str">
        <f aca="false">IF(C681="","",IFERROR(INDEX(Tables!$A:$A,MATCH(C681,Tables!$B:$B,0)),"Not found"))</f>
        <v/>
      </c>
      <c r="E681" s="21" t="str">
        <f aca="false">IF(D681="","",IFERROR(INDEX(Tables!$D:$D,MATCH(D681,Tables!$A:$A,0)),""))</f>
        <v/>
      </c>
      <c r="F681" s="20"/>
      <c r="G681" s="20"/>
      <c r="H681" s="18"/>
      <c r="I681" s="20"/>
      <c r="J681" s="20"/>
      <c r="K681" s="20"/>
      <c r="L681" s="20"/>
      <c r="M681" s="20"/>
      <c r="N681" s="20"/>
      <c r="O681" s="20"/>
      <c r="P681" s="20"/>
      <c r="Q681" s="21" t="str">
        <f aca="false">IF(A681="","",COUNTIF('Metric to Field'!$B:$B,A681))</f>
        <v/>
      </c>
      <c r="R681" s="21" t="str">
        <f aca="false">IF(A681="","",SUMIF('Metric to Field'!$B:$B,A681,'Metric to Field'!$G:$G))</f>
        <v/>
      </c>
      <c r="S681" s="20"/>
      <c r="T681" s="20"/>
      <c r="U681" s="20"/>
      <c r="V681" s="20"/>
      <c r="W681" s="20"/>
    </row>
    <row r="682" customFormat="false" ht="15" hidden="false" customHeight="false" outlineLevel="0" collapsed="false">
      <c r="A682" s="18"/>
      <c r="B682" s="19"/>
      <c r="C682" s="20"/>
      <c r="D682" s="18" t="str">
        <f aca="false">IF(C682="","",IFERROR(INDEX(Tables!$A:$A,MATCH(C682,Tables!$B:$B,0)),"Not found"))</f>
        <v/>
      </c>
      <c r="E682" s="21" t="str">
        <f aca="false">IF(D682="","",IFERROR(INDEX(Tables!$D:$D,MATCH(D682,Tables!$A:$A,0)),""))</f>
        <v/>
      </c>
      <c r="F682" s="20"/>
      <c r="G682" s="20"/>
      <c r="H682" s="18"/>
      <c r="I682" s="20"/>
      <c r="J682" s="20"/>
      <c r="K682" s="20"/>
      <c r="L682" s="20"/>
      <c r="M682" s="20"/>
      <c r="N682" s="20"/>
      <c r="O682" s="20"/>
      <c r="P682" s="20"/>
      <c r="Q682" s="21" t="str">
        <f aca="false">IF(A682="","",COUNTIF('Metric to Field'!$B:$B,A682))</f>
        <v/>
      </c>
      <c r="R682" s="21" t="str">
        <f aca="false">IF(A682="","",SUMIF('Metric to Field'!$B:$B,A682,'Metric to Field'!$G:$G))</f>
        <v/>
      </c>
      <c r="S682" s="20"/>
      <c r="T682" s="20"/>
      <c r="U682" s="20"/>
      <c r="V682" s="20"/>
      <c r="W682" s="20"/>
    </row>
    <row r="683" customFormat="false" ht="15" hidden="false" customHeight="false" outlineLevel="0" collapsed="false">
      <c r="A683" s="18"/>
      <c r="B683" s="19"/>
      <c r="C683" s="20"/>
      <c r="D683" s="18" t="str">
        <f aca="false">IF(C683="","",IFERROR(INDEX(Tables!$A:$A,MATCH(C683,Tables!$B:$B,0)),"Not found"))</f>
        <v/>
      </c>
      <c r="E683" s="21" t="str">
        <f aca="false">IF(D683="","",IFERROR(INDEX(Tables!$D:$D,MATCH(D683,Tables!$A:$A,0)),""))</f>
        <v/>
      </c>
      <c r="F683" s="20"/>
      <c r="G683" s="20"/>
      <c r="H683" s="18"/>
      <c r="I683" s="20"/>
      <c r="J683" s="20"/>
      <c r="K683" s="20"/>
      <c r="L683" s="20"/>
      <c r="M683" s="20"/>
      <c r="N683" s="20"/>
      <c r="O683" s="20"/>
      <c r="P683" s="20"/>
      <c r="Q683" s="21" t="str">
        <f aca="false">IF(A683="","",COUNTIF('Metric to Field'!$B:$B,A683))</f>
        <v/>
      </c>
      <c r="R683" s="21" t="str">
        <f aca="false">IF(A683="","",SUMIF('Metric to Field'!$B:$B,A683,'Metric to Field'!$G:$G))</f>
        <v/>
      </c>
      <c r="S683" s="20"/>
      <c r="T683" s="20"/>
      <c r="U683" s="20"/>
      <c r="V683" s="20"/>
      <c r="W683" s="20"/>
    </row>
    <row r="684" customFormat="false" ht="15" hidden="false" customHeight="false" outlineLevel="0" collapsed="false">
      <c r="A684" s="18"/>
      <c r="B684" s="19"/>
      <c r="C684" s="20"/>
      <c r="D684" s="18" t="str">
        <f aca="false">IF(C684="","",IFERROR(INDEX(Tables!$A:$A,MATCH(C684,Tables!$B:$B,0)),"Not found"))</f>
        <v/>
      </c>
      <c r="E684" s="21" t="str">
        <f aca="false">IF(D684="","",IFERROR(INDEX(Tables!$D:$D,MATCH(D684,Tables!$A:$A,0)),""))</f>
        <v/>
      </c>
      <c r="F684" s="20"/>
      <c r="G684" s="20"/>
      <c r="H684" s="18"/>
      <c r="I684" s="20"/>
      <c r="J684" s="20"/>
      <c r="K684" s="20"/>
      <c r="L684" s="20"/>
      <c r="M684" s="20"/>
      <c r="N684" s="20"/>
      <c r="O684" s="20"/>
      <c r="P684" s="20"/>
      <c r="Q684" s="21" t="str">
        <f aca="false">IF(A684="","",COUNTIF('Metric to Field'!$B:$B,A684))</f>
        <v/>
      </c>
      <c r="R684" s="21" t="str">
        <f aca="false">IF(A684="","",SUMIF('Metric to Field'!$B:$B,A684,'Metric to Field'!$G:$G))</f>
        <v/>
      </c>
      <c r="S684" s="20"/>
      <c r="T684" s="20"/>
      <c r="U684" s="20"/>
      <c r="V684" s="20"/>
      <c r="W684" s="20"/>
    </row>
    <row r="685" customFormat="false" ht="15" hidden="false" customHeight="false" outlineLevel="0" collapsed="false">
      <c r="A685" s="18"/>
      <c r="B685" s="19"/>
      <c r="C685" s="20"/>
      <c r="D685" s="18" t="str">
        <f aca="false">IF(C685="","",IFERROR(INDEX(Tables!$A:$A,MATCH(C685,Tables!$B:$B,0)),"Not found"))</f>
        <v/>
      </c>
      <c r="E685" s="21" t="str">
        <f aca="false">IF(D685="","",IFERROR(INDEX(Tables!$D:$D,MATCH(D685,Tables!$A:$A,0)),""))</f>
        <v/>
      </c>
      <c r="F685" s="20"/>
      <c r="G685" s="20"/>
      <c r="H685" s="18"/>
      <c r="I685" s="20"/>
      <c r="J685" s="20"/>
      <c r="K685" s="20"/>
      <c r="L685" s="20"/>
      <c r="M685" s="20"/>
      <c r="N685" s="20"/>
      <c r="O685" s="20"/>
      <c r="P685" s="20"/>
      <c r="Q685" s="21" t="str">
        <f aca="false">IF(A685="","",COUNTIF('Metric to Field'!$B:$B,A685))</f>
        <v/>
      </c>
      <c r="R685" s="21" t="str">
        <f aca="false">IF(A685="","",SUMIF('Metric to Field'!$B:$B,A685,'Metric to Field'!$G:$G))</f>
        <v/>
      </c>
      <c r="S685" s="20"/>
      <c r="T685" s="20"/>
      <c r="U685" s="20"/>
      <c r="V685" s="20"/>
      <c r="W685" s="20"/>
    </row>
    <row r="686" customFormat="false" ht="15" hidden="false" customHeight="false" outlineLevel="0" collapsed="false">
      <c r="A686" s="18"/>
      <c r="B686" s="19"/>
      <c r="C686" s="20"/>
      <c r="D686" s="18" t="str">
        <f aca="false">IF(C686="","",IFERROR(INDEX(Tables!$A:$A,MATCH(C686,Tables!$B:$B,0)),"Not found"))</f>
        <v/>
      </c>
      <c r="E686" s="21" t="str">
        <f aca="false">IF(D686="","",IFERROR(INDEX(Tables!$D:$D,MATCH(D686,Tables!$A:$A,0)),""))</f>
        <v/>
      </c>
      <c r="F686" s="20"/>
      <c r="G686" s="20"/>
      <c r="H686" s="18"/>
      <c r="I686" s="20"/>
      <c r="J686" s="20"/>
      <c r="K686" s="20"/>
      <c r="L686" s="20"/>
      <c r="M686" s="20"/>
      <c r="N686" s="20"/>
      <c r="O686" s="20"/>
      <c r="P686" s="20"/>
      <c r="Q686" s="21" t="str">
        <f aca="false">IF(A686="","",COUNTIF('Metric to Field'!$B:$B,A686))</f>
        <v/>
      </c>
      <c r="R686" s="21" t="str">
        <f aca="false">IF(A686="","",SUMIF('Metric to Field'!$B:$B,A686,'Metric to Field'!$G:$G))</f>
        <v/>
      </c>
      <c r="S686" s="20"/>
      <c r="T686" s="20"/>
      <c r="U686" s="20"/>
      <c r="V686" s="20"/>
      <c r="W686" s="20"/>
    </row>
    <row r="687" customFormat="false" ht="15" hidden="false" customHeight="false" outlineLevel="0" collapsed="false">
      <c r="A687" s="18"/>
      <c r="B687" s="19"/>
      <c r="C687" s="20"/>
      <c r="D687" s="18" t="str">
        <f aca="false">IF(C687="","",IFERROR(INDEX(Tables!$A:$A,MATCH(C687,Tables!$B:$B,0)),"Not found"))</f>
        <v/>
      </c>
      <c r="E687" s="21" t="str">
        <f aca="false">IF(D687="","",IFERROR(INDEX(Tables!$D:$D,MATCH(D687,Tables!$A:$A,0)),""))</f>
        <v/>
      </c>
      <c r="F687" s="20"/>
      <c r="G687" s="20"/>
      <c r="H687" s="18"/>
      <c r="I687" s="20"/>
      <c r="J687" s="20"/>
      <c r="K687" s="20"/>
      <c r="L687" s="20"/>
      <c r="M687" s="20"/>
      <c r="N687" s="20"/>
      <c r="O687" s="20"/>
      <c r="P687" s="20"/>
      <c r="Q687" s="21" t="str">
        <f aca="false">IF(A687="","",COUNTIF('Metric to Field'!$B:$B,A687))</f>
        <v/>
      </c>
      <c r="R687" s="21" t="str">
        <f aca="false">IF(A687="","",SUMIF('Metric to Field'!$B:$B,A687,'Metric to Field'!$G:$G))</f>
        <v/>
      </c>
      <c r="S687" s="20"/>
      <c r="T687" s="20"/>
      <c r="U687" s="20"/>
      <c r="V687" s="20"/>
      <c r="W687" s="20"/>
    </row>
    <row r="688" customFormat="false" ht="15" hidden="false" customHeight="false" outlineLevel="0" collapsed="false">
      <c r="A688" s="18"/>
      <c r="B688" s="19"/>
      <c r="C688" s="20"/>
      <c r="D688" s="18" t="str">
        <f aca="false">IF(C688="","",IFERROR(INDEX(Tables!$A:$A,MATCH(C688,Tables!$B:$B,0)),"Not found"))</f>
        <v/>
      </c>
      <c r="E688" s="21" t="str">
        <f aca="false">IF(D688="","",IFERROR(INDEX(Tables!$D:$D,MATCH(D688,Tables!$A:$A,0)),""))</f>
        <v/>
      </c>
      <c r="F688" s="20"/>
      <c r="G688" s="20"/>
      <c r="H688" s="18"/>
      <c r="I688" s="20"/>
      <c r="J688" s="20"/>
      <c r="K688" s="20"/>
      <c r="L688" s="20"/>
      <c r="M688" s="20"/>
      <c r="N688" s="20"/>
      <c r="O688" s="20"/>
      <c r="P688" s="20"/>
      <c r="Q688" s="21" t="str">
        <f aca="false">IF(A688="","",COUNTIF('Metric to Field'!$B:$B,A688))</f>
        <v/>
      </c>
      <c r="R688" s="21" t="str">
        <f aca="false">IF(A688="","",SUMIF('Metric to Field'!$B:$B,A688,'Metric to Field'!$G:$G))</f>
        <v/>
      </c>
      <c r="S688" s="20"/>
      <c r="T688" s="20"/>
      <c r="U688" s="20"/>
      <c r="V688" s="20"/>
      <c r="W688" s="20"/>
    </row>
    <row r="689" customFormat="false" ht="15" hidden="false" customHeight="false" outlineLevel="0" collapsed="false">
      <c r="A689" s="18"/>
      <c r="B689" s="19"/>
      <c r="C689" s="20"/>
      <c r="D689" s="18" t="str">
        <f aca="false">IF(C689="","",IFERROR(INDEX(Tables!$A:$A,MATCH(C689,Tables!$B:$B,0)),"Not found"))</f>
        <v/>
      </c>
      <c r="E689" s="21" t="str">
        <f aca="false">IF(D689="","",IFERROR(INDEX(Tables!$D:$D,MATCH(D689,Tables!$A:$A,0)),""))</f>
        <v/>
      </c>
      <c r="F689" s="20"/>
      <c r="G689" s="20"/>
      <c r="H689" s="18"/>
      <c r="I689" s="20"/>
      <c r="J689" s="20"/>
      <c r="K689" s="20"/>
      <c r="L689" s="20"/>
      <c r="M689" s="20"/>
      <c r="N689" s="20"/>
      <c r="O689" s="20"/>
      <c r="P689" s="20"/>
      <c r="Q689" s="21" t="str">
        <f aca="false">IF(A689="","",COUNTIF('Metric to Field'!$B:$B,A689))</f>
        <v/>
      </c>
      <c r="R689" s="21" t="str">
        <f aca="false">IF(A689="","",SUMIF('Metric to Field'!$B:$B,A689,'Metric to Field'!$G:$G))</f>
        <v/>
      </c>
      <c r="S689" s="20"/>
      <c r="T689" s="20"/>
      <c r="U689" s="20"/>
      <c r="V689" s="20"/>
      <c r="W689" s="20"/>
    </row>
    <row r="690" customFormat="false" ht="15" hidden="false" customHeight="false" outlineLevel="0" collapsed="false">
      <c r="A690" s="18"/>
      <c r="B690" s="19"/>
      <c r="C690" s="20"/>
      <c r="D690" s="18" t="str">
        <f aca="false">IF(C690="","",IFERROR(INDEX(Tables!$A:$A,MATCH(C690,Tables!$B:$B,0)),"Not found"))</f>
        <v/>
      </c>
      <c r="E690" s="21" t="str">
        <f aca="false">IF(D690="","",IFERROR(INDEX(Tables!$D:$D,MATCH(D690,Tables!$A:$A,0)),""))</f>
        <v/>
      </c>
      <c r="F690" s="20"/>
      <c r="G690" s="20"/>
      <c r="H690" s="18"/>
      <c r="I690" s="20"/>
      <c r="J690" s="20"/>
      <c r="K690" s="20"/>
      <c r="L690" s="20"/>
      <c r="M690" s="20"/>
      <c r="N690" s="20"/>
      <c r="O690" s="20"/>
      <c r="P690" s="20"/>
      <c r="Q690" s="21" t="str">
        <f aca="false">IF(A690="","",COUNTIF('Metric to Field'!$B:$B,A690))</f>
        <v/>
      </c>
      <c r="R690" s="21" t="str">
        <f aca="false">IF(A690="","",SUMIF('Metric to Field'!$B:$B,A690,'Metric to Field'!$G:$G))</f>
        <v/>
      </c>
      <c r="S690" s="20"/>
      <c r="T690" s="20"/>
      <c r="U690" s="20"/>
      <c r="V690" s="20"/>
      <c r="W690" s="20"/>
    </row>
    <row r="691" customFormat="false" ht="15" hidden="false" customHeight="false" outlineLevel="0" collapsed="false">
      <c r="A691" s="18"/>
      <c r="B691" s="19"/>
      <c r="C691" s="20"/>
      <c r="D691" s="18" t="str">
        <f aca="false">IF(C691="","",IFERROR(INDEX(Tables!$A:$A,MATCH(C691,Tables!$B:$B,0)),"Not found"))</f>
        <v/>
      </c>
      <c r="E691" s="21" t="str">
        <f aca="false">IF(D691="","",IFERROR(INDEX(Tables!$D:$D,MATCH(D691,Tables!$A:$A,0)),""))</f>
        <v/>
      </c>
      <c r="F691" s="20"/>
      <c r="G691" s="20"/>
      <c r="H691" s="18"/>
      <c r="I691" s="20"/>
      <c r="J691" s="20"/>
      <c r="K691" s="20"/>
      <c r="L691" s="20"/>
      <c r="M691" s="20"/>
      <c r="N691" s="20"/>
      <c r="O691" s="20"/>
      <c r="P691" s="20"/>
      <c r="Q691" s="21" t="str">
        <f aca="false">IF(A691="","",COUNTIF('Metric to Field'!$B:$B,A691))</f>
        <v/>
      </c>
      <c r="R691" s="21" t="str">
        <f aca="false">IF(A691="","",SUMIF('Metric to Field'!$B:$B,A691,'Metric to Field'!$G:$G))</f>
        <v/>
      </c>
      <c r="S691" s="20"/>
      <c r="T691" s="20"/>
      <c r="U691" s="20"/>
      <c r="V691" s="20"/>
      <c r="W691" s="20"/>
    </row>
    <row r="692" customFormat="false" ht="15" hidden="false" customHeight="false" outlineLevel="0" collapsed="false">
      <c r="A692" s="18"/>
      <c r="B692" s="19"/>
      <c r="C692" s="20"/>
      <c r="D692" s="18" t="str">
        <f aca="false">IF(C692="","",IFERROR(INDEX(Tables!$A:$A,MATCH(C692,Tables!$B:$B,0)),"Not found"))</f>
        <v/>
      </c>
      <c r="E692" s="21" t="str">
        <f aca="false">IF(D692="","",IFERROR(INDEX(Tables!$D:$D,MATCH(D692,Tables!$A:$A,0)),""))</f>
        <v/>
      </c>
      <c r="F692" s="20"/>
      <c r="G692" s="20"/>
      <c r="H692" s="18"/>
      <c r="I692" s="20"/>
      <c r="J692" s="20"/>
      <c r="K692" s="20"/>
      <c r="L692" s="20"/>
      <c r="M692" s="20"/>
      <c r="N692" s="20"/>
      <c r="O692" s="20"/>
      <c r="P692" s="20"/>
      <c r="Q692" s="21" t="str">
        <f aca="false">IF(A692="","",COUNTIF('Metric to Field'!$B:$B,A692))</f>
        <v/>
      </c>
      <c r="R692" s="21" t="str">
        <f aca="false">IF(A692="","",SUMIF('Metric to Field'!$B:$B,A692,'Metric to Field'!$G:$G))</f>
        <v/>
      </c>
      <c r="S692" s="20"/>
      <c r="T692" s="20"/>
      <c r="U692" s="20"/>
      <c r="V692" s="20"/>
      <c r="W692" s="20"/>
    </row>
    <row r="693" customFormat="false" ht="15" hidden="false" customHeight="false" outlineLevel="0" collapsed="false">
      <c r="A693" s="18"/>
      <c r="B693" s="19"/>
      <c r="C693" s="20"/>
      <c r="D693" s="18" t="str">
        <f aca="false">IF(C693="","",IFERROR(INDEX(Tables!$A:$A,MATCH(C693,Tables!$B:$B,0)),"Not found"))</f>
        <v/>
      </c>
      <c r="E693" s="21" t="str">
        <f aca="false">IF(D693="","",IFERROR(INDEX(Tables!$D:$D,MATCH(D693,Tables!$A:$A,0)),""))</f>
        <v/>
      </c>
      <c r="F693" s="20"/>
      <c r="G693" s="20"/>
      <c r="H693" s="18"/>
      <c r="I693" s="20"/>
      <c r="J693" s="20"/>
      <c r="K693" s="20"/>
      <c r="L693" s="20"/>
      <c r="M693" s="20"/>
      <c r="N693" s="20"/>
      <c r="O693" s="20"/>
      <c r="P693" s="20"/>
      <c r="Q693" s="21" t="str">
        <f aca="false">IF(A693="","",COUNTIF('Metric to Field'!$B:$B,A693))</f>
        <v/>
      </c>
      <c r="R693" s="21" t="str">
        <f aca="false">IF(A693="","",SUMIF('Metric to Field'!$B:$B,A693,'Metric to Field'!$G:$G))</f>
        <v/>
      </c>
      <c r="S693" s="20"/>
      <c r="T693" s="20"/>
      <c r="U693" s="20"/>
      <c r="V693" s="20"/>
      <c r="W693" s="20"/>
    </row>
    <row r="694" customFormat="false" ht="15" hidden="false" customHeight="false" outlineLevel="0" collapsed="false">
      <c r="A694" s="18"/>
      <c r="B694" s="19"/>
      <c r="C694" s="20"/>
      <c r="D694" s="18" t="str">
        <f aca="false">IF(C694="","",IFERROR(INDEX(Tables!$A:$A,MATCH(C694,Tables!$B:$B,0)),"Not found"))</f>
        <v/>
      </c>
      <c r="E694" s="21" t="str">
        <f aca="false">IF(D694="","",IFERROR(INDEX(Tables!$D:$D,MATCH(D694,Tables!$A:$A,0)),""))</f>
        <v/>
      </c>
      <c r="F694" s="20"/>
      <c r="G694" s="20"/>
      <c r="H694" s="18"/>
      <c r="I694" s="20"/>
      <c r="J694" s="20"/>
      <c r="K694" s="20"/>
      <c r="L694" s="20"/>
      <c r="M694" s="20"/>
      <c r="N694" s="20"/>
      <c r="O694" s="20"/>
      <c r="P694" s="20"/>
      <c r="Q694" s="21" t="str">
        <f aca="false">IF(A694="","",COUNTIF('Metric to Field'!$B:$B,A694))</f>
        <v/>
      </c>
      <c r="R694" s="21" t="str">
        <f aca="false">IF(A694="","",SUMIF('Metric to Field'!$B:$B,A694,'Metric to Field'!$G:$G))</f>
        <v/>
      </c>
      <c r="S694" s="20"/>
      <c r="T694" s="20"/>
      <c r="U694" s="20"/>
      <c r="V694" s="20"/>
      <c r="W694" s="20"/>
    </row>
    <row r="695" customFormat="false" ht="15" hidden="false" customHeight="false" outlineLevel="0" collapsed="false">
      <c r="A695" s="18"/>
      <c r="B695" s="19"/>
      <c r="C695" s="20"/>
      <c r="D695" s="18" t="str">
        <f aca="false">IF(C695="","",IFERROR(INDEX(Tables!$A:$A,MATCH(C695,Tables!$B:$B,0)),"Not found"))</f>
        <v/>
      </c>
      <c r="E695" s="21" t="str">
        <f aca="false">IF(D695="","",IFERROR(INDEX(Tables!$D:$D,MATCH(D695,Tables!$A:$A,0)),""))</f>
        <v/>
      </c>
      <c r="F695" s="20"/>
      <c r="G695" s="20"/>
      <c r="H695" s="18"/>
      <c r="I695" s="20"/>
      <c r="J695" s="20"/>
      <c r="K695" s="20"/>
      <c r="L695" s="20"/>
      <c r="M695" s="20"/>
      <c r="N695" s="20"/>
      <c r="O695" s="20"/>
      <c r="P695" s="20"/>
      <c r="Q695" s="21" t="str">
        <f aca="false">IF(A695="","",COUNTIF('Metric to Field'!$B:$B,A695))</f>
        <v/>
      </c>
      <c r="R695" s="21" t="str">
        <f aca="false">IF(A695="","",SUMIF('Metric to Field'!$B:$B,A695,'Metric to Field'!$G:$G))</f>
        <v/>
      </c>
      <c r="S695" s="20"/>
      <c r="T695" s="20"/>
      <c r="U695" s="20"/>
      <c r="V695" s="20"/>
      <c r="W695" s="20"/>
    </row>
    <row r="696" customFormat="false" ht="15" hidden="false" customHeight="false" outlineLevel="0" collapsed="false">
      <c r="A696" s="18"/>
      <c r="B696" s="19"/>
      <c r="C696" s="20"/>
      <c r="D696" s="18" t="str">
        <f aca="false">IF(C696="","",IFERROR(INDEX(Tables!$A:$A,MATCH(C696,Tables!$B:$B,0)),"Not found"))</f>
        <v/>
      </c>
      <c r="E696" s="21" t="str">
        <f aca="false">IF(D696="","",IFERROR(INDEX(Tables!$D:$D,MATCH(D696,Tables!$A:$A,0)),""))</f>
        <v/>
      </c>
      <c r="F696" s="20"/>
      <c r="G696" s="20"/>
      <c r="H696" s="18"/>
      <c r="I696" s="20"/>
      <c r="J696" s="20"/>
      <c r="K696" s="20"/>
      <c r="L696" s="20"/>
      <c r="M696" s="20"/>
      <c r="N696" s="20"/>
      <c r="O696" s="20"/>
      <c r="P696" s="20"/>
      <c r="Q696" s="21" t="str">
        <f aca="false">IF(A696="","",COUNTIF('Metric to Field'!$B:$B,A696))</f>
        <v/>
      </c>
      <c r="R696" s="21" t="str">
        <f aca="false">IF(A696="","",SUMIF('Metric to Field'!$B:$B,A696,'Metric to Field'!$G:$G))</f>
        <v/>
      </c>
      <c r="S696" s="20"/>
      <c r="T696" s="20"/>
      <c r="U696" s="20"/>
      <c r="V696" s="20"/>
      <c r="W696" s="20"/>
    </row>
    <row r="697" customFormat="false" ht="15" hidden="false" customHeight="false" outlineLevel="0" collapsed="false">
      <c r="A697" s="18"/>
      <c r="B697" s="19"/>
      <c r="C697" s="20"/>
      <c r="D697" s="18" t="str">
        <f aca="false">IF(C697="","",IFERROR(INDEX(Tables!$A:$A,MATCH(C697,Tables!$B:$B,0)),"Not found"))</f>
        <v/>
      </c>
      <c r="E697" s="21" t="str">
        <f aca="false">IF(D697="","",IFERROR(INDEX(Tables!$D:$D,MATCH(D697,Tables!$A:$A,0)),""))</f>
        <v/>
      </c>
      <c r="F697" s="20"/>
      <c r="G697" s="20"/>
      <c r="H697" s="18"/>
      <c r="I697" s="20"/>
      <c r="J697" s="20"/>
      <c r="K697" s="20"/>
      <c r="L697" s="20"/>
      <c r="M697" s="20"/>
      <c r="N697" s="20"/>
      <c r="O697" s="20"/>
      <c r="P697" s="20"/>
      <c r="Q697" s="21" t="str">
        <f aca="false">IF(A697="","",COUNTIF('Metric to Field'!$B:$B,A697))</f>
        <v/>
      </c>
      <c r="R697" s="21" t="str">
        <f aca="false">IF(A697="","",SUMIF('Metric to Field'!$B:$B,A697,'Metric to Field'!$G:$G))</f>
        <v/>
      </c>
      <c r="S697" s="20"/>
      <c r="T697" s="20"/>
      <c r="U697" s="20"/>
      <c r="V697" s="20"/>
      <c r="W697" s="20"/>
    </row>
    <row r="698" customFormat="false" ht="15" hidden="false" customHeight="false" outlineLevel="0" collapsed="false">
      <c r="A698" s="18"/>
      <c r="B698" s="19"/>
      <c r="C698" s="20"/>
      <c r="D698" s="18" t="str">
        <f aca="false">IF(C698="","",IFERROR(INDEX(Tables!$A:$A,MATCH(C698,Tables!$B:$B,0)),"Not found"))</f>
        <v/>
      </c>
      <c r="E698" s="21" t="str">
        <f aca="false">IF(D698="","",IFERROR(INDEX(Tables!$D:$D,MATCH(D698,Tables!$A:$A,0)),""))</f>
        <v/>
      </c>
      <c r="F698" s="20"/>
      <c r="G698" s="20"/>
      <c r="H698" s="18"/>
      <c r="I698" s="20"/>
      <c r="J698" s="20"/>
      <c r="K698" s="20"/>
      <c r="L698" s="20"/>
      <c r="M698" s="20"/>
      <c r="N698" s="20"/>
      <c r="O698" s="20"/>
      <c r="P698" s="20"/>
      <c r="Q698" s="21" t="str">
        <f aca="false">IF(A698="","",COUNTIF('Metric to Field'!$B:$B,A698))</f>
        <v/>
      </c>
      <c r="R698" s="21" t="str">
        <f aca="false">IF(A698="","",SUMIF('Metric to Field'!$B:$B,A698,'Metric to Field'!$G:$G))</f>
        <v/>
      </c>
      <c r="S698" s="20"/>
      <c r="T698" s="20"/>
      <c r="U698" s="20"/>
      <c r="V698" s="20"/>
      <c r="W698" s="20"/>
    </row>
    <row r="699" customFormat="false" ht="15" hidden="false" customHeight="false" outlineLevel="0" collapsed="false">
      <c r="A699" s="18"/>
      <c r="B699" s="19"/>
      <c r="C699" s="20"/>
      <c r="D699" s="18" t="str">
        <f aca="false">IF(C699="","",IFERROR(INDEX(Tables!$A:$A,MATCH(C699,Tables!$B:$B,0)),"Not found"))</f>
        <v/>
      </c>
      <c r="E699" s="21" t="str">
        <f aca="false">IF(D699="","",IFERROR(INDEX(Tables!$D:$D,MATCH(D699,Tables!$A:$A,0)),""))</f>
        <v/>
      </c>
      <c r="F699" s="20"/>
      <c r="G699" s="20"/>
      <c r="H699" s="18"/>
      <c r="I699" s="20"/>
      <c r="J699" s="20"/>
      <c r="K699" s="20"/>
      <c r="L699" s="20"/>
      <c r="M699" s="20"/>
      <c r="N699" s="20"/>
      <c r="O699" s="20"/>
      <c r="P699" s="20"/>
      <c r="Q699" s="21" t="str">
        <f aca="false">IF(A699="","",COUNTIF('Metric to Field'!$B:$B,A699))</f>
        <v/>
      </c>
      <c r="R699" s="21" t="str">
        <f aca="false">IF(A699="","",SUMIF('Metric to Field'!$B:$B,A699,'Metric to Field'!$G:$G))</f>
        <v/>
      </c>
      <c r="S699" s="20"/>
      <c r="T699" s="20"/>
      <c r="U699" s="20"/>
      <c r="V699" s="20"/>
      <c r="W699" s="20"/>
    </row>
    <row r="700" customFormat="false" ht="15" hidden="false" customHeight="false" outlineLevel="0" collapsed="false">
      <c r="A700" s="18"/>
      <c r="B700" s="19"/>
      <c r="C700" s="20"/>
      <c r="D700" s="18" t="str">
        <f aca="false">IF(C700="","",IFERROR(INDEX(Tables!$A:$A,MATCH(C700,Tables!$B:$B,0)),"Not found"))</f>
        <v/>
      </c>
      <c r="E700" s="21" t="str">
        <f aca="false">IF(D700="","",IFERROR(INDEX(Tables!$D:$D,MATCH(D700,Tables!$A:$A,0)),""))</f>
        <v/>
      </c>
      <c r="F700" s="20"/>
      <c r="G700" s="20"/>
      <c r="H700" s="18"/>
      <c r="I700" s="20"/>
      <c r="J700" s="20"/>
      <c r="K700" s="20"/>
      <c r="L700" s="20"/>
      <c r="M700" s="20"/>
      <c r="N700" s="20"/>
      <c r="O700" s="20"/>
      <c r="P700" s="20"/>
      <c r="Q700" s="21" t="str">
        <f aca="false">IF(A700="","",COUNTIF('Metric to Field'!$B:$B,A700))</f>
        <v/>
      </c>
      <c r="R700" s="21" t="str">
        <f aca="false">IF(A700="","",SUMIF('Metric to Field'!$B:$B,A700,'Metric to Field'!$G:$G))</f>
        <v/>
      </c>
      <c r="S700" s="20"/>
      <c r="T700" s="20"/>
      <c r="U700" s="20"/>
      <c r="V700" s="20"/>
      <c r="W700" s="20"/>
    </row>
    <row r="701" customFormat="false" ht="15" hidden="false" customHeight="false" outlineLevel="0" collapsed="false">
      <c r="A701" s="18"/>
      <c r="B701" s="19"/>
      <c r="C701" s="20"/>
      <c r="D701" s="18" t="str">
        <f aca="false">IF(C701="","",IFERROR(INDEX(Tables!$A:$A,MATCH(C701,Tables!$B:$B,0)),"Not found"))</f>
        <v/>
      </c>
      <c r="E701" s="21" t="str">
        <f aca="false">IF(D701="","",IFERROR(INDEX(Tables!$D:$D,MATCH(D701,Tables!$A:$A,0)),""))</f>
        <v/>
      </c>
      <c r="F701" s="20"/>
      <c r="G701" s="20"/>
      <c r="H701" s="18"/>
      <c r="I701" s="20"/>
      <c r="J701" s="20"/>
      <c r="K701" s="20"/>
      <c r="L701" s="20"/>
      <c r="M701" s="20"/>
      <c r="N701" s="20"/>
      <c r="O701" s="20"/>
      <c r="P701" s="20"/>
      <c r="Q701" s="21" t="str">
        <f aca="false">IF(A701="","",COUNTIF('Metric to Field'!$B:$B,A701))</f>
        <v/>
      </c>
      <c r="R701" s="21" t="str">
        <f aca="false">IF(A701="","",SUMIF('Metric to Field'!$B:$B,A701,'Metric to Field'!$G:$G))</f>
        <v/>
      </c>
      <c r="S701" s="20"/>
      <c r="T701" s="20"/>
      <c r="U701" s="20"/>
      <c r="V701" s="20"/>
      <c r="W701" s="20"/>
    </row>
    <row r="702" customFormat="false" ht="15" hidden="false" customHeight="false" outlineLevel="0" collapsed="false">
      <c r="A702" s="18"/>
      <c r="B702" s="19"/>
      <c r="C702" s="20"/>
      <c r="D702" s="18" t="str">
        <f aca="false">IF(C702="","",IFERROR(INDEX(Tables!$A:$A,MATCH(C702,Tables!$B:$B,0)),"Not found"))</f>
        <v/>
      </c>
      <c r="E702" s="21" t="str">
        <f aca="false">IF(D702="","",IFERROR(INDEX(Tables!$D:$D,MATCH(D702,Tables!$A:$A,0)),""))</f>
        <v/>
      </c>
      <c r="F702" s="20"/>
      <c r="G702" s="20"/>
      <c r="H702" s="18"/>
      <c r="I702" s="20"/>
      <c r="J702" s="20"/>
      <c r="K702" s="20"/>
      <c r="L702" s="20"/>
      <c r="M702" s="20"/>
      <c r="N702" s="20"/>
      <c r="O702" s="20"/>
      <c r="P702" s="20"/>
      <c r="Q702" s="21" t="str">
        <f aca="false">IF(A702="","",COUNTIF('Metric to Field'!$B:$B,A702))</f>
        <v/>
      </c>
      <c r="R702" s="21" t="str">
        <f aca="false">IF(A702="","",SUMIF('Metric to Field'!$B:$B,A702,'Metric to Field'!$G:$G))</f>
        <v/>
      </c>
      <c r="S702" s="20"/>
      <c r="T702" s="20"/>
      <c r="U702" s="20"/>
      <c r="V702" s="20"/>
      <c r="W702" s="20"/>
    </row>
    <row r="703" customFormat="false" ht="15" hidden="false" customHeight="false" outlineLevel="0" collapsed="false">
      <c r="A703" s="18"/>
      <c r="B703" s="19"/>
      <c r="C703" s="20"/>
      <c r="D703" s="18" t="str">
        <f aca="false">IF(C703="","",IFERROR(INDEX(Tables!$A:$A,MATCH(C703,Tables!$B:$B,0)),"Not found"))</f>
        <v/>
      </c>
      <c r="E703" s="21" t="str">
        <f aca="false">IF(D703="","",IFERROR(INDEX(Tables!$D:$D,MATCH(D703,Tables!$A:$A,0)),""))</f>
        <v/>
      </c>
      <c r="F703" s="20"/>
      <c r="G703" s="20"/>
      <c r="H703" s="18"/>
      <c r="I703" s="20"/>
      <c r="J703" s="20"/>
      <c r="K703" s="20"/>
      <c r="L703" s="20"/>
      <c r="M703" s="20"/>
      <c r="N703" s="20"/>
      <c r="O703" s="20"/>
      <c r="P703" s="20"/>
      <c r="Q703" s="21" t="str">
        <f aca="false">IF(A703="","",COUNTIF('Metric to Field'!$B:$B,A703))</f>
        <v/>
      </c>
      <c r="R703" s="21" t="str">
        <f aca="false">IF(A703="","",SUMIF('Metric to Field'!$B:$B,A703,'Metric to Field'!$G:$G))</f>
        <v/>
      </c>
      <c r="S703" s="20"/>
      <c r="T703" s="20"/>
      <c r="U703" s="20"/>
      <c r="V703" s="20"/>
      <c r="W703" s="20"/>
    </row>
    <row r="704" customFormat="false" ht="15" hidden="false" customHeight="false" outlineLevel="0" collapsed="false">
      <c r="A704" s="18"/>
      <c r="B704" s="19"/>
      <c r="C704" s="20"/>
      <c r="D704" s="18" t="str">
        <f aca="false">IF(C704="","",IFERROR(INDEX(Tables!$A:$A,MATCH(C704,Tables!$B:$B,0)),"Not found"))</f>
        <v/>
      </c>
      <c r="E704" s="21" t="str">
        <f aca="false">IF(D704="","",IFERROR(INDEX(Tables!$D:$D,MATCH(D704,Tables!$A:$A,0)),""))</f>
        <v/>
      </c>
      <c r="F704" s="20"/>
      <c r="G704" s="20"/>
      <c r="H704" s="18"/>
      <c r="I704" s="20"/>
      <c r="J704" s="20"/>
      <c r="K704" s="20"/>
      <c r="L704" s="20"/>
      <c r="M704" s="20"/>
      <c r="N704" s="20"/>
      <c r="O704" s="20"/>
      <c r="P704" s="20"/>
      <c r="Q704" s="21" t="str">
        <f aca="false">IF(A704="","",COUNTIF('Metric to Field'!$B:$B,A704))</f>
        <v/>
      </c>
      <c r="R704" s="21" t="str">
        <f aca="false">IF(A704="","",SUMIF('Metric to Field'!$B:$B,A704,'Metric to Field'!$G:$G))</f>
        <v/>
      </c>
      <c r="S704" s="20"/>
      <c r="T704" s="20"/>
      <c r="U704" s="20"/>
      <c r="V704" s="20"/>
      <c r="W704" s="20"/>
    </row>
  </sheetData>
  <autoFilter ref="A4:W704"/>
  <conditionalFormatting sqref="K5:K704">
    <cfRule type="cellIs" priority="2" operator="equal" aboveAverage="0" equalAverage="0" bottom="0" percent="0" rank="0" text="" dxfId="9">
      <formula>"Issue"</formula>
    </cfRule>
  </conditionalFormatting>
  <conditionalFormatting sqref="J5:J704">
    <cfRule type="cellIs" priority="3" operator="equal" aboveAverage="0" equalAverage="0" bottom="0" percent="0" rank="0" text="" dxfId="10">
      <formula>"Inside the product"</formula>
    </cfRule>
  </conditionalFormatting>
  <conditionalFormatting sqref="D5:D704">
    <cfRule type="cellIs" priority="4" operator="equal" aboveAverage="0" equalAverage="0" bottom="0" percent="0" rank="0" text="" dxfId="9">
      <formula>"Not found"</formula>
    </cfRule>
  </conditionalFormatting>
  <conditionalFormatting sqref="S5:S704">
    <cfRule type="cellIs" priority="5" operator="equal" aboveAverage="0" equalAverage="0" bottom="0" percent="0" rank="0" text="" dxfId="10">
      <formula>"Proposed"</formula>
    </cfRule>
  </conditionalFormatting>
  <dataValidations count="9">
    <dataValidation allowBlank="true" errorStyle="stop" operator="between" showDropDown="false" showErrorMessage="false" showInputMessage="false" sqref="C5:C704" type="list">
      <formula1>Tables!$B$5:$B$304</formula1>
      <formula2>0</formula2>
    </dataValidation>
    <dataValidation allowBlank="true" errorStyle="stop" operator="between" showDropDown="false" showErrorMessage="false" showInputMessage="false" sqref="F5:F704" type="list">
      <formula1>"Raw,Derived"</formula1>
      <formula2>0</formula2>
    </dataValidation>
    <dataValidation allowBlank="true" errorStyle="stop" operator="between" showDropDown="false" showErrorMessage="false" showInputMessage="false" sqref="J5:J704" type="list">
      <formula1>"In a script,Inside the product,In the warehouse,Unknown"</formula1>
      <formula2>0</formula2>
    </dataValidation>
    <dataValidation allowBlank="true" errorStyle="stop" operator="between" showDropDown="false" showErrorMessage="false" showInputMessage="false" sqref="K5:K704" type="list">
      <formula1>"OK,Issue,Unknown"</formula1>
      <formula2>0</formula2>
    </dataValidation>
    <dataValidation allowBlank="true" errorStyle="stop" operator="between" showDropDown="false" showErrorMessage="false" showInputMessage="false" sqref="L5:L704" type="list">
      <formula1>"Platform,Platform to HRDW,HRDW to custom table,Inside the product,Manual step,Unknown"</formula1>
      <formula2>0</formula2>
    </dataValidation>
    <dataValidation allowBlank="true" errorStyle="stop" operator="between" showDropDown="false" showErrorMessage="false" showInputMessage="false" sqref="N5:N704" type="list">
      <formula1>"Source tables,Business rules,Certified tables,Reporting"</formula1>
      <formula2>0</formula2>
    </dataValidation>
    <dataValidation allowBlank="true" errorStyle="stop" operator="between" showDropDown="false" showErrorMessage="false" showInputMessage="false" sqref="O5:O704" type="list">
      <formula1>"Keep as is,Build,Fix upstream,Move to business rules,Merge into certified table,Retire,Undecided"</formula1>
      <formula2>0</formula2>
    </dataValidation>
    <dataValidation allowBlank="true" errorStyle="stop" operator="between" showDropDown="false" showErrorMessage="false" showInputMessage="false" sqref="S5:S704" type="list">
      <formula1>"Proposed,Accepted,Corrected,Rejected"</formula1>
      <formula2>0</formula2>
    </dataValidation>
    <dataValidation allowBlank="true" errorStyle="stop" operator="between" showDropDown="false" showErrorMessage="false" showInputMessage="false" sqref="U5:U704" type="list">
      <formula1>"Found,Inferred,Proposed,Human"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9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7"/>
    <col collapsed="false" customWidth="true" hidden="false" outlineLevel="0" max="8" min="8" style="0" width="28"/>
    <col collapsed="false" customWidth="true" hidden="false" outlineLevel="0" max="9" min="9" style="0" width="11"/>
    <col collapsed="false" customWidth="true" hidden="false" outlineLevel="0" max="10" min="10" style="0" width="26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351</v>
      </c>
    </row>
    <row r="2" customFormat="false" ht="15" hidden="false" customHeight="false" outlineLevel="0" collapsed="false">
      <c r="A2" s="2" t="s">
        <v>474</v>
      </c>
    </row>
    <row r="4" customFormat="false" ht="33.75" hidden="false" customHeight="true" outlineLevel="0" collapsed="false">
      <c r="A4" s="16" t="s">
        <v>461</v>
      </c>
      <c r="B4" s="16" t="s">
        <v>475</v>
      </c>
      <c r="C4" s="17" t="s">
        <v>229</v>
      </c>
      <c r="D4" s="17" t="s">
        <v>353</v>
      </c>
      <c r="E4" s="17" t="s">
        <v>356</v>
      </c>
      <c r="F4" s="17" t="s">
        <v>170</v>
      </c>
      <c r="G4" s="16" t="s">
        <v>476</v>
      </c>
      <c r="H4" s="17" t="s">
        <v>75</v>
      </c>
      <c r="I4" s="17" t="s">
        <v>153</v>
      </c>
      <c r="J4" s="17" t="s">
        <v>156</v>
      </c>
      <c r="K4" s="17" t="s">
        <v>159</v>
      </c>
    </row>
    <row r="5" customFormat="false" ht="15" hidden="false" customHeight="false" outlineLevel="0" collapsed="false">
      <c r="A5" s="18" t="str">
        <f aca="false">IF(C5="","",IFERROR(INDEX(Metrics!$A:$A,MATCH(C5,Metrics!$C:$C,0)),"Not found"))</f>
        <v/>
      </c>
      <c r="B5" s="18" t="str">
        <f aca="false">IF(D5="","",IFERROR(INDEX(Fields!$A:$A,MATCH(D5,Fields!$B:$B,0)),"Not found"))</f>
        <v/>
      </c>
      <c r="C5" s="20"/>
      <c r="D5" s="20"/>
      <c r="E5" s="20"/>
      <c r="F5" s="21" t="str">
        <f aca="false">IF(B5="","",IFERROR(INDEX(Fields!$C:$C,MATCH(B5,Fields!$A:$A,0)),""))</f>
        <v/>
      </c>
      <c r="G5" s="18" t="str">
        <f aca="false">IF(A5="","",COUNTIF('Metric to Product'!$A:$A,A5))</f>
        <v/>
      </c>
      <c r="H5" s="20"/>
      <c r="I5" s="20"/>
      <c r="J5" s="20"/>
      <c r="K5" s="20"/>
    </row>
    <row r="6" customFormat="false" ht="15" hidden="false" customHeight="false" outlineLevel="0" collapsed="false">
      <c r="A6" s="18" t="str">
        <f aca="false">IF(C6="","",IFERROR(INDEX(Metrics!$A:$A,MATCH(C6,Metrics!$C:$C,0)),"Not found"))</f>
        <v/>
      </c>
      <c r="B6" s="18" t="str">
        <f aca="false">IF(D6="","",IFERROR(INDEX(Fields!$A:$A,MATCH(D6,Fields!$B:$B,0)),"Not found"))</f>
        <v/>
      </c>
      <c r="C6" s="20"/>
      <c r="D6" s="20"/>
      <c r="E6" s="20"/>
      <c r="F6" s="21" t="str">
        <f aca="false">IF(B6="","",IFERROR(INDEX(Fields!$C:$C,MATCH(B6,Fields!$A:$A,0)),""))</f>
        <v/>
      </c>
      <c r="G6" s="18" t="str">
        <f aca="false">IF(A6="","",COUNTIF('Metric to Product'!$A:$A,A6))</f>
        <v/>
      </c>
      <c r="H6" s="20"/>
      <c r="I6" s="20"/>
      <c r="J6" s="20"/>
      <c r="K6" s="20"/>
    </row>
    <row r="7" customFormat="false" ht="15" hidden="false" customHeight="false" outlineLevel="0" collapsed="false">
      <c r="A7" s="18" t="str">
        <f aca="false">IF(C7="","",IFERROR(INDEX(Metrics!$A:$A,MATCH(C7,Metrics!$C:$C,0)),"Not found"))</f>
        <v/>
      </c>
      <c r="B7" s="18" t="str">
        <f aca="false">IF(D7="","",IFERROR(INDEX(Fields!$A:$A,MATCH(D7,Fields!$B:$B,0)),"Not found"))</f>
        <v/>
      </c>
      <c r="C7" s="20"/>
      <c r="D7" s="20"/>
      <c r="E7" s="20"/>
      <c r="F7" s="21" t="str">
        <f aca="false">IF(B7="","",IFERROR(INDEX(Fields!$C:$C,MATCH(B7,Fields!$A:$A,0)),""))</f>
        <v/>
      </c>
      <c r="G7" s="18" t="str">
        <f aca="false">IF(A7="","",COUNTIF('Metric to Product'!$A:$A,A7))</f>
        <v/>
      </c>
      <c r="H7" s="20"/>
      <c r="I7" s="20"/>
      <c r="J7" s="20"/>
      <c r="K7" s="20"/>
    </row>
    <row r="8" customFormat="false" ht="15" hidden="false" customHeight="false" outlineLevel="0" collapsed="false">
      <c r="A8" s="18" t="str">
        <f aca="false">IF(C8="","",IFERROR(INDEX(Metrics!$A:$A,MATCH(C8,Metrics!$C:$C,0)),"Not found"))</f>
        <v/>
      </c>
      <c r="B8" s="18" t="str">
        <f aca="false">IF(D8="","",IFERROR(INDEX(Fields!$A:$A,MATCH(D8,Fields!$B:$B,0)),"Not found"))</f>
        <v/>
      </c>
      <c r="C8" s="20"/>
      <c r="D8" s="20"/>
      <c r="E8" s="20"/>
      <c r="F8" s="21" t="str">
        <f aca="false">IF(B8="","",IFERROR(INDEX(Fields!$C:$C,MATCH(B8,Fields!$A:$A,0)),""))</f>
        <v/>
      </c>
      <c r="G8" s="18" t="str">
        <f aca="false">IF(A8="","",COUNTIF('Metric to Product'!$A:$A,A8))</f>
        <v/>
      </c>
      <c r="H8" s="20"/>
      <c r="I8" s="20"/>
      <c r="J8" s="20"/>
      <c r="K8" s="20"/>
    </row>
    <row r="9" customFormat="false" ht="15" hidden="false" customHeight="false" outlineLevel="0" collapsed="false">
      <c r="A9" s="18" t="str">
        <f aca="false">IF(C9="","",IFERROR(INDEX(Metrics!$A:$A,MATCH(C9,Metrics!$C:$C,0)),"Not found"))</f>
        <v/>
      </c>
      <c r="B9" s="18" t="str">
        <f aca="false">IF(D9="","",IFERROR(INDEX(Fields!$A:$A,MATCH(D9,Fields!$B:$B,0)),"Not found"))</f>
        <v/>
      </c>
      <c r="C9" s="20"/>
      <c r="D9" s="20"/>
      <c r="E9" s="20"/>
      <c r="F9" s="21" t="str">
        <f aca="false">IF(B9="","",IFERROR(INDEX(Fields!$C:$C,MATCH(B9,Fields!$A:$A,0)),""))</f>
        <v/>
      </c>
      <c r="G9" s="18" t="str">
        <f aca="false">IF(A9="","",COUNTIF('Metric to Product'!$A:$A,A9))</f>
        <v/>
      </c>
      <c r="H9" s="20"/>
      <c r="I9" s="20"/>
      <c r="J9" s="20"/>
      <c r="K9" s="20"/>
    </row>
    <row r="10" customFormat="false" ht="15" hidden="false" customHeight="false" outlineLevel="0" collapsed="false">
      <c r="A10" s="18" t="str">
        <f aca="false">IF(C10="","",IFERROR(INDEX(Metrics!$A:$A,MATCH(C10,Metrics!$C:$C,0)),"Not found"))</f>
        <v/>
      </c>
      <c r="B10" s="18" t="str">
        <f aca="false">IF(D10="","",IFERROR(INDEX(Fields!$A:$A,MATCH(D10,Fields!$B:$B,0)),"Not found"))</f>
        <v/>
      </c>
      <c r="C10" s="20"/>
      <c r="D10" s="20"/>
      <c r="E10" s="20"/>
      <c r="F10" s="21" t="str">
        <f aca="false">IF(B10="","",IFERROR(INDEX(Fields!$C:$C,MATCH(B10,Fields!$A:$A,0)),""))</f>
        <v/>
      </c>
      <c r="G10" s="18" t="str">
        <f aca="false">IF(A10="","",COUNTIF('Metric to Product'!$A:$A,A10))</f>
        <v/>
      </c>
      <c r="H10" s="20"/>
      <c r="I10" s="20"/>
      <c r="J10" s="20"/>
      <c r="K10" s="20"/>
    </row>
    <row r="11" customFormat="false" ht="15" hidden="false" customHeight="false" outlineLevel="0" collapsed="false">
      <c r="A11" s="18" t="str">
        <f aca="false">IF(C11="","",IFERROR(INDEX(Metrics!$A:$A,MATCH(C11,Metrics!$C:$C,0)),"Not found"))</f>
        <v/>
      </c>
      <c r="B11" s="18" t="str">
        <f aca="false">IF(D11="","",IFERROR(INDEX(Fields!$A:$A,MATCH(D11,Fields!$B:$B,0)),"Not found"))</f>
        <v/>
      </c>
      <c r="C11" s="20"/>
      <c r="D11" s="20"/>
      <c r="E11" s="20"/>
      <c r="F11" s="21" t="str">
        <f aca="false">IF(B11="","",IFERROR(INDEX(Fields!$C:$C,MATCH(B11,Fields!$A:$A,0)),""))</f>
        <v/>
      </c>
      <c r="G11" s="18" t="str">
        <f aca="false">IF(A11="","",COUNTIF('Metric to Product'!$A:$A,A11))</f>
        <v/>
      </c>
      <c r="H11" s="20"/>
      <c r="I11" s="20"/>
      <c r="J11" s="20"/>
      <c r="K11" s="20"/>
    </row>
    <row r="12" customFormat="false" ht="15" hidden="false" customHeight="false" outlineLevel="0" collapsed="false">
      <c r="A12" s="18" t="str">
        <f aca="false">IF(C12="","",IFERROR(INDEX(Metrics!$A:$A,MATCH(C12,Metrics!$C:$C,0)),"Not found"))</f>
        <v/>
      </c>
      <c r="B12" s="18" t="str">
        <f aca="false">IF(D12="","",IFERROR(INDEX(Fields!$A:$A,MATCH(D12,Fields!$B:$B,0)),"Not found"))</f>
        <v/>
      </c>
      <c r="C12" s="20"/>
      <c r="D12" s="20"/>
      <c r="E12" s="20"/>
      <c r="F12" s="21" t="str">
        <f aca="false">IF(B12="","",IFERROR(INDEX(Fields!$C:$C,MATCH(B12,Fields!$A:$A,0)),""))</f>
        <v/>
      </c>
      <c r="G12" s="18" t="str">
        <f aca="false">IF(A12="","",COUNTIF('Metric to Product'!$A:$A,A12))</f>
        <v/>
      </c>
      <c r="H12" s="20"/>
      <c r="I12" s="20"/>
      <c r="J12" s="20"/>
      <c r="K12" s="20"/>
    </row>
    <row r="13" customFormat="false" ht="15" hidden="false" customHeight="false" outlineLevel="0" collapsed="false">
      <c r="A13" s="18" t="str">
        <f aca="false">IF(C13="","",IFERROR(INDEX(Metrics!$A:$A,MATCH(C13,Metrics!$C:$C,0)),"Not found"))</f>
        <v/>
      </c>
      <c r="B13" s="18" t="str">
        <f aca="false">IF(D13="","",IFERROR(INDEX(Fields!$A:$A,MATCH(D13,Fields!$B:$B,0)),"Not found"))</f>
        <v/>
      </c>
      <c r="C13" s="20"/>
      <c r="D13" s="20"/>
      <c r="E13" s="20"/>
      <c r="F13" s="21" t="str">
        <f aca="false">IF(B13="","",IFERROR(INDEX(Fields!$C:$C,MATCH(B13,Fields!$A:$A,0)),""))</f>
        <v/>
      </c>
      <c r="G13" s="18" t="str">
        <f aca="false">IF(A13="","",COUNTIF('Metric to Product'!$A:$A,A13))</f>
        <v/>
      </c>
      <c r="H13" s="20"/>
      <c r="I13" s="20"/>
      <c r="J13" s="20"/>
      <c r="K13" s="20"/>
    </row>
    <row r="14" customFormat="false" ht="15" hidden="false" customHeight="false" outlineLevel="0" collapsed="false">
      <c r="A14" s="18" t="str">
        <f aca="false">IF(C14="","",IFERROR(INDEX(Metrics!$A:$A,MATCH(C14,Metrics!$C:$C,0)),"Not found"))</f>
        <v/>
      </c>
      <c r="B14" s="18" t="str">
        <f aca="false">IF(D14="","",IFERROR(INDEX(Fields!$A:$A,MATCH(D14,Fields!$B:$B,0)),"Not found"))</f>
        <v/>
      </c>
      <c r="C14" s="20"/>
      <c r="D14" s="20"/>
      <c r="E14" s="20"/>
      <c r="F14" s="21" t="str">
        <f aca="false">IF(B14="","",IFERROR(INDEX(Fields!$C:$C,MATCH(B14,Fields!$A:$A,0)),""))</f>
        <v/>
      </c>
      <c r="G14" s="18" t="str">
        <f aca="false">IF(A14="","",COUNTIF('Metric to Product'!$A:$A,A14))</f>
        <v/>
      </c>
      <c r="H14" s="20"/>
      <c r="I14" s="20"/>
      <c r="J14" s="20"/>
      <c r="K14" s="20"/>
    </row>
    <row r="15" customFormat="false" ht="15" hidden="false" customHeight="false" outlineLevel="0" collapsed="false">
      <c r="A15" s="18" t="str">
        <f aca="false">IF(C15="","",IFERROR(INDEX(Metrics!$A:$A,MATCH(C15,Metrics!$C:$C,0)),"Not found"))</f>
        <v/>
      </c>
      <c r="B15" s="18" t="str">
        <f aca="false">IF(D15="","",IFERROR(INDEX(Fields!$A:$A,MATCH(D15,Fields!$B:$B,0)),"Not found"))</f>
        <v/>
      </c>
      <c r="C15" s="20"/>
      <c r="D15" s="20"/>
      <c r="E15" s="20"/>
      <c r="F15" s="21" t="str">
        <f aca="false">IF(B15="","",IFERROR(INDEX(Fields!$C:$C,MATCH(B15,Fields!$A:$A,0)),""))</f>
        <v/>
      </c>
      <c r="G15" s="18" t="str">
        <f aca="false">IF(A15="","",COUNTIF('Metric to Product'!$A:$A,A15))</f>
        <v/>
      </c>
      <c r="H15" s="20"/>
      <c r="I15" s="20"/>
      <c r="J15" s="20"/>
      <c r="K15" s="20"/>
    </row>
    <row r="16" customFormat="false" ht="15" hidden="false" customHeight="false" outlineLevel="0" collapsed="false">
      <c r="A16" s="18" t="str">
        <f aca="false">IF(C16="","",IFERROR(INDEX(Metrics!$A:$A,MATCH(C16,Metrics!$C:$C,0)),"Not found"))</f>
        <v/>
      </c>
      <c r="B16" s="18" t="str">
        <f aca="false">IF(D16="","",IFERROR(INDEX(Fields!$A:$A,MATCH(D16,Fields!$B:$B,0)),"Not found"))</f>
        <v/>
      </c>
      <c r="C16" s="20"/>
      <c r="D16" s="20"/>
      <c r="E16" s="20"/>
      <c r="F16" s="21" t="str">
        <f aca="false">IF(B16="","",IFERROR(INDEX(Fields!$C:$C,MATCH(B16,Fields!$A:$A,0)),""))</f>
        <v/>
      </c>
      <c r="G16" s="18" t="str">
        <f aca="false">IF(A16="","",COUNTIF('Metric to Product'!$A:$A,A16))</f>
        <v/>
      </c>
      <c r="H16" s="20"/>
      <c r="I16" s="20"/>
      <c r="J16" s="20"/>
      <c r="K16" s="20"/>
    </row>
    <row r="17" customFormat="false" ht="15" hidden="false" customHeight="false" outlineLevel="0" collapsed="false">
      <c r="A17" s="18" t="str">
        <f aca="false">IF(C17="","",IFERROR(INDEX(Metrics!$A:$A,MATCH(C17,Metrics!$C:$C,0)),"Not found"))</f>
        <v/>
      </c>
      <c r="B17" s="18" t="str">
        <f aca="false">IF(D17="","",IFERROR(INDEX(Fields!$A:$A,MATCH(D17,Fields!$B:$B,0)),"Not found"))</f>
        <v/>
      </c>
      <c r="C17" s="20"/>
      <c r="D17" s="20"/>
      <c r="E17" s="20"/>
      <c r="F17" s="21" t="str">
        <f aca="false">IF(B17="","",IFERROR(INDEX(Fields!$C:$C,MATCH(B17,Fields!$A:$A,0)),""))</f>
        <v/>
      </c>
      <c r="G17" s="18" t="str">
        <f aca="false">IF(A17="","",COUNTIF('Metric to Product'!$A:$A,A17))</f>
        <v/>
      </c>
      <c r="H17" s="20"/>
      <c r="I17" s="20"/>
      <c r="J17" s="20"/>
      <c r="K17" s="20"/>
    </row>
    <row r="18" customFormat="false" ht="15" hidden="false" customHeight="false" outlineLevel="0" collapsed="false">
      <c r="A18" s="18" t="str">
        <f aca="false">IF(C18="","",IFERROR(INDEX(Metrics!$A:$A,MATCH(C18,Metrics!$C:$C,0)),"Not found"))</f>
        <v/>
      </c>
      <c r="B18" s="18" t="str">
        <f aca="false">IF(D18="","",IFERROR(INDEX(Fields!$A:$A,MATCH(D18,Fields!$B:$B,0)),"Not found"))</f>
        <v/>
      </c>
      <c r="C18" s="20"/>
      <c r="D18" s="20"/>
      <c r="E18" s="20"/>
      <c r="F18" s="21" t="str">
        <f aca="false">IF(B18="","",IFERROR(INDEX(Fields!$C:$C,MATCH(B18,Fields!$A:$A,0)),""))</f>
        <v/>
      </c>
      <c r="G18" s="18" t="str">
        <f aca="false">IF(A18="","",COUNTIF('Metric to Product'!$A:$A,A18))</f>
        <v/>
      </c>
      <c r="H18" s="20"/>
      <c r="I18" s="20"/>
      <c r="J18" s="20"/>
      <c r="K18" s="20"/>
    </row>
    <row r="19" customFormat="false" ht="15" hidden="false" customHeight="false" outlineLevel="0" collapsed="false">
      <c r="A19" s="18" t="str">
        <f aca="false">IF(C19="","",IFERROR(INDEX(Metrics!$A:$A,MATCH(C19,Metrics!$C:$C,0)),"Not found"))</f>
        <v/>
      </c>
      <c r="B19" s="18" t="str">
        <f aca="false">IF(D19="","",IFERROR(INDEX(Fields!$A:$A,MATCH(D19,Fields!$B:$B,0)),"Not found"))</f>
        <v/>
      </c>
      <c r="C19" s="20"/>
      <c r="D19" s="20"/>
      <c r="E19" s="20"/>
      <c r="F19" s="21" t="str">
        <f aca="false">IF(B19="","",IFERROR(INDEX(Fields!$C:$C,MATCH(B19,Fields!$A:$A,0)),""))</f>
        <v/>
      </c>
      <c r="G19" s="18" t="str">
        <f aca="false">IF(A19="","",COUNTIF('Metric to Product'!$A:$A,A19))</f>
        <v/>
      </c>
      <c r="H19" s="20"/>
      <c r="I19" s="20"/>
      <c r="J19" s="20"/>
      <c r="K19" s="20"/>
    </row>
    <row r="20" customFormat="false" ht="15" hidden="false" customHeight="false" outlineLevel="0" collapsed="false">
      <c r="A20" s="18" t="str">
        <f aca="false">IF(C20="","",IFERROR(INDEX(Metrics!$A:$A,MATCH(C20,Metrics!$C:$C,0)),"Not found"))</f>
        <v/>
      </c>
      <c r="B20" s="18" t="str">
        <f aca="false">IF(D20="","",IFERROR(INDEX(Fields!$A:$A,MATCH(D20,Fields!$B:$B,0)),"Not found"))</f>
        <v/>
      </c>
      <c r="C20" s="20"/>
      <c r="D20" s="20"/>
      <c r="E20" s="20"/>
      <c r="F20" s="21" t="str">
        <f aca="false">IF(B20="","",IFERROR(INDEX(Fields!$C:$C,MATCH(B20,Fields!$A:$A,0)),""))</f>
        <v/>
      </c>
      <c r="G20" s="18" t="str">
        <f aca="false">IF(A20="","",COUNTIF('Metric to Product'!$A:$A,A20))</f>
        <v/>
      </c>
      <c r="H20" s="20"/>
      <c r="I20" s="20"/>
      <c r="J20" s="20"/>
      <c r="K20" s="20"/>
    </row>
    <row r="21" customFormat="false" ht="15" hidden="false" customHeight="false" outlineLevel="0" collapsed="false">
      <c r="A21" s="18" t="str">
        <f aca="false">IF(C21="","",IFERROR(INDEX(Metrics!$A:$A,MATCH(C21,Metrics!$C:$C,0)),"Not found"))</f>
        <v/>
      </c>
      <c r="B21" s="18" t="str">
        <f aca="false">IF(D21="","",IFERROR(INDEX(Fields!$A:$A,MATCH(D21,Fields!$B:$B,0)),"Not found"))</f>
        <v/>
      </c>
      <c r="C21" s="20"/>
      <c r="D21" s="20"/>
      <c r="E21" s="20"/>
      <c r="F21" s="21" t="str">
        <f aca="false">IF(B21="","",IFERROR(INDEX(Fields!$C:$C,MATCH(B21,Fields!$A:$A,0)),""))</f>
        <v/>
      </c>
      <c r="G21" s="18" t="str">
        <f aca="false">IF(A21="","",COUNTIF('Metric to Product'!$A:$A,A21))</f>
        <v/>
      </c>
      <c r="H21" s="20"/>
      <c r="I21" s="20"/>
      <c r="J21" s="20"/>
      <c r="K21" s="20"/>
    </row>
    <row r="22" customFormat="false" ht="15" hidden="false" customHeight="false" outlineLevel="0" collapsed="false">
      <c r="A22" s="18" t="str">
        <f aca="false">IF(C22="","",IFERROR(INDEX(Metrics!$A:$A,MATCH(C22,Metrics!$C:$C,0)),"Not found"))</f>
        <v/>
      </c>
      <c r="B22" s="18" t="str">
        <f aca="false">IF(D22="","",IFERROR(INDEX(Fields!$A:$A,MATCH(D22,Fields!$B:$B,0)),"Not found"))</f>
        <v/>
      </c>
      <c r="C22" s="20"/>
      <c r="D22" s="20"/>
      <c r="E22" s="20"/>
      <c r="F22" s="21" t="str">
        <f aca="false">IF(B22="","",IFERROR(INDEX(Fields!$C:$C,MATCH(B22,Fields!$A:$A,0)),""))</f>
        <v/>
      </c>
      <c r="G22" s="18" t="str">
        <f aca="false">IF(A22="","",COUNTIF('Metric to Product'!$A:$A,A22))</f>
        <v/>
      </c>
      <c r="H22" s="20"/>
      <c r="I22" s="20"/>
      <c r="J22" s="20"/>
      <c r="K22" s="20"/>
    </row>
    <row r="23" customFormat="false" ht="15" hidden="false" customHeight="false" outlineLevel="0" collapsed="false">
      <c r="A23" s="18" t="str">
        <f aca="false">IF(C23="","",IFERROR(INDEX(Metrics!$A:$A,MATCH(C23,Metrics!$C:$C,0)),"Not found"))</f>
        <v/>
      </c>
      <c r="B23" s="18" t="str">
        <f aca="false">IF(D23="","",IFERROR(INDEX(Fields!$A:$A,MATCH(D23,Fields!$B:$B,0)),"Not found"))</f>
        <v/>
      </c>
      <c r="C23" s="20"/>
      <c r="D23" s="20"/>
      <c r="E23" s="20"/>
      <c r="F23" s="21" t="str">
        <f aca="false">IF(B23="","",IFERROR(INDEX(Fields!$C:$C,MATCH(B23,Fields!$A:$A,0)),""))</f>
        <v/>
      </c>
      <c r="G23" s="18" t="str">
        <f aca="false">IF(A23="","",COUNTIF('Metric to Product'!$A:$A,A23))</f>
        <v/>
      </c>
      <c r="H23" s="20"/>
      <c r="I23" s="20"/>
      <c r="J23" s="20"/>
      <c r="K23" s="20"/>
    </row>
    <row r="24" customFormat="false" ht="15" hidden="false" customHeight="false" outlineLevel="0" collapsed="false">
      <c r="A24" s="18" t="str">
        <f aca="false">IF(C24="","",IFERROR(INDEX(Metrics!$A:$A,MATCH(C24,Metrics!$C:$C,0)),"Not found"))</f>
        <v/>
      </c>
      <c r="B24" s="18" t="str">
        <f aca="false">IF(D24="","",IFERROR(INDEX(Fields!$A:$A,MATCH(D24,Fields!$B:$B,0)),"Not found"))</f>
        <v/>
      </c>
      <c r="C24" s="20"/>
      <c r="D24" s="20"/>
      <c r="E24" s="20"/>
      <c r="F24" s="21" t="str">
        <f aca="false">IF(B24="","",IFERROR(INDEX(Fields!$C:$C,MATCH(B24,Fields!$A:$A,0)),""))</f>
        <v/>
      </c>
      <c r="G24" s="18" t="str">
        <f aca="false">IF(A24="","",COUNTIF('Metric to Product'!$A:$A,A24))</f>
        <v/>
      </c>
      <c r="H24" s="20"/>
      <c r="I24" s="20"/>
      <c r="J24" s="20"/>
      <c r="K24" s="20"/>
    </row>
    <row r="25" customFormat="false" ht="15" hidden="false" customHeight="false" outlineLevel="0" collapsed="false">
      <c r="A25" s="18" t="str">
        <f aca="false">IF(C25="","",IFERROR(INDEX(Metrics!$A:$A,MATCH(C25,Metrics!$C:$C,0)),"Not found"))</f>
        <v/>
      </c>
      <c r="B25" s="18" t="str">
        <f aca="false">IF(D25="","",IFERROR(INDEX(Fields!$A:$A,MATCH(D25,Fields!$B:$B,0)),"Not found"))</f>
        <v/>
      </c>
      <c r="C25" s="20"/>
      <c r="D25" s="20"/>
      <c r="E25" s="20"/>
      <c r="F25" s="21" t="str">
        <f aca="false">IF(B25="","",IFERROR(INDEX(Fields!$C:$C,MATCH(B25,Fields!$A:$A,0)),""))</f>
        <v/>
      </c>
      <c r="G25" s="18" t="str">
        <f aca="false">IF(A25="","",COUNTIF('Metric to Product'!$A:$A,A25))</f>
        <v/>
      </c>
      <c r="H25" s="20"/>
      <c r="I25" s="20"/>
      <c r="J25" s="20"/>
      <c r="K25" s="20"/>
    </row>
    <row r="26" customFormat="false" ht="15" hidden="false" customHeight="false" outlineLevel="0" collapsed="false">
      <c r="A26" s="18" t="str">
        <f aca="false">IF(C26="","",IFERROR(INDEX(Metrics!$A:$A,MATCH(C26,Metrics!$C:$C,0)),"Not found"))</f>
        <v/>
      </c>
      <c r="B26" s="18" t="str">
        <f aca="false">IF(D26="","",IFERROR(INDEX(Fields!$A:$A,MATCH(D26,Fields!$B:$B,0)),"Not found"))</f>
        <v/>
      </c>
      <c r="C26" s="20"/>
      <c r="D26" s="20"/>
      <c r="E26" s="20"/>
      <c r="F26" s="21" t="str">
        <f aca="false">IF(B26="","",IFERROR(INDEX(Fields!$C:$C,MATCH(B26,Fields!$A:$A,0)),""))</f>
        <v/>
      </c>
      <c r="G26" s="18" t="str">
        <f aca="false">IF(A26="","",COUNTIF('Metric to Product'!$A:$A,A26))</f>
        <v/>
      </c>
      <c r="H26" s="20"/>
      <c r="I26" s="20"/>
      <c r="J26" s="20"/>
      <c r="K26" s="20"/>
    </row>
    <row r="27" customFormat="false" ht="15" hidden="false" customHeight="false" outlineLevel="0" collapsed="false">
      <c r="A27" s="18" t="str">
        <f aca="false">IF(C27="","",IFERROR(INDEX(Metrics!$A:$A,MATCH(C27,Metrics!$C:$C,0)),"Not found"))</f>
        <v/>
      </c>
      <c r="B27" s="18" t="str">
        <f aca="false">IF(D27="","",IFERROR(INDEX(Fields!$A:$A,MATCH(D27,Fields!$B:$B,0)),"Not found"))</f>
        <v/>
      </c>
      <c r="C27" s="20"/>
      <c r="D27" s="20"/>
      <c r="E27" s="20"/>
      <c r="F27" s="21" t="str">
        <f aca="false">IF(B27="","",IFERROR(INDEX(Fields!$C:$C,MATCH(B27,Fields!$A:$A,0)),""))</f>
        <v/>
      </c>
      <c r="G27" s="18" t="str">
        <f aca="false">IF(A27="","",COUNTIF('Metric to Product'!$A:$A,A27))</f>
        <v/>
      </c>
      <c r="H27" s="20"/>
      <c r="I27" s="20"/>
      <c r="J27" s="20"/>
      <c r="K27" s="20"/>
    </row>
    <row r="28" customFormat="false" ht="15" hidden="false" customHeight="false" outlineLevel="0" collapsed="false">
      <c r="A28" s="18" t="str">
        <f aca="false">IF(C28="","",IFERROR(INDEX(Metrics!$A:$A,MATCH(C28,Metrics!$C:$C,0)),"Not found"))</f>
        <v/>
      </c>
      <c r="B28" s="18" t="str">
        <f aca="false">IF(D28="","",IFERROR(INDEX(Fields!$A:$A,MATCH(D28,Fields!$B:$B,0)),"Not found"))</f>
        <v/>
      </c>
      <c r="C28" s="20"/>
      <c r="D28" s="20"/>
      <c r="E28" s="20"/>
      <c r="F28" s="21" t="str">
        <f aca="false">IF(B28="","",IFERROR(INDEX(Fields!$C:$C,MATCH(B28,Fields!$A:$A,0)),""))</f>
        <v/>
      </c>
      <c r="G28" s="18" t="str">
        <f aca="false">IF(A28="","",COUNTIF('Metric to Product'!$A:$A,A28))</f>
        <v/>
      </c>
      <c r="H28" s="20"/>
      <c r="I28" s="20"/>
      <c r="J28" s="20"/>
      <c r="K28" s="20"/>
    </row>
    <row r="29" customFormat="false" ht="15" hidden="false" customHeight="false" outlineLevel="0" collapsed="false">
      <c r="A29" s="18" t="str">
        <f aca="false">IF(C29="","",IFERROR(INDEX(Metrics!$A:$A,MATCH(C29,Metrics!$C:$C,0)),"Not found"))</f>
        <v/>
      </c>
      <c r="B29" s="18" t="str">
        <f aca="false">IF(D29="","",IFERROR(INDEX(Fields!$A:$A,MATCH(D29,Fields!$B:$B,0)),"Not found"))</f>
        <v/>
      </c>
      <c r="C29" s="20"/>
      <c r="D29" s="20"/>
      <c r="E29" s="20"/>
      <c r="F29" s="21" t="str">
        <f aca="false">IF(B29="","",IFERROR(INDEX(Fields!$C:$C,MATCH(B29,Fields!$A:$A,0)),""))</f>
        <v/>
      </c>
      <c r="G29" s="18" t="str">
        <f aca="false">IF(A29="","",COUNTIF('Metric to Product'!$A:$A,A29))</f>
        <v/>
      </c>
      <c r="H29" s="20"/>
      <c r="I29" s="20"/>
      <c r="J29" s="20"/>
      <c r="K29" s="20"/>
    </row>
    <row r="30" customFormat="false" ht="15" hidden="false" customHeight="false" outlineLevel="0" collapsed="false">
      <c r="A30" s="18" t="str">
        <f aca="false">IF(C30="","",IFERROR(INDEX(Metrics!$A:$A,MATCH(C30,Metrics!$C:$C,0)),"Not found"))</f>
        <v/>
      </c>
      <c r="B30" s="18" t="str">
        <f aca="false">IF(D30="","",IFERROR(INDEX(Fields!$A:$A,MATCH(D30,Fields!$B:$B,0)),"Not found"))</f>
        <v/>
      </c>
      <c r="C30" s="20"/>
      <c r="D30" s="20"/>
      <c r="E30" s="20"/>
      <c r="F30" s="21" t="str">
        <f aca="false">IF(B30="","",IFERROR(INDEX(Fields!$C:$C,MATCH(B30,Fields!$A:$A,0)),""))</f>
        <v/>
      </c>
      <c r="G30" s="18" t="str">
        <f aca="false">IF(A30="","",COUNTIF('Metric to Product'!$A:$A,A30))</f>
        <v/>
      </c>
      <c r="H30" s="20"/>
      <c r="I30" s="20"/>
      <c r="J30" s="20"/>
      <c r="K30" s="20"/>
    </row>
    <row r="31" customFormat="false" ht="15" hidden="false" customHeight="false" outlineLevel="0" collapsed="false">
      <c r="A31" s="18" t="str">
        <f aca="false">IF(C31="","",IFERROR(INDEX(Metrics!$A:$A,MATCH(C31,Metrics!$C:$C,0)),"Not found"))</f>
        <v/>
      </c>
      <c r="B31" s="18" t="str">
        <f aca="false">IF(D31="","",IFERROR(INDEX(Fields!$A:$A,MATCH(D31,Fields!$B:$B,0)),"Not found"))</f>
        <v/>
      </c>
      <c r="C31" s="20"/>
      <c r="D31" s="20"/>
      <c r="E31" s="20"/>
      <c r="F31" s="21" t="str">
        <f aca="false">IF(B31="","",IFERROR(INDEX(Fields!$C:$C,MATCH(B31,Fields!$A:$A,0)),""))</f>
        <v/>
      </c>
      <c r="G31" s="18" t="str">
        <f aca="false">IF(A31="","",COUNTIF('Metric to Product'!$A:$A,A31))</f>
        <v/>
      </c>
      <c r="H31" s="20"/>
      <c r="I31" s="20"/>
      <c r="J31" s="20"/>
      <c r="K31" s="20"/>
    </row>
    <row r="32" customFormat="false" ht="15" hidden="false" customHeight="false" outlineLevel="0" collapsed="false">
      <c r="A32" s="18" t="str">
        <f aca="false">IF(C32="","",IFERROR(INDEX(Metrics!$A:$A,MATCH(C32,Metrics!$C:$C,0)),"Not found"))</f>
        <v/>
      </c>
      <c r="B32" s="18" t="str">
        <f aca="false">IF(D32="","",IFERROR(INDEX(Fields!$A:$A,MATCH(D32,Fields!$B:$B,0)),"Not found"))</f>
        <v/>
      </c>
      <c r="C32" s="20"/>
      <c r="D32" s="20"/>
      <c r="E32" s="20"/>
      <c r="F32" s="21" t="str">
        <f aca="false">IF(B32="","",IFERROR(INDEX(Fields!$C:$C,MATCH(B32,Fields!$A:$A,0)),""))</f>
        <v/>
      </c>
      <c r="G32" s="18" t="str">
        <f aca="false">IF(A32="","",COUNTIF('Metric to Product'!$A:$A,A32))</f>
        <v/>
      </c>
      <c r="H32" s="20"/>
      <c r="I32" s="20"/>
      <c r="J32" s="20"/>
      <c r="K32" s="20"/>
    </row>
    <row r="33" customFormat="false" ht="15" hidden="false" customHeight="false" outlineLevel="0" collapsed="false">
      <c r="A33" s="18" t="str">
        <f aca="false">IF(C33="","",IFERROR(INDEX(Metrics!$A:$A,MATCH(C33,Metrics!$C:$C,0)),"Not found"))</f>
        <v/>
      </c>
      <c r="B33" s="18" t="str">
        <f aca="false">IF(D33="","",IFERROR(INDEX(Fields!$A:$A,MATCH(D33,Fields!$B:$B,0)),"Not found"))</f>
        <v/>
      </c>
      <c r="C33" s="20"/>
      <c r="D33" s="20"/>
      <c r="E33" s="20"/>
      <c r="F33" s="21" t="str">
        <f aca="false">IF(B33="","",IFERROR(INDEX(Fields!$C:$C,MATCH(B33,Fields!$A:$A,0)),""))</f>
        <v/>
      </c>
      <c r="G33" s="18" t="str">
        <f aca="false">IF(A33="","",COUNTIF('Metric to Product'!$A:$A,A33))</f>
        <v/>
      </c>
      <c r="H33" s="20"/>
      <c r="I33" s="20"/>
      <c r="J33" s="20"/>
      <c r="K33" s="20"/>
    </row>
    <row r="34" customFormat="false" ht="15" hidden="false" customHeight="false" outlineLevel="0" collapsed="false">
      <c r="A34" s="18" t="str">
        <f aca="false">IF(C34="","",IFERROR(INDEX(Metrics!$A:$A,MATCH(C34,Metrics!$C:$C,0)),"Not found"))</f>
        <v/>
      </c>
      <c r="B34" s="18" t="str">
        <f aca="false">IF(D34="","",IFERROR(INDEX(Fields!$A:$A,MATCH(D34,Fields!$B:$B,0)),"Not found"))</f>
        <v/>
      </c>
      <c r="C34" s="20"/>
      <c r="D34" s="20"/>
      <c r="E34" s="20"/>
      <c r="F34" s="21" t="str">
        <f aca="false">IF(B34="","",IFERROR(INDEX(Fields!$C:$C,MATCH(B34,Fields!$A:$A,0)),""))</f>
        <v/>
      </c>
      <c r="G34" s="18" t="str">
        <f aca="false">IF(A34="","",COUNTIF('Metric to Product'!$A:$A,A34))</f>
        <v/>
      </c>
      <c r="H34" s="20"/>
      <c r="I34" s="20"/>
      <c r="J34" s="20"/>
      <c r="K34" s="20"/>
    </row>
    <row r="35" customFormat="false" ht="15" hidden="false" customHeight="false" outlineLevel="0" collapsed="false">
      <c r="A35" s="18" t="str">
        <f aca="false">IF(C35="","",IFERROR(INDEX(Metrics!$A:$A,MATCH(C35,Metrics!$C:$C,0)),"Not found"))</f>
        <v/>
      </c>
      <c r="B35" s="18" t="str">
        <f aca="false">IF(D35="","",IFERROR(INDEX(Fields!$A:$A,MATCH(D35,Fields!$B:$B,0)),"Not found"))</f>
        <v/>
      </c>
      <c r="C35" s="20"/>
      <c r="D35" s="20"/>
      <c r="E35" s="20"/>
      <c r="F35" s="21" t="str">
        <f aca="false">IF(B35="","",IFERROR(INDEX(Fields!$C:$C,MATCH(B35,Fields!$A:$A,0)),""))</f>
        <v/>
      </c>
      <c r="G35" s="18" t="str">
        <f aca="false">IF(A35="","",COUNTIF('Metric to Product'!$A:$A,A35))</f>
        <v/>
      </c>
      <c r="H35" s="20"/>
      <c r="I35" s="20"/>
      <c r="J35" s="20"/>
      <c r="K35" s="20"/>
    </row>
    <row r="36" customFormat="false" ht="15" hidden="false" customHeight="false" outlineLevel="0" collapsed="false">
      <c r="A36" s="18" t="str">
        <f aca="false">IF(C36="","",IFERROR(INDEX(Metrics!$A:$A,MATCH(C36,Metrics!$C:$C,0)),"Not found"))</f>
        <v/>
      </c>
      <c r="B36" s="18" t="str">
        <f aca="false">IF(D36="","",IFERROR(INDEX(Fields!$A:$A,MATCH(D36,Fields!$B:$B,0)),"Not found"))</f>
        <v/>
      </c>
      <c r="C36" s="20"/>
      <c r="D36" s="20"/>
      <c r="E36" s="20"/>
      <c r="F36" s="21" t="str">
        <f aca="false">IF(B36="","",IFERROR(INDEX(Fields!$C:$C,MATCH(B36,Fields!$A:$A,0)),""))</f>
        <v/>
      </c>
      <c r="G36" s="18" t="str">
        <f aca="false">IF(A36="","",COUNTIF('Metric to Product'!$A:$A,A36))</f>
        <v/>
      </c>
      <c r="H36" s="20"/>
      <c r="I36" s="20"/>
      <c r="J36" s="20"/>
      <c r="K36" s="20"/>
    </row>
    <row r="37" customFormat="false" ht="15" hidden="false" customHeight="false" outlineLevel="0" collapsed="false">
      <c r="A37" s="18" t="str">
        <f aca="false">IF(C37="","",IFERROR(INDEX(Metrics!$A:$A,MATCH(C37,Metrics!$C:$C,0)),"Not found"))</f>
        <v/>
      </c>
      <c r="B37" s="18" t="str">
        <f aca="false">IF(D37="","",IFERROR(INDEX(Fields!$A:$A,MATCH(D37,Fields!$B:$B,0)),"Not found"))</f>
        <v/>
      </c>
      <c r="C37" s="20"/>
      <c r="D37" s="20"/>
      <c r="E37" s="20"/>
      <c r="F37" s="21" t="str">
        <f aca="false">IF(B37="","",IFERROR(INDEX(Fields!$C:$C,MATCH(B37,Fields!$A:$A,0)),""))</f>
        <v/>
      </c>
      <c r="G37" s="18" t="str">
        <f aca="false">IF(A37="","",COUNTIF('Metric to Product'!$A:$A,A37))</f>
        <v/>
      </c>
      <c r="H37" s="20"/>
      <c r="I37" s="20"/>
      <c r="J37" s="20"/>
      <c r="K37" s="20"/>
    </row>
    <row r="38" customFormat="false" ht="15" hidden="false" customHeight="false" outlineLevel="0" collapsed="false">
      <c r="A38" s="18" t="str">
        <f aca="false">IF(C38="","",IFERROR(INDEX(Metrics!$A:$A,MATCH(C38,Metrics!$C:$C,0)),"Not found"))</f>
        <v/>
      </c>
      <c r="B38" s="18" t="str">
        <f aca="false">IF(D38="","",IFERROR(INDEX(Fields!$A:$A,MATCH(D38,Fields!$B:$B,0)),"Not found"))</f>
        <v/>
      </c>
      <c r="C38" s="20"/>
      <c r="D38" s="20"/>
      <c r="E38" s="20"/>
      <c r="F38" s="21" t="str">
        <f aca="false">IF(B38="","",IFERROR(INDEX(Fields!$C:$C,MATCH(B38,Fields!$A:$A,0)),""))</f>
        <v/>
      </c>
      <c r="G38" s="18" t="str">
        <f aca="false">IF(A38="","",COUNTIF('Metric to Product'!$A:$A,A38))</f>
        <v/>
      </c>
      <c r="H38" s="20"/>
      <c r="I38" s="20"/>
      <c r="J38" s="20"/>
      <c r="K38" s="20"/>
    </row>
    <row r="39" customFormat="false" ht="15" hidden="false" customHeight="false" outlineLevel="0" collapsed="false">
      <c r="A39" s="18" t="str">
        <f aca="false">IF(C39="","",IFERROR(INDEX(Metrics!$A:$A,MATCH(C39,Metrics!$C:$C,0)),"Not found"))</f>
        <v/>
      </c>
      <c r="B39" s="18" t="str">
        <f aca="false">IF(D39="","",IFERROR(INDEX(Fields!$A:$A,MATCH(D39,Fields!$B:$B,0)),"Not found"))</f>
        <v/>
      </c>
      <c r="C39" s="20"/>
      <c r="D39" s="20"/>
      <c r="E39" s="20"/>
      <c r="F39" s="21" t="str">
        <f aca="false">IF(B39="","",IFERROR(INDEX(Fields!$C:$C,MATCH(B39,Fields!$A:$A,0)),""))</f>
        <v/>
      </c>
      <c r="G39" s="18" t="str">
        <f aca="false">IF(A39="","",COUNTIF('Metric to Product'!$A:$A,A39))</f>
        <v/>
      </c>
      <c r="H39" s="20"/>
      <c r="I39" s="20"/>
      <c r="J39" s="20"/>
      <c r="K39" s="20"/>
    </row>
    <row r="40" customFormat="false" ht="15" hidden="false" customHeight="false" outlineLevel="0" collapsed="false">
      <c r="A40" s="18" t="str">
        <f aca="false">IF(C40="","",IFERROR(INDEX(Metrics!$A:$A,MATCH(C40,Metrics!$C:$C,0)),"Not found"))</f>
        <v/>
      </c>
      <c r="B40" s="18" t="str">
        <f aca="false">IF(D40="","",IFERROR(INDEX(Fields!$A:$A,MATCH(D40,Fields!$B:$B,0)),"Not found"))</f>
        <v/>
      </c>
      <c r="C40" s="20"/>
      <c r="D40" s="20"/>
      <c r="E40" s="20"/>
      <c r="F40" s="21" t="str">
        <f aca="false">IF(B40="","",IFERROR(INDEX(Fields!$C:$C,MATCH(B40,Fields!$A:$A,0)),""))</f>
        <v/>
      </c>
      <c r="G40" s="18" t="str">
        <f aca="false">IF(A40="","",COUNTIF('Metric to Product'!$A:$A,A40))</f>
        <v/>
      </c>
      <c r="H40" s="20"/>
      <c r="I40" s="20"/>
      <c r="J40" s="20"/>
      <c r="K40" s="20"/>
    </row>
    <row r="41" customFormat="false" ht="15" hidden="false" customHeight="false" outlineLevel="0" collapsed="false">
      <c r="A41" s="18" t="str">
        <f aca="false">IF(C41="","",IFERROR(INDEX(Metrics!$A:$A,MATCH(C41,Metrics!$C:$C,0)),"Not found"))</f>
        <v/>
      </c>
      <c r="B41" s="18" t="str">
        <f aca="false">IF(D41="","",IFERROR(INDEX(Fields!$A:$A,MATCH(D41,Fields!$B:$B,0)),"Not found"))</f>
        <v/>
      </c>
      <c r="C41" s="20"/>
      <c r="D41" s="20"/>
      <c r="E41" s="20"/>
      <c r="F41" s="21" t="str">
        <f aca="false">IF(B41="","",IFERROR(INDEX(Fields!$C:$C,MATCH(B41,Fields!$A:$A,0)),""))</f>
        <v/>
      </c>
      <c r="G41" s="18" t="str">
        <f aca="false">IF(A41="","",COUNTIF('Metric to Product'!$A:$A,A41))</f>
        <v/>
      </c>
      <c r="H41" s="20"/>
      <c r="I41" s="20"/>
      <c r="J41" s="20"/>
      <c r="K41" s="20"/>
    </row>
    <row r="42" customFormat="false" ht="15" hidden="false" customHeight="false" outlineLevel="0" collapsed="false">
      <c r="A42" s="18" t="str">
        <f aca="false">IF(C42="","",IFERROR(INDEX(Metrics!$A:$A,MATCH(C42,Metrics!$C:$C,0)),"Not found"))</f>
        <v/>
      </c>
      <c r="B42" s="18" t="str">
        <f aca="false">IF(D42="","",IFERROR(INDEX(Fields!$A:$A,MATCH(D42,Fields!$B:$B,0)),"Not found"))</f>
        <v/>
      </c>
      <c r="C42" s="20"/>
      <c r="D42" s="20"/>
      <c r="E42" s="20"/>
      <c r="F42" s="21" t="str">
        <f aca="false">IF(B42="","",IFERROR(INDEX(Fields!$C:$C,MATCH(B42,Fields!$A:$A,0)),""))</f>
        <v/>
      </c>
      <c r="G42" s="18" t="str">
        <f aca="false">IF(A42="","",COUNTIF('Metric to Product'!$A:$A,A42))</f>
        <v/>
      </c>
      <c r="H42" s="20"/>
      <c r="I42" s="20"/>
      <c r="J42" s="20"/>
      <c r="K42" s="20"/>
    </row>
    <row r="43" customFormat="false" ht="15" hidden="false" customHeight="false" outlineLevel="0" collapsed="false">
      <c r="A43" s="18" t="str">
        <f aca="false">IF(C43="","",IFERROR(INDEX(Metrics!$A:$A,MATCH(C43,Metrics!$C:$C,0)),"Not found"))</f>
        <v/>
      </c>
      <c r="B43" s="18" t="str">
        <f aca="false">IF(D43="","",IFERROR(INDEX(Fields!$A:$A,MATCH(D43,Fields!$B:$B,0)),"Not found"))</f>
        <v/>
      </c>
      <c r="C43" s="20"/>
      <c r="D43" s="20"/>
      <c r="E43" s="20"/>
      <c r="F43" s="21" t="str">
        <f aca="false">IF(B43="","",IFERROR(INDEX(Fields!$C:$C,MATCH(B43,Fields!$A:$A,0)),""))</f>
        <v/>
      </c>
      <c r="G43" s="18" t="str">
        <f aca="false">IF(A43="","",COUNTIF('Metric to Product'!$A:$A,A43))</f>
        <v/>
      </c>
      <c r="H43" s="20"/>
      <c r="I43" s="20"/>
      <c r="J43" s="20"/>
      <c r="K43" s="20"/>
    </row>
    <row r="44" customFormat="false" ht="15" hidden="false" customHeight="false" outlineLevel="0" collapsed="false">
      <c r="A44" s="18" t="str">
        <f aca="false">IF(C44="","",IFERROR(INDEX(Metrics!$A:$A,MATCH(C44,Metrics!$C:$C,0)),"Not found"))</f>
        <v/>
      </c>
      <c r="B44" s="18" t="str">
        <f aca="false">IF(D44="","",IFERROR(INDEX(Fields!$A:$A,MATCH(D44,Fields!$B:$B,0)),"Not found"))</f>
        <v/>
      </c>
      <c r="C44" s="20"/>
      <c r="D44" s="20"/>
      <c r="E44" s="20"/>
      <c r="F44" s="21" t="str">
        <f aca="false">IF(B44="","",IFERROR(INDEX(Fields!$C:$C,MATCH(B44,Fields!$A:$A,0)),""))</f>
        <v/>
      </c>
      <c r="G44" s="18" t="str">
        <f aca="false">IF(A44="","",COUNTIF('Metric to Product'!$A:$A,A44))</f>
        <v/>
      </c>
      <c r="H44" s="20"/>
      <c r="I44" s="20"/>
      <c r="J44" s="20"/>
      <c r="K44" s="20"/>
    </row>
    <row r="45" customFormat="false" ht="15" hidden="false" customHeight="false" outlineLevel="0" collapsed="false">
      <c r="A45" s="18" t="str">
        <f aca="false">IF(C45="","",IFERROR(INDEX(Metrics!$A:$A,MATCH(C45,Metrics!$C:$C,0)),"Not found"))</f>
        <v/>
      </c>
      <c r="B45" s="18" t="str">
        <f aca="false">IF(D45="","",IFERROR(INDEX(Fields!$A:$A,MATCH(D45,Fields!$B:$B,0)),"Not found"))</f>
        <v/>
      </c>
      <c r="C45" s="20"/>
      <c r="D45" s="20"/>
      <c r="E45" s="20"/>
      <c r="F45" s="21" t="str">
        <f aca="false">IF(B45="","",IFERROR(INDEX(Fields!$C:$C,MATCH(B45,Fields!$A:$A,0)),""))</f>
        <v/>
      </c>
      <c r="G45" s="18" t="str">
        <f aca="false">IF(A45="","",COUNTIF('Metric to Product'!$A:$A,A45))</f>
        <v/>
      </c>
      <c r="H45" s="20"/>
      <c r="I45" s="20"/>
      <c r="J45" s="20"/>
      <c r="K45" s="20"/>
    </row>
    <row r="46" customFormat="false" ht="15" hidden="false" customHeight="false" outlineLevel="0" collapsed="false">
      <c r="A46" s="18" t="str">
        <f aca="false">IF(C46="","",IFERROR(INDEX(Metrics!$A:$A,MATCH(C46,Metrics!$C:$C,0)),"Not found"))</f>
        <v/>
      </c>
      <c r="B46" s="18" t="str">
        <f aca="false">IF(D46="","",IFERROR(INDEX(Fields!$A:$A,MATCH(D46,Fields!$B:$B,0)),"Not found"))</f>
        <v/>
      </c>
      <c r="C46" s="20"/>
      <c r="D46" s="20"/>
      <c r="E46" s="20"/>
      <c r="F46" s="21" t="str">
        <f aca="false">IF(B46="","",IFERROR(INDEX(Fields!$C:$C,MATCH(B46,Fields!$A:$A,0)),""))</f>
        <v/>
      </c>
      <c r="G46" s="18" t="str">
        <f aca="false">IF(A46="","",COUNTIF('Metric to Product'!$A:$A,A46))</f>
        <v/>
      </c>
      <c r="H46" s="20"/>
      <c r="I46" s="20"/>
      <c r="J46" s="20"/>
      <c r="K46" s="20"/>
    </row>
    <row r="47" customFormat="false" ht="15" hidden="false" customHeight="false" outlineLevel="0" collapsed="false">
      <c r="A47" s="18" t="str">
        <f aca="false">IF(C47="","",IFERROR(INDEX(Metrics!$A:$A,MATCH(C47,Metrics!$C:$C,0)),"Not found"))</f>
        <v/>
      </c>
      <c r="B47" s="18" t="str">
        <f aca="false">IF(D47="","",IFERROR(INDEX(Fields!$A:$A,MATCH(D47,Fields!$B:$B,0)),"Not found"))</f>
        <v/>
      </c>
      <c r="C47" s="20"/>
      <c r="D47" s="20"/>
      <c r="E47" s="20"/>
      <c r="F47" s="21" t="str">
        <f aca="false">IF(B47="","",IFERROR(INDEX(Fields!$C:$C,MATCH(B47,Fields!$A:$A,0)),""))</f>
        <v/>
      </c>
      <c r="G47" s="18" t="str">
        <f aca="false">IF(A47="","",COUNTIF('Metric to Product'!$A:$A,A47))</f>
        <v/>
      </c>
      <c r="H47" s="20"/>
      <c r="I47" s="20"/>
      <c r="J47" s="20"/>
      <c r="K47" s="20"/>
    </row>
    <row r="48" customFormat="false" ht="15" hidden="false" customHeight="false" outlineLevel="0" collapsed="false">
      <c r="A48" s="18" t="str">
        <f aca="false">IF(C48="","",IFERROR(INDEX(Metrics!$A:$A,MATCH(C48,Metrics!$C:$C,0)),"Not found"))</f>
        <v/>
      </c>
      <c r="B48" s="18" t="str">
        <f aca="false">IF(D48="","",IFERROR(INDEX(Fields!$A:$A,MATCH(D48,Fields!$B:$B,0)),"Not found"))</f>
        <v/>
      </c>
      <c r="C48" s="20"/>
      <c r="D48" s="20"/>
      <c r="E48" s="20"/>
      <c r="F48" s="21" t="str">
        <f aca="false">IF(B48="","",IFERROR(INDEX(Fields!$C:$C,MATCH(B48,Fields!$A:$A,0)),""))</f>
        <v/>
      </c>
      <c r="G48" s="18" t="str">
        <f aca="false">IF(A48="","",COUNTIF('Metric to Product'!$A:$A,A48))</f>
        <v/>
      </c>
      <c r="H48" s="20"/>
      <c r="I48" s="20"/>
      <c r="J48" s="20"/>
      <c r="K48" s="20"/>
    </row>
    <row r="49" customFormat="false" ht="15" hidden="false" customHeight="false" outlineLevel="0" collapsed="false">
      <c r="A49" s="18" t="str">
        <f aca="false">IF(C49="","",IFERROR(INDEX(Metrics!$A:$A,MATCH(C49,Metrics!$C:$C,0)),"Not found"))</f>
        <v/>
      </c>
      <c r="B49" s="18" t="str">
        <f aca="false">IF(D49="","",IFERROR(INDEX(Fields!$A:$A,MATCH(D49,Fields!$B:$B,0)),"Not found"))</f>
        <v/>
      </c>
      <c r="C49" s="20"/>
      <c r="D49" s="20"/>
      <c r="E49" s="20"/>
      <c r="F49" s="21" t="str">
        <f aca="false">IF(B49="","",IFERROR(INDEX(Fields!$C:$C,MATCH(B49,Fields!$A:$A,0)),""))</f>
        <v/>
      </c>
      <c r="G49" s="18" t="str">
        <f aca="false">IF(A49="","",COUNTIF('Metric to Product'!$A:$A,A49))</f>
        <v/>
      </c>
      <c r="H49" s="20"/>
      <c r="I49" s="20"/>
      <c r="J49" s="20"/>
      <c r="K49" s="20"/>
    </row>
    <row r="50" customFormat="false" ht="15" hidden="false" customHeight="false" outlineLevel="0" collapsed="false">
      <c r="A50" s="18" t="str">
        <f aca="false">IF(C50="","",IFERROR(INDEX(Metrics!$A:$A,MATCH(C50,Metrics!$C:$C,0)),"Not found"))</f>
        <v/>
      </c>
      <c r="B50" s="18" t="str">
        <f aca="false">IF(D50="","",IFERROR(INDEX(Fields!$A:$A,MATCH(D50,Fields!$B:$B,0)),"Not found"))</f>
        <v/>
      </c>
      <c r="C50" s="20"/>
      <c r="D50" s="20"/>
      <c r="E50" s="20"/>
      <c r="F50" s="21" t="str">
        <f aca="false">IF(B50="","",IFERROR(INDEX(Fields!$C:$C,MATCH(B50,Fields!$A:$A,0)),""))</f>
        <v/>
      </c>
      <c r="G50" s="18" t="str">
        <f aca="false">IF(A50="","",COUNTIF('Metric to Product'!$A:$A,A50))</f>
        <v/>
      </c>
      <c r="H50" s="20"/>
      <c r="I50" s="20"/>
      <c r="J50" s="20"/>
      <c r="K50" s="20"/>
    </row>
    <row r="51" customFormat="false" ht="15" hidden="false" customHeight="false" outlineLevel="0" collapsed="false">
      <c r="A51" s="18" t="str">
        <f aca="false">IF(C51="","",IFERROR(INDEX(Metrics!$A:$A,MATCH(C51,Metrics!$C:$C,0)),"Not found"))</f>
        <v/>
      </c>
      <c r="B51" s="18" t="str">
        <f aca="false">IF(D51="","",IFERROR(INDEX(Fields!$A:$A,MATCH(D51,Fields!$B:$B,0)),"Not found"))</f>
        <v/>
      </c>
      <c r="C51" s="20"/>
      <c r="D51" s="20"/>
      <c r="E51" s="20"/>
      <c r="F51" s="21" t="str">
        <f aca="false">IF(B51="","",IFERROR(INDEX(Fields!$C:$C,MATCH(B51,Fields!$A:$A,0)),""))</f>
        <v/>
      </c>
      <c r="G51" s="18" t="str">
        <f aca="false">IF(A51="","",COUNTIF('Metric to Product'!$A:$A,A51))</f>
        <v/>
      </c>
      <c r="H51" s="20"/>
      <c r="I51" s="20"/>
      <c r="J51" s="20"/>
      <c r="K51" s="20"/>
    </row>
    <row r="52" customFormat="false" ht="15" hidden="false" customHeight="false" outlineLevel="0" collapsed="false">
      <c r="A52" s="18" t="str">
        <f aca="false">IF(C52="","",IFERROR(INDEX(Metrics!$A:$A,MATCH(C52,Metrics!$C:$C,0)),"Not found"))</f>
        <v/>
      </c>
      <c r="B52" s="18" t="str">
        <f aca="false">IF(D52="","",IFERROR(INDEX(Fields!$A:$A,MATCH(D52,Fields!$B:$B,0)),"Not found"))</f>
        <v/>
      </c>
      <c r="C52" s="20"/>
      <c r="D52" s="20"/>
      <c r="E52" s="20"/>
      <c r="F52" s="21" t="str">
        <f aca="false">IF(B52="","",IFERROR(INDEX(Fields!$C:$C,MATCH(B52,Fields!$A:$A,0)),""))</f>
        <v/>
      </c>
      <c r="G52" s="18" t="str">
        <f aca="false">IF(A52="","",COUNTIF('Metric to Product'!$A:$A,A52))</f>
        <v/>
      </c>
      <c r="H52" s="20"/>
      <c r="I52" s="20"/>
      <c r="J52" s="20"/>
      <c r="K52" s="20"/>
    </row>
    <row r="53" customFormat="false" ht="15" hidden="false" customHeight="false" outlineLevel="0" collapsed="false">
      <c r="A53" s="18" t="str">
        <f aca="false">IF(C53="","",IFERROR(INDEX(Metrics!$A:$A,MATCH(C53,Metrics!$C:$C,0)),"Not found"))</f>
        <v/>
      </c>
      <c r="B53" s="18" t="str">
        <f aca="false">IF(D53="","",IFERROR(INDEX(Fields!$A:$A,MATCH(D53,Fields!$B:$B,0)),"Not found"))</f>
        <v/>
      </c>
      <c r="C53" s="20"/>
      <c r="D53" s="20"/>
      <c r="E53" s="20"/>
      <c r="F53" s="21" t="str">
        <f aca="false">IF(B53="","",IFERROR(INDEX(Fields!$C:$C,MATCH(B53,Fields!$A:$A,0)),""))</f>
        <v/>
      </c>
      <c r="G53" s="18" t="str">
        <f aca="false">IF(A53="","",COUNTIF('Metric to Product'!$A:$A,A53))</f>
        <v/>
      </c>
      <c r="H53" s="20"/>
      <c r="I53" s="20"/>
      <c r="J53" s="20"/>
      <c r="K53" s="20"/>
    </row>
    <row r="54" customFormat="false" ht="15" hidden="false" customHeight="false" outlineLevel="0" collapsed="false">
      <c r="A54" s="18" t="str">
        <f aca="false">IF(C54="","",IFERROR(INDEX(Metrics!$A:$A,MATCH(C54,Metrics!$C:$C,0)),"Not found"))</f>
        <v/>
      </c>
      <c r="B54" s="18" t="str">
        <f aca="false">IF(D54="","",IFERROR(INDEX(Fields!$A:$A,MATCH(D54,Fields!$B:$B,0)),"Not found"))</f>
        <v/>
      </c>
      <c r="C54" s="20"/>
      <c r="D54" s="20"/>
      <c r="E54" s="20"/>
      <c r="F54" s="21" t="str">
        <f aca="false">IF(B54="","",IFERROR(INDEX(Fields!$C:$C,MATCH(B54,Fields!$A:$A,0)),""))</f>
        <v/>
      </c>
      <c r="G54" s="18" t="str">
        <f aca="false">IF(A54="","",COUNTIF('Metric to Product'!$A:$A,A54))</f>
        <v/>
      </c>
      <c r="H54" s="20"/>
      <c r="I54" s="20"/>
      <c r="J54" s="20"/>
      <c r="K54" s="20"/>
    </row>
    <row r="55" customFormat="false" ht="15" hidden="false" customHeight="false" outlineLevel="0" collapsed="false">
      <c r="A55" s="18" t="str">
        <f aca="false">IF(C55="","",IFERROR(INDEX(Metrics!$A:$A,MATCH(C55,Metrics!$C:$C,0)),"Not found"))</f>
        <v/>
      </c>
      <c r="B55" s="18" t="str">
        <f aca="false">IF(D55="","",IFERROR(INDEX(Fields!$A:$A,MATCH(D55,Fields!$B:$B,0)),"Not found"))</f>
        <v/>
      </c>
      <c r="C55" s="20"/>
      <c r="D55" s="20"/>
      <c r="E55" s="20"/>
      <c r="F55" s="21" t="str">
        <f aca="false">IF(B55="","",IFERROR(INDEX(Fields!$C:$C,MATCH(B55,Fields!$A:$A,0)),""))</f>
        <v/>
      </c>
      <c r="G55" s="18" t="str">
        <f aca="false">IF(A55="","",COUNTIF('Metric to Product'!$A:$A,A55))</f>
        <v/>
      </c>
      <c r="H55" s="20"/>
      <c r="I55" s="20"/>
      <c r="J55" s="20"/>
      <c r="K55" s="20"/>
    </row>
    <row r="56" customFormat="false" ht="15" hidden="false" customHeight="false" outlineLevel="0" collapsed="false">
      <c r="A56" s="18" t="str">
        <f aca="false">IF(C56="","",IFERROR(INDEX(Metrics!$A:$A,MATCH(C56,Metrics!$C:$C,0)),"Not found"))</f>
        <v/>
      </c>
      <c r="B56" s="18" t="str">
        <f aca="false">IF(D56="","",IFERROR(INDEX(Fields!$A:$A,MATCH(D56,Fields!$B:$B,0)),"Not found"))</f>
        <v/>
      </c>
      <c r="C56" s="20"/>
      <c r="D56" s="20"/>
      <c r="E56" s="20"/>
      <c r="F56" s="21" t="str">
        <f aca="false">IF(B56="","",IFERROR(INDEX(Fields!$C:$C,MATCH(B56,Fields!$A:$A,0)),""))</f>
        <v/>
      </c>
      <c r="G56" s="18" t="str">
        <f aca="false">IF(A56="","",COUNTIF('Metric to Product'!$A:$A,A56))</f>
        <v/>
      </c>
      <c r="H56" s="20"/>
      <c r="I56" s="20"/>
      <c r="J56" s="20"/>
      <c r="K56" s="20"/>
    </row>
    <row r="57" customFormat="false" ht="15" hidden="false" customHeight="false" outlineLevel="0" collapsed="false">
      <c r="A57" s="18" t="str">
        <f aca="false">IF(C57="","",IFERROR(INDEX(Metrics!$A:$A,MATCH(C57,Metrics!$C:$C,0)),"Not found"))</f>
        <v/>
      </c>
      <c r="B57" s="18" t="str">
        <f aca="false">IF(D57="","",IFERROR(INDEX(Fields!$A:$A,MATCH(D57,Fields!$B:$B,0)),"Not found"))</f>
        <v/>
      </c>
      <c r="C57" s="20"/>
      <c r="D57" s="20"/>
      <c r="E57" s="20"/>
      <c r="F57" s="21" t="str">
        <f aca="false">IF(B57="","",IFERROR(INDEX(Fields!$C:$C,MATCH(B57,Fields!$A:$A,0)),""))</f>
        <v/>
      </c>
      <c r="G57" s="18" t="str">
        <f aca="false">IF(A57="","",COUNTIF('Metric to Product'!$A:$A,A57))</f>
        <v/>
      </c>
      <c r="H57" s="20"/>
      <c r="I57" s="20"/>
      <c r="J57" s="20"/>
      <c r="K57" s="20"/>
    </row>
    <row r="58" customFormat="false" ht="15" hidden="false" customHeight="false" outlineLevel="0" collapsed="false">
      <c r="A58" s="18" t="str">
        <f aca="false">IF(C58="","",IFERROR(INDEX(Metrics!$A:$A,MATCH(C58,Metrics!$C:$C,0)),"Not found"))</f>
        <v/>
      </c>
      <c r="B58" s="18" t="str">
        <f aca="false">IF(D58="","",IFERROR(INDEX(Fields!$A:$A,MATCH(D58,Fields!$B:$B,0)),"Not found"))</f>
        <v/>
      </c>
      <c r="C58" s="20"/>
      <c r="D58" s="20"/>
      <c r="E58" s="20"/>
      <c r="F58" s="21" t="str">
        <f aca="false">IF(B58="","",IFERROR(INDEX(Fields!$C:$C,MATCH(B58,Fields!$A:$A,0)),""))</f>
        <v/>
      </c>
      <c r="G58" s="18" t="str">
        <f aca="false">IF(A58="","",COUNTIF('Metric to Product'!$A:$A,A58))</f>
        <v/>
      </c>
      <c r="H58" s="20"/>
      <c r="I58" s="20"/>
      <c r="J58" s="20"/>
      <c r="K58" s="20"/>
    </row>
    <row r="59" customFormat="false" ht="15" hidden="false" customHeight="false" outlineLevel="0" collapsed="false">
      <c r="A59" s="18" t="str">
        <f aca="false">IF(C59="","",IFERROR(INDEX(Metrics!$A:$A,MATCH(C59,Metrics!$C:$C,0)),"Not found"))</f>
        <v/>
      </c>
      <c r="B59" s="18" t="str">
        <f aca="false">IF(D59="","",IFERROR(INDEX(Fields!$A:$A,MATCH(D59,Fields!$B:$B,0)),"Not found"))</f>
        <v/>
      </c>
      <c r="C59" s="20"/>
      <c r="D59" s="20"/>
      <c r="E59" s="20"/>
      <c r="F59" s="21" t="str">
        <f aca="false">IF(B59="","",IFERROR(INDEX(Fields!$C:$C,MATCH(B59,Fields!$A:$A,0)),""))</f>
        <v/>
      </c>
      <c r="G59" s="18" t="str">
        <f aca="false">IF(A59="","",COUNTIF('Metric to Product'!$A:$A,A59))</f>
        <v/>
      </c>
      <c r="H59" s="20"/>
      <c r="I59" s="20"/>
      <c r="J59" s="20"/>
      <c r="K59" s="20"/>
    </row>
    <row r="60" customFormat="false" ht="15" hidden="false" customHeight="false" outlineLevel="0" collapsed="false">
      <c r="A60" s="18" t="str">
        <f aca="false">IF(C60="","",IFERROR(INDEX(Metrics!$A:$A,MATCH(C60,Metrics!$C:$C,0)),"Not found"))</f>
        <v/>
      </c>
      <c r="B60" s="18" t="str">
        <f aca="false">IF(D60="","",IFERROR(INDEX(Fields!$A:$A,MATCH(D60,Fields!$B:$B,0)),"Not found"))</f>
        <v/>
      </c>
      <c r="C60" s="20"/>
      <c r="D60" s="20"/>
      <c r="E60" s="20"/>
      <c r="F60" s="21" t="str">
        <f aca="false">IF(B60="","",IFERROR(INDEX(Fields!$C:$C,MATCH(B60,Fields!$A:$A,0)),""))</f>
        <v/>
      </c>
      <c r="G60" s="18" t="str">
        <f aca="false">IF(A60="","",COUNTIF('Metric to Product'!$A:$A,A60))</f>
        <v/>
      </c>
      <c r="H60" s="20"/>
      <c r="I60" s="20"/>
      <c r="J60" s="20"/>
      <c r="K60" s="20"/>
    </row>
    <row r="61" customFormat="false" ht="15" hidden="false" customHeight="false" outlineLevel="0" collapsed="false">
      <c r="A61" s="18" t="str">
        <f aca="false">IF(C61="","",IFERROR(INDEX(Metrics!$A:$A,MATCH(C61,Metrics!$C:$C,0)),"Not found"))</f>
        <v/>
      </c>
      <c r="B61" s="18" t="str">
        <f aca="false">IF(D61="","",IFERROR(INDEX(Fields!$A:$A,MATCH(D61,Fields!$B:$B,0)),"Not found"))</f>
        <v/>
      </c>
      <c r="C61" s="20"/>
      <c r="D61" s="20"/>
      <c r="E61" s="20"/>
      <c r="F61" s="21" t="str">
        <f aca="false">IF(B61="","",IFERROR(INDEX(Fields!$C:$C,MATCH(B61,Fields!$A:$A,0)),""))</f>
        <v/>
      </c>
      <c r="G61" s="18" t="str">
        <f aca="false">IF(A61="","",COUNTIF('Metric to Product'!$A:$A,A61))</f>
        <v/>
      </c>
      <c r="H61" s="20"/>
      <c r="I61" s="20"/>
      <c r="J61" s="20"/>
      <c r="K61" s="20"/>
    </row>
    <row r="62" customFormat="false" ht="15" hidden="false" customHeight="false" outlineLevel="0" collapsed="false">
      <c r="A62" s="18" t="str">
        <f aca="false">IF(C62="","",IFERROR(INDEX(Metrics!$A:$A,MATCH(C62,Metrics!$C:$C,0)),"Not found"))</f>
        <v/>
      </c>
      <c r="B62" s="18" t="str">
        <f aca="false">IF(D62="","",IFERROR(INDEX(Fields!$A:$A,MATCH(D62,Fields!$B:$B,0)),"Not found"))</f>
        <v/>
      </c>
      <c r="C62" s="20"/>
      <c r="D62" s="20"/>
      <c r="E62" s="20"/>
      <c r="F62" s="21" t="str">
        <f aca="false">IF(B62="","",IFERROR(INDEX(Fields!$C:$C,MATCH(B62,Fields!$A:$A,0)),""))</f>
        <v/>
      </c>
      <c r="G62" s="18" t="str">
        <f aca="false">IF(A62="","",COUNTIF('Metric to Product'!$A:$A,A62))</f>
        <v/>
      </c>
      <c r="H62" s="20"/>
      <c r="I62" s="20"/>
      <c r="J62" s="20"/>
      <c r="K62" s="20"/>
    </row>
    <row r="63" customFormat="false" ht="15" hidden="false" customHeight="false" outlineLevel="0" collapsed="false">
      <c r="A63" s="18" t="str">
        <f aca="false">IF(C63="","",IFERROR(INDEX(Metrics!$A:$A,MATCH(C63,Metrics!$C:$C,0)),"Not found"))</f>
        <v/>
      </c>
      <c r="B63" s="18" t="str">
        <f aca="false">IF(D63="","",IFERROR(INDEX(Fields!$A:$A,MATCH(D63,Fields!$B:$B,0)),"Not found"))</f>
        <v/>
      </c>
      <c r="C63" s="20"/>
      <c r="D63" s="20"/>
      <c r="E63" s="20"/>
      <c r="F63" s="21" t="str">
        <f aca="false">IF(B63="","",IFERROR(INDEX(Fields!$C:$C,MATCH(B63,Fields!$A:$A,0)),""))</f>
        <v/>
      </c>
      <c r="G63" s="18" t="str">
        <f aca="false">IF(A63="","",COUNTIF('Metric to Product'!$A:$A,A63))</f>
        <v/>
      </c>
      <c r="H63" s="20"/>
      <c r="I63" s="20"/>
      <c r="J63" s="20"/>
      <c r="K63" s="20"/>
    </row>
    <row r="64" customFormat="false" ht="15" hidden="false" customHeight="false" outlineLevel="0" collapsed="false">
      <c r="A64" s="18" t="str">
        <f aca="false">IF(C64="","",IFERROR(INDEX(Metrics!$A:$A,MATCH(C64,Metrics!$C:$C,0)),"Not found"))</f>
        <v/>
      </c>
      <c r="B64" s="18" t="str">
        <f aca="false">IF(D64="","",IFERROR(INDEX(Fields!$A:$A,MATCH(D64,Fields!$B:$B,0)),"Not found"))</f>
        <v/>
      </c>
      <c r="C64" s="20"/>
      <c r="D64" s="20"/>
      <c r="E64" s="20"/>
      <c r="F64" s="21" t="str">
        <f aca="false">IF(B64="","",IFERROR(INDEX(Fields!$C:$C,MATCH(B64,Fields!$A:$A,0)),""))</f>
        <v/>
      </c>
      <c r="G64" s="18" t="str">
        <f aca="false">IF(A64="","",COUNTIF('Metric to Product'!$A:$A,A64))</f>
        <v/>
      </c>
      <c r="H64" s="20"/>
      <c r="I64" s="20"/>
      <c r="J64" s="20"/>
      <c r="K64" s="20"/>
    </row>
    <row r="65" customFormat="false" ht="15" hidden="false" customHeight="false" outlineLevel="0" collapsed="false">
      <c r="A65" s="18" t="str">
        <f aca="false">IF(C65="","",IFERROR(INDEX(Metrics!$A:$A,MATCH(C65,Metrics!$C:$C,0)),"Not found"))</f>
        <v/>
      </c>
      <c r="B65" s="18" t="str">
        <f aca="false">IF(D65="","",IFERROR(INDEX(Fields!$A:$A,MATCH(D65,Fields!$B:$B,0)),"Not found"))</f>
        <v/>
      </c>
      <c r="C65" s="20"/>
      <c r="D65" s="20"/>
      <c r="E65" s="20"/>
      <c r="F65" s="21" t="str">
        <f aca="false">IF(B65="","",IFERROR(INDEX(Fields!$C:$C,MATCH(B65,Fields!$A:$A,0)),""))</f>
        <v/>
      </c>
      <c r="G65" s="18" t="str">
        <f aca="false">IF(A65="","",COUNTIF('Metric to Product'!$A:$A,A65))</f>
        <v/>
      </c>
      <c r="H65" s="20"/>
      <c r="I65" s="20"/>
      <c r="J65" s="20"/>
      <c r="K65" s="20"/>
    </row>
    <row r="66" customFormat="false" ht="15" hidden="false" customHeight="false" outlineLevel="0" collapsed="false">
      <c r="A66" s="18" t="str">
        <f aca="false">IF(C66="","",IFERROR(INDEX(Metrics!$A:$A,MATCH(C66,Metrics!$C:$C,0)),"Not found"))</f>
        <v/>
      </c>
      <c r="B66" s="18" t="str">
        <f aca="false">IF(D66="","",IFERROR(INDEX(Fields!$A:$A,MATCH(D66,Fields!$B:$B,0)),"Not found"))</f>
        <v/>
      </c>
      <c r="C66" s="20"/>
      <c r="D66" s="20"/>
      <c r="E66" s="20"/>
      <c r="F66" s="21" t="str">
        <f aca="false">IF(B66="","",IFERROR(INDEX(Fields!$C:$C,MATCH(B66,Fields!$A:$A,0)),""))</f>
        <v/>
      </c>
      <c r="G66" s="18" t="str">
        <f aca="false">IF(A66="","",COUNTIF('Metric to Product'!$A:$A,A66))</f>
        <v/>
      </c>
      <c r="H66" s="20"/>
      <c r="I66" s="20"/>
      <c r="J66" s="20"/>
      <c r="K66" s="20"/>
    </row>
    <row r="67" customFormat="false" ht="15" hidden="false" customHeight="false" outlineLevel="0" collapsed="false">
      <c r="A67" s="18" t="str">
        <f aca="false">IF(C67="","",IFERROR(INDEX(Metrics!$A:$A,MATCH(C67,Metrics!$C:$C,0)),"Not found"))</f>
        <v/>
      </c>
      <c r="B67" s="18" t="str">
        <f aca="false">IF(D67="","",IFERROR(INDEX(Fields!$A:$A,MATCH(D67,Fields!$B:$B,0)),"Not found"))</f>
        <v/>
      </c>
      <c r="C67" s="20"/>
      <c r="D67" s="20"/>
      <c r="E67" s="20"/>
      <c r="F67" s="21" t="str">
        <f aca="false">IF(B67="","",IFERROR(INDEX(Fields!$C:$C,MATCH(B67,Fields!$A:$A,0)),""))</f>
        <v/>
      </c>
      <c r="G67" s="18" t="str">
        <f aca="false">IF(A67="","",COUNTIF('Metric to Product'!$A:$A,A67))</f>
        <v/>
      </c>
      <c r="H67" s="20"/>
      <c r="I67" s="20"/>
      <c r="J67" s="20"/>
      <c r="K67" s="20"/>
    </row>
    <row r="68" customFormat="false" ht="15" hidden="false" customHeight="false" outlineLevel="0" collapsed="false">
      <c r="A68" s="18" t="str">
        <f aca="false">IF(C68="","",IFERROR(INDEX(Metrics!$A:$A,MATCH(C68,Metrics!$C:$C,0)),"Not found"))</f>
        <v/>
      </c>
      <c r="B68" s="18" t="str">
        <f aca="false">IF(D68="","",IFERROR(INDEX(Fields!$A:$A,MATCH(D68,Fields!$B:$B,0)),"Not found"))</f>
        <v/>
      </c>
      <c r="C68" s="20"/>
      <c r="D68" s="20"/>
      <c r="E68" s="20"/>
      <c r="F68" s="21" t="str">
        <f aca="false">IF(B68="","",IFERROR(INDEX(Fields!$C:$C,MATCH(B68,Fields!$A:$A,0)),""))</f>
        <v/>
      </c>
      <c r="G68" s="18" t="str">
        <f aca="false">IF(A68="","",COUNTIF('Metric to Product'!$A:$A,A68))</f>
        <v/>
      </c>
      <c r="H68" s="20"/>
      <c r="I68" s="20"/>
      <c r="J68" s="20"/>
      <c r="K68" s="20"/>
    </row>
    <row r="69" customFormat="false" ht="15" hidden="false" customHeight="false" outlineLevel="0" collapsed="false">
      <c r="A69" s="18" t="str">
        <f aca="false">IF(C69="","",IFERROR(INDEX(Metrics!$A:$A,MATCH(C69,Metrics!$C:$C,0)),"Not found"))</f>
        <v/>
      </c>
      <c r="B69" s="18" t="str">
        <f aca="false">IF(D69="","",IFERROR(INDEX(Fields!$A:$A,MATCH(D69,Fields!$B:$B,0)),"Not found"))</f>
        <v/>
      </c>
      <c r="C69" s="20"/>
      <c r="D69" s="20"/>
      <c r="E69" s="20"/>
      <c r="F69" s="21" t="str">
        <f aca="false">IF(B69="","",IFERROR(INDEX(Fields!$C:$C,MATCH(B69,Fields!$A:$A,0)),""))</f>
        <v/>
      </c>
      <c r="G69" s="18" t="str">
        <f aca="false">IF(A69="","",COUNTIF('Metric to Product'!$A:$A,A69))</f>
        <v/>
      </c>
      <c r="H69" s="20"/>
      <c r="I69" s="20"/>
      <c r="J69" s="20"/>
      <c r="K69" s="20"/>
    </row>
    <row r="70" customFormat="false" ht="15" hidden="false" customHeight="false" outlineLevel="0" collapsed="false">
      <c r="A70" s="18" t="str">
        <f aca="false">IF(C70="","",IFERROR(INDEX(Metrics!$A:$A,MATCH(C70,Metrics!$C:$C,0)),"Not found"))</f>
        <v/>
      </c>
      <c r="B70" s="18" t="str">
        <f aca="false">IF(D70="","",IFERROR(INDEX(Fields!$A:$A,MATCH(D70,Fields!$B:$B,0)),"Not found"))</f>
        <v/>
      </c>
      <c r="C70" s="20"/>
      <c r="D70" s="20"/>
      <c r="E70" s="20"/>
      <c r="F70" s="21" t="str">
        <f aca="false">IF(B70="","",IFERROR(INDEX(Fields!$C:$C,MATCH(B70,Fields!$A:$A,0)),""))</f>
        <v/>
      </c>
      <c r="G70" s="18" t="str">
        <f aca="false">IF(A70="","",COUNTIF('Metric to Product'!$A:$A,A70))</f>
        <v/>
      </c>
      <c r="H70" s="20"/>
      <c r="I70" s="20"/>
      <c r="J70" s="20"/>
      <c r="K70" s="20"/>
    </row>
    <row r="71" customFormat="false" ht="15" hidden="false" customHeight="false" outlineLevel="0" collapsed="false">
      <c r="A71" s="18" t="str">
        <f aca="false">IF(C71="","",IFERROR(INDEX(Metrics!$A:$A,MATCH(C71,Metrics!$C:$C,0)),"Not found"))</f>
        <v/>
      </c>
      <c r="B71" s="18" t="str">
        <f aca="false">IF(D71="","",IFERROR(INDEX(Fields!$A:$A,MATCH(D71,Fields!$B:$B,0)),"Not found"))</f>
        <v/>
      </c>
      <c r="C71" s="20"/>
      <c r="D71" s="20"/>
      <c r="E71" s="20"/>
      <c r="F71" s="21" t="str">
        <f aca="false">IF(B71="","",IFERROR(INDEX(Fields!$C:$C,MATCH(B71,Fields!$A:$A,0)),""))</f>
        <v/>
      </c>
      <c r="G71" s="18" t="str">
        <f aca="false">IF(A71="","",COUNTIF('Metric to Product'!$A:$A,A71))</f>
        <v/>
      </c>
      <c r="H71" s="20"/>
      <c r="I71" s="20"/>
      <c r="J71" s="20"/>
      <c r="K71" s="20"/>
    </row>
    <row r="72" customFormat="false" ht="15" hidden="false" customHeight="false" outlineLevel="0" collapsed="false">
      <c r="A72" s="18" t="str">
        <f aca="false">IF(C72="","",IFERROR(INDEX(Metrics!$A:$A,MATCH(C72,Metrics!$C:$C,0)),"Not found"))</f>
        <v/>
      </c>
      <c r="B72" s="18" t="str">
        <f aca="false">IF(D72="","",IFERROR(INDEX(Fields!$A:$A,MATCH(D72,Fields!$B:$B,0)),"Not found"))</f>
        <v/>
      </c>
      <c r="C72" s="20"/>
      <c r="D72" s="20"/>
      <c r="E72" s="20"/>
      <c r="F72" s="21" t="str">
        <f aca="false">IF(B72="","",IFERROR(INDEX(Fields!$C:$C,MATCH(B72,Fields!$A:$A,0)),""))</f>
        <v/>
      </c>
      <c r="G72" s="18" t="str">
        <f aca="false">IF(A72="","",COUNTIF('Metric to Product'!$A:$A,A72))</f>
        <v/>
      </c>
      <c r="H72" s="20"/>
      <c r="I72" s="20"/>
      <c r="J72" s="20"/>
      <c r="K72" s="20"/>
    </row>
    <row r="73" customFormat="false" ht="15" hidden="false" customHeight="false" outlineLevel="0" collapsed="false">
      <c r="A73" s="18" t="str">
        <f aca="false">IF(C73="","",IFERROR(INDEX(Metrics!$A:$A,MATCH(C73,Metrics!$C:$C,0)),"Not found"))</f>
        <v/>
      </c>
      <c r="B73" s="18" t="str">
        <f aca="false">IF(D73="","",IFERROR(INDEX(Fields!$A:$A,MATCH(D73,Fields!$B:$B,0)),"Not found"))</f>
        <v/>
      </c>
      <c r="C73" s="20"/>
      <c r="D73" s="20"/>
      <c r="E73" s="20"/>
      <c r="F73" s="21" t="str">
        <f aca="false">IF(B73="","",IFERROR(INDEX(Fields!$C:$C,MATCH(B73,Fields!$A:$A,0)),""))</f>
        <v/>
      </c>
      <c r="G73" s="18" t="str">
        <f aca="false">IF(A73="","",COUNTIF('Metric to Product'!$A:$A,A73))</f>
        <v/>
      </c>
      <c r="H73" s="20"/>
      <c r="I73" s="20"/>
      <c r="J73" s="20"/>
      <c r="K73" s="20"/>
    </row>
    <row r="74" customFormat="false" ht="15" hidden="false" customHeight="false" outlineLevel="0" collapsed="false">
      <c r="A74" s="18" t="str">
        <f aca="false">IF(C74="","",IFERROR(INDEX(Metrics!$A:$A,MATCH(C74,Metrics!$C:$C,0)),"Not found"))</f>
        <v/>
      </c>
      <c r="B74" s="18" t="str">
        <f aca="false">IF(D74="","",IFERROR(INDEX(Fields!$A:$A,MATCH(D74,Fields!$B:$B,0)),"Not found"))</f>
        <v/>
      </c>
      <c r="C74" s="20"/>
      <c r="D74" s="20"/>
      <c r="E74" s="20"/>
      <c r="F74" s="21" t="str">
        <f aca="false">IF(B74="","",IFERROR(INDEX(Fields!$C:$C,MATCH(B74,Fields!$A:$A,0)),""))</f>
        <v/>
      </c>
      <c r="G74" s="18" t="str">
        <f aca="false">IF(A74="","",COUNTIF('Metric to Product'!$A:$A,A74))</f>
        <v/>
      </c>
      <c r="H74" s="20"/>
      <c r="I74" s="20"/>
      <c r="J74" s="20"/>
      <c r="K74" s="20"/>
    </row>
    <row r="75" customFormat="false" ht="15" hidden="false" customHeight="false" outlineLevel="0" collapsed="false">
      <c r="A75" s="18" t="str">
        <f aca="false">IF(C75="","",IFERROR(INDEX(Metrics!$A:$A,MATCH(C75,Metrics!$C:$C,0)),"Not found"))</f>
        <v/>
      </c>
      <c r="B75" s="18" t="str">
        <f aca="false">IF(D75="","",IFERROR(INDEX(Fields!$A:$A,MATCH(D75,Fields!$B:$B,0)),"Not found"))</f>
        <v/>
      </c>
      <c r="C75" s="20"/>
      <c r="D75" s="20"/>
      <c r="E75" s="20"/>
      <c r="F75" s="21" t="str">
        <f aca="false">IF(B75="","",IFERROR(INDEX(Fields!$C:$C,MATCH(B75,Fields!$A:$A,0)),""))</f>
        <v/>
      </c>
      <c r="G75" s="18" t="str">
        <f aca="false">IF(A75="","",COUNTIF('Metric to Product'!$A:$A,A75))</f>
        <v/>
      </c>
      <c r="H75" s="20"/>
      <c r="I75" s="20"/>
      <c r="J75" s="20"/>
      <c r="K75" s="20"/>
    </row>
    <row r="76" customFormat="false" ht="15" hidden="false" customHeight="false" outlineLevel="0" collapsed="false">
      <c r="A76" s="18" t="str">
        <f aca="false">IF(C76="","",IFERROR(INDEX(Metrics!$A:$A,MATCH(C76,Metrics!$C:$C,0)),"Not found"))</f>
        <v/>
      </c>
      <c r="B76" s="18" t="str">
        <f aca="false">IF(D76="","",IFERROR(INDEX(Fields!$A:$A,MATCH(D76,Fields!$B:$B,0)),"Not found"))</f>
        <v/>
      </c>
      <c r="C76" s="20"/>
      <c r="D76" s="20"/>
      <c r="E76" s="20"/>
      <c r="F76" s="21" t="str">
        <f aca="false">IF(B76="","",IFERROR(INDEX(Fields!$C:$C,MATCH(B76,Fields!$A:$A,0)),""))</f>
        <v/>
      </c>
      <c r="G76" s="18" t="str">
        <f aca="false">IF(A76="","",COUNTIF('Metric to Product'!$A:$A,A76))</f>
        <v/>
      </c>
      <c r="H76" s="20"/>
      <c r="I76" s="20"/>
      <c r="J76" s="20"/>
      <c r="K76" s="20"/>
    </row>
    <row r="77" customFormat="false" ht="15" hidden="false" customHeight="false" outlineLevel="0" collapsed="false">
      <c r="A77" s="18" t="str">
        <f aca="false">IF(C77="","",IFERROR(INDEX(Metrics!$A:$A,MATCH(C77,Metrics!$C:$C,0)),"Not found"))</f>
        <v/>
      </c>
      <c r="B77" s="18" t="str">
        <f aca="false">IF(D77="","",IFERROR(INDEX(Fields!$A:$A,MATCH(D77,Fields!$B:$B,0)),"Not found"))</f>
        <v/>
      </c>
      <c r="C77" s="20"/>
      <c r="D77" s="20"/>
      <c r="E77" s="20"/>
      <c r="F77" s="21" t="str">
        <f aca="false">IF(B77="","",IFERROR(INDEX(Fields!$C:$C,MATCH(B77,Fields!$A:$A,0)),""))</f>
        <v/>
      </c>
      <c r="G77" s="18" t="str">
        <f aca="false">IF(A77="","",COUNTIF('Metric to Product'!$A:$A,A77))</f>
        <v/>
      </c>
      <c r="H77" s="20"/>
      <c r="I77" s="20"/>
      <c r="J77" s="20"/>
      <c r="K77" s="20"/>
    </row>
    <row r="78" customFormat="false" ht="15" hidden="false" customHeight="false" outlineLevel="0" collapsed="false">
      <c r="A78" s="18" t="str">
        <f aca="false">IF(C78="","",IFERROR(INDEX(Metrics!$A:$A,MATCH(C78,Metrics!$C:$C,0)),"Not found"))</f>
        <v/>
      </c>
      <c r="B78" s="18" t="str">
        <f aca="false">IF(D78="","",IFERROR(INDEX(Fields!$A:$A,MATCH(D78,Fields!$B:$B,0)),"Not found"))</f>
        <v/>
      </c>
      <c r="C78" s="20"/>
      <c r="D78" s="20"/>
      <c r="E78" s="20"/>
      <c r="F78" s="21" t="str">
        <f aca="false">IF(B78="","",IFERROR(INDEX(Fields!$C:$C,MATCH(B78,Fields!$A:$A,0)),""))</f>
        <v/>
      </c>
      <c r="G78" s="18" t="str">
        <f aca="false">IF(A78="","",COUNTIF('Metric to Product'!$A:$A,A78))</f>
        <v/>
      </c>
      <c r="H78" s="20"/>
      <c r="I78" s="20"/>
      <c r="J78" s="20"/>
      <c r="K78" s="20"/>
    </row>
    <row r="79" customFormat="false" ht="15" hidden="false" customHeight="false" outlineLevel="0" collapsed="false">
      <c r="A79" s="18" t="str">
        <f aca="false">IF(C79="","",IFERROR(INDEX(Metrics!$A:$A,MATCH(C79,Metrics!$C:$C,0)),"Not found"))</f>
        <v/>
      </c>
      <c r="B79" s="18" t="str">
        <f aca="false">IF(D79="","",IFERROR(INDEX(Fields!$A:$A,MATCH(D79,Fields!$B:$B,0)),"Not found"))</f>
        <v/>
      </c>
      <c r="C79" s="20"/>
      <c r="D79" s="20"/>
      <c r="E79" s="20"/>
      <c r="F79" s="21" t="str">
        <f aca="false">IF(B79="","",IFERROR(INDEX(Fields!$C:$C,MATCH(B79,Fields!$A:$A,0)),""))</f>
        <v/>
      </c>
      <c r="G79" s="18" t="str">
        <f aca="false">IF(A79="","",COUNTIF('Metric to Product'!$A:$A,A79))</f>
        <v/>
      </c>
      <c r="H79" s="20"/>
      <c r="I79" s="20"/>
      <c r="J79" s="20"/>
      <c r="K79" s="20"/>
    </row>
    <row r="80" customFormat="false" ht="15" hidden="false" customHeight="false" outlineLevel="0" collapsed="false">
      <c r="A80" s="18" t="str">
        <f aca="false">IF(C80="","",IFERROR(INDEX(Metrics!$A:$A,MATCH(C80,Metrics!$C:$C,0)),"Not found"))</f>
        <v/>
      </c>
      <c r="B80" s="18" t="str">
        <f aca="false">IF(D80="","",IFERROR(INDEX(Fields!$A:$A,MATCH(D80,Fields!$B:$B,0)),"Not found"))</f>
        <v/>
      </c>
      <c r="C80" s="20"/>
      <c r="D80" s="20"/>
      <c r="E80" s="20"/>
      <c r="F80" s="21" t="str">
        <f aca="false">IF(B80="","",IFERROR(INDEX(Fields!$C:$C,MATCH(B80,Fields!$A:$A,0)),""))</f>
        <v/>
      </c>
      <c r="G80" s="18" t="str">
        <f aca="false">IF(A80="","",COUNTIF('Metric to Product'!$A:$A,A80))</f>
        <v/>
      </c>
      <c r="H80" s="20"/>
      <c r="I80" s="20"/>
      <c r="J80" s="20"/>
      <c r="K80" s="20"/>
    </row>
    <row r="81" customFormat="false" ht="15" hidden="false" customHeight="false" outlineLevel="0" collapsed="false">
      <c r="A81" s="18" t="str">
        <f aca="false">IF(C81="","",IFERROR(INDEX(Metrics!$A:$A,MATCH(C81,Metrics!$C:$C,0)),"Not found"))</f>
        <v/>
      </c>
      <c r="B81" s="18" t="str">
        <f aca="false">IF(D81="","",IFERROR(INDEX(Fields!$A:$A,MATCH(D81,Fields!$B:$B,0)),"Not found"))</f>
        <v/>
      </c>
      <c r="C81" s="20"/>
      <c r="D81" s="20"/>
      <c r="E81" s="20"/>
      <c r="F81" s="21" t="str">
        <f aca="false">IF(B81="","",IFERROR(INDEX(Fields!$C:$C,MATCH(B81,Fields!$A:$A,0)),""))</f>
        <v/>
      </c>
      <c r="G81" s="18" t="str">
        <f aca="false">IF(A81="","",COUNTIF('Metric to Product'!$A:$A,A81))</f>
        <v/>
      </c>
      <c r="H81" s="20"/>
      <c r="I81" s="20"/>
      <c r="J81" s="20"/>
      <c r="K81" s="20"/>
    </row>
    <row r="82" customFormat="false" ht="15" hidden="false" customHeight="false" outlineLevel="0" collapsed="false">
      <c r="A82" s="18" t="str">
        <f aca="false">IF(C82="","",IFERROR(INDEX(Metrics!$A:$A,MATCH(C82,Metrics!$C:$C,0)),"Not found"))</f>
        <v/>
      </c>
      <c r="B82" s="18" t="str">
        <f aca="false">IF(D82="","",IFERROR(INDEX(Fields!$A:$A,MATCH(D82,Fields!$B:$B,0)),"Not found"))</f>
        <v/>
      </c>
      <c r="C82" s="20"/>
      <c r="D82" s="20"/>
      <c r="E82" s="20"/>
      <c r="F82" s="21" t="str">
        <f aca="false">IF(B82="","",IFERROR(INDEX(Fields!$C:$C,MATCH(B82,Fields!$A:$A,0)),""))</f>
        <v/>
      </c>
      <c r="G82" s="18" t="str">
        <f aca="false">IF(A82="","",COUNTIF('Metric to Product'!$A:$A,A82))</f>
        <v/>
      </c>
      <c r="H82" s="20"/>
      <c r="I82" s="20"/>
      <c r="J82" s="20"/>
      <c r="K82" s="20"/>
    </row>
    <row r="83" customFormat="false" ht="15" hidden="false" customHeight="false" outlineLevel="0" collapsed="false">
      <c r="A83" s="18" t="str">
        <f aca="false">IF(C83="","",IFERROR(INDEX(Metrics!$A:$A,MATCH(C83,Metrics!$C:$C,0)),"Not found"))</f>
        <v/>
      </c>
      <c r="B83" s="18" t="str">
        <f aca="false">IF(D83="","",IFERROR(INDEX(Fields!$A:$A,MATCH(D83,Fields!$B:$B,0)),"Not found"))</f>
        <v/>
      </c>
      <c r="C83" s="20"/>
      <c r="D83" s="20"/>
      <c r="E83" s="20"/>
      <c r="F83" s="21" t="str">
        <f aca="false">IF(B83="","",IFERROR(INDEX(Fields!$C:$C,MATCH(B83,Fields!$A:$A,0)),""))</f>
        <v/>
      </c>
      <c r="G83" s="18" t="str">
        <f aca="false">IF(A83="","",COUNTIF('Metric to Product'!$A:$A,A83))</f>
        <v/>
      </c>
      <c r="H83" s="20"/>
      <c r="I83" s="20"/>
      <c r="J83" s="20"/>
      <c r="K83" s="20"/>
    </row>
    <row r="84" customFormat="false" ht="15" hidden="false" customHeight="false" outlineLevel="0" collapsed="false">
      <c r="A84" s="18" t="str">
        <f aca="false">IF(C84="","",IFERROR(INDEX(Metrics!$A:$A,MATCH(C84,Metrics!$C:$C,0)),"Not found"))</f>
        <v/>
      </c>
      <c r="B84" s="18" t="str">
        <f aca="false">IF(D84="","",IFERROR(INDEX(Fields!$A:$A,MATCH(D84,Fields!$B:$B,0)),"Not found"))</f>
        <v/>
      </c>
      <c r="C84" s="20"/>
      <c r="D84" s="20"/>
      <c r="E84" s="20"/>
      <c r="F84" s="21" t="str">
        <f aca="false">IF(B84="","",IFERROR(INDEX(Fields!$C:$C,MATCH(B84,Fields!$A:$A,0)),""))</f>
        <v/>
      </c>
      <c r="G84" s="18" t="str">
        <f aca="false">IF(A84="","",COUNTIF('Metric to Product'!$A:$A,A84))</f>
        <v/>
      </c>
      <c r="H84" s="20"/>
      <c r="I84" s="20"/>
      <c r="J84" s="20"/>
      <c r="K84" s="20"/>
    </row>
    <row r="85" customFormat="false" ht="15" hidden="false" customHeight="false" outlineLevel="0" collapsed="false">
      <c r="A85" s="18" t="str">
        <f aca="false">IF(C85="","",IFERROR(INDEX(Metrics!$A:$A,MATCH(C85,Metrics!$C:$C,0)),"Not found"))</f>
        <v/>
      </c>
      <c r="B85" s="18" t="str">
        <f aca="false">IF(D85="","",IFERROR(INDEX(Fields!$A:$A,MATCH(D85,Fields!$B:$B,0)),"Not found"))</f>
        <v/>
      </c>
      <c r="C85" s="20"/>
      <c r="D85" s="20"/>
      <c r="E85" s="20"/>
      <c r="F85" s="21" t="str">
        <f aca="false">IF(B85="","",IFERROR(INDEX(Fields!$C:$C,MATCH(B85,Fields!$A:$A,0)),""))</f>
        <v/>
      </c>
      <c r="G85" s="18" t="str">
        <f aca="false">IF(A85="","",COUNTIF('Metric to Product'!$A:$A,A85))</f>
        <v/>
      </c>
      <c r="H85" s="20"/>
      <c r="I85" s="20"/>
      <c r="J85" s="20"/>
      <c r="K85" s="20"/>
    </row>
    <row r="86" customFormat="false" ht="15" hidden="false" customHeight="false" outlineLevel="0" collapsed="false">
      <c r="A86" s="18" t="str">
        <f aca="false">IF(C86="","",IFERROR(INDEX(Metrics!$A:$A,MATCH(C86,Metrics!$C:$C,0)),"Not found"))</f>
        <v/>
      </c>
      <c r="B86" s="18" t="str">
        <f aca="false">IF(D86="","",IFERROR(INDEX(Fields!$A:$A,MATCH(D86,Fields!$B:$B,0)),"Not found"))</f>
        <v/>
      </c>
      <c r="C86" s="20"/>
      <c r="D86" s="20"/>
      <c r="E86" s="20"/>
      <c r="F86" s="21" t="str">
        <f aca="false">IF(B86="","",IFERROR(INDEX(Fields!$C:$C,MATCH(B86,Fields!$A:$A,0)),""))</f>
        <v/>
      </c>
      <c r="G86" s="18" t="str">
        <f aca="false">IF(A86="","",COUNTIF('Metric to Product'!$A:$A,A86))</f>
        <v/>
      </c>
      <c r="H86" s="20"/>
      <c r="I86" s="20"/>
      <c r="J86" s="20"/>
      <c r="K86" s="20"/>
    </row>
    <row r="87" customFormat="false" ht="15" hidden="false" customHeight="false" outlineLevel="0" collapsed="false">
      <c r="A87" s="18" t="str">
        <f aca="false">IF(C87="","",IFERROR(INDEX(Metrics!$A:$A,MATCH(C87,Metrics!$C:$C,0)),"Not found"))</f>
        <v/>
      </c>
      <c r="B87" s="18" t="str">
        <f aca="false">IF(D87="","",IFERROR(INDEX(Fields!$A:$A,MATCH(D87,Fields!$B:$B,0)),"Not found"))</f>
        <v/>
      </c>
      <c r="C87" s="20"/>
      <c r="D87" s="20"/>
      <c r="E87" s="20"/>
      <c r="F87" s="21" t="str">
        <f aca="false">IF(B87="","",IFERROR(INDEX(Fields!$C:$C,MATCH(B87,Fields!$A:$A,0)),""))</f>
        <v/>
      </c>
      <c r="G87" s="18" t="str">
        <f aca="false">IF(A87="","",COUNTIF('Metric to Product'!$A:$A,A87))</f>
        <v/>
      </c>
      <c r="H87" s="20"/>
      <c r="I87" s="20"/>
      <c r="J87" s="20"/>
      <c r="K87" s="20"/>
    </row>
    <row r="88" customFormat="false" ht="15" hidden="false" customHeight="false" outlineLevel="0" collapsed="false">
      <c r="A88" s="18" t="str">
        <f aca="false">IF(C88="","",IFERROR(INDEX(Metrics!$A:$A,MATCH(C88,Metrics!$C:$C,0)),"Not found"))</f>
        <v/>
      </c>
      <c r="B88" s="18" t="str">
        <f aca="false">IF(D88="","",IFERROR(INDEX(Fields!$A:$A,MATCH(D88,Fields!$B:$B,0)),"Not found"))</f>
        <v/>
      </c>
      <c r="C88" s="20"/>
      <c r="D88" s="20"/>
      <c r="E88" s="20"/>
      <c r="F88" s="21" t="str">
        <f aca="false">IF(B88="","",IFERROR(INDEX(Fields!$C:$C,MATCH(B88,Fields!$A:$A,0)),""))</f>
        <v/>
      </c>
      <c r="G88" s="18" t="str">
        <f aca="false">IF(A88="","",COUNTIF('Metric to Product'!$A:$A,A88))</f>
        <v/>
      </c>
      <c r="H88" s="20"/>
      <c r="I88" s="20"/>
      <c r="J88" s="20"/>
      <c r="K88" s="20"/>
    </row>
    <row r="89" customFormat="false" ht="15" hidden="false" customHeight="false" outlineLevel="0" collapsed="false">
      <c r="A89" s="18" t="str">
        <f aca="false">IF(C89="","",IFERROR(INDEX(Metrics!$A:$A,MATCH(C89,Metrics!$C:$C,0)),"Not found"))</f>
        <v/>
      </c>
      <c r="B89" s="18" t="str">
        <f aca="false">IF(D89="","",IFERROR(INDEX(Fields!$A:$A,MATCH(D89,Fields!$B:$B,0)),"Not found"))</f>
        <v/>
      </c>
      <c r="C89" s="20"/>
      <c r="D89" s="20"/>
      <c r="E89" s="20"/>
      <c r="F89" s="21" t="str">
        <f aca="false">IF(B89="","",IFERROR(INDEX(Fields!$C:$C,MATCH(B89,Fields!$A:$A,0)),""))</f>
        <v/>
      </c>
      <c r="G89" s="18" t="str">
        <f aca="false">IF(A89="","",COUNTIF('Metric to Product'!$A:$A,A89))</f>
        <v/>
      </c>
      <c r="H89" s="20"/>
      <c r="I89" s="20"/>
      <c r="J89" s="20"/>
      <c r="K89" s="20"/>
    </row>
    <row r="90" customFormat="false" ht="15" hidden="false" customHeight="false" outlineLevel="0" collapsed="false">
      <c r="A90" s="18" t="str">
        <f aca="false">IF(C90="","",IFERROR(INDEX(Metrics!$A:$A,MATCH(C90,Metrics!$C:$C,0)),"Not found"))</f>
        <v/>
      </c>
      <c r="B90" s="18" t="str">
        <f aca="false">IF(D90="","",IFERROR(INDEX(Fields!$A:$A,MATCH(D90,Fields!$B:$B,0)),"Not found"))</f>
        <v/>
      </c>
      <c r="C90" s="20"/>
      <c r="D90" s="20"/>
      <c r="E90" s="20"/>
      <c r="F90" s="21" t="str">
        <f aca="false">IF(B90="","",IFERROR(INDEX(Fields!$C:$C,MATCH(B90,Fields!$A:$A,0)),""))</f>
        <v/>
      </c>
      <c r="G90" s="18" t="str">
        <f aca="false">IF(A90="","",COUNTIF('Metric to Product'!$A:$A,A90))</f>
        <v/>
      </c>
      <c r="H90" s="20"/>
      <c r="I90" s="20"/>
      <c r="J90" s="20"/>
      <c r="K90" s="20"/>
    </row>
    <row r="91" customFormat="false" ht="15" hidden="false" customHeight="false" outlineLevel="0" collapsed="false">
      <c r="A91" s="18" t="str">
        <f aca="false">IF(C91="","",IFERROR(INDEX(Metrics!$A:$A,MATCH(C91,Metrics!$C:$C,0)),"Not found"))</f>
        <v/>
      </c>
      <c r="B91" s="18" t="str">
        <f aca="false">IF(D91="","",IFERROR(INDEX(Fields!$A:$A,MATCH(D91,Fields!$B:$B,0)),"Not found"))</f>
        <v/>
      </c>
      <c r="C91" s="20"/>
      <c r="D91" s="20"/>
      <c r="E91" s="20"/>
      <c r="F91" s="21" t="str">
        <f aca="false">IF(B91="","",IFERROR(INDEX(Fields!$C:$C,MATCH(B91,Fields!$A:$A,0)),""))</f>
        <v/>
      </c>
      <c r="G91" s="18" t="str">
        <f aca="false">IF(A91="","",COUNTIF('Metric to Product'!$A:$A,A91))</f>
        <v/>
      </c>
      <c r="H91" s="20"/>
      <c r="I91" s="20"/>
      <c r="J91" s="20"/>
      <c r="K91" s="20"/>
    </row>
    <row r="92" customFormat="false" ht="15" hidden="false" customHeight="false" outlineLevel="0" collapsed="false">
      <c r="A92" s="18" t="str">
        <f aca="false">IF(C92="","",IFERROR(INDEX(Metrics!$A:$A,MATCH(C92,Metrics!$C:$C,0)),"Not found"))</f>
        <v/>
      </c>
      <c r="B92" s="18" t="str">
        <f aca="false">IF(D92="","",IFERROR(INDEX(Fields!$A:$A,MATCH(D92,Fields!$B:$B,0)),"Not found"))</f>
        <v/>
      </c>
      <c r="C92" s="20"/>
      <c r="D92" s="20"/>
      <c r="E92" s="20"/>
      <c r="F92" s="21" t="str">
        <f aca="false">IF(B92="","",IFERROR(INDEX(Fields!$C:$C,MATCH(B92,Fields!$A:$A,0)),""))</f>
        <v/>
      </c>
      <c r="G92" s="18" t="str">
        <f aca="false">IF(A92="","",COUNTIF('Metric to Product'!$A:$A,A92))</f>
        <v/>
      </c>
      <c r="H92" s="20"/>
      <c r="I92" s="20"/>
      <c r="J92" s="20"/>
      <c r="K92" s="20"/>
    </row>
    <row r="93" customFormat="false" ht="15" hidden="false" customHeight="false" outlineLevel="0" collapsed="false">
      <c r="A93" s="18" t="str">
        <f aca="false">IF(C93="","",IFERROR(INDEX(Metrics!$A:$A,MATCH(C93,Metrics!$C:$C,0)),"Not found"))</f>
        <v/>
      </c>
      <c r="B93" s="18" t="str">
        <f aca="false">IF(D93="","",IFERROR(INDEX(Fields!$A:$A,MATCH(D93,Fields!$B:$B,0)),"Not found"))</f>
        <v/>
      </c>
      <c r="C93" s="20"/>
      <c r="D93" s="20"/>
      <c r="E93" s="20"/>
      <c r="F93" s="21" t="str">
        <f aca="false">IF(B93="","",IFERROR(INDEX(Fields!$C:$C,MATCH(B93,Fields!$A:$A,0)),""))</f>
        <v/>
      </c>
      <c r="G93" s="18" t="str">
        <f aca="false">IF(A93="","",COUNTIF('Metric to Product'!$A:$A,A93))</f>
        <v/>
      </c>
      <c r="H93" s="20"/>
      <c r="I93" s="20"/>
      <c r="J93" s="20"/>
      <c r="K93" s="20"/>
    </row>
    <row r="94" customFormat="false" ht="15" hidden="false" customHeight="false" outlineLevel="0" collapsed="false">
      <c r="A94" s="18" t="str">
        <f aca="false">IF(C94="","",IFERROR(INDEX(Metrics!$A:$A,MATCH(C94,Metrics!$C:$C,0)),"Not found"))</f>
        <v/>
      </c>
      <c r="B94" s="18" t="str">
        <f aca="false">IF(D94="","",IFERROR(INDEX(Fields!$A:$A,MATCH(D94,Fields!$B:$B,0)),"Not found"))</f>
        <v/>
      </c>
      <c r="C94" s="20"/>
      <c r="D94" s="20"/>
      <c r="E94" s="20"/>
      <c r="F94" s="21" t="str">
        <f aca="false">IF(B94="","",IFERROR(INDEX(Fields!$C:$C,MATCH(B94,Fields!$A:$A,0)),""))</f>
        <v/>
      </c>
      <c r="G94" s="18" t="str">
        <f aca="false">IF(A94="","",COUNTIF('Metric to Product'!$A:$A,A94))</f>
        <v/>
      </c>
      <c r="H94" s="20"/>
      <c r="I94" s="20"/>
      <c r="J94" s="20"/>
      <c r="K94" s="20"/>
    </row>
    <row r="95" customFormat="false" ht="15" hidden="false" customHeight="false" outlineLevel="0" collapsed="false">
      <c r="A95" s="18" t="str">
        <f aca="false">IF(C95="","",IFERROR(INDEX(Metrics!$A:$A,MATCH(C95,Metrics!$C:$C,0)),"Not found"))</f>
        <v/>
      </c>
      <c r="B95" s="18" t="str">
        <f aca="false">IF(D95="","",IFERROR(INDEX(Fields!$A:$A,MATCH(D95,Fields!$B:$B,0)),"Not found"))</f>
        <v/>
      </c>
      <c r="C95" s="20"/>
      <c r="D95" s="20"/>
      <c r="E95" s="20"/>
      <c r="F95" s="21" t="str">
        <f aca="false">IF(B95="","",IFERROR(INDEX(Fields!$C:$C,MATCH(B95,Fields!$A:$A,0)),""))</f>
        <v/>
      </c>
      <c r="G95" s="18" t="str">
        <f aca="false">IF(A95="","",COUNTIF('Metric to Product'!$A:$A,A95))</f>
        <v/>
      </c>
      <c r="H95" s="20"/>
      <c r="I95" s="20"/>
      <c r="J95" s="20"/>
      <c r="K95" s="20"/>
    </row>
    <row r="96" customFormat="false" ht="15" hidden="false" customHeight="false" outlineLevel="0" collapsed="false">
      <c r="A96" s="18" t="str">
        <f aca="false">IF(C96="","",IFERROR(INDEX(Metrics!$A:$A,MATCH(C96,Metrics!$C:$C,0)),"Not found"))</f>
        <v/>
      </c>
      <c r="B96" s="18" t="str">
        <f aca="false">IF(D96="","",IFERROR(INDEX(Fields!$A:$A,MATCH(D96,Fields!$B:$B,0)),"Not found"))</f>
        <v/>
      </c>
      <c r="C96" s="20"/>
      <c r="D96" s="20"/>
      <c r="E96" s="20"/>
      <c r="F96" s="21" t="str">
        <f aca="false">IF(B96="","",IFERROR(INDEX(Fields!$C:$C,MATCH(B96,Fields!$A:$A,0)),""))</f>
        <v/>
      </c>
      <c r="G96" s="18" t="str">
        <f aca="false">IF(A96="","",COUNTIF('Metric to Product'!$A:$A,A96))</f>
        <v/>
      </c>
      <c r="H96" s="20"/>
      <c r="I96" s="20"/>
      <c r="J96" s="20"/>
      <c r="K96" s="20"/>
    </row>
    <row r="97" customFormat="false" ht="15" hidden="false" customHeight="false" outlineLevel="0" collapsed="false">
      <c r="A97" s="18" t="str">
        <f aca="false">IF(C97="","",IFERROR(INDEX(Metrics!$A:$A,MATCH(C97,Metrics!$C:$C,0)),"Not found"))</f>
        <v/>
      </c>
      <c r="B97" s="18" t="str">
        <f aca="false">IF(D97="","",IFERROR(INDEX(Fields!$A:$A,MATCH(D97,Fields!$B:$B,0)),"Not found"))</f>
        <v/>
      </c>
      <c r="C97" s="20"/>
      <c r="D97" s="20"/>
      <c r="E97" s="20"/>
      <c r="F97" s="21" t="str">
        <f aca="false">IF(B97="","",IFERROR(INDEX(Fields!$C:$C,MATCH(B97,Fields!$A:$A,0)),""))</f>
        <v/>
      </c>
      <c r="G97" s="18" t="str">
        <f aca="false">IF(A97="","",COUNTIF('Metric to Product'!$A:$A,A97))</f>
        <v/>
      </c>
      <c r="H97" s="20"/>
      <c r="I97" s="20"/>
      <c r="J97" s="20"/>
      <c r="K97" s="20"/>
    </row>
    <row r="98" customFormat="false" ht="15" hidden="false" customHeight="false" outlineLevel="0" collapsed="false">
      <c r="A98" s="18" t="str">
        <f aca="false">IF(C98="","",IFERROR(INDEX(Metrics!$A:$A,MATCH(C98,Metrics!$C:$C,0)),"Not found"))</f>
        <v/>
      </c>
      <c r="B98" s="18" t="str">
        <f aca="false">IF(D98="","",IFERROR(INDEX(Fields!$A:$A,MATCH(D98,Fields!$B:$B,0)),"Not found"))</f>
        <v/>
      </c>
      <c r="C98" s="20"/>
      <c r="D98" s="20"/>
      <c r="E98" s="20"/>
      <c r="F98" s="21" t="str">
        <f aca="false">IF(B98="","",IFERROR(INDEX(Fields!$C:$C,MATCH(B98,Fields!$A:$A,0)),""))</f>
        <v/>
      </c>
      <c r="G98" s="18" t="str">
        <f aca="false">IF(A98="","",COUNTIF('Metric to Product'!$A:$A,A98))</f>
        <v/>
      </c>
      <c r="H98" s="20"/>
      <c r="I98" s="20"/>
      <c r="J98" s="20"/>
      <c r="K98" s="20"/>
    </row>
    <row r="99" customFormat="false" ht="15" hidden="false" customHeight="false" outlineLevel="0" collapsed="false">
      <c r="A99" s="18" t="str">
        <f aca="false">IF(C99="","",IFERROR(INDEX(Metrics!$A:$A,MATCH(C99,Metrics!$C:$C,0)),"Not found"))</f>
        <v/>
      </c>
      <c r="B99" s="18" t="str">
        <f aca="false">IF(D99="","",IFERROR(INDEX(Fields!$A:$A,MATCH(D99,Fields!$B:$B,0)),"Not found"))</f>
        <v/>
      </c>
      <c r="C99" s="20"/>
      <c r="D99" s="20"/>
      <c r="E99" s="20"/>
      <c r="F99" s="21" t="str">
        <f aca="false">IF(B99="","",IFERROR(INDEX(Fields!$C:$C,MATCH(B99,Fields!$A:$A,0)),""))</f>
        <v/>
      </c>
      <c r="G99" s="18" t="str">
        <f aca="false">IF(A99="","",COUNTIF('Metric to Product'!$A:$A,A99))</f>
        <v/>
      </c>
      <c r="H99" s="20"/>
      <c r="I99" s="20"/>
      <c r="J99" s="20"/>
      <c r="K99" s="20"/>
    </row>
    <row r="100" customFormat="false" ht="15" hidden="false" customHeight="false" outlineLevel="0" collapsed="false">
      <c r="A100" s="18" t="str">
        <f aca="false">IF(C100="","",IFERROR(INDEX(Metrics!$A:$A,MATCH(C100,Metrics!$C:$C,0)),"Not found"))</f>
        <v/>
      </c>
      <c r="B100" s="18" t="str">
        <f aca="false">IF(D100="","",IFERROR(INDEX(Fields!$A:$A,MATCH(D100,Fields!$B:$B,0)),"Not found"))</f>
        <v/>
      </c>
      <c r="C100" s="20"/>
      <c r="D100" s="20"/>
      <c r="E100" s="20"/>
      <c r="F100" s="21" t="str">
        <f aca="false">IF(B100="","",IFERROR(INDEX(Fields!$C:$C,MATCH(B100,Fields!$A:$A,0)),""))</f>
        <v/>
      </c>
      <c r="G100" s="18" t="str">
        <f aca="false">IF(A100="","",COUNTIF('Metric to Product'!$A:$A,A100))</f>
        <v/>
      </c>
      <c r="H100" s="20"/>
      <c r="I100" s="20"/>
      <c r="J100" s="20"/>
      <c r="K100" s="20"/>
    </row>
    <row r="101" customFormat="false" ht="15" hidden="false" customHeight="false" outlineLevel="0" collapsed="false">
      <c r="A101" s="18" t="str">
        <f aca="false">IF(C101="","",IFERROR(INDEX(Metrics!$A:$A,MATCH(C101,Metrics!$C:$C,0)),"Not found"))</f>
        <v/>
      </c>
      <c r="B101" s="18" t="str">
        <f aca="false">IF(D101="","",IFERROR(INDEX(Fields!$A:$A,MATCH(D101,Fields!$B:$B,0)),"Not found"))</f>
        <v/>
      </c>
      <c r="C101" s="20"/>
      <c r="D101" s="20"/>
      <c r="E101" s="20"/>
      <c r="F101" s="21" t="str">
        <f aca="false">IF(B101="","",IFERROR(INDEX(Fields!$C:$C,MATCH(B101,Fields!$A:$A,0)),""))</f>
        <v/>
      </c>
      <c r="G101" s="18" t="str">
        <f aca="false">IF(A101="","",COUNTIF('Metric to Product'!$A:$A,A101))</f>
        <v/>
      </c>
      <c r="H101" s="20"/>
      <c r="I101" s="20"/>
      <c r="J101" s="20"/>
      <c r="K101" s="20"/>
    </row>
    <row r="102" customFormat="false" ht="15" hidden="false" customHeight="false" outlineLevel="0" collapsed="false">
      <c r="A102" s="18" t="str">
        <f aca="false">IF(C102="","",IFERROR(INDEX(Metrics!$A:$A,MATCH(C102,Metrics!$C:$C,0)),"Not found"))</f>
        <v/>
      </c>
      <c r="B102" s="18" t="str">
        <f aca="false">IF(D102="","",IFERROR(INDEX(Fields!$A:$A,MATCH(D102,Fields!$B:$B,0)),"Not found"))</f>
        <v/>
      </c>
      <c r="C102" s="20"/>
      <c r="D102" s="20"/>
      <c r="E102" s="20"/>
      <c r="F102" s="21" t="str">
        <f aca="false">IF(B102="","",IFERROR(INDEX(Fields!$C:$C,MATCH(B102,Fields!$A:$A,0)),""))</f>
        <v/>
      </c>
      <c r="G102" s="18" t="str">
        <f aca="false">IF(A102="","",COUNTIF('Metric to Product'!$A:$A,A102))</f>
        <v/>
      </c>
      <c r="H102" s="20"/>
      <c r="I102" s="20"/>
      <c r="J102" s="20"/>
      <c r="K102" s="20"/>
    </row>
    <row r="103" customFormat="false" ht="15" hidden="false" customHeight="false" outlineLevel="0" collapsed="false">
      <c r="A103" s="18" t="str">
        <f aca="false">IF(C103="","",IFERROR(INDEX(Metrics!$A:$A,MATCH(C103,Metrics!$C:$C,0)),"Not found"))</f>
        <v/>
      </c>
      <c r="B103" s="18" t="str">
        <f aca="false">IF(D103="","",IFERROR(INDEX(Fields!$A:$A,MATCH(D103,Fields!$B:$B,0)),"Not found"))</f>
        <v/>
      </c>
      <c r="C103" s="20"/>
      <c r="D103" s="20"/>
      <c r="E103" s="20"/>
      <c r="F103" s="21" t="str">
        <f aca="false">IF(B103="","",IFERROR(INDEX(Fields!$C:$C,MATCH(B103,Fields!$A:$A,0)),""))</f>
        <v/>
      </c>
      <c r="G103" s="18" t="str">
        <f aca="false">IF(A103="","",COUNTIF('Metric to Product'!$A:$A,A103))</f>
        <v/>
      </c>
      <c r="H103" s="20"/>
      <c r="I103" s="20"/>
      <c r="J103" s="20"/>
      <c r="K103" s="20"/>
    </row>
    <row r="104" customFormat="false" ht="15" hidden="false" customHeight="false" outlineLevel="0" collapsed="false">
      <c r="A104" s="18" t="str">
        <f aca="false">IF(C104="","",IFERROR(INDEX(Metrics!$A:$A,MATCH(C104,Metrics!$C:$C,0)),"Not found"))</f>
        <v/>
      </c>
      <c r="B104" s="18" t="str">
        <f aca="false">IF(D104="","",IFERROR(INDEX(Fields!$A:$A,MATCH(D104,Fields!$B:$B,0)),"Not found"))</f>
        <v/>
      </c>
      <c r="C104" s="20"/>
      <c r="D104" s="20"/>
      <c r="E104" s="20"/>
      <c r="F104" s="21" t="str">
        <f aca="false">IF(B104="","",IFERROR(INDEX(Fields!$C:$C,MATCH(B104,Fields!$A:$A,0)),""))</f>
        <v/>
      </c>
      <c r="G104" s="18" t="str">
        <f aca="false">IF(A104="","",COUNTIF('Metric to Product'!$A:$A,A104))</f>
        <v/>
      </c>
      <c r="H104" s="20"/>
      <c r="I104" s="20"/>
      <c r="J104" s="20"/>
      <c r="K104" s="20"/>
    </row>
    <row r="105" customFormat="false" ht="15" hidden="false" customHeight="false" outlineLevel="0" collapsed="false">
      <c r="A105" s="18" t="str">
        <f aca="false">IF(C105="","",IFERROR(INDEX(Metrics!$A:$A,MATCH(C105,Metrics!$C:$C,0)),"Not found"))</f>
        <v/>
      </c>
      <c r="B105" s="18" t="str">
        <f aca="false">IF(D105="","",IFERROR(INDEX(Fields!$A:$A,MATCH(D105,Fields!$B:$B,0)),"Not found"))</f>
        <v/>
      </c>
      <c r="C105" s="20"/>
      <c r="D105" s="20"/>
      <c r="E105" s="20"/>
      <c r="F105" s="21" t="str">
        <f aca="false">IF(B105="","",IFERROR(INDEX(Fields!$C:$C,MATCH(B105,Fields!$A:$A,0)),""))</f>
        <v/>
      </c>
      <c r="G105" s="18" t="str">
        <f aca="false">IF(A105="","",COUNTIF('Metric to Product'!$A:$A,A105))</f>
        <v/>
      </c>
      <c r="H105" s="20"/>
      <c r="I105" s="20"/>
      <c r="J105" s="20"/>
      <c r="K105" s="20"/>
    </row>
    <row r="106" customFormat="false" ht="15" hidden="false" customHeight="false" outlineLevel="0" collapsed="false">
      <c r="A106" s="18" t="str">
        <f aca="false">IF(C106="","",IFERROR(INDEX(Metrics!$A:$A,MATCH(C106,Metrics!$C:$C,0)),"Not found"))</f>
        <v/>
      </c>
      <c r="B106" s="18" t="str">
        <f aca="false">IF(D106="","",IFERROR(INDEX(Fields!$A:$A,MATCH(D106,Fields!$B:$B,0)),"Not found"))</f>
        <v/>
      </c>
      <c r="C106" s="20"/>
      <c r="D106" s="20"/>
      <c r="E106" s="20"/>
      <c r="F106" s="21" t="str">
        <f aca="false">IF(B106="","",IFERROR(INDEX(Fields!$C:$C,MATCH(B106,Fields!$A:$A,0)),""))</f>
        <v/>
      </c>
      <c r="G106" s="18" t="str">
        <f aca="false">IF(A106="","",COUNTIF('Metric to Product'!$A:$A,A106))</f>
        <v/>
      </c>
      <c r="H106" s="20"/>
      <c r="I106" s="20"/>
      <c r="J106" s="20"/>
      <c r="K106" s="20"/>
    </row>
    <row r="107" customFormat="false" ht="15" hidden="false" customHeight="false" outlineLevel="0" collapsed="false">
      <c r="A107" s="18" t="str">
        <f aca="false">IF(C107="","",IFERROR(INDEX(Metrics!$A:$A,MATCH(C107,Metrics!$C:$C,0)),"Not found"))</f>
        <v/>
      </c>
      <c r="B107" s="18" t="str">
        <f aca="false">IF(D107="","",IFERROR(INDEX(Fields!$A:$A,MATCH(D107,Fields!$B:$B,0)),"Not found"))</f>
        <v/>
      </c>
      <c r="C107" s="20"/>
      <c r="D107" s="20"/>
      <c r="E107" s="20"/>
      <c r="F107" s="21" t="str">
        <f aca="false">IF(B107="","",IFERROR(INDEX(Fields!$C:$C,MATCH(B107,Fields!$A:$A,0)),""))</f>
        <v/>
      </c>
      <c r="G107" s="18" t="str">
        <f aca="false">IF(A107="","",COUNTIF('Metric to Product'!$A:$A,A107))</f>
        <v/>
      </c>
      <c r="H107" s="20"/>
      <c r="I107" s="20"/>
      <c r="J107" s="20"/>
      <c r="K107" s="20"/>
    </row>
    <row r="108" customFormat="false" ht="15" hidden="false" customHeight="false" outlineLevel="0" collapsed="false">
      <c r="A108" s="18" t="str">
        <f aca="false">IF(C108="","",IFERROR(INDEX(Metrics!$A:$A,MATCH(C108,Metrics!$C:$C,0)),"Not found"))</f>
        <v/>
      </c>
      <c r="B108" s="18" t="str">
        <f aca="false">IF(D108="","",IFERROR(INDEX(Fields!$A:$A,MATCH(D108,Fields!$B:$B,0)),"Not found"))</f>
        <v/>
      </c>
      <c r="C108" s="20"/>
      <c r="D108" s="20"/>
      <c r="E108" s="20"/>
      <c r="F108" s="21" t="str">
        <f aca="false">IF(B108="","",IFERROR(INDEX(Fields!$C:$C,MATCH(B108,Fields!$A:$A,0)),""))</f>
        <v/>
      </c>
      <c r="G108" s="18" t="str">
        <f aca="false">IF(A108="","",COUNTIF('Metric to Product'!$A:$A,A108))</f>
        <v/>
      </c>
      <c r="H108" s="20"/>
      <c r="I108" s="20"/>
      <c r="J108" s="20"/>
      <c r="K108" s="20"/>
    </row>
    <row r="109" customFormat="false" ht="15" hidden="false" customHeight="false" outlineLevel="0" collapsed="false">
      <c r="A109" s="18" t="str">
        <f aca="false">IF(C109="","",IFERROR(INDEX(Metrics!$A:$A,MATCH(C109,Metrics!$C:$C,0)),"Not found"))</f>
        <v/>
      </c>
      <c r="B109" s="18" t="str">
        <f aca="false">IF(D109="","",IFERROR(INDEX(Fields!$A:$A,MATCH(D109,Fields!$B:$B,0)),"Not found"))</f>
        <v/>
      </c>
      <c r="C109" s="20"/>
      <c r="D109" s="20"/>
      <c r="E109" s="20"/>
      <c r="F109" s="21" t="str">
        <f aca="false">IF(B109="","",IFERROR(INDEX(Fields!$C:$C,MATCH(B109,Fields!$A:$A,0)),""))</f>
        <v/>
      </c>
      <c r="G109" s="18" t="str">
        <f aca="false">IF(A109="","",COUNTIF('Metric to Product'!$A:$A,A109))</f>
        <v/>
      </c>
      <c r="H109" s="20"/>
      <c r="I109" s="20"/>
      <c r="J109" s="20"/>
      <c r="K109" s="20"/>
    </row>
    <row r="110" customFormat="false" ht="15" hidden="false" customHeight="false" outlineLevel="0" collapsed="false">
      <c r="A110" s="18" t="str">
        <f aca="false">IF(C110="","",IFERROR(INDEX(Metrics!$A:$A,MATCH(C110,Metrics!$C:$C,0)),"Not found"))</f>
        <v/>
      </c>
      <c r="B110" s="18" t="str">
        <f aca="false">IF(D110="","",IFERROR(INDEX(Fields!$A:$A,MATCH(D110,Fields!$B:$B,0)),"Not found"))</f>
        <v/>
      </c>
      <c r="C110" s="20"/>
      <c r="D110" s="20"/>
      <c r="E110" s="20"/>
      <c r="F110" s="21" t="str">
        <f aca="false">IF(B110="","",IFERROR(INDEX(Fields!$C:$C,MATCH(B110,Fields!$A:$A,0)),""))</f>
        <v/>
      </c>
      <c r="G110" s="18" t="str">
        <f aca="false">IF(A110="","",COUNTIF('Metric to Product'!$A:$A,A110))</f>
        <v/>
      </c>
      <c r="H110" s="20"/>
      <c r="I110" s="20"/>
      <c r="J110" s="20"/>
      <c r="K110" s="20"/>
    </row>
    <row r="111" customFormat="false" ht="15" hidden="false" customHeight="false" outlineLevel="0" collapsed="false">
      <c r="A111" s="18" t="str">
        <f aca="false">IF(C111="","",IFERROR(INDEX(Metrics!$A:$A,MATCH(C111,Metrics!$C:$C,0)),"Not found"))</f>
        <v/>
      </c>
      <c r="B111" s="18" t="str">
        <f aca="false">IF(D111="","",IFERROR(INDEX(Fields!$A:$A,MATCH(D111,Fields!$B:$B,0)),"Not found"))</f>
        <v/>
      </c>
      <c r="C111" s="20"/>
      <c r="D111" s="20"/>
      <c r="E111" s="20"/>
      <c r="F111" s="21" t="str">
        <f aca="false">IF(B111="","",IFERROR(INDEX(Fields!$C:$C,MATCH(B111,Fields!$A:$A,0)),""))</f>
        <v/>
      </c>
      <c r="G111" s="18" t="str">
        <f aca="false">IF(A111="","",COUNTIF('Metric to Product'!$A:$A,A111))</f>
        <v/>
      </c>
      <c r="H111" s="20"/>
      <c r="I111" s="20"/>
      <c r="J111" s="20"/>
      <c r="K111" s="20"/>
    </row>
    <row r="112" customFormat="false" ht="15" hidden="false" customHeight="false" outlineLevel="0" collapsed="false">
      <c r="A112" s="18" t="str">
        <f aca="false">IF(C112="","",IFERROR(INDEX(Metrics!$A:$A,MATCH(C112,Metrics!$C:$C,0)),"Not found"))</f>
        <v/>
      </c>
      <c r="B112" s="18" t="str">
        <f aca="false">IF(D112="","",IFERROR(INDEX(Fields!$A:$A,MATCH(D112,Fields!$B:$B,0)),"Not found"))</f>
        <v/>
      </c>
      <c r="C112" s="20"/>
      <c r="D112" s="20"/>
      <c r="E112" s="20"/>
      <c r="F112" s="21" t="str">
        <f aca="false">IF(B112="","",IFERROR(INDEX(Fields!$C:$C,MATCH(B112,Fields!$A:$A,0)),""))</f>
        <v/>
      </c>
      <c r="G112" s="18" t="str">
        <f aca="false">IF(A112="","",COUNTIF('Metric to Product'!$A:$A,A112))</f>
        <v/>
      </c>
      <c r="H112" s="20"/>
      <c r="I112" s="20"/>
      <c r="J112" s="20"/>
      <c r="K112" s="20"/>
    </row>
    <row r="113" customFormat="false" ht="15" hidden="false" customHeight="false" outlineLevel="0" collapsed="false">
      <c r="A113" s="18" t="str">
        <f aca="false">IF(C113="","",IFERROR(INDEX(Metrics!$A:$A,MATCH(C113,Metrics!$C:$C,0)),"Not found"))</f>
        <v/>
      </c>
      <c r="B113" s="18" t="str">
        <f aca="false">IF(D113="","",IFERROR(INDEX(Fields!$A:$A,MATCH(D113,Fields!$B:$B,0)),"Not found"))</f>
        <v/>
      </c>
      <c r="C113" s="20"/>
      <c r="D113" s="20"/>
      <c r="E113" s="20"/>
      <c r="F113" s="21" t="str">
        <f aca="false">IF(B113="","",IFERROR(INDEX(Fields!$C:$C,MATCH(B113,Fields!$A:$A,0)),""))</f>
        <v/>
      </c>
      <c r="G113" s="18" t="str">
        <f aca="false">IF(A113="","",COUNTIF('Metric to Product'!$A:$A,A113))</f>
        <v/>
      </c>
      <c r="H113" s="20"/>
      <c r="I113" s="20"/>
      <c r="J113" s="20"/>
      <c r="K113" s="20"/>
    </row>
    <row r="114" customFormat="false" ht="15" hidden="false" customHeight="false" outlineLevel="0" collapsed="false">
      <c r="A114" s="18" t="str">
        <f aca="false">IF(C114="","",IFERROR(INDEX(Metrics!$A:$A,MATCH(C114,Metrics!$C:$C,0)),"Not found"))</f>
        <v/>
      </c>
      <c r="B114" s="18" t="str">
        <f aca="false">IF(D114="","",IFERROR(INDEX(Fields!$A:$A,MATCH(D114,Fields!$B:$B,0)),"Not found"))</f>
        <v/>
      </c>
      <c r="C114" s="20"/>
      <c r="D114" s="20"/>
      <c r="E114" s="20"/>
      <c r="F114" s="21" t="str">
        <f aca="false">IF(B114="","",IFERROR(INDEX(Fields!$C:$C,MATCH(B114,Fields!$A:$A,0)),""))</f>
        <v/>
      </c>
      <c r="G114" s="18" t="str">
        <f aca="false">IF(A114="","",COUNTIF('Metric to Product'!$A:$A,A114))</f>
        <v/>
      </c>
      <c r="H114" s="20"/>
      <c r="I114" s="20"/>
      <c r="J114" s="20"/>
      <c r="K114" s="20"/>
    </row>
    <row r="115" customFormat="false" ht="15" hidden="false" customHeight="false" outlineLevel="0" collapsed="false">
      <c r="A115" s="18" t="str">
        <f aca="false">IF(C115="","",IFERROR(INDEX(Metrics!$A:$A,MATCH(C115,Metrics!$C:$C,0)),"Not found"))</f>
        <v/>
      </c>
      <c r="B115" s="18" t="str">
        <f aca="false">IF(D115="","",IFERROR(INDEX(Fields!$A:$A,MATCH(D115,Fields!$B:$B,0)),"Not found"))</f>
        <v/>
      </c>
      <c r="C115" s="20"/>
      <c r="D115" s="20"/>
      <c r="E115" s="20"/>
      <c r="F115" s="21" t="str">
        <f aca="false">IF(B115="","",IFERROR(INDEX(Fields!$C:$C,MATCH(B115,Fields!$A:$A,0)),""))</f>
        <v/>
      </c>
      <c r="G115" s="18" t="str">
        <f aca="false">IF(A115="","",COUNTIF('Metric to Product'!$A:$A,A115))</f>
        <v/>
      </c>
      <c r="H115" s="20"/>
      <c r="I115" s="20"/>
      <c r="J115" s="20"/>
      <c r="K115" s="20"/>
    </row>
    <row r="116" customFormat="false" ht="15" hidden="false" customHeight="false" outlineLevel="0" collapsed="false">
      <c r="A116" s="18" t="str">
        <f aca="false">IF(C116="","",IFERROR(INDEX(Metrics!$A:$A,MATCH(C116,Metrics!$C:$C,0)),"Not found"))</f>
        <v/>
      </c>
      <c r="B116" s="18" t="str">
        <f aca="false">IF(D116="","",IFERROR(INDEX(Fields!$A:$A,MATCH(D116,Fields!$B:$B,0)),"Not found"))</f>
        <v/>
      </c>
      <c r="C116" s="20"/>
      <c r="D116" s="20"/>
      <c r="E116" s="20"/>
      <c r="F116" s="21" t="str">
        <f aca="false">IF(B116="","",IFERROR(INDEX(Fields!$C:$C,MATCH(B116,Fields!$A:$A,0)),""))</f>
        <v/>
      </c>
      <c r="G116" s="18" t="str">
        <f aca="false">IF(A116="","",COUNTIF('Metric to Product'!$A:$A,A116))</f>
        <v/>
      </c>
      <c r="H116" s="20"/>
      <c r="I116" s="20"/>
      <c r="J116" s="20"/>
      <c r="K116" s="20"/>
    </row>
    <row r="117" customFormat="false" ht="15" hidden="false" customHeight="false" outlineLevel="0" collapsed="false">
      <c r="A117" s="18" t="str">
        <f aca="false">IF(C117="","",IFERROR(INDEX(Metrics!$A:$A,MATCH(C117,Metrics!$C:$C,0)),"Not found"))</f>
        <v/>
      </c>
      <c r="B117" s="18" t="str">
        <f aca="false">IF(D117="","",IFERROR(INDEX(Fields!$A:$A,MATCH(D117,Fields!$B:$B,0)),"Not found"))</f>
        <v/>
      </c>
      <c r="C117" s="20"/>
      <c r="D117" s="20"/>
      <c r="E117" s="20"/>
      <c r="F117" s="21" t="str">
        <f aca="false">IF(B117="","",IFERROR(INDEX(Fields!$C:$C,MATCH(B117,Fields!$A:$A,0)),""))</f>
        <v/>
      </c>
      <c r="G117" s="18" t="str">
        <f aca="false">IF(A117="","",COUNTIF('Metric to Product'!$A:$A,A117))</f>
        <v/>
      </c>
      <c r="H117" s="20"/>
      <c r="I117" s="20"/>
      <c r="J117" s="20"/>
      <c r="K117" s="20"/>
    </row>
    <row r="118" customFormat="false" ht="15" hidden="false" customHeight="false" outlineLevel="0" collapsed="false">
      <c r="A118" s="18" t="str">
        <f aca="false">IF(C118="","",IFERROR(INDEX(Metrics!$A:$A,MATCH(C118,Metrics!$C:$C,0)),"Not found"))</f>
        <v/>
      </c>
      <c r="B118" s="18" t="str">
        <f aca="false">IF(D118="","",IFERROR(INDEX(Fields!$A:$A,MATCH(D118,Fields!$B:$B,0)),"Not found"))</f>
        <v/>
      </c>
      <c r="C118" s="20"/>
      <c r="D118" s="20"/>
      <c r="E118" s="20"/>
      <c r="F118" s="21" t="str">
        <f aca="false">IF(B118="","",IFERROR(INDEX(Fields!$C:$C,MATCH(B118,Fields!$A:$A,0)),""))</f>
        <v/>
      </c>
      <c r="G118" s="18" t="str">
        <f aca="false">IF(A118="","",COUNTIF('Metric to Product'!$A:$A,A118))</f>
        <v/>
      </c>
      <c r="H118" s="20"/>
      <c r="I118" s="20"/>
      <c r="J118" s="20"/>
      <c r="K118" s="20"/>
    </row>
    <row r="119" customFormat="false" ht="15" hidden="false" customHeight="false" outlineLevel="0" collapsed="false">
      <c r="A119" s="18" t="str">
        <f aca="false">IF(C119="","",IFERROR(INDEX(Metrics!$A:$A,MATCH(C119,Metrics!$C:$C,0)),"Not found"))</f>
        <v/>
      </c>
      <c r="B119" s="18" t="str">
        <f aca="false">IF(D119="","",IFERROR(INDEX(Fields!$A:$A,MATCH(D119,Fields!$B:$B,0)),"Not found"))</f>
        <v/>
      </c>
      <c r="C119" s="20"/>
      <c r="D119" s="20"/>
      <c r="E119" s="20"/>
      <c r="F119" s="21" t="str">
        <f aca="false">IF(B119="","",IFERROR(INDEX(Fields!$C:$C,MATCH(B119,Fields!$A:$A,0)),""))</f>
        <v/>
      </c>
      <c r="G119" s="18" t="str">
        <f aca="false">IF(A119="","",COUNTIF('Metric to Product'!$A:$A,A119))</f>
        <v/>
      </c>
      <c r="H119" s="20"/>
      <c r="I119" s="20"/>
      <c r="J119" s="20"/>
      <c r="K119" s="20"/>
    </row>
    <row r="120" customFormat="false" ht="15" hidden="false" customHeight="false" outlineLevel="0" collapsed="false">
      <c r="A120" s="18" t="str">
        <f aca="false">IF(C120="","",IFERROR(INDEX(Metrics!$A:$A,MATCH(C120,Metrics!$C:$C,0)),"Not found"))</f>
        <v/>
      </c>
      <c r="B120" s="18" t="str">
        <f aca="false">IF(D120="","",IFERROR(INDEX(Fields!$A:$A,MATCH(D120,Fields!$B:$B,0)),"Not found"))</f>
        <v/>
      </c>
      <c r="C120" s="20"/>
      <c r="D120" s="20"/>
      <c r="E120" s="20"/>
      <c r="F120" s="21" t="str">
        <f aca="false">IF(B120="","",IFERROR(INDEX(Fields!$C:$C,MATCH(B120,Fields!$A:$A,0)),""))</f>
        <v/>
      </c>
      <c r="G120" s="18" t="str">
        <f aca="false">IF(A120="","",COUNTIF('Metric to Product'!$A:$A,A120))</f>
        <v/>
      </c>
      <c r="H120" s="20"/>
      <c r="I120" s="20"/>
      <c r="J120" s="20"/>
      <c r="K120" s="20"/>
    </row>
    <row r="121" customFormat="false" ht="15" hidden="false" customHeight="false" outlineLevel="0" collapsed="false">
      <c r="A121" s="18" t="str">
        <f aca="false">IF(C121="","",IFERROR(INDEX(Metrics!$A:$A,MATCH(C121,Metrics!$C:$C,0)),"Not found"))</f>
        <v/>
      </c>
      <c r="B121" s="18" t="str">
        <f aca="false">IF(D121="","",IFERROR(INDEX(Fields!$A:$A,MATCH(D121,Fields!$B:$B,0)),"Not found"))</f>
        <v/>
      </c>
      <c r="C121" s="20"/>
      <c r="D121" s="20"/>
      <c r="E121" s="20"/>
      <c r="F121" s="21" t="str">
        <f aca="false">IF(B121="","",IFERROR(INDEX(Fields!$C:$C,MATCH(B121,Fields!$A:$A,0)),""))</f>
        <v/>
      </c>
      <c r="G121" s="18" t="str">
        <f aca="false">IF(A121="","",COUNTIF('Metric to Product'!$A:$A,A121))</f>
        <v/>
      </c>
      <c r="H121" s="20"/>
      <c r="I121" s="20"/>
      <c r="J121" s="20"/>
      <c r="K121" s="20"/>
    </row>
    <row r="122" customFormat="false" ht="15" hidden="false" customHeight="false" outlineLevel="0" collapsed="false">
      <c r="A122" s="18" t="str">
        <f aca="false">IF(C122="","",IFERROR(INDEX(Metrics!$A:$A,MATCH(C122,Metrics!$C:$C,0)),"Not found"))</f>
        <v/>
      </c>
      <c r="B122" s="18" t="str">
        <f aca="false">IF(D122="","",IFERROR(INDEX(Fields!$A:$A,MATCH(D122,Fields!$B:$B,0)),"Not found"))</f>
        <v/>
      </c>
      <c r="C122" s="20"/>
      <c r="D122" s="20"/>
      <c r="E122" s="20"/>
      <c r="F122" s="21" t="str">
        <f aca="false">IF(B122="","",IFERROR(INDEX(Fields!$C:$C,MATCH(B122,Fields!$A:$A,0)),""))</f>
        <v/>
      </c>
      <c r="G122" s="18" t="str">
        <f aca="false">IF(A122="","",COUNTIF('Metric to Product'!$A:$A,A122))</f>
        <v/>
      </c>
      <c r="H122" s="20"/>
      <c r="I122" s="20"/>
      <c r="J122" s="20"/>
      <c r="K122" s="20"/>
    </row>
    <row r="123" customFormat="false" ht="15" hidden="false" customHeight="false" outlineLevel="0" collapsed="false">
      <c r="A123" s="18" t="str">
        <f aca="false">IF(C123="","",IFERROR(INDEX(Metrics!$A:$A,MATCH(C123,Metrics!$C:$C,0)),"Not found"))</f>
        <v/>
      </c>
      <c r="B123" s="18" t="str">
        <f aca="false">IF(D123="","",IFERROR(INDEX(Fields!$A:$A,MATCH(D123,Fields!$B:$B,0)),"Not found"))</f>
        <v/>
      </c>
      <c r="C123" s="20"/>
      <c r="D123" s="20"/>
      <c r="E123" s="20"/>
      <c r="F123" s="21" t="str">
        <f aca="false">IF(B123="","",IFERROR(INDEX(Fields!$C:$C,MATCH(B123,Fields!$A:$A,0)),""))</f>
        <v/>
      </c>
      <c r="G123" s="18" t="str">
        <f aca="false">IF(A123="","",COUNTIF('Metric to Product'!$A:$A,A123))</f>
        <v/>
      </c>
      <c r="H123" s="20"/>
      <c r="I123" s="20"/>
      <c r="J123" s="20"/>
      <c r="K123" s="20"/>
    </row>
    <row r="124" customFormat="false" ht="15" hidden="false" customHeight="false" outlineLevel="0" collapsed="false">
      <c r="A124" s="18" t="str">
        <f aca="false">IF(C124="","",IFERROR(INDEX(Metrics!$A:$A,MATCH(C124,Metrics!$C:$C,0)),"Not found"))</f>
        <v/>
      </c>
      <c r="B124" s="18" t="str">
        <f aca="false">IF(D124="","",IFERROR(INDEX(Fields!$A:$A,MATCH(D124,Fields!$B:$B,0)),"Not found"))</f>
        <v/>
      </c>
      <c r="C124" s="20"/>
      <c r="D124" s="20"/>
      <c r="E124" s="20"/>
      <c r="F124" s="21" t="str">
        <f aca="false">IF(B124="","",IFERROR(INDEX(Fields!$C:$C,MATCH(B124,Fields!$A:$A,0)),""))</f>
        <v/>
      </c>
      <c r="G124" s="18" t="str">
        <f aca="false">IF(A124="","",COUNTIF('Metric to Product'!$A:$A,A124))</f>
        <v/>
      </c>
      <c r="H124" s="20"/>
      <c r="I124" s="20"/>
      <c r="J124" s="20"/>
      <c r="K124" s="20"/>
    </row>
    <row r="125" customFormat="false" ht="15" hidden="false" customHeight="false" outlineLevel="0" collapsed="false">
      <c r="A125" s="18" t="str">
        <f aca="false">IF(C125="","",IFERROR(INDEX(Metrics!$A:$A,MATCH(C125,Metrics!$C:$C,0)),"Not found"))</f>
        <v/>
      </c>
      <c r="B125" s="18" t="str">
        <f aca="false">IF(D125="","",IFERROR(INDEX(Fields!$A:$A,MATCH(D125,Fields!$B:$B,0)),"Not found"))</f>
        <v/>
      </c>
      <c r="C125" s="20"/>
      <c r="D125" s="20"/>
      <c r="E125" s="20"/>
      <c r="F125" s="21" t="str">
        <f aca="false">IF(B125="","",IFERROR(INDEX(Fields!$C:$C,MATCH(B125,Fields!$A:$A,0)),""))</f>
        <v/>
      </c>
      <c r="G125" s="18" t="str">
        <f aca="false">IF(A125="","",COUNTIF('Metric to Product'!$A:$A,A125))</f>
        <v/>
      </c>
      <c r="H125" s="20"/>
      <c r="I125" s="20"/>
      <c r="J125" s="20"/>
      <c r="K125" s="20"/>
    </row>
    <row r="126" customFormat="false" ht="15" hidden="false" customHeight="false" outlineLevel="0" collapsed="false">
      <c r="A126" s="18" t="str">
        <f aca="false">IF(C126="","",IFERROR(INDEX(Metrics!$A:$A,MATCH(C126,Metrics!$C:$C,0)),"Not found"))</f>
        <v/>
      </c>
      <c r="B126" s="18" t="str">
        <f aca="false">IF(D126="","",IFERROR(INDEX(Fields!$A:$A,MATCH(D126,Fields!$B:$B,0)),"Not found"))</f>
        <v/>
      </c>
      <c r="C126" s="20"/>
      <c r="D126" s="20"/>
      <c r="E126" s="20"/>
      <c r="F126" s="21" t="str">
        <f aca="false">IF(B126="","",IFERROR(INDEX(Fields!$C:$C,MATCH(B126,Fields!$A:$A,0)),""))</f>
        <v/>
      </c>
      <c r="G126" s="18" t="str">
        <f aca="false">IF(A126="","",COUNTIF('Metric to Product'!$A:$A,A126))</f>
        <v/>
      </c>
      <c r="H126" s="20"/>
      <c r="I126" s="20"/>
      <c r="J126" s="20"/>
      <c r="K126" s="20"/>
    </row>
    <row r="127" customFormat="false" ht="15" hidden="false" customHeight="false" outlineLevel="0" collapsed="false">
      <c r="A127" s="18" t="str">
        <f aca="false">IF(C127="","",IFERROR(INDEX(Metrics!$A:$A,MATCH(C127,Metrics!$C:$C,0)),"Not found"))</f>
        <v/>
      </c>
      <c r="B127" s="18" t="str">
        <f aca="false">IF(D127="","",IFERROR(INDEX(Fields!$A:$A,MATCH(D127,Fields!$B:$B,0)),"Not found"))</f>
        <v/>
      </c>
      <c r="C127" s="20"/>
      <c r="D127" s="20"/>
      <c r="E127" s="20"/>
      <c r="F127" s="21" t="str">
        <f aca="false">IF(B127="","",IFERROR(INDEX(Fields!$C:$C,MATCH(B127,Fields!$A:$A,0)),""))</f>
        <v/>
      </c>
      <c r="G127" s="18" t="str">
        <f aca="false">IF(A127="","",COUNTIF('Metric to Product'!$A:$A,A127))</f>
        <v/>
      </c>
      <c r="H127" s="20"/>
      <c r="I127" s="20"/>
      <c r="J127" s="20"/>
      <c r="K127" s="20"/>
    </row>
    <row r="128" customFormat="false" ht="15" hidden="false" customHeight="false" outlineLevel="0" collapsed="false">
      <c r="A128" s="18" t="str">
        <f aca="false">IF(C128="","",IFERROR(INDEX(Metrics!$A:$A,MATCH(C128,Metrics!$C:$C,0)),"Not found"))</f>
        <v/>
      </c>
      <c r="B128" s="18" t="str">
        <f aca="false">IF(D128="","",IFERROR(INDEX(Fields!$A:$A,MATCH(D128,Fields!$B:$B,0)),"Not found"))</f>
        <v/>
      </c>
      <c r="C128" s="20"/>
      <c r="D128" s="20"/>
      <c r="E128" s="20"/>
      <c r="F128" s="21" t="str">
        <f aca="false">IF(B128="","",IFERROR(INDEX(Fields!$C:$C,MATCH(B128,Fields!$A:$A,0)),""))</f>
        <v/>
      </c>
      <c r="G128" s="18" t="str">
        <f aca="false">IF(A128="","",COUNTIF('Metric to Product'!$A:$A,A128))</f>
        <v/>
      </c>
      <c r="H128" s="20"/>
      <c r="I128" s="20"/>
      <c r="J128" s="20"/>
      <c r="K128" s="20"/>
    </row>
    <row r="129" customFormat="false" ht="15" hidden="false" customHeight="false" outlineLevel="0" collapsed="false">
      <c r="A129" s="18" t="str">
        <f aca="false">IF(C129="","",IFERROR(INDEX(Metrics!$A:$A,MATCH(C129,Metrics!$C:$C,0)),"Not found"))</f>
        <v/>
      </c>
      <c r="B129" s="18" t="str">
        <f aca="false">IF(D129="","",IFERROR(INDEX(Fields!$A:$A,MATCH(D129,Fields!$B:$B,0)),"Not found"))</f>
        <v/>
      </c>
      <c r="C129" s="20"/>
      <c r="D129" s="20"/>
      <c r="E129" s="20"/>
      <c r="F129" s="21" t="str">
        <f aca="false">IF(B129="","",IFERROR(INDEX(Fields!$C:$C,MATCH(B129,Fields!$A:$A,0)),""))</f>
        <v/>
      </c>
      <c r="G129" s="18" t="str">
        <f aca="false">IF(A129="","",COUNTIF('Metric to Product'!$A:$A,A129))</f>
        <v/>
      </c>
      <c r="H129" s="20"/>
      <c r="I129" s="20"/>
      <c r="J129" s="20"/>
      <c r="K129" s="20"/>
    </row>
    <row r="130" customFormat="false" ht="15" hidden="false" customHeight="false" outlineLevel="0" collapsed="false">
      <c r="A130" s="18" t="str">
        <f aca="false">IF(C130="","",IFERROR(INDEX(Metrics!$A:$A,MATCH(C130,Metrics!$C:$C,0)),"Not found"))</f>
        <v/>
      </c>
      <c r="B130" s="18" t="str">
        <f aca="false">IF(D130="","",IFERROR(INDEX(Fields!$A:$A,MATCH(D130,Fields!$B:$B,0)),"Not found"))</f>
        <v/>
      </c>
      <c r="C130" s="20"/>
      <c r="D130" s="20"/>
      <c r="E130" s="20"/>
      <c r="F130" s="21" t="str">
        <f aca="false">IF(B130="","",IFERROR(INDEX(Fields!$C:$C,MATCH(B130,Fields!$A:$A,0)),""))</f>
        <v/>
      </c>
      <c r="G130" s="18" t="str">
        <f aca="false">IF(A130="","",COUNTIF('Metric to Product'!$A:$A,A130))</f>
        <v/>
      </c>
      <c r="H130" s="20"/>
      <c r="I130" s="20"/>
      <c r="J130" s="20"/>
      <c r="K130" s="20"/>
    </row>
    <row r="131" customFormat="false" ht="15" hidden="false" customHeight="false" outlineLevel="0" collapsed="false">
      <c r="A131" s="18" t="str">
        <f aca="false">IF(C131="","",IFERROR(INDEX(Metrics!$A:$A,MATCH(C131,Metrics!$C:$C,0)),"Not found"))</f>
        <v/>
      </c>
      <c r="B131" s="18" t="str">
        <f aca="false">IF(D131="","",IFERROR(INDEX(Fields!$A:$A,MATCH(D131,Fields!$B:$B,0)),"Not found"))</f>
        <v/>
      </c>
      <c r="C131" s="20"/>
      <c r="D131" s="20"/>
      <c r="E131" s="20"/>
      <c r="F131" s="21" t="str">
        <f aca="false">IF(B131="","",IFERROR(INDEX(Fields!$C:$C,MATCH(B131,Fields!$A:$A,0)),""))</f>
        <v/>
      </c>
      <c r="G131" s="18" t="str">
        <f aca="false">IF(A131="","",COUNTIF('Metric to Product'!$A:$A,A131))</f>
        <v/>
      </c>
      <c r="H131" s="20"/>
      <c r="I131" s="20"/>
      <c r="J131" s="20"/>
      <c r="K131" s="20"/>
    </row>
    <row r="132" customFormat="false" ht="15" hidden="false" customHeight="false" outlineLevel="0" collapsed="false">
      <c r="A132" s="18" t="str">
        <f aca="false">IF(C132="","",IFERROR(INDEX(Metrics!$A:$A,MATCH(C132,Metrics!$C:$C,0)),"Not found"))</f>
        <v/>
      </c>
      <c r="B132" s="18" t="str">
        <f aca="false">IF(D132="","",IFERROR(INDEX(Fields!$A:$A,MATCH(D132,Fields!$B:$B,0)),"Not found"))</f>
        <v/>
      </c>
      <c r="C132" s="20"/>
      <c r="D132" s="20"/>
      <c r="E132" s="20"/>
      <c r="F132" s="21" t="str">
        <f aca="false">IF(B132="","",IFERROR(INDEX(Fields!$C:$C,MATCH(B132,Fields!$A:$A,0)),""))</f>
        <v/>
      </c>
      <c r="G132" s="18" t="str">
        <f aca="false">IF(A132="","",COUNTIF('Metric to Product'!$A:$A,A132))</f>
        <v/>
      </c>
      <c r="H132" s="20"/>
      <c r="I132" s="20"/>
      <c r="J132" s="20"/>
      <c r="K132" s="20"/>
    </row>
    <row r="133" customFormat="false" ht="15" hidden="false" customHeight="false" outlineLevel="0" collapsed="false">
      <c r="A133" s="18" t="str">
        <f aca="false">IF(C133="","",IFERROR(INDEX(Metrics!$A:$A,MATCH(C133,Metrics!$C:$C,0)),"Not found"))</f>
        <v/>
      </c>
      <c r="B133" s="18" t="str">
        <f aca="false">IF(D133="","",IFERROR(INDEX(Fields!$A:$A,MATCH(D133,Fields!$B:$B,0)),"Not found"))</f>
        <v/>
      </c>
      <c r="C133" s="20"/>
      <c r="D133" s="20"/>
      <c r="E133" s="20"/>
      <c r="F133" s="21" t="str">
        <f aca="false">IF(B133="","",IFERROR(INDEX(Fields!$C:$C,MATCH(B133,Fields!$A:$A,0)),""))</f>
        <v/>
      </c>
      <c r="G133" s="18" t="str">
        <f aca="false">IF(A133="","",COUNTIF('Metric to Product'!$A:$A,A133))</f>
        <v/>
      </c>
      <c r="H133" s="20"/>
      <c r="I133" s="20"/>
      <c r="J133" s="20"/>
      <c r="K133" s="20"/>
    </row>
    <row r="134" customFormat="false" ht="15" hidden="false" customHeight="false" outlineLevel="0" collapsed="false">
      <c r="A134" s="18" t="str">
        <f aca="false">IF(C134="","",IFERROR(INDEX(Metrics!$A:$A,MATCH(C134,Metrics!$C:$C,0)),"Not found"))</f>
        <v/>
      </c>
      <c r="B134" s="18" t="str">
        <f aca="false">IF(D134="","",IFERROR(INDEX(Fields!$A:$A,MATCH(D134,Fields!$B:$B,0)),"Not found"))</f>
        <v/>
      </c>
      <c r="C134" s="20"/>
      <c r="D134" s="20"/>
      <c r="E134" s="20"/>
      <c r="F134" s="21" t="str">
        <f aca="false">IF(B134="","",IFERROR(INDEX(Fields!$C:$C,MATCH(B134,Fields!$A:$A,0)),""))</f>
        <v/>
      </c>
      <c r="G134" s="18" t="str">
        <f aca="false">IF(A134="","",COUNTIF('Metric to Product'!$A:$A,A134))</f>
        <v/>
      </c>
      <c r="H134" s="20"/>
      <c r="I134" s="20"/>
      <c r="J134" s="20"/>
      <c r="K134" s="20"/>
    </row>
    <row r="135" customFormat="false" ht="15" hidden="false" customHeight="false" outlineLevel="0" collapsed="false">
      <c r="A135" s="18" t="str">
        <f aca="false">IF(C135="","",IFERROR(INDEX(Metrics!$A:$A,MATCH(C135,Metrics!$C:$C,0)),"Not found"))</f>
        <v/>
      </c>
      <c r="B135" s="18" t="str">
        <f aca="false">IF(D135="","",IFERROR(INDEX(Fields!$A:$A,MATCH(D135,Fields!$B:$B,0)),"Not found"))</f>
        <v/>
      </c>
      <c r="C135" s="20"/>
      <c r="D135" s="20"/>
      <c r="E135" s="20"/>
      <c r="F135" s="21" t="str">
        <f aca="false">IF(B135="","",IFERROR(INDEX(Fields!$C:$C,MATCH(B135,Fields!$A:$A,0)),""))</f>
        <v/>
      </c>
      <c r="G135" s="18" t="str">
        <f aca="false">IF(A135="","",COUNTIF('Metric to Product'!$A:$A,A135))</f>
        <v/>
      </c>
      <c r="H135" s="20"/>
      <c r="I135" s="20"/>
      <c r="J135" s="20"/>
      <c r="K135" s="20"/>
    </row>
    <row r="136" customFormat="false" ht="15" hidden="false" customHeight="false" outlineLevel="0" collapsed="false">
      <c r="A136" s="18" t="str">
        <f aca="false">IF(C136="","",IFERROR(INDEX(Metrics!$A:$A,MATCH(C136,Metrics!$C:$C,0)),"Not found"))</f>
        <v/>
      </c>
      <c r="B136" s="18" t="str">
        <f aca="false">IF(D136="","",IFERROR(INDEX(Fields!$A:$A,MATCH(D136,Fields!$B:$B,0)),"Not found"))</f>
        <v/>
      </c>
      <c r="C136" s="20"/>
      <c r="D136" s="20"/>
      <c r="E136" s="20"/>
      <c r="F136" s="21" t="str">
        <f aca="false">IF(B136="","",IFERROR(INDEX(Fields!$C:$C,MATCH(B136,Fields!$A:$A,0)),""))</f>
        <v/>
      </c>
      <c r="G136" s="18" t="str">
        <f aca="false">IF(A136="","",COUNTIF('Metric to Product'!$A:$A,A136))</f>
        <v/>
      </c>
      <c r="H136" s="20"/>
      <c r="I136" s="20"/>
      <c r="J136" s="20"/>
      <c r="K136" s="20"/>
    </row>
    <row r="137" customFormat="false" ht="15" hidden="false" customHeight="false" outlineLevel="0" collapsed="false">
      <c r="A137" s="18" t="str">
        <f aca="false">IF(C137="","",IFERROR(INDEX(Metrics!$A:$A,MATCH(C137,Metrics!$C:$C,0)),"Not found"))</f>
        <v/>
      </c>
      <c r="B137" s="18" t="str">
        <f aca="false">IF(D137="","",IFERROR(INDEX(Fields!$A:$A,MATCH(D137,Fields!$B:$B,0)),"Not found"))</f>
        <v/>
      </c>
      <c r="C137" s="20"/>
      <c r="D137" s="20"/>
      <c r="E137" s="20"/>
      <c r="F137" s="21" t="str">
        <f aca="false">IF(B137="","",IFERROR(INDEX(Fields!$C:$C,MATCH(B137,Fields!$A:$A,0)),""))</f>
        <v/>
      </c>
      <c r="G137" s="18" t="str">
        <f aca="false">IF(A137="","",COUNTIF('Metric to Product'!$A:$A,A137))</f>
        <v/>
      </c>
      <c r="H137" s="20"/>
      <c r="I137" s="20"/>
      <c r="J137" s="20"/>
      <c r="K137" s="20"/>
    </row>
    <row r="138" customFormat="false" ht="15" hidden="false" customHeight="false" outlineLevel="0" collapsed="false">
      <c r="A138" s="18" t="str">
        <f aca="false">IF(C138="","",IFERROR(INDEX(Metrics!$A:$A,MATCH(C138,Metrics!$C:$C,0)),"Not found"))</f>
        <v/>
      </c>
      <c r="B138" s="18" t="str">
        <f aca="false">IF(D138="","",IFERROR(INDEX(Fields!$A:$A,MATCH(D138,Fields!$B:$B,0)),"Not found"))</f>
        <v/>
      </c>
      <c r="C138" s="20"/>
      <c r="D138" s="20"/>
      <c r="E138" s="20"/>
      <c r="F138" s="21" t="str">
        <f aca="false">IF(B138="","",IFERROR(INDEX(Fields!$C:$C,MATCH(B138,Fields!$A:$A,0)),""))</f>
        <v/>
      </c>
      <c r="G138" s="18" t="str">
        <f aca="false">IF(A138="","",COUNTIF('Metric to Product'!$A:$A,A138))</f>
        <v/>
      </c>
      <c r="H138" s="20"/>
      <c r="I138" s="20"/>
      <c r="J138" s="20"/>
      <c r="K138" s="20"/>
    </row>
    <row r="139" customFormat="false" ht="15" hidden="false" customHeight="false" outlineLevel="0" collapsed="false">
      <c r="A139" s="18" t="str">
        <f aca="false">IF(C139="","",IFERROR(INDEX(Metrics!$A:$A,MATCH(C139,Metrics!$C:$C,0)),"Not found"))</f>
        <v/>
      </c>
      <c r="B139" s="18" t="str">
        <f aca="false">IF(D139="","",IFERROR(INDEX(Fields!$A:$A,MATCH(D139,Fields!$B:$B,0)),"Not found"))</f>
        <v/>
      </c>
      <c r="C139" s="20"/>
      <c r="D139" s="20"/>
      <c r="E139" s="20"/>
      <c r="F139" s="21" t="str">
        <f aca="false">IF(B139="","",IFERROR(INDEX(Fields!$C:$C,MATCH(B139,Fields!$A:$A,0)),""))</f>
        <v/>
      </c>
      <c r="G139" s="18" t="str">
        <f aca="false">IF(A139="","",COUNTIF('Metric to Product'!$A:$A,A139))</f>
        <v/>
      </c>
      <c r="H139" s="20"/>
      <c r="I139" s="20"/>
      <c r="J139" s="20"/>
      <c r="K139" s="20"/>
    </row>
    <row r="140" customFormat="false" ht="15" hidden="false" customHeight="false" outlineLevel="0" collapsed="false">
      <c r="A140" s="18" t="str">
        <f aca="false">IF(C140="","",IFERROR(INDEX(Metrics!$A:$A,MATCH(C140,Metrics!$C:$C,0)),"Not found"))</f>
        <v/>
      </c>
      <c r="B140" s="18" t="str">
        <f aca="false">IF(D140="","",IFERROR(INDEX(Fields!$A:$A,MATCH(D140,Fields!$B:$B,0)),"Not found"))</f>
        <v/>
      </c>
      <c r="C140" s="20"/>
      <c r="D140" s="20"/>
      <c r="E140" s="20"/>
      <c r="F140" s="21" t="str">
        <f aca="false">IF(B140="","",IFERROR(INDEX(Fields!$C:$C,MATCH(B140,Fields!$A:$A,0)),""))</f>
        <v/>
      </c>
      <c r="G140" s="18" t="str">
        <f aca="false">IF(A140="","",COUNTIF('Metric to Product'!$A:$A,A140))</f>
        <v/>
      </c>
      <c r="H140" s="20"/>
      <c r="I140" s="20"/>
      <c r="J140" s="20"/>
      <c r="K140" s="20"/>
    </row>
    <row r="141" customFormat="false" ht="15" hidden="false" customHeight="false" outlineLevel="0" collapsed="false">
      <c r="A141" s="18" t="str">
        <f aca="false">IF(C141="","",IFERROR(INDEX(Metrics!$A:$A,MATCH(C141,Metrics!$C:$C,0)),"Not found"))</f>
        <v/>
      </c>
      <c r="B141" s="18" t="str">
        <f aca="false">IF(D141="","",IFERROR(INDEX(Fields!$A:$A,MATCH(D141,Fields!$B:$B,0)),"Not found"))</f>
        <v/>
      </c>
      <c r="C141" s="20"/>
      <c r="D141" s="20"/>
      <c r="E141" s="20"/>
      <c r="F141" s="21" t="str">
        <f aca="false">IF(B141="","",IFERROR(INDEX(Fields!$C:$C,MATCH(B141,Fields!$A:$A,0)),""))</f>
        <v/>
      </c>
      <c r="G141" s="18" t="str">
        <f aca="false">IF(A141="","",COUNTIF('Metric to Product'!$A:$A,A141))</f>
        <v/>
      </c>
      <c r="H141" s="20"/>
      <c r="I141" s="20"/>
      <c r="J141" s="20"/>
      <c r="K141" s="20"/>
    </row>
    <row r="142" customFormat="false" ht="15" hidden="false" customHeight="false" outlineLevel="0" collapsed="false">
      <c r="A142" s="18" t="str">
        <f aca="false">IF(C142="","",IFERROR(INDEX(Metrics!$A:$A,MATCH(C142,Metrics!$C:$C,0)),"Not found"))</f>
        <v/>
      </c>
      <c r="B142" s="18" t="str">
        <f aca="false">IF(D142="","",IFERROR(INDEX(Fields!$A:$A,MATCH(D142,Fields!$B:$B,0)),"Not found"))</f>
        <v/>
      </c>
      <c r="C142" s="20"/>
      <c r="D142" s="20"/>
      <c r="E142" s="20"/>
      <c r="F142" s="21" t="str">
        <f aca="false">IF(B142="","",IFERROR(INDEX(Fields!$C:$C,MATCH(B142,Fields!$A:$A,0)),""))</f>
        <v/>
      </c>
      <c r="G142" s="18" t="str">
        <f aca="false">IF(A142="","",COUNTIF('Metric to Product'!$A:$A,A142))</f>
        <v/>
      </c>
      <c r="H142" s="20"/>
      <c r="I142" s="20"/>
      <c r="J142" s="20"/>
      <c r="K142" s="20"/>
    </row>
    <row r="143" customFormat="false" ht="15" hidden="false" customHeight="false" outlineLevel="0" collapsed="false">
      <c r="A143" s="18" t="str">
        <f aca="false">IF(C143="","",IFERROR(INDEX(Metrics!$A:$A,MATCH(C143,Metrics!$C:$C,0)),"Not found"))</f>
        <v/>
      </c>
      <c r="B143" s="18" t="str">
        <f aca="false">IF(D143="","",IFERROR(INDEX(Fields!$A:$A,MATCH(D143,Fields!$B:$B,0)),"Not found"))</f>
        <v/>
      </c>
      <c r="C143" s="20"/>
      <c r="D143" s="20"/>
      <c r="E143" s="20"/>
      <c r="F143" s="21" t="str">
        <f aca="false">IF(B143="","",IFERROR(INDEX(Fields!$C:$C,MATCH(B143,Fields!$A:$A,0)),""))</f>
        <v/>
      </c>
      <c r="G143" s="18" t="str">
        <f aca="false">IF(A143="","",COUNTIF('Metric to Product'!$A:$A,A143))</f>
        <v/>
      </c>
      <c r="H143" s="20"/>
      <c r="I143" s="20"/>
      <c r="J143" s="20"/>
      <c r="K143" s="20"/>
    </row>
    <row r="144" customFormat="false" ht="15" hidden="false" customHeight="false" outlineLevel="0" collapsed="false">
      <c r="A144" s="18" t="str">
        <f aca="false">IF(C144="","",IFERROR(INDEX(Metrics!$A:$A,MATCH(C144,Metrics!$C:$C,0)),"Not found"))</f>
        <v/>
      </c>
      <c r="B144" s="18" t="str">
        <f aca="false">IF(D144="","",IFERROR(INDEX(Fields!$A:$A,MATCH(D144,Fields!$B:$B,0)),"Not found"))</f>
        <v/>
      </c>
      <c r="C144" s="20"/>
      <c r="D144" s="20"/>
      <c r="E144" s="20"/>
      <c r="F144" s="21" t="str">
        <f aca="false">IF(B144="","",IFERROR(INDEX(Fields!$C:$C,MATCH(B144,Fields!$A:$A,0)),""))</f>
        <v/>
      </c>
      <c r="G144" s="18" t="str">
        <f aca="false">IF(A144="","",COUNTIF('Metric to Product'!$A:$A,A144))</f>
        <v/>
      </c>
      <c r="H144" s="20"/>
      <c r="I144" s="20"/>
      <c r="J144" s="20"/>
      <c r="K144" s="20"/>
    </row>
    <row r="145" customFormat="false" ht="15" hidden="false" customHeight="false" outlineLevel="0" collapsed="false">
      <c r="A145" s="18" t="str">
        <f aca="false">IF(C145="","",IFERROR(INDEX(Metrics!$A:$A,MATCH(C145,Metrics!$C:$C,0)),"Not found"))</f>
        <v/>
      </c>
      <c r="B145" s="18" t="str">
        <f aca="false">IF(D145="","",IFERROR(INDEX(Fields!$A:$A,MATCH(D145,Fields!$B:$B,0)),"Not found"))</f>
        <v/>
      </c>
      <c r="C145" s="20"/>
      <c r="D145" s="20"/>
      <c r="E145" s="20"/>
      <c r="F145" s="21" t="str">
        <f aca="false">IF(B145="","",IFERROR(INDEX(Fields!$C:$C,MATCH(B145,Fields!$A:$A,0)),""))</f>
        <v/>
      </c>
      <c r="G145" s="18" t="str">
        <f aca="false">IF(A145="","",COUNTIF('Metric to Product'!$A:$A,A145))</f>
        <v/>
      </c>
      <c r="H145" s="20"/>
      <c r="I145" s="20"/>
      <c r="J145" s="20"/>
      <c r="K145" s="20"/>
    </row>
    <row r="146" customFormat="false" ht="15" hidden="false" customHeight="false" outlineLevel="0" collapsed="false">
      <c r="A146" s="18" t="str">
        <f aca="false">IF(C146="","",IFERROR(INDEX(Metrics!$A:$A,MATCH(C146,Metrics!$C:$C,0)),"Not found"))</f>
        <v/>
      </c>
      <c r="B146" s="18" t="str">
        <f aca="false">IF(D146="","",IFERROR(INDEX(Fields!$A:$A,MATCH(D146,Fields!$B:$B,0)),"Not found"))</f>
        <v/>
      </c>
      <c r="C146" s="20"/>
      <c r="D146" s="20"/>
      <c r="E146" s="20"/>
      <c r="F146" s="21" t="str">
        <f aca="false">IF(B146="","",IFERROR(INDEX(Fields!$C:$C,MATCH(B146,Fields!$A:$A,0)),""))</f>
        <v/>
      </c>
      <c r="G146" s="18" t="str">
        <f aca="false">IF(A146="","",COUNTIF('Metric to Product'!$A:$A,A146))</f>
        <v/>
      </c>
      <c r="H146" s="20"/>
      <c r="I146" s="20"/>
      <c r="J146" s="20"/>
      <c r="K146" s="20"/>
    </row>
    <row r="147" customFormat="false" ht="15" hidden="false" customHeight="false" outlineLevel="0" collapsed="false">
      <c r="A147" s="18" t="str">
        <f aca="false">IF(C147="","",IFERROR(INDEX(Metrics!$A:$A,MATCH(C147,Metrics!$C:$C,0)),"Not found"))</f>
        <v/>
      </c>
      <c r="B147" s="18" t="str">
        <f aca="false">IF(D147="","",IFERROR(INDEX(Fields!$A:$A,MATCH(D147,Fields!$B:$B,0)),"Not found"))</f>
        <v/>
      </c>
      <c r="C147" s="20"/>
      <c r="D147" s="20"/>
      <c r="E147" s="20"/>
      <c r="F147" s="21" t="str">
        <f aca="false">IF(B147="","",IFERROR(INDEX(Fields!$C:$C,MATCH(B147,Fields!$A:$A,0)),""))</f>
        <v/>
      </c>
      <c r="G147" s="18" t="str">
        <f aca="false">IF(A147="","",COUNTIF('Metric to Product'!$A:$A,A147))</f>
        <v/>
      </c>
      <c r="H147" s="20"/>
      <c r="I147" s="20"/>
      <c r="J147" s="20"/>
      <c r="K147" s="20"/>
    </row>
    <row r="148" customFormat="false" ht="15" hidden="false" customHeight="false" outlineLevel="0" collapsed="false">
      <c r="A148" s="18" t="str">
        <f aca="false">IF(C148="","",IFERROR(INDEX(Metrics!$A:$A,MATCH(C148,Metrics!$C:$C,0)),"Not found"))</f>
        <v/>
      </c>
      <c r="B148" s="18" t="str">
        <f aca="false">IF(D148="","",IFERROR(INDEX(Fields!$A:$A,MATCH(D148,Fields!$B:$B,0)),"Not found"))</f>
        <v/>
      </c>
      <c r="C148" s="20"/>
      <c r="D148" s="20"/>
      <c r="E148" s="20"/>
      <c r="F148" s="21" t="str">
        <f aca="false">IF(B148="","",IFERROR(INDEX(Fields!$C:$C,MATCH(B148,Fields!$A:$A,0)),""))</f>
        <v/>
      </c>
      <c r="G148" s="18" t="str">
        <f aca="false">IF(A148="","",COUNTIF('Metric to Product'!$A:$A,A148))</f>
        <v/>
      </c>
      <c r="H148" s="20"/>
      <c r="I148" s="20"/>
      <c r="J148" s="20"/>
      <c r="K148" s="20"/>
    </row>
    <row r="149" customFormat="false" ht="15" hidden="false" customHeight="false" outlineLevel="0" collapsed="false">
      <c r="A149" s="18" t="str">
        <f aca="false">IF(C149="","",IFERROR(INDEX(Metrics!$A:$A,MATCH(C149,Metrics!$C:$C,0)),"Not found"))</f>
        <v/>
      </c>
      <c r="B149" s="18" t="str">
        <f aca="false">IF(D149="","",IFERROR(INDEX(Fields!$A:$A,MATCH(D149,Fields!$B:$B,0)),"Not found"))</f>
        <v/>
      </c>
      <c r="C149" s="20"/>
      <c r="D149" s="20"/>
      <c r="E149" s="20"/>
      <c r="F149" s="21" t="str">
        <f aca="false">IF(B149="","",IFERROR(INDEX(Fields!$C:$C,MATCH(B149,Fields!$A:$A,0)),""))</f>
        <v/>
      </c>
      <c r="G149" s="18" t="str">
        <f aca="false">IF(A149="","",COUNTIF('Metric to Product'!$A:$A,A149))</f>
        <v/>
      </c>
      <c r="H149" s="20"/>
      <c r="I149" s="20"/>
      <c r="J149" s="20"/>
      <c r="K149" s="20"/>
    </row>
    <row r="150" customFormat="false" ht="15" hidden="false" customHeight="false" outlineLevel="0" collapsed="false">
      <c r="A150" s="18" t="str">
        <f aca="false">IF(C150="","",IFERROR(INDEX(Metrics!$A:$A,MATCH(C150,Metrics!$C:$C,0)),"Not found"))</f>
        <v/>
      </c>
      <c r="B150" s="18" t="str">
        <f aca="false">IF(D150="","",IFERROR(INDEX(Fields!$A:$A,MATCH(D150,Fields!$B:$B,0)),"Not found"))</f>
        <v/>
      </c>
      <c r="C150" s="20"/>
      <c r="D150" s="20"/>
      <c r="E150" s="20"/>
      <c r="F150" s="21" t="str">
        <f aca="false">IF(B150="","",IFERROR(INDEX(Fields!$C:$C,MATCH(B150,Fields!$A:$A,0)),""))</f>
        <v/>
      </c>
      <c r="G150" s="18" t="str">
        <f aca="false">IF(A150="","",COUNTIF('Metric to Product'!$A:$A,A150))</f>
        <v/>
      </c>
      <c r="H150" s="20"/>
      <c r="I150" s="20"/>
      <c r="J150" s="20"/>
      <c r="K150" s="20"/>
    </row>
    <row r="151" customFormat="false" ht="15" hidden="false" customHeight="false" outlineLevel="0" collapsed="false">
      <c r="A151" s="18" t="str">
        <f aca="false">IF(C151="","",IFERROR(INDEX(Metrics!$A:$A,MATCH(C151,Metrics!$C:$C,0)),"Not found"))</f>
        <v/>
      </c>
      <c r="B151" s="18" t="str">
        <f aca="false">IF(D151="","",IFERROR(INDEX(Fields!$A:$A,MATCH(D151,Fields!$B:$B,0)),"Not found"))</f>
        <v/>
      </c>
      <c r="C151" s="20"/>
      <c r="D151" s="20"/>
      <c r="E151" s="20"/>
      <c r="F151" s="21" t="str">
        <f aca="false">IF(B151="","",IFERROR(INDEX(Fields!$C:$C,MATCH(B151,Fields!$A:$A,0)),""))</f>
        <v/>
      </c>
      <c r="G151" s="18" t="str">
        <f aca="false">IF(A151="","",COUNTIF('Metric to Product'!$A:$A,A151))</f>
        <v/>
      </c>
      <c r="H151" s="20"/>
      <c r="I151" s="20"/>
      <c r="J151" s="20"/>
      <c r="K151" s="20"/>
    </row>
    <row r="152" customFormat="false" ht="15" hidden="false" customHeight="false" outlineLevel="0" collapsed="false">
      <c r="A152" s="18" t="str">
        <f aca="false">IF(C152="","",IFERROR(INDEX(Metrics!$A:$A,MATCH(C152,Metrics!$C:$C,0)),"Not found"))</f>
        <v/>
      </c>
      <c r="B152" s="18" t="str">
        <f aca="false">IF(D152="","",IFERROR(INDEX(Fields!$A:$A,MATCH(D152,Fields!$B:$B,0)),"Not found"))</f>
        <v/>
      </c>
      <c r="C152" s="20"/>
      <c r="D152" s="20"/>
      <c r="E152" s="20"/>
      <c r="F152" s="21" t="str">
        <f aca="false">IF(B152="","",IFERROR(INDEX(Fields!$C:$C,MATCH(B152,Fields!$A:$A,0)),""))</f>
        <v/>
      </c>
      <c r="G152" s="18" t="str">
        <f aca="false">IF(A152="","",COUNTIF('Metric to Product'!$A:$A,A152))</f>
        <v/>
      </c>
      <c r="H152" s="20"/>
      <c r="I152" s="20"/>
      <c r="J152" s="20"/>
      <c r="K152" s="20"/>
    </row>
    <row r="153" customFormat="false" ht="15" hidden="false" customHeight="false" outlineLevel="0" collapsed="false">
      <c r="A153" s="18" t="str">
        <f aca="false">IF(C153="","",IFERROR(INDEX(Metrics!$A:$A,MATCH(C153,Metrics!$C:$C,0)),"Not found"))</f>
        <v/>
      </c>
      <c r="B153" s="18" t="str">
        <f aca="false">IF(D153="","",IFERROR(INDEX(Fields!$A:$A,MATCH(D153,Fields!$B:$B,0)),"Not found"))</f>
        <v/>
      </c>
      <c r="C153" s="20"/>
      <c r="D153" s="20"/>
      <c r="E153" s="20"/>
      <c r="F153" s="21" t="str">
        <f aca="false">IF(B153="","",IFERROR(INDEX(Fields!$C:$C,MATCH(B153,Fields!$A:$A,0)),""))</f>
        <v/>
      </c>
      <c r="G153" s="18" t="str">
        <f aca="false">IF(A153="","",COUNTIF('Metric to Product'!$A:$A,A153))</f>
        <v/>
      </c>
      <c r="H153" s="20"/>
      <c r="I153" s="20"/>
      <c r="J153" s="20"/>
      <c r="K153" s="20"/>
    </row>
    <row r="154" customFormat="false" ht="15" hidden="false" customHeight="false" outlineLevel="0" collapsed="false">
      <c r="A154" s="18" t="str">
        <f aca="false">IF(C154="","",IFERROR(INDEX(Metrics!$A:$A,MATCH(C154,Metrics!$C:$C,0)),"Not found"))</f>
        <v/>
      </c>
      <c r="B154" s="18" t="str">
        <f aca="false">IF(D154="","",IFERROR(INDEX(Fields!$A:$A,MATCH(D154,Fields!$B:$B,0)),"Not found"))</f>
        <v/>
      </c>
      <c r="C154" s="20"/>
      <c r="D154" s="20"/>
      <c r="E154" s="20"/>
      <c r="F154" s="21" t="str">
        <f aca="false">IF(B154="","",IFERROR(INDEX(Fields!$C:$C,MATCH(B154,Fields!$A:$A,0)),""))</f>
        <v/>
      </c>
      <c r="G154" s="18" t="str">
        <f aca="false">IF(A154="","",COUNTIF('Metric to Product'!$A:$A,A154))</f>
        <v/>
      </c>
      <c r="H154" s="20"/>
      <c r="I154" s="20"/>
      <c r="J154" s="20"/>
      <c r="K154" s="20"/>
    </row>
    <row r="155" customFormat="false" ht="15" hidden="false" customHeight="false" outlineLevel="0" collapsed="false">
      <c r="A155" s="18" t="str">
        <f aca="false">IF(C155="","",IFERROR(INDEX(Metrics!$A:$A,MATCH(C155,Metrics!$C:$C,0)),"Not found"))</f>
        <v/>
      </c>
      <c r="B155" s="18" t="str">
        <f aca="false">IF(D155="","",IFERROR(INDEX(Fields!$A:$A,MATCH(D155,Fields!$B:$B,0)),"Not found"))</f>
        <v/>
      </c>
      <c r="C155" s="20"/>
      <c r="D155" s="20"/>
      <c r="E155" s="20"/>
      <c r="F155" s="21" t="str">
        <f aca="false">IF(B155="","",IFERROR(INDEX(Fields!$C:$C,MATCH(B155,Fields!$A:$A,0)),""))</f>
        <v/>
      </c>
      <c r="G155" s="18" t="str">
        <f aca="false">IF(A155="","",COUNTIF('Metric to Product'!$A:$A,A155))</f>
        <v/>
      </c>
      <c r="H155" s="20"/>
      <c r="I155" s="20"/>
      <c r="J155" s="20"/>
      <c r="K155" s="20"/>
    </row>
    <row r="156" customFormat="false" ht="15" hidden="false" customHeight="false" outlineLevel="0" collapsed="false">
      <c r="A156" s="18" t="str">
        <f aca="false">IF(C156="","",IFERROR(INDEX(Metrics!$A:$A,MATCH(C156,Metrics!$C:$C,0)),"Not found"))</f>
        <v/>
      </c>
      <c r="B156" s="18" t="str">
        <f aca="false">IF(D156="","",IFERROR(INDEX(Fields!$A:$A,MATCH(D156,Fields!$B:$B,0)),"Not found"))</f>
        <v/>
      </c>
      <c r="C156" s="20"/>
      <c r="D156" s="20"/>
      <c r="E156" s="20"/>
      <c r="F156" s="21" t="str">
        <f aca="false">IF(B156="","",IFERROR(INDEX(Fields!$C:$C,MATCH(B156,Fields!$A:$A,0)),""))</f>
        <v/>
      </c>
      <c r="G156" s="18" t="str">
        <f aca="false">IF(A156="","",COUNTIF('Metric to Product'!$A:$A,A156))</f>
        <v/>
      </c>
      <c r="H156" s="20"/>
      <c r="I156" s="20"/>
      <c r="J156" s="20"/>
      <c r="K156" s="20"/>
    </row>
    <row r="157" customFormat="false" ht="15" hidden="false" customHeight="false" outlineLevel="0" collapsed="false">
      <c r="A157" s="18" t="str">
        <f aca="false">IF(C157="","",IFERROR(INDEX(Metrics!$A:$A,MATCH(C157,Metrics!$C:$C,0)),"Not found"))</f>
        <v/>
      </c>
      <c r="B157" s="18" t="str">
        <f aca="false">IF(D157="","",IFERROR(INDEX(Fields!$A:$A,MATCH(D157,Fields!$B:$B,0)),"Not found"))</f>
        <v/>
      </c>
      <c r="C157" s="20"/>
      <c r="D157" s="20"/>
      <c r="E157" s="20"/>
      <c r="F157" s="21" t="str">
        <f aca="false">IF(B157="","",IFERROR(INDEX(Fields!$C:$C,MATCH(B157,Fields!$A:$A,0)),""))</f>
        <v/>
      </c>
      <c r="G157" s="18" t="str">
        <f aca="false">IF(A157="","",COUNTIF('Metric to Product'!$A:$A,A157))</f>
        <v/>
      </c>
      <c r="H157" s="20"/>
      <c r="I157" s="20"/>
      <c r="J157" s="20"/>
      <c r="K157" s="20"/>
    </row>
    <row r="158" customFormat="false" ht="15" hidden="false" customHeight="false" outlineLevel="0" collapsed="false">
      <c r="A158" s="18" t="str">
        <f aca="false">IF(C158="","",IFERROR(INDEX(Metrics!$A:$A,MATCH(C158,Metrics!$C:$C,0)),"Not found"))</f>
        <v/>
      </c>
      <c r="B158" s="18" t="str">
        <f aca="false">IF(D158="","",IFERROR(INDEX(Fields!$A:$A,MATCH(D158,Fields!$B:$B,0)),"Not found"))</f>
        <v/>
      </c>
      <c r="C158" s="20"/>
      <c r="D158" s="20"/>
      <c r="E158" s="20"/>
      <c r="F158" s="21" t="str">
        <f aca="false">IF(B158="","",IFERROR(INDEX(Fields!$C:$C,MATCH(B158,Fields!$A:$A,0)),""))</f>
        <v/>
      </c>
      <c r="G158" s="18" t="str">
        <f aca="false">IF(A158="","",COUNTIF('Metric to Product'!$A:$A,A158))</f>
        <v/>
      </c>
      <c r="H158" s="20"/>
      <c r="I158" s="20"/>
      <c r="J158" s="20"/>
      <c r="K158" s="20"/>
    </row>
    <row r="159" customFormat="false" ht="15" hidden="false" customHeight="false" outlineLevel="0" collapsed="false">
      <c r="A159" s="18" t="str">
        <f aca="false">IF(C159="","",IFERROR(INDEX(Metrics!$A:$A,MATCH(C159,Metrics!$C:$C,0)),"Not found"))</f>
        <v/>
      </c>
      <c r="B159" s="18" t="str">
        <f aca="false">IF(D159="","",IFERROR(INDEX(Fields!$A:$A,MATCH(D159,Fields!$B:$B,0)),"Not found"))</f>
        <v/>
      </c>
      <c r="C159" s="20"/>
      <c r="D159" s="20"/>
      <c r="E159" s="20"/>
      <c r="F159" s="21" t="str">
        <f aca="false">IF(B159="","",IFERROR(INDEX(Fields!$C:$C,MATCH(B159,Fields!$A:$A,0)),""))</f>
        <v/>
      </c>
      <c r="G159" s="18" t="str">
        <f aca="false">IF(A159="","",COUNTIF('Metric to Product'!$A:$A,A159))</f>
        <v/>
      </c>
      <c r="H159" s="20"/>
      <c r="I159" s="20"/>
      <c r="J159" s="20"/>
      <c r="K159" s="20"/>
    </row>
    <row r="160" customFormat="false" ht="15" hidden="false" customHeight="false" outlineLevel="0" collapsed="false">
      <c r="A160" s="18" t="str">
        <f aca="false">IF(C160="","",IFERROR(INDEX(Metrics!$A:$A,MATCH(C160,Metrics!$C:$C,0)),"Not found"))</f>
        <v/>
      </c>
      <c r="B160" s="18" t="str">
        <f aca="false">IF(D160="","",IFERROR(INDEX(Fields!$A:$A,MATCH(D160,Fields!$B:$B,0)),"Not found"))</f>
        <v/>
      </c>
      <c r="C160" s="20"/>
      <c r="D160" s="20"/>
      <c r="E160" s="20"/>
      <c r="F160" s="21" t="str">
        <f aca="false">IF(B160="","",IFERROR(INDEX(Fields!$C:$C,MATCH(B160,Fields!$A:$A,0)),""))</f>
        <v/>
      </c>
      <c r="G160" s="18" t="str">
        <f aca="false">IF(A160="","",COUNTIF('Metric to Product'!$A:$A,A160))</f>
        <v/>
      </c>
      <c r="H160" s="20"/>
      <c r="I160" s="20"/>
      <c r="J160" s="20"/>
      <c r="K160" s="20"/>
    </row>
    <row r="161" customFormat="false" ht="15" hidden="false" customHeight="false" outlineLevel="0" collapsed="false">
      <c r="A161" s="18" t="str">
        <f aca="false">IF(C161="","",IFERROR(INDEX(Metrics!$A:$A,MATCH(C161,Metrics!$C:$C,0)),"Not found"))</f>
        <v/>
      </c>
      <c r="B161" s="18" t="str">
        <f aca="false">IF(D161="","",IFERROR(INDEX(Fields!$A:$A,MATCH(D161,Fields!$B:$B,0)),"Not found"))</f>
        <v/>
      </c>
      <c r="C161" s="20"/>
      <c r="D161" s="20"/>
      <c r="E161" s="20"/>
      <c r="F161" s="21" t="str">
        <f aca="false">IF(B161="","",IFERROR(INDEX(Fields!$C:$C,MATCH(B161,Fields!$A:$A,0)),""))</f>
        <v/>
      </c>
      <c r="G161" s="18" t="str">
        <f aca="false">IF(A161="","",COUNTIF('Metric to Product'!$A:$A,A161))</f>
        <v/>
      </c>
      <c r="H161" s="20"/>
      <c r="I161" s="20"/>
      <c r="J161" s="20"/>
      <c r="K161" s="20"/>
    </row>
    <row r="162" customFormat="false" ht="15" hidden="false" customHeight="false" outlineLevel="0" collapsed="false">
      <c r="A162" s="18" t="str">
        <f aca="false">IF(C162="","",IFERROR(INDEX(Metrics!$A:$A,MATCH(C162,Metrics!$C:$C,0)),"Not found"))</f>
        <v/>
      </c>
      <c r="B162" s="18" t="str">
        <f aca="false">IF(D162="","",IFERROR(INDEX(Fields!$A:$A,MATCH(D162,Fields!$B:$B,0)),"Not found"))</f>
        <v/>
      </c>
      <c r="C162" s="20"/>
      <c r="D162" s="20"/>
      <c r="E162" s="20"/>
      <c r="F162" s="21" t="str">
        <f aca="false">IF(B162="","",IFERROR(INDEX(Fields!$C:$C,MATCH(B162,Fields!$A:$A,0)),""))</f>
        <v/>
      </c>
      <c r="G162" s="18" t="str">
        <f aca="false">IF(A162="","",COUNTIF('Metric to Product'!$A:$A,A162))</f>
        <v/>
      </c>
      <c r="H162" s="20"/>
      <c r="I162" s="20"/>
      <c r="J162" s="20"/>
      <c r="K162" s="20"/>
    </row>
    <row r="163" customFormat="false" ht="15" hidden="false" customHeight="false" outlineLevel="0" collapsed="false">
      <c r="A163" s="18" t="str">
        <f aca="false">IF(C163="","",IFERROR(INDEX(Metrics!$A:$A,MATCH(C163,Metrics!$C:$C,0)),"Not found"))</f>
        <v/>
      </c>
      <c r="B163" s="18" t="str">
        <f aca="false">IF(D163="","",IFERROR(INDEX(Fields!$A:$A,MATCH(D163,Fields!$B:$B,0)),"Not found"))</f>
        <v/>
      </c>
      <c r="C163" s="20"/>
      <c r="D163" s="20"/>
      <c r="E163" s="20"/>
      <c r="F163" s="21" t="str">
        <f aca="false">IF(B163="","",IFERROR(INDEX(Fields!$C:$C,MATCH(B163,Fields!$A:$A,0)),""))</f>
        <v/>
      </c>
      <c r="G163" s="18" t="str">
        <f aca="false">IF(A163="","",COUNTIF('Metric to Product'!$A:$A,A163))</f>
        <v/>
      </c>
      <c r="H163" s="20"/>
      <c r="I163" s="20"/>
      <c r="J163" s="20"/>
      <c r="K163" s="20"/>
    </row>
    <row r="164" customFormat="false" ht="15" hidden="false" customHeight="false" outlineLevel="0" collapsed="false">
      <c r="A164" s="18" t="str">
        <f aca="false">IF(C164="","",IFERROR(INDEX(Metrics!$A:$A,MATCH(C164,Metrics!$C:$C,0)),"Not found"))</f>
        <v/>
      </c>
      <c r="B164" s="18" t="str">
        <f aca="false">IF(D164="","",IFERROR(INDEX(Fields!$A:$A,MATCH(D164,Fields!$B:$B,0)),"Not found"))</f>
        <v/>
      </c>
      <c r="C164" s="20"/>
      <c r="D164" s="20"/>
      <c r="E164" s="20"/>
      <c r="F164" s="21" t="str">
        <f aca="false">IF(B164="","",IFERROR(INDEX(Fields!$C:$C,MATCH(B164,Fields!$A:$A,0)),""))</f>
        <v/>
      </c>
      <c r="G164" s="18" t="str">
        <f aca="false">IF(A164="","",COUNTIF('Metric to Product'!$A:$A,A164))</f>
        <v/>
      </c>
      <c r="H164" s="20"/>
      <c r="I164" s="20"/>
      <c r="J164" s="20"/>
      <c r="K164" s="20"/>
    </row>
    <row r="165" customFormat="false" ht="15" hidden="false" customHeight="false" outlineLevel="0" collapsed="false">
      <c r="A165" s="18" t="str">
        <f aca="false">IF(C165="","",IFERROR(INDEX(Metrics!$A:$A,MATCH(C165,Metrics!$C:$C,0)),"Not found"))</f>
        <v/>
      </c>
      <c r="B165" s="18" t="str">
        <f aca="false">IF(D165="","",IFERROR(INDEX(Fields!$A:$A,MATCH(D165,Fields!$B:$B,0)),"Not found"))</f>
        <v/>
      </c>
      <c r="C165" s="20"/>
      <c r="D165" s="20"/>
      <c r="E165" s="20"/>
      <c r="F165" s="21" t="str">
        <f aca="false">IF(B165="","",IFERROR(INDEX(Fields!$C:$C,MATCH(B165,Fields!$A:$A,0)),""))</f>
        <v/>
      </c>
      <c r="G165" s="18" t="str">
        <f aca="false">IF(A165="","",COUNTIF('Metric to Product'!$A:$A,A165))</f>
        <v/>
      </c>
      <c r="H165" s="20"/>
      <c r="I165" s="20"/>
      <c r="J165" s="20"/>
      <c r="K165" s="20"/>
    </row>
    <row r="166" customFormat="false" ht="15" hidden="false" customHeight="false" outlineLevel="0" collapsed="false">
      <c r="A166" s="18" t="str">
        <f aca="false">IF(C166="","",IFERROR(INDEX(Metrics!$A:$A,MATCH(C166,Metrics!$C:$C,0)),"Not found"))</f>
        <v/>
      </c>
      <c r="B166" s="18" t="str">
        <f aca="false">IF(D166="","",IFERROR(INDEX(Fields!$A:$A,MATCH(D166,Fields!$B:$B,0)),"Not found"))</f>
        <v/>
      </c>
      <c r="C166" s="20"/>
      <c r="D166" s="20"/>
      <c r="E166" s="20"/>
      <c r="F166" s="21" t="str">
        <f aca="false">IF(B166="","",IFERROR(INDEX(Fields!$C:$C,MATCH(B166,Fields!$A:$A,0)),""))</f>
        <v/>
      </c>
      <c r="G166" s="18" t="str">
        <f aca="false">IF(A166="","",COUNTIF('Metric to Product'!$A:$A,A166))</f>
        <v/>
      </c>
      <c r="H166" s="20"/>
      <c r="I166" s="20"/>
      <c r="J166" s="20"/>
      <c r="K166" s="20"/>
    </row>
    <row r="167" customFormat="false" ht="15" hidden="false" customHeight="false" outlineLevel="0" collapsed="false">
      <c r="A167" s="18" t="str">
        <f aca="false">IF(C167="","",IFERROR(INDEX(Metrics!$A:$A,MATCH(C167,Metrics!$C:$C,0)),"Not found"))</f>
        <v/>
      </c>
      <c r="B167" s="18" t="str">
        <f aca="false">IF(D167="","",IFERROR(INDEX(Fields!$A:$A,MATCH(D167,Fields!$B:$B,0)),"Not found"))</f>
        <v/>
      </c>
      <c r="C167" s="20"/>
      <c r="D167" s="20"/>
      <c r="E167" s="20"/>
      <c r="F167" s="21" t="str">
        <f aca="false">IF(B167="","",IFERROR(INDEX(Fields!$C:$C,MATCH(B167,Fields!$A:$A,0)),""))</f>
        <v/>
      </c>
      <c r="G167" s="18" t="str">
        <f aca="false">IF(A167="","",COUNTIF('Metric to Product'!$A:$A,A167))</f>
        <v/>
      </c>
      <c r="H167" s="20"/>
      <c r="I167" s="20"/>
      <c r="J167" s="20"/>
      <c r="K167" s="20"/>
    </row>
    <row r="168" customFormat="false" ht="15" hidden="false" customHeight="false" outlineLevel="0" collapsed="false">
      <c r="A168" s="18" t="str">
        <f aca="false">IF(C168="","",IFERROR(INDEX(Metrics!$A:$A,MATCH(C168,Metrics!$C:$C,0)),"Not found"))</f>
        <v/>
      </c>
      <c r="B168" s="18" t="str">
        <f aca="false">IF(D168="","",IFERROR(INDEX(Fields!$A:$A,MATCH(D168,Fields!$B:$B,0)),"Not found"))</f>
        <v/>
      </c>
      <c r="C168" s="20"/>
      <c r="D168" s="20"/>
      <c r="E168" s="20"/>
      <c r="F168" s="21" t="str">
        <f aca="false">IF(B168="","",IFERROR(INDEX(Fields!$C:$C,MATCH(B168,Fields!$A:$A,0)),""))</f>
        <v/>
      </c>
      <c r="G168" s="18" t="str">
        <f aca="false">IF(A168="","",COUNTIF('Metric to Product'!$A:$A,A168))</f>
        <v/>
      </c>
      <c r="H168" s="20"/>
      <c r="I168" s="20"/>
      <c r="J168" s="20"/>
      <c r="K168" s="20"/>
    </row>
    <row r="169" customFormat="false" ht="15" hidden="false" customHeight="false" outlineLevel="0" collapsed="false">
      <c r="A169" s="18" t="str">
        <f aca="false">IF(C169="","",IFERROR(INDEX(Metrics!$A:$A,MATCH(C169,Metrics!$C:$C,0)),"Not found"))</f>
        <v/>
      </c>
      <c r="B169" s="18" t="str">
        <f aca="false">IF(D169="","",IFERROR(INDEX(Fields!$A:$A,MATCH(D169,Fields!$B:$B,0)),"Not found"))</f>
        <v/>
      </c>
      <c r="C169" s="20"/>
      <c r="D169" s="20"/>
      <c r="E169" s="20"/>
      <c r="F169" s="21" t="str">
        <f aca="false">IF(B169="","",IFERROR(INDEX(Fields!$C:$C,MATCH(B169,Fields!$A:$A,0)),""))</f>
        <v/>
      </c>
      <c r="G169" s="18" t="str">
        <f aca="false">IF(A169="","",COUNTIF('Metric to Product'!$A:$A,A169))</f>
        <v/>
      </c>
      <c r="H169" s="20"/>
      <c r="I169" s="20"/>
      <c r="J169" s="20"/>
      <c r="K169" s="20"/>
    </row>
    <row r="170" customFormat="false" ht="15" hidden="false" customHeight="false" outlineLevel="0" collapsed="false">
      <c r="A170" s="18" t="str">
        <f aca="false">IF(C170="","",IFERROR(INDEX(Metrics!$A:$A,MATCH(C170,Metrics!$C:$C,0)),"Not found"))</f>
        <v/>
      </c>
      <c r="B170" s="18" t="str">
        <f aca="false">IF(D170="","",IFERROR(INDEX(Fields!$A:$A,MATCH(D170,Fields!$B:$B,0)),"Not found"))</f>
        <v/>
      </c>
      <c r="C170" s="20"/>
      <c r="D170" s="20"/>
      <c r="E170" s="20"/>
      <c r="F170" s="21" t="str">
        <f aca="false">IF(B170="","",IFERROR(INDEX(Fields!$C:$C,MATCH(B170,Fields!$A:$A,0)),""))</f>
        <v/>
      </c>
      <c r="G170" s="18" t="str">
        <f aca="false">IF(A170="","",COUNTIF('Metric to Product'!$A:$A,A170))</f>
        <v/>
      </c>
      <c r="H170" s="20"/>
      <c r="I170" s="20"/>
      <c r="J170" s="20"/>
      <c r="K170" s="20"/>
    </row>
    <row r="171" customFormat="false" ht="15" hidden="false" customHeight="false" outlineLevel="0" collapsed="false">
      <c r="A171" s="18" t="str">
        <f aca="false">IF(C171="","",IFERROR(INDEX(Metrics!$A:$A,MATCH(C171,Metrics!$C:$C,0)),"Not found"))</f>
        <v/>
      </c>
      <c r="B171" s="18" t="str">
        <f aca="false">IF(D171="","",IFERROR(INDEX(Fields!$A:$A,MATCH(D171,Fields!$B:$B,0)),"Not found"))</f>
        <v/>
      </c>
      <c r="C171" s="20"/>
      <c r="D171" s="20"/>
      <c r="E171" s="20"/>
      <c r="F171" s="21" t="str">
        <f aca="false">IF(B171="","",IFERROR(INDEX(Fields!$C:$C,MATCH(B171,Fields!$A:$A,0)),""))</f>
        <v/>
      </c>
      <c r="G171" s="18" t="str">
        <f aca="false">IF(A171="","",COUNTIF('Metric to Product'!$A:$A,A171))</f>
        <v/>
      </c>
      <c r="H171" s="20"/>
      <c r="I171" s="20"/>
      <c r="J171" s="20"/>
      <c r="K171" s="20"/>
    </row>
    <row r="172" customFormat="false" ht="15" hidden="false" customHeight="false" outlineLevel="0" collapsed="false">
      <c r="A172" s="18" t="str">
        <f aca="false">IF(C172="","",IFERROR(INDEX(Metrics!$A:$A,MATCH(C172,Metrics!$C:$C,0)),"Not found"))</f>
        <v/>
      </c>
      <c r="B172" s="18" t="str">
        <f aca="false">IF(D172="","",IFERROR(INDEX(Fields!$A:$A,MATCH(D172,Fields!$B:$B,0)),"Not found"))</f>
        <v/>
      </c>
      <c r="C172" s="20"/>
      <c r="D172" s="20"/>
      <c r="E172" s="20"/>
      <c r="F172" s="21" t="str">
        <f aca="false">IF(B172="","",IFERROR(INDEX(Fields!$C:$C,MATCH(B172,Fields!$A:$A,0)),""))</f>
        <v/>
      </c>
      <c r="G172" s="18" t="str">
        <f aca="false">IF(A172="","",COUNTIF('Metric to Product'!$A:$A,A172))</f>
        <v/>
      </c>
      <c r="H172" s="20"/>
      <c r="I172" s="20"/>
      <c r="J172" s="20"/>
      <c r="K172" s="20"/>
    </row>
    <row r="173" customFormat="false" ht="15" hidden="false" customHeight="false" outlineLevel="0" collapsed="false">
      <c r="A173" s="18" t="str">
        <f aca="false">IF(C173="","",IFERROR(INDEX(Metrics!$A:$A,MATCH(C173,Metrics!$C:$C,0)),"Not found"))</f>
        <v/>
      </c>
      <c r="B173" s="18" t="str">
        <f aca="false">IF(D173="","",IFERROR(INDEX(Fields!$A:$A,MATCH(D173,Fields!$B:$B,0)),"Not found"))</f>
        <v/>
      </c>
      <c r="C173" s="20"/>
      <c r="D173" s="20"/>
      <c r="E173" s="20"/>
      <c r="F173" s="21" t="str">
        <f aca="false">IF(B173="","",IFERROR(INDEX(Fields!$C:$C,MATCH(B173,Fields!$A:$A,0)),""))</f>
        <v/>
      </c>
      <c r="G173" s="18" t="str">
        <f aca="false">IF(A173="","",COUNTIF('Metric to Product'!$A:$A,A173))</f>
        <v/>
      </c>
      <c r="H173" s="20"/>
      <c r="I173" s="20"/>
      <c r="J173" s="20"/>
      <c r="K173" s="20"/>
    </row>
    <row r="174" customFormat="false" ht="15" hidden="false" customHeight="false" outlineLevel="0" collapsed="false">
      <c r="A174" s="18" t="str">
        <f aca="false">IF(C174="","",IFERROR(INDEX(Metrics!$A:$A,MATCH(C174,Metrics!$C:$C,0)),"Not found"))</f>
        <v/>
      </c>
      <c r="B174" s="18" t="str">
        <f aca="false">IF(D174="","",IFERROR(INDEX(Fields!$A:$A,MATCH(D174,Fields!$B:$B,0)),"Not found"))</f>
        <v/>
      </c>
      <c r="C174" s="20"/>
      <c r="D174" s="20"/>
      <c r="E174" s="20"/>
      <c r="F174" s="21" t="str">
        <f aca="false">IF(B174="","",IFERROR(INDEX(Fields!$C:$C,MATCH(B174,Fields!$A:$A,0)),""))</f>
        <v/>
      </c>
      <c r="G174" s="18" t="str">
        <f aca="false">IF(A174="","",COUNTIF('Metric to Product'!$A:$A,A174))</f>
        <v/>
      </c>
      <c r="H174" s="20"/>
      <c r="I174" s="20"/>
      <c r="J174" s="20"/>
      <c r="K174" s="20"/>
    </row>
    <row r="175" customFormat="false" ht="15" hidden="false" customHeight="false" outlineLevel="0" collapsed="false">
      <c r="A175" s="18" t="str">
        <f aca="false">IF(C175="","",IFERROR(INDEX(Metrics!$A:$A,MATCH(C175,Metrics!$C:$C,0)),"Not found"))</f>
        <v/>
      </c>
      <c r="B175" s="18" t="str">
        <f aca="false">IF(D175="","",IFERROR(INDEX(Fields!$A:$A,MATCH(D175,Fields!$B:$B,0)),"Not found"))</f>
        <v/>
      </c>
      <c r="C175" s="20"/>
      <c r="D175" s="20"/>
      <c r="E175" s="20"/>
      <c r="F175" s="21" t="str">
        <f aca="false">IF(B175="","",IFERROR(INDEX(Fields!$C:$C,MATCH(B175,Fields!$A:$A,0)),""))</f>
        <v/>
      </c>
      <c r="G175" s="18" t="str">
        <f aca="false">IF(A175="","",COUNTIF('Metric to Product'!$A:$A,A175))</f>
        <v/>
      </c>
      <c r="H175" s="20"/>
      <c r="I175" s="20"/>
      <c r="J175" s="20"/>
      <c r="K175" s="20"/>
    </row>
    <row r="176" customFormat="false" ht="15" hidden="false" customHeight="false" outlineLevel="0" collapsed="false">
      <c r="A176" s="18" t="str">
        <f aca="false">IF(C176="","",IFERROR(INDEX(Metrics!$A:$A,MATCH(C176,Metrics!$C:$C,0)),"Not found"))</f>
        <v/>
      </c>
      <c r="B176" s="18" t="str">
        <f aca="false">IF(D176="","",IFERROR(INDEX(Fields!$A:$A,MATCH(D176,Fields!$B:$B,0)),"Not found"))</f>
        <v/>
      </c>
      <c r="C176" s="20"/>
      <c r="D176" s="20"/>
      <c r="E176" s="20"/>
      <c r="F176" s="21" t="str">
        <f aca="false">IF(B176="","",IFERROR(INDEX(Fields!$C:$C,MATCH(B176,Fields!$A:$A,0)),""))</f>
        <v/>
      </c>
      <c r="G176" s="18" t="str">
        <f aca="false">IF(A176="","",COUNTIF('Metric to Product'!$A:$A,A176))</f>
        <v/>
      </c>
      <c r="H176" s="20"/>
      <c r="I176" s="20"/>
      <c r="J176" s="20"/>
      <c r="K176" s="20"/>
    </row>
    <row r="177" customFormat="false" ht="15" hidden="false" customHeight="false" outlineLevel="0" collapsed="false">
      <c r="A177" s="18" t="str">
        <f aca="false">IF(C177="","",IFERROR(INDEX(Metrics!$A:$A,MATCH(C177,Metrics!$C:$C,0)),"Not found"))</f>
        <v/>
      </c>
      <c r="B177" s="18" t="str">
        <f aca="false">IF(D177="","",IFERROR(INDEX(Fields!$A:$A,MATCH(D177,Fields!$B:$B,0)),"Not found"))</f>
        <v/>
      </c>
      <c r="C177" s="20"/>
      <c r="D177" s="20"/>
      <c r="E177" s="20"/>
      <c r="F177" s="21" t="str">
        <f aca="false">IF(B177="","",IFERROR(INDEX(Fields!$C:$C,MATCH(B177,Fields!$A:$A,0)),""))</f>
        <v/>
      </c>
      <c r="G177" s="18" t="str">
        <f aca="false">IF(A177="","",COUNTIF('Metric to Product'!$A:$A,A177))</f>
        <v/>
      </c>
      <c r="H177" s="20"/>
      <c r="I177" s="20"/>
      <c r="J177" s="20"/>
      <c r="K177" s="20"/>
    </row>
    <row r="178" customFormat="false" ht="15" hidden="false" customHeight="false" outlineLevel="0" collapsed="false">
      <c r="A178" s="18" t="str">
        <f aca="false">IF(C178="","",IFERROR(INDEX(Metrics!$A:$A,MATCH(C178,Metrics!$C:$C,0)),"Not found"))</f>
        <v/>
      </c>
      <c r="B178" s="18" t="str">
        <f aca="false">IF(D178="","",IFERROR(INDEX(Fields!$A:$A,MATCH(D178,Fields!$B:$B,0)),"Not found"))</f>
        <v/>
      </c>
      <c r="C178" s="20"/>
      <c r="D178" s="20"/>
      <c r="E178" s="20"/>
      <c r="F178" s="21" t="str">
        <f aca="false">IF(B178="","",IFERROR(INDEX(Fields!$C:$C,MATCH(B178,Fields!$A:$A,0)),""))</f>
        <v/>
      </c>
      <c r="G178" s="18" t="str">
        <f aca="false">IF(A178="","",COUNTIF('Metric to Product'!$A:$A,A178))</f>
        <v/>
      </c>
      <c r="H178" s="20"/>
      <c r="I178" s="20"/>
      <c r="J178" s="20"/>
      <c r="K178" s="20"/>
    </row>
    <row r="179" customFormat="false" ht="15" hidden="false" customHeight="false" outlineLevel="0" collapsed="false">
      <c r="A179" s="18" t="str">
        <f aca="false">IF(C179="","",IFERROR(INDEX(Metrics!$A:$A,MATCH(C179,Metrics!$C:$C,0)),"Not found"))</f>
        <v/>
      </c>
      <c r="B179" s="18" t="str">
        <f aca="false">IF(D179="","",IFERROR(INDEX(Fields!$A:$A,MATCH(D179,Fields!$B:$B,0)),"Not found"))</f>
        <v/>
      </c>
      <c r="C179" s="20"/>
      <c r="D179" s="20"/>
      <c r="E179" s="20"/>
      <c r="F179" s="21" t="str">
        <f aca="false">IF(B179="","",IFERROR(INDEX(Fields!$C:$C,MATCH(B179,Fields!$A:$A,0)),""))</f>
        <v/>
      </c>
      <c r="G179" s="18" t="str">
        <f aca="false">IF(A179="","",COUNTIF('Metric to Product'!$A:$A,A179))</f>
        <v/>
      </c>
      <c r="H179" s="20"/>
      <c r="I179" s="20"/>
      <c r="J179" s="20"/>
      <c r="K179" s="20"/>
    </row>
    <row r="180" customFormat="false" ht="15" hidden="false" customHeight="false" outlineLevel="0" collapsed="false">
      <c r="A180" s="18" t="str">
        <f aca="false">IF(C180="","",IFERROR(INDEX(Metrics!$A:$A,MATCH(C180,Metrics!$C:$C,0)),"Not found"))</f>
        <v/>
      </c>
      <c r="B180" s="18" t="str">
        <f aca="false">IF(D180="","",IFERROR(INDEX(Fields!$A:$A,MATCH(D180,Fields!$B:$B,0)),"Not found"))</f>
        <v/>
      </c>
      <c r="C180" s="20"/>
      <c r="D180" s="20"/>
      <c r="E180" s="20"/>
      <c r="F180" s="21" t="str">
        <f aca="false">IF(B180="","",IFERROR(INDEX(Fields!$C:$C,MATCH(B180,Fields!$A:$A,0)),""))</f>
        <v/>
      </c>
      <c r="G180" s="18" t="str">
        <f aca="false">IF(A180="","",COUNTIF('Metric to Product'!$A:$A,A180))</f>
        <v/>
      </c>
      <c r="H180" s="20"/>
      <c r="I180" s="20"/>
      <c r="J180" s="20"/>
      <c r="K180" s="20"/>
    </row>
    <row r="181" customFormat="false" ht="15" hidden="false" customHeight="false" outlineLevel="0" collapsed="false">
      <c r="A181" s="18" t="str">
        <f aca="false">IF(C181="","",IFERROR(INDEX(Metrics!$A:$A,MATCH(C181,Metrics!$C:$C,0)),"Not found"))</f>
        <v/>
      </c>
      <c r="B181" s="18" t="str">
        <f aca="false">IF(D181="","",IFERROR(INDEX(Fields!$A:$A,MATCH(D181,Fields!$B:$B,0)),"Not found"))</f>
        <v/>
      </c>
      <c r="C181" s="20"/>
      <c r="D181" s="20"/>
      <c r="E181" s="20"/>
      <c r="F181" s="21" t="str">
        <f aca="false">IF(B181="","",IFERROR(INDEX(Fields!$C:$C,MATCH(B181,Fields!$A:$A,0)),""))</f>
        <v/>
      </c>
      <c r="G181" s="18" t="str">
        <f aca="false">IF(A181="","",COUNTIF('Metric to Product'!$A:$A,A181))</f>
        <v/>
      </c>
      <c r="H181" s="20"/>
      <c r="I181" s="20"/>
      <c r="J181" s="20"/>
      <c r="K181" s="20"/>
    </row>
    <row r="182" customFormat="false" ht="15" hidden="false" customHeight="false" outlineLevel="0" collapsed="false">
      <c r="A182" s="18" t="str">
        <f aca="false">IF(C182="","",IFERROR(INDEX(Metrics!$A:$A,MATCH(C182,Metrics!$C:$C,0)),"Not found"))</f>
        <v/>
      </c>
      <c r="B182" s="18" t="str">
        <f aca="false">IF(D182="","",IFERROR(INDEX(Fields!$A:$A,MATCH(D182,Fields!$B:$B,0)),"Not found"))</f>
        <v/>
      </c>
      <c r="C182" s="20"/>
      <c r="D182" s="20"/>
      <c r="E182" s="20"/>
      <c r="F182" s="21" t="str">
        <f aca="false">IF(B182="","",IFERROR(INDEX(Fields!$C:$C,MATCH(B182,Fields!$A:$A,0)),""))</f>
        <v/>
      </c>
      <c r="G182" s="18" t="str">
        <f aca="false">IF(A182="","",COUNTIF('Metric to Product'!$A:$A,A182))</f>
        <v/>
      </c>
      <c r="H182" s="20"/>
      <c r="I182" s="20"/>
      <c r="J182" s="20"/>
      <c r="K182" s="20"/>
    </row>
    <row r="183" customFormat="false" ht="15" hidden="false" customHeight="false" outlineLevel="0" collapsed="false">
      <c r="A183" s="18" t="str">
        <f aca="false">IF(C183="","",IFERROR(INDEX(Metrics!$A:$A,MATCH(C183,Metrics!$C:$C,0)),"Not found"))</f>
        <v/>
      </c>
      <c r="B183" s="18" t="str">
        <f aca="false">IF(D183="","",IFERROR(INDEX(Fields!$A:$A,MATCH(D183,Fields!$B:$B,0)),"Not found"))</f>
        <v/>
      </c>
      <c r="C183" s="20"/>
      <c r="D183" s="20"/>
      <c r="E183" s="20"/>
      <c r="F183" s="21" t="str">
        <f aca="false">IF(B183="","",IFERROR(INDEX(Fields!$C:$C,MATCH(B183,Fields!$A:$A,0)),""))</f>
        <v/>
      </c>
      <c r="G183" s="18" t="str">
        <f aca="false">IF(A183="","",COUNTIF('Metric to Product'!$A:$A,A183))</f>
        <v/>
      </c>
      <c r="H183" s="20"/>
      <c r="I183" s="20"/>
      <c r="J183" s="20"/>
      <c r="K183" s="20"/>
    </row>
    <row r="184" customFormat="false" ht="15" hidden="false" customHeight="false" outlineLevel="0" collapsed="false">
      <c r="A184" s="18" t="str">
        <f aca="false">IF(C184="","",IFERROR(INDEX(Metrics!$A:$A,MATCH(C184,Metrics!$C:$C,0)),"Not found"))</f>
        <v/>
      </c>
      <c r="B184" s="18" t="str">
        <f aca="false">IF(D184="","",IFERROR(INDEX(Fields!$A:$A,MATCH(D184,Fields!$B:$B,0)),"Not found"))</f>
        <v/>
      </c>
      <c r="C184" s="20"/>
      <c r="D184" s="20"/>
      <c r="E184" s="20"/>
      <c r="F184" s="21" t="str">
        <f aca="false">IF(B184="","",IFERROR(INDEX(Fields!$C:$C,MATCH(B184,Fields!$A:$A,0)),""))</f>
        <v/>
      </c>
      <c r="G184" s="18" t="str">
        <f aca="false">IF(A184="","",COUNTIF('Metric to Product'!$A:$A,A184))</f>
        <v/>
      </c>
      <c r="H184" s="20"/>
      <c r="I184" s="20"/>
      <c r="J184" s="20"/>
      <c r="K184" s="20"/>
    </row>
    <row r="185" customFormat="false" ht="15" hidden="false" customHeight="false" outlineLevel="0" collapsed="false">
      <c r="A185" s="18" t="str">
        <f aca="false">IF(C185="","",IFERROR(INDEX(Metrics!$A:$A,MATCH(C185,Metrics!$C:$C,0)),"Not found"))</f>
        <v/>
      </c>
      <c r="B185" s="18" t="str">
        <f aca="false">IF(D185="","",IFERROR(INDEX(Fields!$A:$A,MATCH(D185,Fields!$B:$B,0)),"Not found"))</f>
        <v/>
      </c>
      <c r="C185" s="20"/>
      <c r="D185" s="20"/>
      <c r="E185" s="20"/>
      <c r="F185" s="21" t="str">
        <f aca="false">IF(B185="","",IFERROR(INDEX(Fields!$C:$C,MATCH(B185,Fields!$A:$A,0)),""))</f>
        <v/>
      </c>
      <c r="G185" s="18" t="str">
        <f aca="false">IF(A185="","",COUNTIF('Metric to Product'!$A:$A,A185))</f>
        <v/>
      </c>
      <c r="H185" s="20"/>
      <c r="I185" s="20"/>
      <c r="J185" s="20"/>
      <c r="K185" s="20"/>
    </row>
    <row r="186" customFormat="false" ht="15" hidden="false" customHeight="false" outlineLevel="0" collapsed="false">
      <c r="A186" s="18" t="str">
        <f aca="false">IF(C186="","",IFERROR(INDEX(Metrics!$A:$A,MATCH(C186,Metrics!$C:$C,0)),"Not found"))</f>
        <v/>
      </c>
      <c r="B186" s="18" t="str">
        <f aca="false">IF(D186="","",IFERROR(INDEX(Fields!$A:$A,MATCH(D186,Fields!$B:$B,0)),"Not found"))</f>
        <v/>
      </c>
      <c r="C186" s="20"/>
      <c r="D186" s="20"/>
      <c r="E186" s="20"/>
      <c r="F186" s="21" t="str">
        <f aca="false">IF(B186="","",IFERROR(INDEX(Fields!$C:$C,MATCH(B186,Fields!$A:$A,0)),""))</f>
        <v/>
      </c>
      <c r="G186" s="18" t="str">
        <f aca="false">IF(A186="","",COUNTIF('Metric to Product'!$A:$A,A186))</f>
        <v/>
      </c>
      <c r="H186" s="20"/>
      <c r="I186" s="20"/>
      <c r="J186" s="20"/>
      <c r="K186" s="20"/>
    </row>
    <row r="187" customFormat="false" ht="15" hidden="false" customHeight="false" outlineLevel="0" collapsed="false">
      <c r="A187" s="18" t="str">
        <f aca="false">IF(C187="","",IFERROR(INDEX(Metrics!$A:$A,MATCH(C187,Metrics!$C:$C,0)),"Not found"))</f>
        <v/>
      </c>
      <c r="B187" s="18" t="str">
        <f aca="false">IF(D187="","",IFERROR(INDEX(Fields!$A:$A,MATCH(D187,Fields!$B:$B,0)),"Not found"))</f>
        <v/>
      </c>
      <c r="C187" s="20"/>
      <c r="D187" s="20"/>
      <c r="E187" s="20"/>
      <c r="F187" s="21" t="str">
        <f aca="false">IF(B187="","",IFERROR(INDEX(Fields!$C:$C,MATCH(B187,Fields!$A:$A,0)),""))</f>
        <v/>
      </c>
      <c r="G187" s="18" t="str">
        <f aca="false">IF(A187="","",COUNTIF('Metric to Product'!$A:$A,A187))</f>
        <v/>
      </c>
      <c r="H187" s="20"/>
      <c r="I187" s="20"/>
      <c r="J187" s="20"/>
      <c r="K187" s="20"/>
    </row>
    <row r="188" customFormat="false" ht="15" hidden="false" customHeight="false" outlineLevel="0" collapsed="false">
      <c r="A188" s="18" t="str">
        <f aca="false">IF(C188="","",IFERROR(INDEX(Metrics!$A:$A,MATCH(C188,Metrics!$C:$C,0)),"Not found"))</f>
        <v/>
      </c>
      <c r="B188" s="18" t="str">
        <f aca="false">IF(D188="","",IFERROR(INDEX(Fields!$A:$A,MATCH(D188,Fields!$B:$B,0)),"Not found"))</f>
        <v/>
      </c>
      <c r="C188" s="20"/>
      <c r="D188" s="20"/>
      <c r="E188" s="20"/>
      <c r="F188" s="21" t="str">
        <f aca="false">IF(B188="","",IFERROR(INDEX(Fields!$C:$C,MATCH(B188,Fields!$A:$A,0)),""))</f>
        <v/>
      </c>
      <c r="G188" s="18" t="str">
        <f aca="false">IF(A188="","",COUNTIF('Metric to Product'!$A:$A,A188))</f>
        <v/>
      </c>
      <c r="H188" s="20"/>
      <c r="I188" s="20"/>
      <c r="J188" s="20"/>
      <c r="K188" s="20"/>
    </row>
    <row r="189" customFormat="false" ht="15" hidden="false" customHeight="false" outlineLevel="0" collapsed="false">
      <c r="A189" s="18" t="str">
        <f aca="false">IF(C189="","",IFERROR(INDEX(Metrics!$A:$A,MATCH(C189,Metrics!$C:$C,0)),"Not found"))</f>
        <v/>
      </c>
      <c r="B189" s="18" t="str">
        <f aca="false">IF(D189="","",IFERROR(INDEX(Fields!$A:$A,MATCH(D189,Fields!$B:$B,0)),"Not found"))</f>
        <v/>
      </c>
      <c r="C189" s="20"/>
      <c r="D189" s="20"/>
      <c r="E189" s="20"/>
      <c r="F189" s="21" t="str">
        <f aca="false">IF(B189="","",IFERROR(INDEX(Fields!$C:$C,MATCH(B189,Fields!$A:$A,0)),""))</f>
        <v/>
      </c>
      <c r="G189" s="18" t="str">
        <f aca="false">IF(A189="","",COUNTIF('Metric to Product'!$A:$A,A189))</f>
        <v/>
      </c>
      <c r="H189" s="20"/>
      <c r="I189" s="20"/>
      <c r="J189" s="20"/>
      <c r="K189" s="20"/>
    </row>
    <row r="190" customFormat="false" ht="15" hidden="false" customHeight="false" outlineLevel="0" collapsed="false">
      <c r="A190" s="18" t="str">
        <f aca="false">IF(C190="","",IFERROR(INDEX(Metrics!$A:$A,MATCH(C190,Metrics!$C:$C,0)),"Not found"))</f>
        <v/>
      </c>
      <c r="B190" s="18" t="str">
        <f aca="false">IF(D190="","",IFERROR(INDEX(Fields!$A:$A,MATCH(D190,Fields!$B:$B,0)),"Not found"))</f>
        <v/>
      </c>
      <c r="C190" s="20"/>
      <c r="D190" s="20"/>
      <c r="E190" s="20"/>
      <c r="F190" s="21" t="str">
        <f aca="false">IF(B190="","",IFERROR(INDEX(Fields!$C:$C,MATCH(B190,Fields!$A:$A,0)),""))</f>
        <v/>
      </c>
      <c r="G190" s="18" t="str">
        <f aca="false">IF(A190="","",COUNTIF('Metric to Product'!$A:$A,A190))</f>
        <v/>
      </c>
      <c r="H190" s="20"/>
      <c r="I190" s="20"/>
      <c r="J190" s="20"/>
      <c r="K190" s="20"/>
    </row>
    <row r="191" customFormat="false" ht="15" hidden="false" customHeight="false" outlineLevel="0" collapsed="false">
      <c r="A191" s="18" t="str">
        <f aca="false">IF(C191="","",IFERROR(INDEX(Metrics!$A:$A,MATCH(C191,Metrics!$C:$C,0)),"Not found"))</f>
        <v/>
      </c>
      <c r="B191" s="18" t="str">
        <f aca="false">IF(D191="","",IFERROR(INDEX(Fields!$A:$A,MATCH(D191,Fields!$B:$B,0)),"Not found"))</f>
        <v/>
      </c>
      <c r="C191" s="20"/>
      <c r="D191" s="20"/>
      <c r="E191" s="20"/>
      <c r="F191" s="21" t="str">
        <f aca="false">IF(B191="","",IFERROR(INDEX(Fields!$C:$C,MATCH(B191,Fields!$A:$A,0)),""))</f>
        <v/>
      </c>
      <c r="G191" s="18" t="str">
        <f aca="false">IF(A191="","",COUNTIF('Metric to Product'!$A:$A,A191))</f>
        <v/>
      </c>
      <c r="H191" s="20"/>
      <c r="I191" s="20"/>
      <c r="J191" s="20"/>
      <c r="K191" s="20"/>
    </row>
    <row r="192" customFormat="false" ht="15" hidden="false" customHeight="false" outlineLevel="0" collapsed="false">
      <c r="A192" s="18" t="str">
        <f aca="false">IF(C192="","",IFERROR(INDEX(Metrics!$A:$A,MATCH(C192,Metrics!$C:$C,0)),"Not found"))</f>
        <v/>
      </c>
      <c r="B192" s="18" t="str">
        <f aca="false">IF(D192="","",IFERROR(INDEX(Fields!$A:$A,MATCH(D192,Fields!$B:$B,0)),"Not found"))</f>
        <v/>
      </c>
      <c r="C192" s="20"/>
      <c r="D192" s="20"/>
      <c r="E192" s="20"/>
      <c r="F192" s="21" t="str">
        <f aca="false">IF(B192="","",IFERROR(INDEX(Fields!$C:$C,MATCH(B192,Fields!$A:$A,0)),""))</f>
        <v/>
      </c>
      <c r="G192" s="18" t="str">
        <f aca="false">IF(A192="","",COUNTIF('Metric to Product'!$A:$A,A192))</f>
        <v/>
      </c>
      <c r="H192" s="20"/>
      <c r="I192" s="20"/>
      <c r="J192" s="20"/>
      <c r="K192" s="20"/>
    </row>
    <row r="193" customFormat="false" ht="15" hidden="false" customHeight="false" outlineLevel="0" collapsed="false">
      <c r="A193" s="18" t="str">
        <f aca="false">IF(C193="","",IFERROR(INDEX(Metrics!$A:$A,MATCH(C193,Metrics!$C:$C,0)),"Not found"))</f>
        <v/>
      </c>
      <c r="B193" s="18" t="str">
        <f aca="false">IF(D193="","",IFERROR(INDEX(Fields!$A:$A,MATCH(D193,Fields!$B:$B,0)),"Not found"))</f>
        <v/>
      </c>
      <c r="C193" s="20"/>
      <c r="D193" s="20"/>
      <c r="E193" s="20"/>
      <c r="F193" s="21" t="str">
        <f aca="false">IF(B193="","",IFERROR(INDEX(Fields!$C:$C,MATCH(B193,Fields!$A:$A,0)),""))</f>
        <v/>
      </c>
      <c r="G193" s="18" t="str">
        <f aca="false">IF(A193="","",COUNTIF('Metric to Product'!$A:$A,A193))</f>
        <v/>
      </c>
      <c r="H193" s="20"/>
      <c r="I193" s="20"/>
      <c r="J193" s="20"/>
      <c r="K193" s="20"/>
    </row>
    <row r="194" customFormat="false" ht="15" hidden="false" customHeight="false" outlineLevel="0" collapsed="false">
      <c r="A194" s="18" t="str">
        <f aca="false">IF(C194="","",IFERROR(INDEX(Metrics!$A:$A,MATCH(C194,Metrics!$C:$C,0)),"Not found"))</f>
        <v/>
      </c>
      <c r="B194" s="18" t="str">
        <f aca="false">IF(D194="","",IFERROR(INDEX(Fields!$A:$A,MATCH(D194,Fields!$B:$B,0)),"Not found"))</f>
        <v/>
      </c>
      <c r="C194" s="20"/>
      <c r="D194" s="20"/>
      <c r="E194" s="20"/>
      <c r="F194" s="21" t="str">
        <f aca="false">IF(B194="","",IFERROR(INDEX(Fields!$C:$C,MATCH(B194,Fields!$A:$A,0)),""))</f>
        <v/>
      </c>
      <c r="G194" s="18" t="str">
        <f aca="false">IF(A194="","",COUNTIF('Metric to Product'!$A:$A,A194))</f>
        <v/>
      </c>
      <c r="H194" s="20"/>
      <c r="I194" s="20"/>
      <c r="J194" s="20"/>
      <c r="K194" s="20"/>
    </row>
    <row r="195" customFormat="false" ht="15" hidden="false" customHeight="false" outlineLevel="0" collapsed="false">
      <c r="A195" s="18" t="str">
        <f aca="false">IF(C195="","",IFERROR(INDEX(Metrics!$A:$A,MATCH(C195,Metrics!$C:$C,0)),"Not found"))</f>
        <v/>
      </c>
      <c r="B195" s="18" t="str">
        <f aca="false">IF(D195="","",IFERROR(INDEX(Fields!$A:$A,MATCH(D195,Fields!$B:$B,0)),"Not found"))</f>
        <v/>
      </c>
      <c r="C195" s="20"/>
      <c r="D195" s="20"/>
      <c r="E195" s="20"/>
      <c r="F195" s="21" t="str">
        <f aca="false">IF(B195="","",IFERROR(INDEX(Fields!$C:$C,MATCH(B195,Fields!$A:$A,0)),""))</f>
        <v/>
      </c>
      <c r="G195" s="18" t="str">
        <f aca="false">IF(A195="","",COUNTIF('Metric to Product'!$A:$A,A195))</f>
        <v/>
      </c>
      <c r="H195" s="20"/>
      <c r="I195" s="20"/>
      <c r="J195" s="20"/>
      <c r="K195" s="20"/>
    </row>
    <row r="196" customFormat="false" ht="15" hidden="false" customHeight="false" outlineLevel="0" collapsed="false">
      <c r="A196" s="18" t="str">
        <f aca="false">IF(C196="","",IFERROR(INDEX(Metrics!$A:$A,MATCH(C196,Metrics!$C:$C,0)),"Not found"))</f>
        <v/>
      </c>
      <c r="B196" s="18" t="str">
        <f aca="false">IF(D196="","",IFERROR(INDEX(Fields!$A:$A,MATCH(D196,Fields!$B:$B,0)),"Not found"))</f>
        <v/>
      </c>
      <c r="C196" s="20"/>
      <c r="D196" s="20"/>
      <c r="E196" s="20"/>
      <c r="F196" s="21" t="str">
        <f aca="false">IF(B196="","",IFERROR(INDEX(Fields!$C:$C,MATCH(B196,Fields!$A:$A,0)),""))</f>
        <v/>
      </c>
      <c r="G196" s="18" t="str">
        <f aca="false">IF(A196="","",COUNTIF('Metric to Product'!$A:$A,A196))</f>
        <v/>
      </c>
      <c r="H196" s="20"/>
      <c r="I196" s="20"/>
      <c r="J196" s="20"/>
      <c r="K196" s="20"/>
    </row>
    <row r="197" customFormat="false" ht="15" hidden="false" customHeight="false" outlineLevel="0" collapsed="false">
      <c r="A197" s="18" t="str">
        <f aca="false">IF(C197="","",IFERROR(INDEX(Metrics!$A:$A,MATCH(C197,Metrics!$C:$C,0)),"Not found"))</f>
        <v/>
      </c>
      <c r="B197" s="18" t="str">
        <f aca="false">IF(D197="","",IFERROR(INDEX(Fields!$A:$A,MATCH(D197,Fields!$B:$B,0)),"Not found"))</f>
        <v/>
      </c>
      <c r="C197" s="20"/>
      <c r="D197" s="20"/>
      <c r="E197" s="20"/>
      <c r="F197" s="21" t="str">
        <f aca="false">IF(B197="","",IFERROR(INDEX(Fields!$C:$C,MATCH(B197,Fields!$A:$A,0)),""))</f>
        <v/>
      </c>
      <c r="G197" s="18" t="str">
        <f aca="false">IF(A197="","",COUNTIF('Metric to Product'!$A:$A,A197))</f>
        <v/>
      </c>
      <c r="H197" s="20"/>
      <c r="I197" s="20"/>
      <c r="J197" s="20"/>
      <c r="K197" s="20"/>
    </row>
    <row r="198" customFormat="false" ht="15" hidden="false" customHeight="false" outlineLevel="0" collapsed="false">
      <c r="A198" s="18" t="str">
        <f aca="false">IF(C198="","",IFERROR(INDEX(Metrics!$A:$A,MATCH(C198,Metrics!$C:$C,0)),"Not found"))</f>
        <v/>
      </c>
      <c r="B198" s="18" t="str">
        <f aca="false">IF(D198="","",IFERROR(INDEX(Fields!$A:$A,MATCH(D198,Fields!$B:$B,0)),"Not found"))</f>
        <v/>
      </c>
      <c r="C198" s="20"/>
      <c r="D198" s="20"/>
      <c r="E198" s="20"/>
      <c r="F198" s="21" t="str">
        <f aca="false">IF(B198="","",IFERROR(INDEX(Fields!$C:$C,MATCH(B198,Fields!$A:$A,0)),""))</f>
        <v/>
      </c>
      <c r="G198" s="18" t="str">
        <f aca="false">IF(A198="","",COUNTIF('Metric to Product'!$A:$A,A198))</f>
        <v/>
      </c>
      <c r="H198" s="20"/>
      <c r="I198" s="20"/>
      <c r="J198" s="20"/>
      <c r="K198" s="20"/>
    </row>
    <row r="199" customFormat="false" ht="15" hidden="false" customHeight="false" outlineLevel="0" collapsed="false">
      <c r="A199" s="18" t="str">
        <f aca="false">IF(C199="","",IFERROR(INDEX(Metrics!$A:$A,MATCH(C199,Metrics!$C:$C,0)),"Not found"))</f>
        <v/>
      </c>
      <c r="B199" s="18" t="str">
        <f aca="false">IF(D199="","",IFERROR(INDEX(Fields!$A:$A,MATCH(D199,Fields!$B:$B,0)),"Not found"))</f>
        <v/>
      </c>
      <c r="C199" s="20"/>
      <c r="D199" s="20"/>
      <c r="E199" s="20"/>
      <c r="F199" s="21" t="str">
        <f aca="false">IF(B199="","",IFERROR(INDEX(Fields!$C:$C,MATCH(B199,Fields!$A:$A,0)),""))</f>
        <v/>
      </c>
      <c r="G199" s="18" t="str">
        <f aca="false">IF(A199="","",COUNTIF('Metric to Product'!$A:$A,A199))</f>
        <v/>
      </c>
      <c r="H199" s="20"/>
      <c r="I199" s="20"/>
      <c r="J199" s="20"/>
      <c r="K199" s="20"/>
    </row>
    <row r="200" customFormat="false" ht="15" hidden="false" customHeight="false" outlineLevel="0" collapsed="false">
      <c r="A200" s="18" t="str">
        <f aca="false">IF(C200="","",IFERROR(INDEX(Metrics!$A:$A,MATCH(C200,Metrics!$C:$C,0)),"Not found"))</f>
        <v/>
      </c>
      <c r="B200" s="18" t="str">
        <f aca="false">IF(D200="","",IFERROR(INDEX(Fields!$A:$A,MATCH(D200,Fields!$B:$B,0)),"Not found"))</f>
        <v/>
      </c>
      <c r="C200" s="20"/>
      <c r="D200" s="20"/>
      <c r="E200" s="20"/>
      <c r="F200" s="21" t="str">
        <f aca="false">IF(B200="","",IFERROR(INDEX(Fields!$C:$C,MATCH(B200,Fields!$A:$A,0)),""))</f>
        <v/>
      </c>
      <c r="G200" s="18" t="str">
        <f aca="false">IF(A200="","",COUNTIF('Metric to Product'!$A:$A,A200))</f>
        <v/>
      </c>
      <c r="H200" s="20"/>
      <c r="I200" s="20"/>
      <c r="J200" s="20"/>
      <c r="K200" s="20"/>
    </row>
    <row r="201" customFormat="false" ht="15" hidden="false" customHeight="false" outlineLevel="0" collapsed="false">
      <c r="A201" s="18" t="str">
        <f aca="false">IF(C201="","",IFERROR(INDEX(Metrics!$A:$A,MATCH(C201,Metrics!$C:$C,0)),"Not found"))</f>
        <v/>
      </c>
      <c r="B201" s="18" t="str">
        <f aca="false">IF(D201="","",IFERROR(INDEX(Fields!$A:$A,MATCH(D201,Fields!$B:$B,0)),"Not found"))</f>
        <v/>
      </c>
      <c r="C201" s="20"/>
      <c r="D201" s="20"/>
      <c r="E201" s="20"/>
      <c r="F201" s="21" t="str">
        <f aca="false">IF(B201="","",IFERROR(INDEX(Fields!$C:$C,MATCH(B201,Fields!$A:$A,0)),""))</f>
        <v/>
      </c>
      <c r="G201" s="18" t="str">
        <f aca="false">IF(A201="","",COUNTIF('Metric to Product'!$A:$A,A201))</f>
        <v/>
      </c>
      <c r="H201" s="20"/>
      <c r="I201" s="20"/>
      <c r="J201" s="20"/>
      <c r="K201" s="20"/>
    </row>
    <row r="202" customFormat="false" ht="15" hidden="false" customHeight="false" outlineLevel="0" collapsed="false">
      <c r="A202" s="18" t="str">
        <f aca="false">IF(C202="","",IFERROR(INDEX(Metrics!$A:$A,MATCH(C202,Metrics!$C:$C,0)),"Not found"))</f>
        <v/>
      </c>
      <c r="B202" s="18" t="str">
        <f aca="false">IF(D202="","",IFERROR(INDEX(Fields!$A:$A,MATCH(D202,Fields!$B:$B,0)),"Not found"))</f>
        <v/>
      </c>
      <c r="C202" s="20"/>
      <c r="D202" s="20"/>
      <c r="E202" s="20"/>
      <c r="F202" s="21" t="str">
        <f aca="false">IF(B202="","",IFERROR(INDEX(Fields!$C:$C,MATCH(B202,Fields!$A:$A,0)),""))</f>
        <v/>
      </c>
      <c r="G202" s="18" t="str">
        <f aca="false">IF(A202="","",COUNTIF('Metric to Product'!$A:$A,A202))</f>
        <v/>
      </c>
      <c r="H202" s="20"/>
      <c r="I202" s="20"/>
      <c r="J202" s="20"/>
      <c r="K202" s="20"/>
    </row>
    <row r="203" customFormat="false" ht="15" hidden="false" customHeight="false" outlineLevel="0" collapsed="false">
      <c r="A203" s="18" t="str">
        <f aca="false">IF(C203="","",IFERROR(INDEX(Metrics!$A:$A,MATCH(C203,Metrics!$C:$C,0)),"Not found"))</f>
        <v/>
      </c>
      <c r="B203" s="18" t="str">
        <f aca="false">IF(D203="","",IFERROR(INDEX(Fields!$A:$A,MATCH(D203,Fields!$B:$B,0)),"Not found"))</f>
        <v/>
      </c>
      <c r="C203" s="20"/>
      <c r="D203" s="20"/>
      <c r="E203" s="20"/>
      <c r="F203" s="21" t="str">
        <f aca="false">IF(B203="","",IFERROR(INDEX(Fields!$C:$C,MATCH(B203,Fields!$A:$A,0)),""))</f>
        <v/>
      </c>
      <c r="G203" s="18" t="str">
        <f aca="false">IF(A203="","",COUNTIF('Metric to Product'!$A:$A,A203))</f>
        <v/>
      </c>
      <c r="H203" s="20"/>
      <c r="I203" s="20"/>
      <c r="J203" s="20"/>
      <c r="K203" s="20"/>
    </row>
    <row r="204" customFormat="false" ht="15" hidden="false" customHeight="false" outlineLevel="0" collapsed="false">
      <c r="A204" s="18" t="str">
        <f aca="false">IF(C204="","",IFERROR(INDEX(Metrics!$A:$A,MATCH(C204,Metrics!$C:$C,0)),"Not found"))</f>
        <v/>
      </c>
      <c r="B204" s="18" t="str">
        <f aca="false">IF(D204="","",IFERROR(INDEX(Fields!$A:$A,MATCH(D204,Fields!$B:$B,0)),"Not found"))</f>
        <v/>
      </c>
      <c r="C204" s="20"/>
      <c r="D204" s="20"/>
      <c r="E204" s="20"/>
      <c r="F204" s="21" t="str">
        <f aca="false">IF(B204="","",IFERROR(INDEX(Fields!$C:$C,MATCH(B204,Fields!$A:$A,0)),""))</f>
        <v/>
      </c>
      <c r="G204" s="18" t="str">
        <f aca="false">IF(A204="","",COUNTIF('Metric to Product'!$A:$A,A204))</f>
        <v/>
      </c>
      <c r="H204" s="20"/>
      <c r="I204" s="20"/>
      <c r="J204" s="20"/>
      <c r="K204" s="20"/>
    </row>
    <row r="205" customFormat="false" ht="15" hidden="false" customHeight="false" outlineLevel="0" collapsed="false">
      <c r="A205" s="18" t="str">
        <f aca="false">IF(C205="","",IFERROR(INDEX(Metrics!$A:$A,MATCH(C205,Metrics!$C:$C,0)),"Not found"))</f>
        <v/>
      </c>
      <c r="B205" s="18" t="str">
        <f aca="false">IF(D205="","",IFERROR(INDEX(Fields!$A:$A,MATCH(D205,Fields!$B:$B,0)),"Not found"))</f>
        <v/>
      </c>
      <c r="C205" s="20"/>
      <c r="D205" s="20"/>
      <c r="E205" s="20"/>
      <c r="F205" s="21" t="str">
        <f aca="false">IF(B205="","",IFERROR(INDEX(Fields!$C:$C,MATCH(B205,Fields!$A:$A,0)),""))</f>
        <v/>
      </c>
      <c r="G205" s="18" t="str">
        <f aca="false">IF(A205="","",COUNTIF('Metric to Product'!$A:$A,A205))</f>
        <v/>
      </c>
      <c r="H205" s="20"/>
      <c r="I205" s="20"/>
      <c r="J205" s="20"/>
      <c r="K205" s="20"/>
    </row>
    <row r="206" customFormat="false" ht="15" hidden="false" customHeight="false" outlineLevel="0" collapsed="false">
      <c r="A206" s="18" t="str">
        <f aca="false">IF(C206="","",IFERROR(INDEX(Metrics!$A:$A,MATCH(C206,Metrics!$C:$C,0)),"Not found"))</f>
        <v/>
      </c>
      <c r="B206" s="18" t="str">
        <f aca="false">IF(D206="","",IFERROR(INDEX(Fields!$A:$A,MATCH(D206,Fields!$B:$B,0)),"Not found"))</f>
        <v/>
      </c>
      <c r="C206" s="20"/>
      <c r="D206" s="20"/>
      <c r="E206" s="20"/>
      <c r="F206" s="21" t="str">
        <f aca="false">IF(B206="","",IFERROR(INDEX(Fields!$C:$C,MATCH(B206,Fields!$A:$A,0)),""))</f>
        <v/>
      </c>
      <c r="G206" s="18" t="str">
        <f aca="false">IF(A206="","",COUNTIF('Metric to Product'!$A:$A,A206))</f>
        <v/>
      </c>
      <c r="H206" s="20"/>
      <c r="I206" s="20"/>
      <c r="J206" s="20"/>
      <c r="K206" s="20"/>
    </row>
    <row r="207" customFormat="false" ht="15" hidden="false" customHeight="false" outlineLevel="0" collapsed="false">
      <c r="A207" s="18" t="str">
        <f aca="false">IF(C207="","",IFERROR(INDEX(Metrics!$A:$A,MATCH(C207,Metrics!$C:$C,0)),"Not found"))</f>
        <v/>
      </c>
      <c r="B207" s="18" t="str">
        <f aca="false">IF(D207="","",IFERROR(INDEX(Fields!$A:$A,MATCH(D207,Fields!$B:$B,0)),"Not found"))</f>
        <v/>
      </c>
      <c r="C207" s="20"/>
      <c r="D207" s="20"/>
      <c r="E207" s="20"/>
      <c r="F207" s="21" t="str">
        <f aca="false">IF(B207="","",IFERROR(INDEX(Fields!$C:$C,MATCH(B207,Fields!$A:$A,0)),""))</f>
        <v/>
      </c>
      <c r="G207" s="18" t="str">
        <f aca="false">IF(A207="","",COUNTIF('Metric to Product'!$A:$A,A207))</f>
        <v/>
      </c>
      <c r="H207" s="20"/>
      <c r="I207" s="20"/>
      <c r="J207" s="20"/>
      <c r="K207" s="20"/>
    </row>
    <row r="208" customFormat="false" ht="15" hidden="false" customHeight="false" outlineLevel="0" collapsed="false">
      <c r="A208" s="18" t="str">
        <f aca="false">IF(C208="","",IFERROR(INDEX(Metrics!$A:$A,MATCH(C208,Metrics!$C:$C,0)),"Not found"))</f>
        <v/>
      </c>
      <c r="B208" s="18" t="str">
        <f aca="false">IF(D208="","",IFERROR(INDEX(Fields!$A:$A,MATCH(D208,Fields!$B:$B,0)),"Not found"))</f>
        <v/>
      </c>
      <c r="C208" s="20"/>
      <c r="D208" s="20"/>
      <c r="E208" s="20"/>
      <c r="F208" s="21" t="str">
        <f aca="false">IF(B208="","",IFERROR(INDEX(Fields!$C:$C,MATCH(B208,Fields!$A:$A,0)),""))</f>
        <v/>
      </c>
      <c r="G208" s="18" t="str">
        <f aca="false">IF(A208="","",COUNTIF('Metric to Product'!$A:$A,A208))</f>
        <v/>
      </c>
      <c r="H208" s="20"/>
      <c r="I208" s="20"/>
      <c r="J208" s="20"/>
      <c r="K208" s="20"/>
    </row>
    <row r="209" customFormat="false" ht="15" hidden="false" customHeight="false" outlineLevel="0" collapsed="false">
      <c r="A209" s="18" t="str">
        <f aca="false">IF(C209="","",IFERROR(INDEX(Metrics!$A:$A,MATCH(C209,Metrics!$C:$C,0)),"Not found"))</f>
        <v/>
      </c>
      <c r="B209" s="18" t="str">
        <f aca="false">IF(D209="","",IFERROR(INDEX(Fields!$A:$A,MATCH(D209,Fields!$B:$B,0)),"Not found"))</f>
        <v/>
      </c>
      <c r="C209" s="20"/>
      <c r="D209" s="20"/>
      <c r="E209" s="20"/>
      <c r="F209" s="21" t="str">
        <f aca="false">IF(B209="","",IFERROR(INDEX(Fields!$C:$C,MATCH(B209,Fields!$A:$A,0)),""))</f>
        <v/>
      </c>
      <c r="G209" s="18" t="str">
        <f aca="false">IF(A209="","",COUNTIF('Metric to Product'!$A:$A,A209))</f>
        <v/>
      </c>
      <c r="H209" s="20"/>
      <c r="I209" s="20"/>
      <c r="J209" s="20"/>
      <c r="K209" s="20"/>
    </row>
    <row r="210" customFormat="false" ht="15" hidden="false" customHeight="false" outlineLevel="0" collapsed="false">
      <c r="A210" s="18" t="str">
        <f aca="false">IF(C210="","",IFERROR(INDEX(Metrics!$A:$A,MATCH(C210,Metrics!$C:$C,0)),"Not found"))</f>
        <v/>
      </c>
      <c r="B210" s="18" t="str">
        <f aca="false">IF(D210="","",IFERROR(INDEX(Fields!$A:$A,MATCH(D210,Fields!$B:$B,0)),"Not found"))</f>
        <v/>
      </c>
      <c r="C210" s="20"/>
      <c r="D210" s="20"/>
      <c r="E210" s="20"/>
      <c r="F210" s="21" t="str">
        <f aca="false">IF(B210="","",IFERROR(INDEX(Fields!$C:$C,MATCH(B210,Fields!$A:$A,0)),""))</f>
        <v/>
      </c>
      <c r="G210" s="18" t="str">
        <f aca="false">IF(A210="","",COUNTIF('Metric to Product'!$A:$A,A210))</f>
        <v/>
      </c>
      <c r="H210" s="20"/>
      <c r="I210" s="20"/>
      <c r="J210" s="20"/>
      <c r="K210" s="20"/>
    </row>
    <row r="211" customFormat="false" ht="15" hidden="false" customHeight="false" outlineLevel="0" collapsed="false">
      <c r="A211" s="18" t="str">
        <f aca="false">IF(C211="","",IFERROR(INDEX(Metrics!$A:$A,MATCH(C211,Metrics!$C:$C,0)),"Not found"))</f>
        <v/>
      </c>
      <c r="B211" s="18" t="str">
        <f aca="false">IF(D211="","",IFERROR(INDEX(Fields!$A:$A,MATCH(D211,Fields!$B:$B,0)),"Not found"))</f>
        <v/>
      </c>
      <c r="C211" s="20"/>
      <c r="D211" s="20"/>
      <c r="E211" s="20"/>
      <c r="F211" s="21" t="str">
        <f aca="false">IF(B211="","",IFERROR(INDEX(Fields!$C:$C,MATCH(B211,Fields!$A:$A,0)),""))</f>
        <v/>
      </c>
      <c r="G211" s="18" t="str">
        <f aca="false">IF(A211="","",COUNTIF('Metric to Product'!$A:$A,A211))</f>
        <v/>
      </c>
      <c r="H211" s="20"/>
      <c r="I211" s="20"/>
      <c r="J211" s="20"/>
      <c r="K211" s="20"/>
    </row>
    <row r="212" customFormat="false" ht="15" hidden="false" customHeight="false" outlineLevel="0" collapsed="false">
      <c r="A212" s="18" t="str">
        <f aca="false">IF(C212="","",IFERROR(INDEX(Metrics!$A:$A,MATCH(C212,Metrics!$C:$C,0)),"Not found"))</f>
        <v/>
      </c>
      <c r="B212" s="18" t="str">
        <f aca="false">IF(D212="","",IFERROR(INDEX(Fields!$A:$A,MATCH(D212,Fields!$B:$B,0)),"Not found"))</f>
        <v/>
      </c>
      <c r="C212" s="20"/>
      <c r="D212" s="20"/>
      <c r="E212" s="20"/>
      <c r="F212" s="21" t="str">
        <f aca="false">IF(B212="","",IFERROR(INDEX(Fields!$C:$C,MATCH(B212,Fields!$A:$A,0)),""))</f>
        <v/>
      </c>
      <c r="G212" s="18" t="str">
        <f aca="false">IF(A212="","",COUNTIF('Metric to Product'!$A:$A,A212))</f>
        <v/>
      </c>
      <c r="H212" s="20"/>
      <c r="I212" s="20"/>
      <c r="J212" s="20"/>
      <c r="K212" s="20"/>
    </row>
    <row r="213" customFormat="false" ht="15" hidden="false" customHeight="false" outlineLevel="0" collapsed="false">
      <c r="A213" s="18" t="str">
        <f aca="false">IF(C213="","",IFERROR(INDEX(Metrics!$A:$A,MATCH(C213,Metrics!$C:$C,0)),"Not found"))</f>
        <v/>
      </c>
      <c r="B213" s="18" t="str">
        <f aca="false">IF(D213="","",IFERROR(INDEX(Fields!$A:$A,MATCH(D213,Fields!$B:$B,0)),"Not found"))</f>
        <v/>
      </c>
      <c r="C213" s="20"/>
      <c r="D213" s="20"/>
      <c r="E213" s="20"/>
      <c r="F213" s="21" t="str">
        <f aca="false">IF(B213="","",IFERROR(INDEX(Fields!$C:$C,MATCH(B213,Fields!$A:$A,0)),""))</f>
        <v/>
      </c>
      <c r="G213" s="18" t="str">
        <f aca="false">IF(A213="","",COUNTIF('Metric to Product'!$A:$A,A213))</f>
        <v/>
      </c>
      <c r="H213" s="20"/>
      <c r="I213" s="20"/>
      <c r="J213" s="20"/>
      <c r="K213" s="20"/>
    </row>
    <row r="214" customFormat="false" ht="15" hidden="false" customHeight="false" outlineLevel="0" collapsed="false">
      <c r="A214" s="18" t="str">
        <f aca="false">IF(C214="","",IFERROR(INDEX(Metrics!$A:$A,MATCH(C214,Metrics!$C:$C,0)),"Not found"))</f>
        <v/>
      </c>
      <c r="B214" s="18" t="str">
        <f aca="false">IF(D214="","",IFERROR(INDEX(Fields!$A:$A,MATCH(D214,Fields!$B:$B,0)),"Not found"))</f>
        <v/>
      </c>
      <c r="C214" s="20"/>
      <c r="D214" s="20"/>
      <c r="E214" s="20"/>
      <c r="F214" s="21" t="str">
        <f aca="false">IF(B214="","",IFERROR(INDEX(Fields!$C:$C,MATCH(B214,Fields!$A:$A,0)),""))</f>
        <v/>
      </c>
      <c r="G214" s="18" t="str">
        <f aca="false">IF(A214="","",COUNTIF('Metric to Product'!$A:$A,A214))</f>
        <v/>
      </c>
      <c r="H214" s="20"/>
      <c r="I214" s="20"/>
      <c r="J214" s="20"/>
      <c r="K214" s="20"/>
    </row>
    <row r="215" customFormat="false" ht="15" hidden="false" customHeight="false" outlineLevel="0" collapsed="false">
      <c r="A215" s="18" t="str">
        <f aca="false">IF(C215="","",IFERROR(INDEX(Metrics!$A:$A,MATCH(C215,Metrics!$C:$C,0)),"Not found"))</f>
        <v/>
      </c>
      <c r="B215" s="18" t="str">
        <f aca="false">IF(D215="","",IFERROR(INDEX(Fields!$A:$A,MATCH(D215,Fields!$B:$B,0)),"Not found"))</f>
        <v/>
      </c>
      <c r="C215" s="20"/>
      <c r="D215" s="20"/>
      <c r="E215" s="20"/>
      <c r="F215" s="21" t="str">
        <f aca="false">IF(B215="","",IFERROR(INDEX(Fields!$C:$C,MATCH(B215,Fields!$A:$A,0)),""))</f>
        <v/>
      </c>
      <c r="G215" s="18" t="str">
        <f aca="false">IF(A215="","",COUNTIF('Metric to Product'!$A:$A,A215))</f>
        <v/>
      </c>
      <c r="H215" s="20"/>
      <c r="I215" s="20"/>
      <c r="J215" s="20"/>
      <c r="K215" s="20"/>
    </row>
    <row r="216" customFormat="false" ht="15" hidden="false" customHeight="false" outlineLevel="0" collapsed="false">
      <c r="A216" s="18" t="str">
        <f aca="false">IF(C216="","",IFERROR(INDEX(Metrics!$A:$A,MATCH(C216,Metrics!$C:$C,0)),"Not found"))</f>
        <v/>
      </c>
      <c r="B216" s="18" t="str">
        <f aca="false">IF(D216="","",IFERROR(INDEX(Fields!$A:$A,MATCH(D216,Fields!$B:$B,0)),"Not found"))</f>
        <v/>
      </c>
      <c r="C216" s="20"/>
      <c r="D216" s="20"/>
      <c r="E216" s="20"/>
      <c r="F216" s="21" t="str">
        <f aca="false">IF(B216="","",IFERROR(INDEX(Fields!$C:$C,MATCH(B216,Fields!$A:$A,0)),""))</f>
        <v/>
      </c>
      <c r="G216" s="18" t="str">
        <f aca="false">IF(A216="","",COUNTIF('Metric to Product'!$A:$A,A216))</f>
        <v/>
      </c>
      <c r="H216" s="20"/>
      <c r="I216" s="20"/>
      <c r="J216" s="20"/>
      <c r="K216" s="20"/>
    </row>
    <row r="217" customFormat="false" ht="15" hidden="false" customHeight="false" outlineLevel="0" collapsed="false">
      <c r="A217" s="18" t="str">
        <f aca="false">IF(C217="","",IFERROR(INDEX(Metrics!$A:$A,MATCH(C217,Metrics!$C:$C,0)),"Not found"))</f>
        <v/>
      </c>
      <c r="B217" s="18" t="str">
        <f aca="false">IF(D217="","",IFERROR(INDEX(Fields!$A:$A,MATCH(D217,Fields!$B:$B,0)),"Not found"))</f>
        <v/>
      </c>
      <c r="C217" s="20"/>
      <c r="D217" s="20"/>
      <c r="E217" s="20"/>
      <c r="F217" s="21" t="str">
        <f aca="false">IF(B217="","",IFERROR(INDEX(Fields!$C:$C,MATCH(B217,Fields!$A:$A,0)),""))</f>
        <v/>
      </c>
      <c r="G217" s="18" t="str">
        <f aca="false">IF(A217="","",COUNTIF('Metric to Product'!$A:$A,A217))</f>
        <v/>
      </c>
      <c r="H217" s="20"/>
      <c r="I217" s="20"/>
      <c r="J217" s="20"/>
      <c r="K217" s="20"/>
    </row>
    <row r="218" customFormat="false" ht="15" hidden="false" customHeight="false" outlineLevel="0" collapsed="false">
      <c r="A218" s="18" t="str">
        <f aca="false">IF(C218="","",IFERROR(INDEX(Metrics!$A:$A,MATCH(C218,Metrics!$C:$C,0)),"Not found"))</f>
        <v/>
      </c>
      <c r="B218" s="18" t="str">
        <f aca="false">IF(D218="","",IFERROR(INDEX(Fields!$A:$A,MATCH(D218,Fields!$B:$B,0)),"Not found"))</f>
        <v/>
      </c>
      <c r="C218" s="20"/>
      <c r="D218" s="20"/>
      <c r="E218" s="20"/>
      <c r="F218" s="21" t="str">
        <f aca="false">IF(B218="","",IFERROR(INDEX(Fields!$C:$C,MATCH(B218,Fields!$A:$A,0)),""))</f>
        <v/>
      </c>
      <c r="G218" s="18" t="str">
        <f aca="false">IF(A218="","",COUNTIF('Metric to Product'!$A:$A,A218))</f>
        <v/>
      </c>
      <c r="H218" s="20"/>
      <c r="I218" s="20"/>
      <c r="J218" s="20"/>
      <c r="K218" s="20"/>
    </row>
    <row r="219" customFormat="false" ht="15" hidden="false" customHeight="false" outlineLevel="0" collapsed="false">
      <c r="A219" s="18" t="str">
        <f aca="false">IF(C219="","",IFERROR(INDEX(Metrics!$A:$A,MATCH(C219,Metrics!$C:$C,0)),"Not found"))</f>
        <v/>
      </c>
      <c r="B219" s="18" t="str">
        <f aca="false">IF(D219="","",IFERROR(INDEX(Fields!$A:$A,MATCH(D219,Fields!$B:$B,0)),"Not found"))</f>
        <v/>
      </c>
      <c r="C219" s="20"/>
      <c r="D219" s="20"/>
      <c r="E219" s="20"/>
      <c r="F219" s="21" t="str">
        <f aca="false">IF(B219="","",IFERROR(INDEX(Fields!$C:$C,MATCH(B219,Fields!$A:$A,0)),""))</f>
        <v/>
      </c>
      <c r="G219" s="18" t="str">
        <f aca="false">IF(A219="","",COUNTIF('Metric to Product'!$A:$A,A219))</f>
        <v/>
      </c>
      <c r="H219" s="20"/>
      <c r="I219" s="20"/>
      <c r="J219" s="20"/>
      <c r="K219" s="20"/>
    </row>
    <row r="220" customFormat="false" ht="15" hidden="false" customHeight="false" outlineLevel="0" collapsed="false">
      <c r="A220" s="18" t="str">
        <f aca="false">IF(C220="","",IFERROR(INDEX(Metrics!$A:$A,MATCH(C220,Metrics!$C:$C,0)),"Not found"))</f>
        <v/>
      </c>
      <c r="B220" s="18" t="str">
        <f aca="false">IF(D220="","",IFERROR(INDEX(Fields!$A:$A,MATCH(D220,Fields!$B:$B,0)),"Not found"))</f>
        <v/>
      </c>
      <c r="C220" s="20"/>
      <c r="D220" s="20"/>
      <c r="E220" s="20"/>
      <c r="F220" s="21" t="str">
        <f aca="false">IF(B220="","",IFERROR(INDEX(Fields!$C:$C,MATCH(B220,Fields!$A:$A,0)),""))</f>
        <v/>
      </c>
      <c r="G220" s="18" t="str">
        <f aca="false">IF(A220="","",COUNTIF('Metric to Product'!$A:$A,A220))</f>
        <v/>
      </c>
      <c r="H220" s="20"/>
      <c r="I220" s="20"/>
      <c r="J220" s="20"/>
      <c r="K220" s="20"/>
    </row>
    <row r="221" customFormat="false" ht="15" hidden="false" customHeight="false" outlineLevel="0" collapsed="false">
      <c r="A221" s="18" t="str">
        <f aca="false">IF(C221="","",IFERROR(INDEX(Metrics!$A:$A,MATCH(C221,Metrics!$C:$C,0)),"Not found"))</f>
        <v/>
      </c>
      <c r="B221" s="18" t="str">
        <f aca="false">IF(D221="","",IFERROR(INDEX(Fields!$A:$A,MATCH(D221,Fields!$B:$B,0)),"Not found"))</f>
        <v/>
      </c>
      <c r="C221" s="20"/>
      <c r="D221" s="20"/>
      <c r="E221" s="20"/>
      <c r="F221" s="21" t="str">
        <f aca="false">IF(B221="","",IFERROR(INDEX(Fields!$C:$C,MATCH(B221,Fields!$A:$A,0)),""))</f>
        <v/>
      </c>
      <c r="G221" s="18" t="str">
        <f aca="false">IF(A221="","",COUNTIF('Metric to Product'!$A:$A,A221))</f>
        <v/>
      </c>
      <c r="H221" s="20"/>
      <c r="I221" s="20"/>
      <c r="J221" s="20"/>
      <c r="K221" s="20"/>
    </row>
    <row r="222" customFormat="false" ht="15" hidden="false" customHeight="false" outlineLevel="0" collapsed="false">
      <c r="A222" s="18" t="str">
        <f aca="false">IF(C222="","",IFERROR(INDEX(Metrics!$A:$A,MATCH(C222,Metrics!$C:$C,0)),"Not found"))</f>
        <v/>
      </c>
      <c r="B222" s="18" t="str">
        <f aca="false">IF(D222="","",IFERROR(INDEX(Fields!$A:$A,MATCH(D222,Fields!$B:$B,0)),"Not found"))</f>
        <v/>
      </c>
      <c r="C222" s="20"/>
      <c r="D222" s="20"/>
      <c r="E222" s="20"/>
      <c r="F222" s="21" t="str">
        <f aca="false">IF(B222="","",IFERROR(INDEX(Fields!$C:$C,MATCH(B222,Fields!$A:$A,0)),""))</f>
        <v/>
      </c>
      <c r="G222" s="18" t="str">
        <f aca="false">IF(A222="","",COUNTIF('Metric to Product'!$A:$A,A222))</f>
        <v/>
      </c>
      <c r="H222" s="20"/>
      <c r="I222" s="20"/>
      <c r="J222" s="20"/>
      <c r="K222" s="20"/>
    </row>
    <row r="223" customFormat="false" ht="15" hidden="false" customHeight="false" outlineLevel="0" collapsed="false">
      <c r="A223" s="18" t="str">
        <f aca="false">IF(C223="","",IFERROR(INDEX(Metrics!$A:$A,MATCH(C223,Metrics!$C:$C,0)),"Not found"))</f>
        <v/>
      </c>
      <c r="B223" s="18" t="str">
        <f aca="false">IF(D223="","",IFERROR(INDEX(Fields!$A:$A,MATCH(D223,Fields!$B:$B,0)),"Not found"))</f>
        <v/>
      </c>
      <c r="C223" s="20"/>
      <c r="D223" s="20"/>
      <c r="E223" s="20"/>
      <c r="F223" s="21" t="str">
        <f aca="false">IF(B223="","",IFERROR(INDEX(Fields!$C:$C,MATCH(B223,Fields!$A:$A,0)),""))</f>
        <v/>
      </c>
      <c r="G223" s="18" t="str">
        <f aca="false">IF(A223="","",COUNTIF('Metric to Product'!$A:$A,A223))</f>
        <v/>
      </c>
      <c r="H223" s="20"/>
      <c r="I223" s="20"/>
      <c r="J223" s="20"/>
      <c r="K223" s="20"/>
    </row>
    <row r="224" customFormat="false" ht="15" hidden="false" customHeight="false" outlineLevel="0" collapsed="false">
      <c r="A224" s="18" t="str">
        <f aca="false">IF(C224="","",IFERROR(INDEX(Metrics!$A:$A,MATCH(C224,Metrics!$C:$C,0)),"Not found"))</f>
        <v/>
      </c>
      <c r="B224" s="18" t="str">
        <f aca="false">IF(D224="","",IFERROR(INDEX(Fields!$A:$A,MATCH(D224,Fields!$B:$B,0)),"Not found"))</f>
        <v/>
      </c>
      <c r="C224" s="20"/>
      <c r="D224" s="20"/>
      <c r="E224" s="20"/>
      <c r="F224" s="21" t="str">
        <f aca="false">IF(B224="","",IFERROR(INDEX(Fields!$C:$C,MATCH(B224,Fields!$A:$A,0)),""))</f>
        <v/>
      </c>
      <c r="G224" s="18" t="str">
        <f aca="false">IF(A224="","",COUNTIF('Metric to Product'!$A:$A,A224))</f>
        <v/>
      </c>
      <c r="H224" s="20"/>
      <c r="I224" s="20"/>
      <c r="J224" s="20"/>
      <c r="K224" s="20"/>
    </row>
    <row r="225" customFormat="false" ht="15" hidden="false" customHeight="false" outlineLevel="0" collapsed="false">
      <c r="A225" s="18" t="str">
        <f aca="false">IF(C225="","",IFERROR(INDEX(Metrics!$A:$A,MATCH(C225,Metrics!$C:$C,0)),"Not found"))</f>
        <v/>
      </c>
      <c r="B225" s="18" t="str">
        <f aca="false">IF(D225="","",IFERROR(INDEX(Fields!$A:$A,MATCH(D225,Fields!$B:$B,0)),"Not found"))</f>
        <v/>
      </c>
      <c r="C225" s="20"/>
      <c r="D225" s="20"/>
      <c r="E225" s="20"/>
      <c r="F225" s="21" t="str">
        <f aca="false">IF(B225="","",IFERROR(INDEX(Fields!$C:$C,MATCH(B225,Fields!$A:$A,0)),""))</f>
        <v/>
      </c>
      <c r="G225" s="18" t="str">
        <f aca="false">IF(A225="","",COUNTIF('Metric to Product'!$A:$A,A225))</f>
        <v/>
      </c>
      <c r="H225" s="20"/>
      <c r="I225" s="20"/>
      <c r="J225" s="20"/>
      <c r="K225" s="20"/>
    </row>
    <row r="226" customFormat="false" ht="15" hidden="false" customHeight="false" outlineLevel="0" collapsed="false">
      <c r="A226" s="18" t="str">
        <f aca="false">IF(C226="","",IFERROR(INDEX(Metrics!$A:$A,MATCH(C226,Metrics!$C:$C,0)),"Not found"))</f>
        <v/>
      </c>
      <c r="B226" s="18" t="str">
        <f aca="false">IF(D226="","",IFERROR(INDEX(Fields!$A:$A,MATCH(D226,Fields!$B:$B,0)),"Not found"))</f>
        <v/>
      </c>
      <c r="C226" s="20"/>
      <c r="D226" s="20"/>
      <c r="E226" s="20"/>
      <c r="F226" s="21" t="str">
        <f aca="false">IF(B226="","",IFERROR(INDEX(Fields!$C:$C,MATCH(B226,Fields!$A:$A,0)),""))</f>
        <v/>
      </c>
      <c r="G226" s="18" t="str">
        <f aca="false">IF(A226="","",COUNTIF('Metric to Product'!$A:$A,A226))</f>
        <v/>
      </c>
      <c r="H226" s="20"/>
      <c r="I226" s="20"/>
      <c r="J226" s="20"/>
      <c r="K226" s="20"/>
    </row>
    <row r="227" customFormat="false" ht="15" hidden="false" customHeight="false" outlineLevel="0" collapsed="false">
      <c r="A227" s="18" t="str">
        <f aca="false">IF(C227="","",IFERROR(INDEX(Metrics!$A:$A,MATCH(C227,Metrics!$C:$C,0)),"Not found"))</f>
        <v/>
      </c>
      <c r="B227" s="18" t="str">
        <f aca="false">IF(D227="","",IFERROR(INDEX(Fields!$A:$A,MATCH(D227,Fields!$B:$B,0)),"Not found"))</f>
        <v/>
      </c>
      <c r="C227" s="20"/>
      <c r="D227" s="20"/>
      <c r="E227" s="20"/>
      <c r="F227" s="21" t="str">
        <f aca="false">IF(B227="","",IFERROR(INDEX(Fields!$C:$C,MATCH(B227,Fields!$A:$A,0)),""))</f>
        <v/>
      </c>
      <c r="G227" s="18" t="str">
        <f aca="false">IF(A227="","",COUNTIF('Metric to Product'!$A:$A,A227))</f>
        <v/>
      </c>
      <c r="H227" s="20"/>
      <c r="I227" s="20"/>
      <c r="J227" s="20"/>
      <c r="K227" s="20"/>
    </row>
    <row r="228" customFormat="false" ht="15" hidden="false" customHeight="false" outlineLevel="0" collapsed="false">
      <c r="A228" s="18" t="str">
        <f aca="false">IF(C228="","",IFERROR(INDEX(Metrics!$A:$A,MATCH(C228,Metrics!$C:$C,0)),"Not found"))</f>
        <v/>
      </c>
      <c r="B228" s="18" t="str">
        <f aca="false">IF(D228="","",IFERROR(INDEX(Fields!$A:$A,MATCH(D228,Fields!$B:$B,0)),"Not found"))</f>
        <v/>
      </c>
      <c r="C228" s="20"/>
      <c r="D228" s="20"/>
      <c r="E228" s="20"/>
      <c r="F228" s="21" t="str">
        <f aca="false">IF(B228="","",IFERROR(INDEX(Fields!$C:$C,MATCH(B228,Fields!$A:$A,0)),""))</f>
        <v/>
      </c>
      <c r="G228" s="18" t="str">
        <f aca="false">IF(A228="","",COUNTIF('Metric to Product'!$A:$A,A228))</f>
        <v/>
      </c>
      <c r="H228" s="20"/>
      <c r="I228" s="20"/>
      <c r="J228" s="20"/>
      <c r="K228" s="20"/>
    </row>
    <row r="229" customFormat="false" ht="15" hidden="false" customHeight="false" outlineLevel="0" collapsed="false">
      <c r="A229" s="18" t="str">
        <f aca="false">IF(C229="","",IFERROR(INDEX(Metrics!$A:$A,MATCH(C229,Metrics!$C:$C,0)),"Not found"))</f>
        <v/>
      </c>
      <c r="B229" s="18" t="str">
        <f aca="false">IF(D229="","",IFERROR(INDEX(Fields!$A:$A,MATCH(D229,Fields!$B:$B,0)),"Not found"))</f>
        <v/>
      </c>
      <c r="C229" s="20"/>
      <c r="D229" s="20"/>
      <c r="E229" s="20"/>
      <c r="F229" s="21" t="str">
        <f aca="false">IF(B229="","",IFERROR(INDEX(Fields!$C:$C,MATCH(B229,Fields!$A:$A,0)),""))</f>
        <v/>
      </c>
      <c r="G229" s="18" t="str">
        <f aca="false">IF(A229="","",COUNTIF('Metric to Product'!$A:$A,A229))</f>
        <v/>
      </c>
      <c r="H229" s="20"/>
      <c r="I229" s="20"/>
      <c r="J229" s="20"/>
      <c r="K229" s="20"/>
    </row>
    <row r="230" customFormat="false" ht="15" hidden="false" customHeight="false" outlineLevel="0" collapsed="false">
      <c r="A230" s="18" t="str">
        <f aca="false">IF(C230="","",IFERROR(INDEX(Metrics!$A:$A,MATCH(C230,Metrics!$C:$C,0)),"Not found"))</f>
        <v/>
      </c>
      <c r="B230" s="18" t="str">
        <f aca="false">IF(D230="","",IFERROR(INDEX(Fields!$A:$A,MATCH(D230,Fields!$B:$B,0)),"Not found"))</f>
        <v/>
      </c>
      <c r="C230" s="20"/>
      <c r="D230" s="20"/>
      <c r="E230" s="20"/>
      <c r="F230" s="21" t="str">
        <f aca="false">IF(B230="","",IFERROR(INDEX(Fields!$C:$C,MATCH(B230,Fields!$A:$A,0)),""))</f>
        <v/>
      </c>
      <c r="G230" s="18" t="str">
        <f aca="false">IF(A230="","",COUNTIF('Metric to Product'!$A:$A,A230))</f>
        <v/>
      </c>
      <c r="H230" s="20"/>
      <c r="I230" s="20"/>
      <c r="J230" s="20"/>
      <c r="K230" s="20"/>
    </row>
    <row r="231" customFormat="false" ht="15" hidden="false" customHeight="false" outlineLevel="0" collapsed="false">
      <c r="A231" s="18" t="str">
        <f aca="false">IF(C231="","",IFERROR(INDEX(Metrics!$A:$A,MATCH(C231,Metrics!$C:$C,0)),"Not found"))</f>
        <v/>
      </c>
      <c r="B231" s="18" t="str">
        <f aca="false">IF(D231="","",IFERROR(INDEX(Fields!$A:$A,MATCH(D231,Fields!$B:$B,0)),"Not found"))</f>
        <v/>
      </c>
      <c r="C231" s="20"/>
      <c r="D231" s="20"/>
      <c r="E231" s="20"/>
      <c r="F231" s="21" t="str">
        <f aca="false">IF(B231="","",IFERROR(INDEX(Fields!$C:$C,MATCH(B231,Fields!$A:$A,0)),""))</f>
        <v/>
      </c>
      <c r="G231" s="18" t="str">
        <f aca="false">IF(A231="","",COUNTIF('Metric to Product'!$A:$A,A231))</f>
        <v/>
      </c>
      <c r="H231" s="20"/>
      <c r="I231" s="20"/>
      <c r="J231" s="20"/>
      <c r="K231" s="20"/>
    </row>
    <row r="232" customFormat="false" ht="15" hidden="false" customHeight="false" outlineLevel="0" collapsed="false">
      <c r="A232" s="18" t="str">
        <f aca="false">IF(C232="","",IFERROR(INDEX(Metrics!$A:$A,MATCH(C232,Metrics!$C:$C,0)),"Not found"))</f>
        <v/>
      </c>
      <c r="B232" s="18" t="str">
        <f aca="false">IF(D232="","",IFERROR(INDEX(Fields!$A:$A,MATCH(D232,Fields!$B:$B,0)),"Not found"))</f>
        <v/>
      </c>
      <c r="C232" s="20"/>
      <c r="D232" s="20"/>
      <c r="E232" s="20"/>
      <c r="F232" s="21" t="str">
        <f aca="false">IF(B232="","",IFERROR(INDEX(Fields!$C:$C,MATCH(B232,Fields!$A:$A,0)),""))</f>
        <v/>
      </c>
      <c r="G232" s="18" t="str">
        <f aca="false">IF(A232="","",COUNTIF('Metric to Product'!$A:$A,A232))</f>
        <v/>
      </c>
      <c r="H232" s="20"/>
      <c r="I232" s="20"/>
      <c r="J232" s="20"/>
      <c r="K232" s="20"/>
    </row>
    <row r="233" customFormat="false" ht="15" hidden="false" customHeight="false" outlineLevel="0" collapsed="false">
      <c r="A233" s="18" t="str">
        <f aca="false">IF(C233="","",IFERROR(INDEX(Metrics!$A:$A,MATCH(C233,Metrics!$C:$C,0)),"Not found"))</f>
        <v/>
      </c>
      <c r="B233" s="18" t="str">
        <f aca="false">IF(D233="","",IFERROR(INDEX(Fields!$A:$A,MATCH(D233,Fields!$B:$B,0)),"Not found"))</f>
        <v/>
      </c>
      <c r="C233" s="20"/>
      <c r="D233" s="20"/>
      <c r="E233" s="20"/>
      <c r="F233" s="21" t="str">
        <f aca="false">IF(B233="","",IFERROR(INDEX(Fields!$C:$C,MATCH(B233,Fields!$A:$A,0)),""))</f>
        <v/>
      </c>
      <c r="G233" s="18" t="str">
        <f aca="false">IF(A233="","",COUNTIF('Metric to Product'!$A:$A,A233))</f>
        <v/>
      </c>
      <c r="H233" s="20"/>
      <c r="I233" s="20"/>
      <c r="J233" s="20"/>
      <c r="K233" s="20"/>
    </row>
    <row r="234" customFormat="false" ht="15" hidden="false" customHeight="false" outlineLevel="0" collapsed="false">
      <c r="A234" s="18" t="str">
        <f aca="false">IF(C234="","",IFERROR(INDEX(Metrics!$A:$A,MATCH(C234,Metrics!$C:$C,0)),"Not found"))</f>
        <v/>
      </c>
      <c r="B234" s="18" t="str">
        <f aca="false">IF(D234="","",IFERROR(INDEX(Fields!$A:$A,MATCH(D234,Fields!$B:$B,0)),"Not found"))</f>
        <v/>
      </c>
      <c r="C234" s="20"/>
      <c r="D234" s="20"/>
      <c r="E234" s="20"/>
      <c r="F234" s="21" t="str">
        <f aca="false">IF(B234="","",IFERROR(INDEX(Fields!$C:$C,MATCH(B234,Fields!$A:$A,0)),""))</f>
        <v/>
      </c>
      <c r="G234" s="18" t="str">
        <f aca="false">IF(A234="","",COUNTIF('Metric to Product'!$A:$A,A234))</f>
        <v/>
      </c>
      <c r="H234" s="20"/>
      <c r="I234" s="20"/>
      <c r="J234" s="20"/>
      <c r="K234" s="20"/>
    </row>
    <row r="235" customFormat="false" ht="15" hidden="false" customHeight="false" outlineLevel="0" collapsed="false">
      <c r="A235" s="18" t="str">
        <f aca="false">IF(C235="","",IFERROR(INDEX(Metrics!$A:$A,MATCH(C235,Metrics!$C:$C,0)),"Not found"))</f>
        <v/>
      </c>
      <c r="B235" s="18" t="str">
        <f aca="false">IF(D235="","",IFERROR(INDEX(Fields!$A:$A,MATCH(D235,Fields!$B:$B,0)),"Not found"))</f>
        <v/>
      </c>
      <c r="C235" s="20"/>
      <c r="D235" s="20"/>
      <c r="E235" s="20"/>
      <c r="F235" s="21" t="str">
        <f aca="false">IF(B235="","",IFERROR(INDEX(Fields!$C:$C,MATCH(B235,Fields!$A:$A,0)),""))</f>
        <v/>
      </c>
      <c r="G235" s="18" t="str">
        <f aca="false">IF(A235="","",COUNTIF('Metric to Product'!$A:$A,A235))</f>
        <v/>
      </c>
      <c r="H235" s="20"/>
      <c r="I235" s="20"/>
      <c r="J235" s="20"/>
      <c r="K235" s="20"/>
    </row>
    <row r="236" customFormat="false" ht="15" hidden="false" customHeight="false" outlineLevel="0" collapsed="false">
      <c r="A236" s="18" t="str">
        <f aca="false">IF(C236="","",IFERROR(INDEX(Metrics!$A:$A,MATCH(C236,Metrics!$C:$C,0)),"Not found"))</f>
        <v/>
      </c>
      <c r="B236" s="18" t="str">
        <f aca="false">IF(D236="","",IFERROR(INDEX(Fields!$A:$A,MATCH(D236,Fields!$B:$B,0)),"Not found"))</f>
        <v/>
      </c>
      <c r="C236" s="20"/>
      <c r="D236" s="20"/>
      <c r="E236" s="20"/>
      <c r="F236" s="21" t="str">
        <f aca="false">IF(B236="","",IFERROR(INDEX(Fields!$C:$C,MATCH(B236,Fields!$A:$A,0)),""))</f>
        <v/>
      </c>
      <c r="G236" s="18" t="str">
        <f aca="false">IF(A236="","",COUNTIF('Metric to Product'!$A:$A,A236))</f>
        <v/>
      </c>
      <c r="H236" s="20"/>
      <c r="I236" s="20"/>
      <c r="J236" s="20"/>
      <c r="K236" s="20"/>
    </row>
    <row r="237" customFormat="false" ht="15" hidden="false" customHeight="false" outlineLevel="0" collapsed="false">
      <c r="A237" s="18" t="str">
        <f aca="false">IF(C237="","",IFERROR(INDEX(Metrics!$A:$A,MATCH(C237,Metrics!$C:$C,0)),"Not found"))</f>
        <v/>
      </c>
      <c r="B237" s="18" t="str">
        <f aca="false">IF(D237="","",IFERROR(INDEX(Fields!$A:$A,MATCH(D237,Fields!$B:$B,0)),"Not found"))</f>
        <v/>
      </c>
      <c r="C237" s="20"/>
      <c r="D237" s="20"/>
      <c r="E237" s="20"/>
      <c r="F237" s="21" t="str">
        <f aca="false">IF(B237="","",IFERROR(INDEX(Fields!$C:$C,MATCH(B237,Fields!$A:$A,0)),""))</f>
        <v/>
      </c>
      <c r="G237" s="18" t="str">
        <f aca="false">IF(A237="","",COUNTIF('Metric to Product'!$A:$A,A237))</f>
        <v/>
      </c>
      <c r="H237" s="20"/>
      <c r="I237" s="20"/>
      <c r="J237" s="20"/>
      <c r="K237" s="20"/>
    </row>
    <row r="238" customFormat="false" ht="15" hidden="false" customHeight="false" outlineLevel="0" collapsed="false">
      <c r="A238" s="18" t="str">
        <f aca="false">IF(C238="","",IFERROR(INDEX(Metrics!$A:$A,MATCH(C238,Metrics!$C:$C,0)),"Not found"))</f>
        <v/>
      </c>
      <c r="B238" s="18" t="str">
        <f aca="false">IF(D238="","",IFERROR(INDEX(Fields!$A:$A,MATCH(D238,Fields!$B:$B,0)),"Not found"))</f>
        <v/>
      </c>
      <c r="C238" s="20"/>
      <c r="D238" s="20"/>
      <c r="E238" s="20"/>
      <c r="F238" s="21" t="str">
        <f aca="false">IF(B238="","",IFERROR(INDEX(Fields!$C:$C,MATCH(B238,Fields!$A:$A,0)),""))</f>
        <v/>
      </c>
      <c r="G238" s="18" t="str">
        <f aca="false">IF(A238="","",COUNTIF('Metric to Product'!$A:$A,A238))</f>
        <v/>
      </c>
      <c r="H238" s="20"/>
      <c r="I238" s="20"/>
      <c r="J238" s="20"/>
      <c r="K238" s="20"/>
    </row>
    <row r="239" customFormat="false" ht="15" hidden="false" customHeight="false" outlineLevel="0" collapsed="false">
      <c r="A239" s="18" t="str">
        <f aca="false">IF(C239="","",IFERROR(INDEX(Metrics!$A:$A,MATCH(C239,Metrics!$C:$C,0)),"Not found"))</f>
        <v/>
      </c>
      <c r="B239" s="18" t="str">
        <f aca="false">IF(D239="","",IFERROR(INDEX(Fields!$A:$A,MATCH(D239,Fields!$B:$B,0)),"Not found"))</f>
        <v/>
      </c>
      <c r="C239" s="20"/>
      <c r="D239" s="20"/>
      <c r="E239" s="20"/>
      <c r="F239" s="21" t="str">
        <f aca="false">IF(B239="","",IFERROR(INDEX(Fields!$C:$C,MATCH(B239,Fields!$A:$A,0)),""))</f>
        <v/>
      </c>
      <c r="G239" s="18" t="str">
        <f aca="false">IF(A239="","",COUNTIF('Metric to Product'!$A:$A,A239))</f>
        <v/>
      </c>
      <c r="H239" s="20"/>
      <c r="I239" s="20"/>
      <c r="J239" s="20"/>
      <c r="K239" s="20"/>
    </row>
    <row r="240" customFormat="false" ht="15" hidden="false" customHeight="false" outlineLevel="0" collapsed="false">
      <c r="A240" s="18" t="str">
        <f aca="false">IF(C240="","",IFERROR(INDEX(Metrics!$A:$A,MATCH(C240,Metrics!$C:$C,0)),"Not found"))</f>
        <v/>
      </c>
      <c r="B240" s="18" t="str">
        <f aca="false">IF(D240="","",IFERROR(INDEX(Fields!$A:$A,MATCH(D240,Fields!$B:$B,0)),"Not found"))</f>
        <v/>
      </c>
      <c r="C240" s="20"/>
      <c r="D240" s="20"/>
      <c r="E240" s="20"/>
      <c r="F240" s="21" t="str">
        <f aca="false">IF(B240="","",IFERROR(INDEX(Fields!$C:$C,MATCH(B240,Fields!$A:$A,0)),""))</f>
        <v/>
      </c>
      <c r="G240" s="18" t="str">
        <f aca="false">IF(A240="","",COUNTIF('Metric to Product'!$A:$A,A240))</f>
        <v/>
      </c>
      <c r="H240" s="20"/>
      <c r="I240" s="20"/>
      <c r="J240" s="20"/>
      <c r="K240" s="20"/>
    </row>
    <row r="241" customFormat="false" ht="15" hidden="false" customHeight="false" outlineLevel="0" collapsed="false">
      <c r="A241" s="18" t="str">
        <f aca="false">IF(C241="","",IFERROR(INDEX(Metrics!$A:$A,MATCH(C241,Metrics!$C:$C,0)),"Not found"))</f>
        <v/>
      </c>
      <c r="B241" s="18" t="str">
        <f aca="false">IF(D241="","",IFERROR(INDEX(Fields!$A:$A,MATCH(D241,Fields!$B:$B,0)),"Not found"))</f>
        <v/>
      </c>
      <c r="C241" s="20"/>
      <c r="D241" s="20"/>
      <c r="E241" s="20"/>
      <c r="F241" s="21" t="str">
        <f aca="false">IF(B241="","",IFERROR(INDEX(Fields!$C:$C,MATCH(B241,Fields!$A:$A,0)),""))</f>
        <v/>
      </c>
      <c r="G241" s="18" t="str">
        <f aca="false">IF(A241="","",COUNTIF('Metric to Product'!$A:$A,A241))</f>
        <v/>
      </c>
      <c r="H241" s="20"/>
      <c r="I241" s="20"/>
      <c r="J241" s="20"/>
      <c r="K241" s="20"/>
    </row>
    <row r="242" customFormat="false" ht="15" hidden="false" customHeight="false" outlineLevel="0" collapsed="false">
      <c r="A242" s="18" t="str">
        <f aca="false">IF(C242="","",IFERROR(INDEX(Metrics!$A:$A,MATCH(C242,Metrics!$C:$C,0)),"Not found"))</f>
        <v/>
      </c>
      <c r="B242" s="18" t="str">
        <f aca="false">IF(D242="","",IFERROR(INDEX(Fields!$A:$A,MATCH(D242,Fields!$B:$B,0)),"Not found"))</f>
        <v/>
      </c>
      <c r="C242" s="20"/>
      <c r="D242" s="20"/>
      <c r="E242" s="20"/>
      <c r="F242" s="21" t="str">
        <f aca="false">IF(B242="","",IFERROR(INDEX(Fields!$C:$C,MATCH(B242,Fields!$A:$A,0)),""))</f>
        <v/>
      </c>
      <c r="G242" s="18" t="str">
        <f aca="false">IF(A242="","",COUNTIF('Metric to Product'!$A:$A,A242))</f>
        <v/>
      </c>
      <c r="H242" s="20"/>
      <c r="I242" s="20"/>
      <c r="J242" s="20"/>
      <c r="K242" s="20"/>
    </row>
    <row r="243" customFormat="false" ht="15" hidden="false" customHeight="false" outlineLevel="0" collapsed="false">
      <c r="A243" s="18" t="str">
        <f aca="false">IF(C243="","",IFERROR(INDEX(Metrics!$A:$A,MATCH(C243,Metrics!$C:$C,0)),"Not found"))</f>
        <v/>
      </c>
      <c r="B243" s="18" t="str">
        <f aca="false">IF(D243="","",IFERROR(INDEX(Fields!$A:$A,MATCH(D243,Fields!$B:$B,0)),"Not found"))</f>
        <v/>
      </c>
      <c r="C243" s="20"/>
      <c r="D243" s="20"/>
      <c r="E243" s="20"/>
      <c r="F243" s="21" t="str">
        <f aca="false">IF(B243="","",IFERROR(INDEX(Fields!$C:$C,MATCH(B243,Fields!$A:$A,0)),""))</f>
        <v/>
      </c>
      <c r="G243" s="18" t="str">
        <f aca="false">IF(A243="","",COUNTIF('Metric to Product'!$A:$A,A243))</f>
        <v/>
      </c>
      <c r="H243" s="20"/>
      <c r="I243" s="20"/>
      <c r="J243" s="20"/>
      <c r="K243" s="20"/>
    </row>
    <row r="244" customFormat="false" ht="15" hidden="false" customHeight="false" outlineLevel="0" collapsed="false">
      <c r="A244" s="18" t="str">
        <f aca="false">IF(C244="","",IFERROR(INDEX(Metrics!$A:$A,MATCH(C244,Metrics!$C:$C,0)),"Not found"))</f>
        <v/>
      </c>
      <c r="B244" s="18" t="str">
        <f aca="false">IF(D244="","",IFERROR(INDEX(Fields!$A:$A,MATCH(D244,Fields!$B:$B,0)),"Not found"))</f>
        <v/>
      </c>
      <c r="C244" s="20"/>
      <c r="D244" s="20"/>
      <c r="E244" s="20"/>
      <c r="F244" s="21" t="str">
        <f aca="false">IF(B244="","",IFERROR(INDEX(Fields!$C:$C,MATCH(B244,Fields!$A:$A,0)),""))</f>
        <v/>
      </c>
      <c r="G244" s="18" t="str">
        <f aca="false">IF(A244="","",COUNTIF('Metric to Product'!$A:$A,A244))</f>
        <v/>
      </c>
      <c r="H244" s="20"/>
      <c r="I244" s="20"/>
      <c r="J244" s="20"/>
      <c r="K244" s="20"/>
    </row>
    <row r="245" customFormat="false" ht="15" hidden="false" customHeight="false" outlineLevel="0" collapsed="false">
      <c r="A245" s="18" t="str">
        <f aca="false">IF(C245="","",IFERROR(INDEX(Metrics!$A:$A,MATCH(C245,Metrics!$C:$C,0)),"Not found"))</f>
        <v/>
      </c>
      <c r="B245" s="18" t="str">
        <f aca="false">IF(D245="","",IFERROR(INDEX(Fields!$A:$A,MATCH(D245,Fields!$B:$B,0)),"Not found"))</f>
        <v/>
      </c>
      <c r="C245" s="20"/>
      <c r="D245" s="20"/>
      <c r="E245" s="20"/>
      <c r="F245" s="21" t="str">
        <f aca="false">IF(B245="","",IFERROR(INDEX(Fields!$C:$C,MATCH(B245,Fields!$A:$A,0)),""))</f>
        <v/>
      </c>
      <c r="G245" s="18" t="str">
        <f aca="false">IF(A245="","",COUNTIF('Metric to Product'!$A:$A,A245))</f>
        <v/>
      </c>
      <c r="H245" s="20"/>
      <c r="I245" s="20"/>
      <c r="J245" s="20"/>
      <c r="K245" s="20"/>
    </row>
    <row r="246" customFormat="false" ht="15" hidden="false" customHeight="false" outlineLevel="0" collapsed="false">
      <c r="A246" s="18" t="str">
        <f aca="false">IF(C246="","",IFERROR(INDEX(Metrics!$A:$A,MATCH(C246,Metrics!$C:$C,0)),"Not found"))</f>
        <v/>
      </c>
      <c r="B246" s="18" t="str">
        <f aca="false">IF(D246="","",IFERROR(INDEX(Fields!$A:$A,MATCH(D246,Fields!$B:$B,0)),"Not found"))</f>
        <v/>
      </c>
      <c r="C246" s="20"/>
      <c r="D246" s="20"/>
      <c r="E246" s="20"/>
      <c r="F246" s="21" t="str">
        <f aca="false">IF(B246="","",IFERROR(INDEX(Fields!$C:$C,MATCH(B246,Fields!$A:$A,0)),""))</f>
        <v/>
      </c>
      <c r="G246" s="18" t="str">
        <f aca="false">IF(A246="","",COUNTIF('Metric to Product'!$A:$A,A246))</f>
        <v/>
      </c>
      <c r="H246" s="20"/>
      <c r="I246" s="20"/>
      <c r="J246" s="20"/>
      <c r="K246" s="20"/>
    </row>
    <row r="247" customFormat="false" ht="15" hidden="false" customHeight="false" outlineLevel="0" collapsed="false">
      <c r="A247" s="18" t="str">
        <f aca="false">IF(C247="","",IFERROR(INDEX(Metrics!$A:$A,MATCH(C247,Metrics!$C:$C,0)),"Not found"))</f>
        <v/>
      </c>
      <c r="B247" s="18" t="str">
        <f aca="false">IF(D247="","",IFERROR(INDEX(Fields!$A:$A,MATCH(D247,Fields!$B:$B,0)),"Not found"))</f>
        <v/>
      </c>
      <c r="C247" s="20"/>
      <c r="D247" s="20"/>
      <c r="E247" s="20"/>
      <c r="F247" s="21" t="str">
        <f aca="false">IF(B247="","",IFERROR(INDEX(Fields!$C:$C,MATCH(B247,Fields!$A:$A,0)),""))</f>
        <v/>
      </c>
      <c r="G247" s="18" t="str">
        <f aca="false">IF(A247="","",COUNTIF('Metric to Product'!$A:$A,A247))</f>
        <v/>
      </c>
      <c r="H247" s="20"/>
      <c r="I247" s="20"/>
      <c r="J247" s="20"/>
      <c r="K247" s="20"/>
    </row>
    <row r="248" customFormat="false" ht="15" hidden="false" customHeight="false" outlineLevel="0" collapsed="false">
      <c r="A248" s="18" t="str">
        <f aca="false">IF(C248="","",IFERROR(INDEX(Metrics!$A:$A,MATCH(C248,Metrics!$C:$C,0)),"Not found"))</f>
        <v/>
      </c>
      <c r="B248" s="18" t="str">
        <f aca="false">IF(D248="","",IFERROR(INDEX(Fields!$A:$A,MATCH(D248,Fields!$B:$B,0)),"Not found"))</f>
        <v/>
      </c>
      <c r="C248" s="20"/>
      <c r="D248" s="20"/>
      <c r="E248" s="20"/>
      <c r="F248" s="21" t="str">
        <f aca="false">IF(B248="","",IFERROR(INDEX(Fields!$C:$C,MATCH(B248,Fields!$A:$A,0)),""))</f>
        <v/>
      </c>
      <c r="G248" s="18" t="str">
        <f aca="false">IF(A248="","",COUNTIF('Metric to Product'!$A:$A,A248))</f>
        <v/>
      </c>
      <c r="H248" s="20"/>
      <c r="I248" s="20"/>
      <c r="J248" s="20"/>
      <c r="K248" s="20"/>
    </row>
    <row r="249" customFormat="false" ht="15" hidden="false" customHeight="false" outlineLevel="0" collapsed="false">
      <c r="A249" s="18" t="str">
        <f aca="false">IF(C249="","",IFERROR(INDEX(Metrics!$A:$A,MATCH(C249,Metrics!$C:$C,0)),"Not found"))</f>
        <v/>
      </c>
      <c r="B249" s="18" t="str">
        <f aca="false">IF(D249="","",IFERROR(INDEX(Fields!$A:$A,MATCH(D249,Fields!$B:$B,0)),"Not found"))</f>
        <v/>
      </c>
      <c r="C249" s="20"/>
      <c r="D249" s="20"/>
      <c r="E249" s="20"/>
      <c r="F249" s="21" t="str">
        <f aca="false">IF(B249="","",IFERROR(INDEX(Fields!$C:$C,MATCH(B249,Fields!$A:$A,0)),""))</f>
        <v/>
      </c>
      <c r="G249" s="18" t="str">
        <f aca="false">IF(A249="","",COUNTIF('Metric to Product'!$A:$A,A249))</f>
        <v/>
      </c>
      <c r="H249" s="20"/>
      <c r="I249" s="20"/>
      <c r="J249" s="20"/>
      <c r="K249" s="20"/>
    </row>
    <row r="250" customFormat="false" ht="15" hidden="false" customHeight="false" outlineLevel="0" collapsed="false">
      <c r="A250" s="18" t="str">
        <f aca="false">IF(C250="","",IFERROR(INDEX(Metrics!$A:$A,MATCH(C250,Metrics!$C:$C,0)),"Not found"))</f>
        <v/>
      </c>
      <c r="B250" s="18" t="str">
        <f aca="false">IF(D250="","",IFERROR(INDEX(Fields!$A:$A,MATCH(D250,Fields!$B:$B,0)),"Not found"))</f>
        <v/>
      </c>
      <c r="C250" s="20"/>
      <c r="D250" s="20"/>
      <c r="E250" s="20"/>
      <c r="F250" s="21" t="str">
        <f aca="false">IF(B250="","",IFERROR(INDEX(Fields!$C:$C,MATCH(B250,Fields!$A:$A,0)),""))</f>
        <v/>
      </c>
      <c r="G250" s="18" t="str">
        <f aca="false">IF(A250="","",COUNTIF('Metric to Product'!$A:$A,A250))</f>
        <v/>
      </c>
      <c r="H250" s="20"/>
      <c r="I250" s="20"/>
      <c r="J250" s="20"/>
      <c r="K250" s="20"/>
    </row>
    <row r="251" customFormat="false" ht="15" hidden="false" customHeight="false" outlineLevel="0" collapsed="false">
      <c r="A251" s="18" t="str">
        <f aca="false">IF(C251="","",IFERROR(INDEX(Metrics!$A:$A,MATCH(C251,Metrics!$C:$C,0)),"Not found"))</f>
        <v/>
      </c>
      <c r="B251" s="18" t="str">
        <f aca="false">IF(D251="","",IFERROR(INDEX(Fields!$A:$A,MATCH(D251,Fields!$B:$B,0)),"Not found"))</f>
        <v/>
      </c>
      <c r="C251" s="20"/>
      <c r="D251" s="20"/>
      <c r="E251" s="20"/>
      <c r="F251" s="21" t="str">
        <f aca="false">IF(B251="","",IFERROR(INDEX(Fields!$C:$C,MATCH(B251,Fields!$A:$A,0)),""))</f>
        <v/>
      </c>
      <c r="G251" s="18" t="str">
        <f aca="false">IF(A251="","",COUNTIF('Metric to Product'!$A:$A,A251))</f>
        <v/>
      </c>
      <c r="H251" s="20"/>
      <c r="I251" s="20"/>
      <c r="J251" s="20"/>
      <c r="K251" s="20"/>
    </row>
    <row r="252" customFormat="false" ht="15" hidden="false" customHeight="false" outlineLevel="0" collapsed="false">
      <c r="A252" s="18" t="str">
        <f aca="false">IF(C252="","",IFERROR(INDEX(Metrics!$A:$A,MATCH(C252,Metrics!$C:$C,0)),"Not found"))</f>
        <v/>
      </c>
      <c r="B252" s="18" t="str">
        <f aca="false">IF(D252="","",IFERROR(INDEX(Fields!$A:$A,MATCH(D252,Fields!$B:$B,0)),"Not found"))</f>
        <v/>
      </c>
      <c r="C252" s="20"/>
      <c r="D252" s="20"/>
      <c r="E252" s="20"/>
      <c r="F252" s="21" t="str">
        <f aca="false">IF(B252="","",IFERROR(INDEX(Fields!$C:$C,MATCH(B252,Fields!$A:$A,0)),""))</f>
        <v/>
      </c>
      <c r="G252" s="18" t="str">
        <f aca="false">IF(A252="","",COUNTIF('Metric to Product'!$A:$A,A252))</f>
        <v/>
      </c>
      <c r="H252" s="20"/>
      <c r="I252" s="20"/>
      <c r="J252" s="20"/>
      <c r="K252" s="20"/>
    </row>
    <row r="253" customFormat="false" ht="15" hidden="false" customHeight="false" outlineLevel="0" collapsed="false">
      <c r="A253" s="18" t="str">
        <f aca="false">IF(C253="","",IFERROR(INDEX(Metrics!$A:$A,MATCH(C253,Metrics!$C:$C,0)),"Not found"))</f>
        <v/>
      </c>
      <c r="B253" s="18" t="str">
        <f aca="false">IF(D253="","",IFERROR(INDEX(Fields!$A:$A,MATCH(D253,Fields!$B:$B,0)),"Not found"))</f>
        <v/>
      </c>
      <c r="C253" s="20"/>
      <c r="D253" s="20"/>
      <c r="E253" s="20"/>
      <c r="F253" s="21" t="str">
        <f aca="false">IF(B253="","",IFERROR(INDEX(Fields!$C:$C,MATCH(B253,Fields!$A:$A,0)),""))</f>
        <v/>
      </c>
      <c r="G253" s="18" t="str">
        <f aca="false">IF(A253="","",COUNTIF('Metric to Product'!$A:$A,A253))</f>
        <v/>
      </c>
      <c r="H253" s="20"/>
      <c r="I253" s="20"/>
      <c r="J253" s="20"/>
      <c r="K253" s="20"/>
    </row>
    <row r="254" customFormat="false" ht="15" hidden="false" customHeight="false" outlineLevel="0" collapsed="false">
      <c r="A254" s="18" t="str">
        <f aca="false">IF(C254="","",IFERROR(INDEX(Metrics!$A:$A,MATCH(C254,Metrics!$C:$C,0)),"Not found"))</f>
        <v/>
      </c>
      <c r="B254" s="18" t="str">
        <f aca="false">IF(D254="","",IFERROR(INDEX(Fields!$A:$A,MATCH(D254,Fields!$B:$B,0)),"Not found"))</f>
        <v/>
      </c>
      <c r="C254" s="20"/>
      <c r="D254" s="20"/>
      <c r="E254" s="20"/>
      <c r="F254" s="21" t="str">
        <f aca="false">IF(B254="","",IFERROR(INDEX(Fields!$C:$C,MATCH(B254,Fields!$A:$A,0)),""))</f>
        <v/>
      </c>
      <c r="G254" s="18" t="str">
        <f aca="false">IF(A254="","",COUNTIF('Metric to Product'!$A:$A,A254))</f>
        <v/>
      </c>
      <c r="H254" s="20"/>
      <c r="I254" s="20"/>
      <c r="J254" s="20"/>
      <c r="K254" s="20"/>
    </row>
    <row r="255" customFormat="false" ht="15" hidden="false" customHeight="false" outlineLevel="0" collapsed="false">
      <c r="A255" s="18" t="str">
        <f aca="false">IF(C255="","",IFERROR(INDEX(Metrics!$A:$A,MATCH(C255,Metrics!$C:$C,0)),"Not found"))</f>
        <v/>
      </c>
      <c r="B255" s="18" t="str">
        <f aca="false">IF(D255="","",IFERROR(INDEX(Fields!$A:$A,MATCH(D255,Fields!$B:$B,0)),"Not found"))</f>
        <v/>
      </c>
      <c r="C255" s="20"/>
      <c r="D255" s="20"/>
      <c r="E255" s="20"/>
      <c r="F255" s="21" t="str">
        <f aca="false">IF(B255="","",IFERROR(INDEX(Fields!$C:$C,MATCH(B255,Fields!$A:$A,0)),""))</f>
        <v/>
      </c>
      <c r="G255" s="18" t="str">
        <f aca="false">IF(A255="","",COUNTIF('Metric to Product'!$A:$A,A255))</f>
        <v/>
      </c>
      <c r="H255" s="20"/>
      <c r="I255" s="20"/>
      <c r="J255" s="20"/>
      <c r="K255" s="20"/>
    </row>
    <row r="256" customFormat="false" ht="15" hidden="false" customHeight="false" outlineLevel="0" collapsed="false">
      <c r="A256" s="18" t="str">
        <f aca="false">IF(C256="","",IFERROR(INDEX(Metrics!$A:$A,MATCH(C256,Metrics!$C:$C,0)),"Not found"))</f>
        <v/>
      </c>
      <c r="B256" s="18" t="str">
        <f aca="false">IF(D256="","",IFERROR(INDEX(Fields!$A:$A,MATCH(D256,Fields!$B:$B,0)),"Not found"))</f>
        <v/>
      </c>
      <c r="C256" s="20"/>
      <c r="D256" s="20"/>
      <c r="E256" s="20"/>
      <c r="F256" s="21" t="str">
        <f aca="false">IF(B256="","",IFERROR(INDEX(Fields!$C:$C,MATCH(B256,Fields!$A:$A,0)),""))</f>
        <v/>
      </c>
      <c r="G256" s="18" t="str">
        <f aca="false">IF(A256="","",COUNTIF('Metric to Product'!$A:$A,A256))</f>
        <v/>
      </c>
      <c r="H256" s="20"/>
      <c r="I256" s="20"/>
      <c r="J256" s="20"/>
      <c r="K256" s="20"/>
    </row>
    <row r="257" customFormat="false" ht="15" hidden="false" customHeight="false" outlineLevel="0" collapsed="false">
      <c r="A257" s="18" t="str">
        <f aca="false">IF(C257="","",IFERROR(INDEX(Metrics!$A:$A,MATCH(C257,Metrics!$C:$C,0)),"Not found"))</f>
        <v/>
      </c>
      <c r="B257" s="18" t="str">
        <f aca="false">IF(D257="","",IFERROR(INDEX(Fields!$A:$A,MATCH(D257,Fields!$B:$B,0)),"Not found"))</f>
        <v/>
      </c>
      <c r="C257" s="20"/>
      <c r="D257" s="20"/>
      <c r="E257" s="20"/>
      <c r="F257" s="21" t="str">
        <f aca="false">IF(B257="","",IFERROR(INDEX(Fields!$C:$C,MATCH(B257,Fields!$A:$A,0)),""))</f>
        <v/>
      </c>
      <c r="G257" s="18" t="str">
        <f aca="false">IF(A257="","",COUNTIF('Metric to Product'!$A:$A,A257))</f>
        <v/>
      </c>
      <c r="H257" s="20"/>
      <c r="I257" s="20"/>
      <c r="J257" s="20"/>
      <c r="K257" s="20"/>
    </row>
    <row r="258" customFormat="false" ht="15" hidden="false" customHeight="false" outlineLevel="0" collapsed="false">
      <c r="A258" s="18" t="str">
        <f aca="false">IF(C258="","",IFERROR(INDEX(Metrics!$A:$A,MATCH(C258,Metrics!$C:$C,0)),"Not found"))</f>
        <v/>
      </c>
      <c r="B258" s="18" t="str">
        <f aca="false">IF(D258="","",IFERROR(INDEX(Fields!$A:$A,MATCH(D258,Fields!$B:$B,0)),"Not found"))</f>
        <v/>
      </c>
      <c r="C258" s="20"/>
      <c r="D258" s="20"/>
      <c r="E258" s="20"/>
      <c r="F258" s="21" t="str">
        <f aca="false">IF(B258="","",IFERROR(INDEX(Fields!$C:$C,MATCH(B258,Fields!$A:$A,0)),""))</f>
        <v/>
      </c>
      <c r="G258" s="18" t="str">
        <f aca="false">IF(A258="","",COUNTIF('Metric to Product'!$A:$A,A258))</f>
        <v/>
      </c>
      <c r="H258" s="20"/>
      <c r="I258" s="20"/>
      <c r="J258" s="20"/>
      <c r="K258" s="20"/>
    </row>
    <row r="259" customFormat="false" ht="15" hidden="false" customHeight="false" outlineLevel="0" collapsed="false">
      <c r="A259" s="18" t="str">
        <f aca="false">IF(C259="","",IFERROR(INDEX(Metrics!$A:$A,MATCH(C259,Metrics!$C:$C,0)),"Not found"))</f>
        <v/>
      </c>
      <c r="B259" s="18" t="str">
        <f aca="false">IF(D259="","",IFERROR(INDEX(Fields!$A:$A,MATCH(D259,Fields!$B:$B,0)),"Not found"))</f>
        <v/>
      </c>
      <c r="C259" s="20"/>
      <c r="D259" s="20"/>
      <c r="E259" s="20"/>
      <c r="F259" s="21" t="str">
        <f aca="false">IF(B259="","",IFERROR(INDEX(Fields!$C:$C,MATCH(B259,Fields!$A:$A,0)),""))</f>
        <v/>
      </c>
      <c r="G259" s="18" t="str">
        <f aca="false">IF(A259="","",COUNTIF('Metric to Product'!$A:$A,A259))</f>
        <v/>
      </c>
      <c r="H259" s="20"/>
      <c r="I259" s="20"/>
      <c r="J259" s="20"/>
      <c r="K259" s="20"/>
    </row>
    <row r="260" customFormat="false" ht="15" hidden="false" customHeight="false" outlineLevel="0" collapsed="false">
      <c r="A260" s="18" t="str">
        <f aca="false">IF(C260="","",IFERROR(INDEX(Metrics!$A:$A,MATCH(C260,Metrics!$C:$C,0)),"Not found"))</f>
        <v/>
      </c>
      <c r="B260" s="18" t="str">
        <f aca="false">IF(D260="","",IFERROR(INDEX(Fields!$A:$A,MATCH(D260,Fields!$B:$B,0)),"Not found"))</f>
        <v/>
      </c>
      <c r="C260" s="20"/>
      <c r="D260" s="20"/>
      <c r="E260" s="20"/>
      <c r="F260" s="21" t="str">
        <f aca="false">IF(B260="","",IFERROR(INDEX(Fields!$C:$C,MATCH(B260,Fields!$A:$A,0)),""))</f>
        <v/>
      </c>
      <c r="G260" s="18" t="str">
        <f aca="false">IF(A260="","",COUNTIF('Metric to Product'!$A:$A,A260))</f>
        <v/>
      </c>
      <c r="H260" s="20"/>
      <c r="I260" s="20"/>
      <c r="J260" s="20"/>
      <c r="K260" s="20"/>
    </row>
    <row r="261" customFormat="false" ht="15" hidden="false" customHeight="false" outlineLevel="0" collapsed="false">
      <c r="A261" s="18" t="str">
        <f aca="false">IF(C261="","",IFERROR(INDEX(Metrics!$A:$A,MATCH(C261,Metrics!$C:$C,0)),"Not found"))</f>
        <v/>
      </c>
      <c r="B261" s="18" t="str">
        <f aca="false">IF(D261="","",IFERROR(INDEX(Fields!$A:$A,MATCH(D261,Fields!$B:$B,0)),"Not found"))</f>
        <v/>
      </c>
      <c r="C261" s="20"/>
      <c r="D261" s="20"/>
      <c r="E261" s="20"/>
      <c r="F261" s="21" t="str">
        <f aca="false">IF(B261="","",IFERROR(INDEX(Fields!$C:$C,MATCH(B261,Fields!$A:$A,0)),""))</f>
        <v/>
      </c>
      <c r="G261" s="18" t="str">
        <f aca="false">IF(A261="","",COUNTIF('Metric to Product'!$A:$A,A261))</f>
        <v/>
      </c>
      <c r="H261" s="20"/>
      <c r="I261" s="20"/>
      <c r="J261" s="20"/>
      <c r="K261" s="20"/>
    </row>
    <row r="262" customFormat="false" ht="15" hidden="false" customHeight="false" outlineLevel="0" collapsed="false">
      <c r="A262" s="18" t="str">
        <f aca="false">IF(C262="","",IFERROR(INDEX(Metrics!$A:$A,MATCH(C262,Metrics!$C:$C,0)),"Not found"))</f>
        <v/>
      </c>
      <c r="B262" s="18" t="str">
        <f aca="false">IF(D262="","",IFERROR(INDEX(Fields!$A:$A,MATCH(D262,Fields!$B:$B,0)),"Not found"))</f>
        <v/>
      </c>
      <c r="C262" s="20"/>
      <c r="D262" s="20"/>
      <c r="E262" s="20"/>
      <c r="F262" s="21" t="str">
        <f aca="false">IF(B262="","",IFERROR(INDEX(Fields!$C:$C,MATCH(B262,Fields!$A:$A,0)),""))</f>
        <v/>
      </c>
      <c r="G262" s="18" t="str">
        <f aca="false">IF(A262="","",COUNTIF('Metric to Product'!$A:$A,A262))</f>
        <v/>
      </c>
      <c r="H262" s="20"/>
      <c r="I262" s="20"/>
      <c r="J262" s="20"/>
      <c r="K262" s="20"/>
    </row>
    <row r="263" customFormat="false" ht="15" hidden="false" customHeight="false" outlineLevel="0" collapsed="false">
      <c r="A263" s="18" t="str">
        <f aca="false">IF(C263="","",IFERROR(INDEX(Metrics!$A:$A,MATCH(C263,Metrics!$C:$C,0)),"Not found"))</f>
        <v/>
      </c>
      <c r="B263" s="18" t="str">
        <f aca="false">IF(D263="","",IFERROR(INDEX(Fields!$A:$A,MATCH(D263,Fields!$B:$B,0)),"Not found"))</f>
        <v/>
      </c>
      <c r="C263" s="20"/>
      <c r="D263" s="20"/>
      <c r="E263" s="20"/>
      <c r="F263" s="21" t="str">
        <f aca="false">IF(B263="","",IFERROR(INDEX(Fields!$C:$C,MATCH(B263,Fields!$A:$A,0)),""))</f>
        <v/>
      </c>
      <c r="G263" s="18" t="str">
        <f aca="false">IF(A263="","",COUNTIF('Metric to Product'!$A:$A,A263))</f>
        <v/>
      </c>
      <c r="H263" s="20"/>
      <c r="I263" s="20"/>
      <c r="J263" s="20"/>
      <c r="K263" s="20"/>
    </row>
    <row r="264" customFormat="false" ht="15" hidden="false" customHeight="false" outlineLevel="0" collapsed="false">
      <c r="A264" s="18" t="str">
        <f aca="false">IF(C264="","",IFERROR(INDEX(Metrics!$A:$A,MATCH(C264,Metrics!$C:$C,0)),"Not found"))</f>
        <v/>
      </c>
      <c r="B264" s="18" t="str">
        <f aca="false">IF(D264="","",IFERROR(INDEX(Fields!$A:$A,MATCH(D264,Fields!$B:$B,0)),"Not found"))</f>
        <v/>
      </c>
      <c r="C264" s="20"/>
      <c r="D264" s="20"/>
      <c r="E264" s="20"/>
      <c r="F264" s="21" t="str">
        <f aca="false">IF(B264="","",IFERROR(INDEX(Fields!$C:$C,MATCH(B264,Fields!$A:$A,0)),""))</f>
        <v/>
      </c>
      <c r="G264" s="18" t="str">
        <f aca="false">IF(A264="","",COUNTIF('Metric to Product'!$A:$A,A264))</f>
        <v/>
      </c>
      <c r="H264" s="20"/>
      <c r="I264" s="20"/>
      <c r="J264" s="20"/>
      <c r="K264" s="20"/>
    </row>
    <row r="265" customFormat="false" ht="15" hidden="false" customHeight="false" outlineLevel="0" collapsed="false">
      <c r="A265" s="18" t="str">
        <f aca="false">IF(C265="","",IFERROR(INDEX(Metrics!$A:$A,MATCH(C265,Metrics!$C:$C,0)),"Not found"))</f>
        <v/>
      </c>
      <c r="B265" s="18" t="str">
        <f aca="false">IF(D265="","",IFERROR(INDEX(Fields!$A:$A,MATCH(D265,Fields!$B:$B,0)),"Not found"))</f>
        <v/>
      </c>
      <c r="C265" s="20"/>
      <c r="D265" s="20"/>
      <c r="E265" s="20"/>
      <c r="F265" s="21" t="str">
        <f aca="false">IF(B265="","",IFERROR(INDEX(Fields!$C:$C,MATCH(B265,Fields!$A:$A,0)),""))</f>
        <v/>
      </c>
      <c r="G265" s="18" t="str">
        <f aca="false">IF(A265="","",COUNTIF('Metric to Product'!$A:$A,A265))</f>
        <v/>
      </c>
      <c r="H265" s="20"/>
      <c r="I265" s="20"/>
      <c r="J265" s="20"/>
      <c r="K265" s="20"/>
    </row>
    <row r="266" customFormat="false" ht="15" hidden="false" customHeight="false" outlineLevel="0" collapsed="false">
      <c r="A266" s="18" t="str">
        <f aca="false">IF(C266="","",IFERROR(INDEX(Metrics!$A:$A,MATCH(C266,Metrics!$C:$C,0)),"Not found"))</f>
        <v/>
      </c>
      <c r="B266" s="18" t="str">
        <f aca="false">IF(D266="","",IFERROR(INDEX(Fields!$A:$A,MATCH(D266,Fields!$B:$B,0)),"Not found"))</f>
        <v/>
      </c>
      <c r="C266" s="20"/>
      <c r="D266" s="20"/>
      <c r="E266" s="20"/>
      <c r="F266" s="21" t="str">
        <f aca="false">IF(B266="","",IFERROR(INDEX(Fields!$C:$C,MATCH(B266,Fields!$A:$A,0)),""))</f>
        <v/>
      </c>
      <c r="G266" s="18" t="str">
        <f aca="false">IF(A266="","",COUNTIF('Metric to Product'!$A:$A,A266))</f>
        <v/>
      </c>
      <c r="H266" s="20"/>
      <c r="I266" s="20"/>
      <c r="J266" s="20"/>
      <c r="K266" s="20"/>
    </row>
    <row r="267" customFormat="false" ht="15" hidden="false" customHeight="false" outlineLevel="0" collapsed="false">
      <c r="A267" s="18" t="str">
        <f aca="false">IF(C267="","",IFERROR(INDEX(Metrics!$A:$A,MATCH(C267,Metrics!$C:$C,0)),"Not found"))</f>
        <v/>
      </c>
      <c r="B267" s="18" t="str">
        <f aca="false">IF(D267="","",IFERROR(INDEX(Fields!$A:$A,MATCH(D267,Fields!$B:$B,0)),"Not found"))</f>
        <v/>
      </c>
      <c r="C267" s="20"/>
      <c r="D267" s="20"/>
      <c r="E267" s="20"/>
      <c r="F267" s="21" t="str">
        <f aca="false">IF(B267="","",IFERROR(INDEX(Fields!$C:$C,MATCH(B267,Fields!$A:$A,0)),""))</f>
        <v/>
      </c>
      <c r="G267" s="18" t="str">
        <f aca="false">IF(A267="","",COUNTIF('Metric to Product'!$A:$A,A267))</f>
        <v/>
      </c>
      <c r="H267" s="20"/>
      <c r="I267" s="20"/>
      <c r="J267" s="20"/>
      <c r="K267" s="20"/>
    </row>
    <row r="268" customFormat="false" ht="15" hidden="false" customHeight="false" outlineLevel="0" collapsed="false">
      <c r="A268" s="18" t="str">
        <f aca="false">IF(C268="","",IFERROR(INDEX(Metrics!$A:$A,MATCH(C268,Metrics!$C:$C,0)),"Not found"))</f>
        <v/>
      </c>
      <c r="B268" s="18" t="str">
        <f aca="false">IF(D268="","",IFERROR(INDEX(Fields!$A:$A,MATCH(D268,Fields!$B:$B,0)),"Not found"))</f>
        <v/>
      </c>
      <c r="C268" s="20"/>
      <c r="D268" s="20"/>
      <c r="E268" s="20"/>
      <c r="F268" s="21" t="str">
        <f aca="false">IF(B268="","",IFERROR(INDEX(Fields!$C:$C,MATCH(B268,Fields!$A:$A,0)),""))</f>
        <v/>
      </c>
      <c r="G268" s="18" t="str">
        <f aca="false">IF(A268="","",COUNTIF('Metric to Product'!$A:$A,A268))</f>
        <v/>
      </c>
      <c r="H268" s="20"/>
      <c r="I268" s="20"/>
      <c r="J268" s="20"/>
      <c r="K268" s="20"/>
    </row>
    <row r="269" customFormat="false" ht="15" hidden="false" customHeight="false" outlineLevel="0" collapsed="false">
      <c r="A269" s="18" t="str">
        <f aca="false">IF(C269="","",IFERROR(INDEX(Metrics!$A:$A,MATCH(C269,Metrics!$C:$C,0)),"Not found"))</f>
        <v/>
      </c>
      <c r="B269" s="18" t="str">
        <f aca="false">IF(D269="","",IFERROR(INDEX(Fields!$A:$A,MATCH(D269,Fields!$B:$B,0)),"Not found"))</f>
        <v/>
      </c>
      <c r="C269" s="20"/>
      <c r="D269" s="20"/>
      <c r="E269" s="20"/>
      <c r="F269" s="21" t="str">
        <f aca="false">IF(B269="","",IFERROR(INDEX(Fields!$C:$C,MATCH(B269,Fields!$A:$A,0)),""))</f>
        <v/>
      </c>
      <c r="G269" s="18" t="str">
        <f aca="false">IF(A269="","",COUNTIF('Metric to Product'!$A:$A,A269))</f>
        <v/>
      </c>
      <c r="H269" s="20"/>
      <c r="I269" s="20"/>
      <c r="J269" s="20"/>
      <c r="K269" s="20"/>
    </row>
    <row r="270" customFormat="false" ht="15" hidden="false" customHeight="false" outlineLevel="0" collapsed="false">
      <c r="A270" s="18" t="str">
        <f aca="false">IF(C270="","",IFERROR(INDEX(Metrics!$A:$A,MATCH(C270,Metrics!$C:$C,0)),"Not found"))</f>
        <v/>
      </c>
      <c r="B270" s="18" t="str">
        <f aca="false">IF(D270="","",IFERROR(INDEX(Fields!$A:$A,MATCH(D270,Fields!$B:$B,0)),"Not found"))</f>
        <v/>
      </c>
      <c r="C270" s="20"/>
      <c r="D270" s="20"/>
      <c r="E270" s="20"/>
      <c r="F270" s="21" t="str">
        <f aca="false">IF(B270="","",IFERROR(INDEX(Fields!$C:$C,MATCH(B270,Fields!$A:$A,0)),""))</f>
        <v/>
      </c>
      <c r="G270" s="18" t="str">
        <f aca="false">IF(A270="","",COUNTIF('Metric to Product'!$A:$A,A270))</f>
        <v/>
      </c>
      <c r="H270" s="20"/>
      <c r="I270" s="20"/>
      <c r="J270" s="20"/>
      <c r="K270" s="20"/>
    </row>
    <row r="271" customFormat="false" ht="15" hidden="false" customHeight="false" outlineLevel="0" collapsed="false">
      <c r="A271" s="18" t="str">
        <f aca="false">IF(C271="","",IFERROR(INDEX(Metrics!$A:$A,MATCH(C271,Metrics!$C:$C,0)),"Not found"))</f>
        <v/>
      </c>
      <c r="B271" s="18" t="str">
        <f aca="false">IF(D271="","",IFERROR(INDEX(Fields!$A:$A,MATCH(D271,Fields!$B:$B,0)),"Not found"))</f>
        <v/>
      </c>
      <c r="C271" s="20"/>
      <c r="D271" s="20"/>
      <c r="E271" s="20"/>
      <c r="F271" s="21" t="str">
        <f aca="false">IF(B271="","",IFERROR(INDEX(Fields!$C:$C,MATCH(B271,Fields!$A:$A,0)),""))</f>
        <v/>
      </c>
      <c r="G271" s="18" t="str">
        <f aca="false">IF(A271="","",COUNTIF('Metric to Product'!$A:$A,A271))</f>
        <v/>
      </c>
      <c r="H271" s="20"/>
      <c r="I271" s="20"/>
      <c r="J271" s="20"/>
      <c r="K271" s="20"/>
    </row>
    <row r="272" customFormat="false" ht="15" hidden="false" customHeight="false" outlineLevel="0" collapsed="false">
      <c r="A272" s="18" t="str">
        <f aca="false">IF(C272="","",IFERROR(INDEX(Metrics!$A:$A,MATCH(C272,Metrics!$C:$C,0)),"Not found"))</f>
        <v/>
      </c>
      <c r="B272" s="18" t="str">
        <f aca="false">IF(D272="","",IFERROR(INDEX(Fields!$A:$A,MATCH(D272,Fields!$B:$B,0)),"Not found"))</f>
        <v/>
      </c>
      <c r="C272" s="20"/>
      <c r="D272" s="20"/>
      <c r="E272" s="20"/>
      <c r="F272" s="21" t="str">
        <f aca="false">IF(B272="","",IFERROR(INDEX(Fields!$C:$C,MATCH(B272,Fields!$A:$A,0)),""))</f>
        <v/>
      </c>
      <c r="G272" s="18" t="str">
        <f aca="false">IF(A272="","",COUNTIF('Metric to Product'!$A:$A,A272))</f>
        <v/>
      </c>
      <c r="H272" s="20"/>
      <c r="I272" s="20"/>
      <c r="J272" s="20"/>
      <c r="K272" s="20"/>
    </row>
    <row r="273" customFormat="false" ht="15" hidden="false" customHeight="false" outlineLevel="0" collapsed="false">
      <c r="A273" s="18" t="str">
        <f aca="false">IF(C273="","",IFERROR(INDEX(Metrics!$A:$A,MATCH(C273,Metrics!$C:$C,0)),"Not found"))</f>
        <v/>
      </c>
      <c r="B273" s="18" t="str">
        <f aca="false">IF(D273="","",IFERROR(INDEX(Fields!$A:$A,MATCH(D273,Fields!$B:$B,0)),"Not found"))</f>
        <v/>
      </c>
      <c r="C273" s="20"/>
      <c r="D273" s="20"/>
      <c r="E273" s="20"/>
      <c r="F273" s="21" t="str">
        <f aca="false">IF(B273="","",IFERROR(INDEX(Fields!$C:$C,MATCH(B273,Fields!$A:$A,0)),""))</f>
        <v/>
      </c>
      <c r="G273" s="18" t="str">
        <f aca="false">IF(A273="","",COUNTIF('Metric to Product'!$A:$A,A273))</f>
        <v/>
      </c>
      <c r="H273" s="20"/>
      <c r="I273" s="20"/>
      <c r="J273" s="20"/>
      <c r="K273" s="20"/>
    </row>
    <row r="274" customFormat="false" ht="15" hidden="false" customHeight="false" outlineLevel="0" collapsed="false">
      <c r="A274" s="18" t="str">
        <f aca="false">IF(C274="","",IFERROR(INDEX(Metrics!$A:$A,MATCH(C274,Metrics!$C:$C,0)),"Not found"))</f>
        <v/>
      </c>
      <c r="B274" s="18" t="str">
        <f aca="false">IF(D274="","",IFERROR(INDEX(Fields!$A:$A,MATCH(D274,Fields!$B:$B,0)),"Not found"))</f>
        <v/>
      </c>
      <c r="C274" s="20"/>
      <c r="D274" s="20"/>
      <c r="E274" s="20"/>
      <c r="F274" s="21" t="str">
        <f aca="false">IF(B274="","",IFERROR(INDEX(Fields!$C:$C,MATCH(B274,Fields!$A:$A,0)),""))</f>
        <v/>
      </c>
      <c r="G274" s="18" t="str">
        <f aca="false">IF(A274="","",COUNTIF('Metric to Product'!$A:$A,A274))</f>
        <v/>
      </c>
      <c r="H274" s="20"/>
      <c r="I274" s="20"/>
      <c r="J274" s="20"/>
      <c r="K274" s="20"/>
    </row>
    <row r="275" customFormat="false" ht="15" hidden="false" customHeight="false" outlineLevel="0" collapsed="false">
      <c r="A275" s="18" t="str">
        <f aca="false">IF(C275="","",IFERROR(INDEX(Metrics!$A:$A,MATCH(C275,Metrics!$C:$C,0)),"Not found"))</f>
        <v/>
      </c>
      <c r="B275" s="18" t="str">
        <f aca="false">IF(D275="","",IFERROR(INDEX(Fields!$A:$A,MATCH(D275,Fields!$B:$B,0)),"Not found"))</f>
        <v/>
      </c>
      <c r="C275" s="20"/>
      <c r="D275" s="20"/>
      <c r="E275" s="20"/>
      <c r="F275" s="21" t="str">
        <f aca="false">IF(B275="","",IFERROR(INDEX(Fields!$C:$C,MATCH(B275,Fields!$A:$A,0)),""))</f>
        <v/>
      </c>
      <c r="G275" s="18" t="str">
        <f aca="false">IF(A275="","",COUNTIF('Metric to Product'!$A:$A,A275))</f>
        <v/>
      </c>
      <c r="H275" s="20"/>
      <c r="I275" s="20"/>
      <c r="J275" s="20"/>
      <c r="K275" s="20"/>
    </row>
    <row r="276" customFormat="false" ht="15" hidden="false" customHeight="false" outlineLevel="0" collapsed="false">
      <c r="A276" s="18" t="str">
        <f aca="false">IF(C276="","",IFERROR(INDEX(Metrics!$A:$A,MATCH(C276,Metrics!$C:$C,0)),"Not found"))</f>
        <v/>
      </c>
      <c r="B276" s="18" t="str">
        <f aca="false">IF(D276="","",IFERROR(INDEX(Fields!$A:$A,MATCH(D276,Fields!$B:$B,0)),"Not found"))</f>
        <v/>
      </c>
      <c r="C276" s="20"/>
      <c r="D276" s="20"/>
      <c r="E276" s="20"/>
      <c r="F276" s="21" t="str">
        <f aca="false">IF(B276="","",IFERROR(INDEX(Fields!$C:$C,MATCH(B276,Fields!$A:$A,0)),""))</f>
        <v/>
      </c>
      <c r="G276" s="18" t="str">
        <f aca="false">IF(A276="","",COUNTIF('Metric to Product'!$A:$A,A276))</f>
        <v/>
      </c>
      <c r="H276" s="20"/>
      <c r="I276" s="20"/>
      <c r="J276" s="20"/>
      <c r="K276" s="20"/>
    </row>
    <row r="277" customFormat="false" ht="15" hidden="false" customHeight="false" outlineLevel="0" collapsed="false">
      <c r="A277" s="18" t="str">
        <f aca="false">IF(C277="","",IFERROR(INDEX(Metrics!$A:$A,MATCH(C277,Metrics!$C:$C,0)),"Not found"))</f>
        <v/>
      </c>
      <c r="B277" s="18" t="str">
        <f aca="false">IF(D277="","",IFERROR(INDEX(Fields!$A:$A,MATCH(D277,Fields!$B:$B,0)),"Not found"))</f>
        <v/>
      </c>
      <c r="C277" s="20"/>
      <c r="D277" s="20"/>
      <c r="E277" s="20"/>
      <c r="F277" s="21" t="str">
        <f aca="false">IF(B277="","",IFERROR(INDEX(Fields!$C:$C,MATCH(B277,Fields!$A:$A,0)),""))</f>
        <v/>
      </c>
      <c r="G277" s="18" t="str">
        <f aca="false">IF(A277="","",COUNTIF('Metric to Product'!$A:$A,A277))</f>
        <v/>
      </c>
      <c r="H277" s="20"/>
      <c r="I277" s="20"/>
      <c r="J277" s="20"/>
      <c r="K277" s="20"/>
    </row>
    <row r="278" customFormat="false" ht="15" hidden="false" customHeight="false" outlineLevel="0" collapsed="false">
      <c r="A278" s="18" t="str">
        <f aca="false">IF(C278="","",IFERROR(INDEX(Metrics!$A:$A,MATCH(C278,Metrics!$C:$C,0)),"Not found"))</f>
        <v/>
      </c>
      <c r="B278" s="18" t="str">
        <f aca="false">IF(D278="","",IFERROR(INDEX(Fields!$A:$A,MATCH(D278,Fields!$B:$B,0)),"Not found"))</f>
        <v/>
      </c>
      <c r="C278" s="20"/>
      <c r="D278" s="20"/>
      <c r="E278" s="20"/>
      <c r="F278" s="21" t="str">
        <f aca="false">IF(B278="","",IFERROR(INDEX(Fields!$C:$C,MATCH(B278,Fields!$A:$A,0)),""))</f>
        <v/>
      </c>
      <c r="G278" s="18" t="str">
        <f aca="false">IF(A278="","",COUNTIF('Metric to Product'!$A:$A,A278))</f>
        <v/>
      </c>
      <c r="H278" s="20"/>
      <c r="I278" s="20"/>
      <c r="J278" s="20"/>
      <c r="K278" s="20"/>
    </row>
    <row r="279" customFormat="false" ht="15" hidden="false" customHeight="false" outlineLevel="0" collapsed="false">
      <c r="A279" s="18" t="str">
        <f aca="false">IF(C279="","",IFERROR(INDEX(Metrics!$A:$A,MATCH(C279,Metrics!$C:$C,0)),"Not found"))</f>
        <v/>
      </c>
      <c r="B279" s="18" t="str">
        <f aca="false">IF(D279="","",IFERROR(INDEX(Fields!$A:$A,MATCH(D279,Fields!$B:$B,0)),"Not found"))</f>
        <v/>
      </c>
      <c r="C279" s="20"/>
      <c r="D279" s="20"/>
      <c r="E279" s="20"/>
      <c r="F279" s="21" t="str">
        <f aca="false">IF(B279="","",IFERROR(INDEX(Fields!$C:$C,MATCH(B279,Fields!$A:$A,0)),""))</f>
        <v/>
      </c>
      <c r="G279" s="18" t="str">
        <f aca="false">IF(A279="","",COUNTIF('Metric to Product'!$A:$A,A279))</f>
        <v/>
      </c>
      <c r="H279" s="20"/>
      <c r="I279" s="20"/>
      <c r="J279" s="20"/>
      <c r="K279" s="20"/>
    </row>
    <row r="280" customFormat="false" ht="15" hidden="false" customHeight="false" outlineLevel="0" collapsed="false">
      <c r="A280" s="18" t="str">
        <f aca="false">IF(C280="","",IFERROR(INDEX(Metrics!$A:$A,MATCH(C280,Metrics!$C:$C,0)),"Not found"))</f>
        <v/>
      </c>
      <c r="B280" s="18" t="str">
        <f aca="false">IF(D280="","",IFERROR(INDEX(Fields!$A:$A,MATCH(D280,Fields!$B:$B,0)),"Not found"))</f>
        <v/>
      </c>
      <c r="C280" s="20"/>
      <c r="D280" s="20"/>
      <c r="E280" s="20"/>
      <c r="F280" s="21" t="str">
        <f aca="false">IF(B280="","",IFERROR(INDEX(Fields!$C:$C,MATCH(B280,Fields!$A:$A,0)),""))</f>
        <v/>
      </c>
      <c r="G280" s="18" t="str">
        <f aca="false">IF(A280="","",COUNTIF('Metric to Product'!$A:$A,A280))</f>
        <v/>
      </c>
      <c r="H280" s="20"/>
      <c r="I280" s="20"/>
      <c r="J280" s="20"/>
      <c r="K280" s="20"/>
    </row>
    <row r="281" customFormat="false" ht="15" hidden="false" customHeight="false" outlineLevel="0" collapsed="false">
      <c r="A281" s="18" t="str">
        <f aca="false">IF(C281="","",IFERROR(INDEX(Metrics!$A:$A,MATCH(C281,Metrics!$C:$C,0)),"Not found"))</f>
        <v/>
      </c>
      <c r="B281" s="18" t="str">
        <f aca="false">IF(D281="","",IFERROR(INDEX(Fields!$A:$A,MATCH(D281,Fields!$B:$B,0)),"Not found"))</f>
        <v/>
      </c>
      <c r="C281" s="20"/>
      <c r="D281" s="20"/>
      <c r="E281" s="20"/>
      <c r="F281" s="21" t="str">
        <f aca="false">IF(B281="","",IFERROR(INDEX(Fields!$C:$C,MATCH(B281,Fields!$A:$A,0)),""))</f>
        <v/>
      </c>
      <c r="G281" s="18" t="str">
        <f aca="false">IF(A281="","",COUNTIF('Metric to Product'!$A:$A,A281))</f>
        <v/>
      </c>
      <c r="H281" s="20"/>
      <c r="I281" s="20"/>
      <c r="J281" s="20"/>
      <c r="K281" s="20"/>
    </row>
    <row r="282" customFormat="false" ht="15" hidden="false" customHeight="false" outlineLevel="0" collapsed="false">
      <c r="A282" s="18" t="str">
        <f aca="false">IF(C282="","",IFERROR(INDEX(Metrics!$A:$A,MATCH(C282,Metrics!$C:$C,0)),"Not found"))</f>
        <v/>
      </c>
      <c r="B282" s="18" t="str">
        <f aca="false">IF(D282="","",IFERROR(INDEX(Fields!$A:$A,MATCH(D282,Fields!$B:$B,0)),"Not found"))</f>
        <v/>
      </c>
      <c r="C282" s="20"/>
      <c r="D282" s="20"/>
      <c r="E282" s="20"/>
      <c r="F282" s="21" t="str">
        <f aca="false">IF(B282="","",IFERROR(INDEX(Fields!$C:$C,MATCH(B282,Fields!$A:$A,0)),""))</f>
        <v/>
      </c>
      <c r="G282" s="18" t="str">
        <f aca="false">IF(A282="","",COUNTIF('Metric to Product'!$A:$A,A282))</f>
        <v/>
      </c>
      <c r="H282" s="20"/>
      <c r="I282" s="20"/>
      <c r="J282" s="20"/>
      <c r="K282" s="20"/>
    </row>
    <row r="283" customFormat="false" ht="15" hidden="false" customHeight="false" outlineLevel="0" collapsed="false">
      <c r="A283" s="18" t="str">
        <f aca="false">IF(C283="","",IFERROR(INDEX(Metrics!$A:$A,MATCH(C283,Metrics!$C:$C,0)),"Not found"))</f>
        <v/>
      </c>
      <c r="B283" s="18" t="str">
        <f aca="false">IF(D283="","",IFERROR(INDEX(Fields!$A:$A,MATCH(D283,Fields!$B:$B,0)),"Not found"))</f>
        <v/>
      </c>
      <c r="C283" s="20"/>
      <c r="D283" s="20"/>
      <c r="E283" s="20"/>
      <c r="F283" s="21" t="str">
        <f aca="false">IF(B283="","",IFERROR(INDEX(Fields!$C:$C,MATCH(B283,Fields!$A:$A,0)),""))</f>
        <v/>
      </c>
      <c r="G283" s="18" t="str">
        <f aca="false">IF(A283="","",COUNTIF('Metric to Product'!$A:$A,A283))</f>
        <v/>
      </c>
      <c r="H283" s="20"/>
      <c r="I283" s="20"/>
      <c r="J283" s="20"/>
      <c r="K283" s="20"/>
    </row>
    <row r="284" customFormat="false" ht="15" hidden="false" customHeight="false" outlineLevel="0" collapsed="false">
      <c r="A284" s="18" t="str">
        <f aca="false">IF(C284="","",IFERROR(INDEX(Metrics!$A:$A,MATCH(C284,Metrics!$C:$C,0)),"Not found"))</f>
        <v/>
      </c>
      <c r="B284" s="18" t="str">
        <f aca="false">IF(D284="","",IFERROR(INDEX(Fields!$A:$A,MATCH(D284,Fields!$B:$B,0)),"Not found"))</f>
        <v/>
      </c>
      <c r="C284" s="20"/>
      <c r="D284" s="20"/>
      <c r="E284" s="20"/>
      <c r="F284" s="21" t="str">
        <f aca="false">IF(B284="","",IFERROR(INDEX(Fields!$C:$C,MATCH(B284,Fields!$A:$A,0)),""))</f>
        <v/>
      </c>
      <c r="G284" s="18" t="str">
        <f aca="false">IF(A284="","",COUNTIF('Metric to Product'!$A:$A,A284))</f>
        <v/>
      </c>
      <c r="H284" s="20"/>
      <c r="I284" s="20"/>
      <c r="J284" s="20"/>
      <c r="K284" s="20"/>
    </row>
    <row r="285" customFormat="false" ht="15" hidden="false" customHeight="false" outlineLevel="0" collapsed="false">
      <c r="A285" s="18" t="str">
        <f aca="false">IF(C285="","",IFERROR(INDEX(Metrics!$A:$A,MATCH(C285,Metrics!$C:$C,0)),"Not found"))</f>
        <v/>
      </c>
      <c r="B285" s="18" t="str">
        <f aca="false">IF(D285="","",IFERROR(INDEX(Fields!$A:$A,MATCH(D285,Fields!$B:$B,0)),"Not found"))</f>
        <v/>
      </c>
      <c r="C285" s="20"/>
      <c r="D285" s="20"/>
      <c r="E285" s="20"/>
      <c r="F285" s="21" t="str">
        <f aca="false">IF(B285="","",IFERROR(INDEX(Fields!$C:$C,MATCH(B285,Fields!$A:$A,0)),""))</f>
        <v/>
      </c>
      <c r="G285" s="18" t="str">
        <f aca="false">IF(A285="","",COUNTIF('Metric to Product'!$A:$A,A285))</f>
        <v/>
      </c>
      <c r="H285" s="20"/>
      <c r="I285" s="20"/>
      <c r="J285" s="20"/>
      <c r="K285" s="20"/>
    </row>
    <row r="286" customFormat="false" ht="15" hidden="false" customHeight="false" outlineLevel="0" collapsed="false">
      <c r="A286" s="18" t="str">
        <f aca="false">IF(C286="","",IFERROR(INDEX(Metrics!$A:$A,MATCH(C286,Metrics!$C:$C,0)),"Not found"))</f>
        <v/>
      </c>
      <c r="B286" s="18" t="str">
        <f aca="false">IF(D286="","",IFERROR(INDEX(Fields!$A:$A,MATCH(D286,Fields!$B:$B,0)),"Not found"))</f>
        <v/>
      </c>
      <c r="C286" s="20"/>
      <c r="D286" s="20"/>
      <c r="E286" s="20"/>
      <c r="F286" s="21" t="str">
        <f aca="false">IF(B286="","",IFERROR(INDEX(Fields!$C:$C,MATCH(B286,Fields!$A:$A,0)),""))</f>
        <v/>
      </c>
      <c r="G286" s="18" t="str">
        <f aca="false">IF(A286="","",COUNTIF('Metric to Product'!$A:$A,A286))</f>
        <v/>
      </c>
      <c r="H286" s="20"/>
      <c r="I286" s="20"/>
      <c r="J286" s="20"/>
      <c r="K286" s="20"/>
    </row>
    <row r="287" customFormat="false" ht="15" hidden="false" customHeight="false" outlineLevel="0" collapsed="false">
      <c r="A287" s="18" t="str">
        <f aca="false">IF(C287="","",IFERROR(INDEX(Metrics!$A:$A,MATCH(C287,Metrics!$C:$C,0)),"Not found"))</f>
        <v/>
      </c>
      <c r="B287" s="18" t="str">
        <f aca="false">IF(D287="","",IFERROR(INDEX(Fields!$A:$A,MATCH(D287,Fields!$B:$B,0)),"Not found"))</f>
        <v/>
      </c>
      <c r="C287" s="20"/>
      <c r="D287" s="20"/>
      <c r="E287" s="20"/>
      <c r="F287" s="21" t="str">
        <f aca="false">IF(B287="","",IFERROR(INDEX(Fields!$C:$C,MATCH(B287,Fields!$A:$A,0)),""))</f>
        <v/>
      </c>
      <c r="G287" s="18" t="str">
        <f aca="false">IF(A287="","",COUNTIF('Metric to Product'!$A:$A,A287))</f>
        <v/>
      </c>
      <c r="H287" s="20"/>
      <c r="I287" s="20"/>
      <c r="J287" s="20"/>
      <c r="K287" s="20"/>
    </row>
    <row r="288" customFormat="false" ht="15" hidden="false" customHeight="false" outlineLevel="0" collapsed="false">
      <c r="A288" s="18" t="str">
        <f aca="false">IF(C288="","",IFERROR(INDEX(Metrics!$A:$A,MATCH(C288,Metrics!$C:$C,0)),"Not found"))</f>
        <v/>
      </c>
      <c r="B288" s="18" t="str">
        <f aca="false">IF(D288="","",IFERROR(INDEX(Fields!$A:$A,MATCH(D288,Fields!$B:$B,0)),"Not found"))</f>
        <v/>
      </c>
      <c r="C288" s="20"/>
      <c r="D288" s="20"/>
      <c r="E288" s="20"/>
      <c r="F288" s="21" t="str">
        <f aca="false">IF(B288="","",IFERROR(INDEX(Fields!$C:$C,MATCH(B288,Fields!$A:$A,0)),""))</f>
        <v/>
      </c>
      <c r="G288" s="18" t="str">
        <f aca="false">IF(A288="","",COUNTIF('Metric to Product'!$A:$A,A288))</f>
        <v/>
      </c>
      <c r="H288" s="20"/>
      <c r="I288" s="20"/>
      <c r="J288" s="20"/>
      <c r="K288" s="20"/>
    </row>
    <row r="289" customFormat="false" ht="15" hidden="false" customHeight="false" outlineLevel="0" collapsed="false">
      <c r="A289" s="18" t="str">
        <f aca="false">IF(C289="","",IFERROR(INDEX(Metrics!$A:$A,MATCH(C289,Metrics!$C:$C,0)),"Not found"))</f>
        <v/>
      </c>
      <c r="B289" s="18" t="str">
        <f aca="false">IF(D289="","",IFERROR(INDEX(Fields!$A:$A,MATCH(D289,Fields!$B:$B,0)),"Not found"))</f>
        <v/>
      </c>
      <c r="C289" s="20"/>
      <c r="D289" s="20"/>
      <c r="E289" s="20"/>
      <c r="F289" s="21" t="str">
        <f aca="false">IF(B289="","",IFERROR(INDEX(Fields!$C:$C,MATCH(B289,Fields!$A:$A,0)),""))</f>
        <v/>
      </c>
      <c r="G289" s="18" t="str">
        <f aca="false">IF(A289="","",COUNTIF('Metric to Product'!$A:$A,A289))</f>
        <v/>
      </c>
      <c r="H289" s="20"/>
      <c r="I289" s="20"/>
      <c r="J289" s="20"/>
      <c r="K289" s="20"/>
    </row>
    <row r="290" customFormat="false" ht="15" hidden="false" customHeight="false" outlineLevel="0" collapsed="false">
      <c r="A290" s="18" t="str">
        <f aca="false">IF(C290="","",IFERROR(INDEX(Metrics!$A:$A,MATCH(C290,Metrics!$C:$C,0)),"Not found"))</f>
        <v/>
      </c>
      <c r="B290" s="18" t="str">
        <f aca="false">IF(D290="","",IFERROR(INDEX(Fields!$A:$A,MATCH(D290,Fields!$B:$B,0)),"Not found"))</f>
        <v/>
      </c>
      <c r="C290" s="20"/>
      <c r="D290" s="20"/>
      <c r="E290" s="20"/>
      <c r="F290" s="21" t="str">
        <f aca="false">IF(B290="","",IFERROR(INDEX(Fields!$C:$C,MATCH(B290,Fields!$A:$A,0)),""))</f>
        <v/>
      </c>
      <c r="G290" s="18" t="str">
        <f aca="false">IF(A290="","",COUNTIF('Metric to Product'!$A:$A,A290))</f>
        <v/>
      </c>
      <c r="H290" s="20"/>
      <c r="I290" s="20"/>
      <c r="J290" s="20"/>
      <c r="K290" s="20"/>
    </row>
    <row r="291" customFormat="false" ht="15" hidden="false" customHeight="false" outlineLevel="0" collapsed="false">
      <c r="A291" s="18" t="str">
        <f aca="false">IF(C291="","",IFERROR(INDEX(Metrics!$A:$A,MATCH(C291,Metrics!$C:$C,0)),"Not found"))</f>
        <v/>
      </c>
      <c r="B291" s="18" t="str">
        <f aca="false">IF(D291="","",IFERROR(INDEX(Fields!$A:$A,MATCH(D291,Fields!$B:$B,0)),"Not found"))</f>
        <v/>
      </c>
      <c r="C291" s="20"/>
      <c r="D291" s="20"/>
      <c r="E291" s="20"/>
      <c r="F291" s="21" t="str">
        <f aca="false">IF(B291="","",IFERROR(INDEX(Fields!$C:$C,MATCH(B291,Fields!$A:$A,0)),""))</f>
        <v/>
      </c>
      <c r="G291" s="18" t="str">
        <f aca="false">IF(A291="","",COUNTIF('Metric to Product'!$A:$A,A291))</f>
        <v/>
      </c>
      <c r="H291" s="20"/>
      <c r="I291" s="20"/>
      <c r="J291" s="20"/>
      <c r="K291" s="20"/>
    </row>
    <row r="292" customFormat="false" ht="15" hidden="false" customHeight="false" outlineLevel="0" collapsed="false">
      <c r="A292" s="18" t="str">
        <f aca="false">IF(C292="","",IFERROR(INDEX(Metrics!$A:$A,MATCH(C292,Metrics!$C:$C,0)),"Not found"))</f>
        <v/>
      </c>
      <c r="B292" s="18" t="str">
        <f aca="false">IF(D292="","",IFERROR(INDEX(Fields!$A:$A,MATCH(D292,Fields!$B:$B,0)),"Not found"))</f>
        <v/>
      </c>
      <c r="C292" s="20"/>
      <c r="D292" s="20"/>
      <c r="E292" s="20"/>
      <c r="F292" s="21" t="str">
        <f aca="false">IF(B292="","",IFERROR(INDEX(Fields!$C:$C,MATCH(B292,Fields!$A:$A,0)),""))</f>
        <v/>
      </c>
      <c r="G292" s="18" t="str">
        <f aca="false">IF(A292="","",COUNTIF('Metric to Product'!$A:$A,A292))</f>
        <v/>
      </c>
      <c r="H292" s="20"/>
      <c r="I292" s="20"/>
      <c r="J292" s="20"/>
      <c r="K292" s="20"/>
    </row>
    <row r="293" customFormat="false" ht="15" hidden="false" customHeight="false" outlineLevel="0" collapsed="false">
      <c r="A293" s="18" t="str">
        <f aca="false">IF(C293="","",IFERROR(INDEX(Metrics!$A:$A,MATCH(C293,Metrics!$C:$C,0)),"Not found"))</f>
        <v/>
      </c>
      <c r="B293" s="18" t="str">
        <f aca="false">IF(D293="","",IFERROR(INDEX(Fields!$A:$A,MATCH(D293,Fields!$B:$B,0)),"Not found"))</f>
        <v/>
      </c>
      <c r="C293" s="20"/>
      <c r="D293" s="20"/>
      <c r="E293" s="20"/>
      <c r="F293" s="21" t="str">
        <f aca="false">IF(B293="","",IFERROR(INDEX(Fields!$C:$C,MATCH(B293,Fields!$A:$A,0)),""))</f>
        <v/>
      </c>
      <c r="G293" s="18" t="str">
        <f aca="false">IF(A293="","",COUNTIF('Metric to Product'!$A:$A,A293))</f>
        <v/>
      </c>
      <c r="H293" s="20"/>
      <c r="I293" s="20"/>
      <c r="J293" s="20"/>
      <c r="K293" s="20"/>
    </row>
    <row r="294" customFormat="false" ht="15" hidden="false" customHeight="false" outlineLevel="0" collapsed="false">
      <c r="A294" s="18" t="str">
        <f aca="false">IF(C294="","",IFERROR(INDEX(Metrics!$A:$A,MATCH(C294,Metrics!$C:$C,0)),"Not found"))</f>
        <v/>
      </c>
      <c r="B294" s="18" t="str">
        <f aca="false">IF(D294="","",IFERROR(INDEX(Fields!$A:$A,MATCH(D294,Fields!$B:$B,0)),"Not found"))</f>
        <v/>
      </c>
      <c r="C294" s="20"/>
      <c r="D294" s="20"/>
      <c r="E294" s="20"/>
      <c r="F294" s="21" t="str">
        <f aca="false">IF(B294="","",IFERROR(INDEX(Fields!$C:$C,MATCH(B294,Fields!$A:$A,0)),""))</f>
        <v/>
      </c>
      <c r="G294" s="18" t="str">
        <f aca="false">IF(A294="","",COUNTIF('Metric to Product'!$A:$A,A294))</f>
        <v/>
      </c>
      <c r="H294" s="20"/>
      <c r="I294" s="20"/>
      <c r="J294" s="20"/>
      <c r="K294" s="20"/>
    </row>
    <row r="295" customFormat="false" ht="15" hidden="false" customHeight="false" outlineLevel="0" collapsed="false">
      <c r="A295" s="18" t="str">
        <f aca="false">IF(C295="","",IFERROR(INDEX(Metrics!$A:$A,MATCH(C295,Metrics!$C:$C,0)),"Not found"))</f>
        <v/>
      </c>
      <c r="B295" s="18" t="str">
        <f aca="false">IF(D295="","",IFERROR(INDEX(Fields!$A:$A,MATCH(D295,Fields!$B:$B,0)),"Not found"))</f>
        <v/>
      </c>
      <c r="C295" s="20"/>
      <c r="D295" s="20"/>
      <c r="E295" s="20"/>
      <c r="F295" s="21" t="str">
        <f aca="false">IF(B295="","",IFERROR(INDEX(Fields!$C:$C,MATCH(B295,Fields!$A:$A,0)),""))</f>
        <v/>
      </c>
      <c r="G295" s="18" t="str">
        <f aca="false">IF(A295="","",COUNTIF('Metric to Product'!$A:$A,A295))</f>
        <v/>
      </c>
      <c r="H295" s="20"/>
      <c r="I295" s="20"/>
      <c r="J295" s="20"/>
      <c r="K295" s="20"/>
    </row>
    <row r="296" customFormat="false" ht="15" hidden="false" customHeight="false" outlineLevel="0" collapsed="false">
      <c r="A296" s="18" t="str">
        <f aca="false">IF(C296="","",IFERROR(INDEX(Metrics!$A:$A,MATCH(C296,Metrics!$C:$C,0)),"Not found"))</f>
        <v/>
      </c>
      <c r="B296" s="18" t="str">
        <f aca="false">IF(D296="","",IFERROR(INDEX(Fields!$A:$A,MATCH(D296,Fields!$B:$B,0)),"Not found"))</f>
        <v/>
      </c>
      <c r="C296" s="20"/>
      <c r="D296" s="20"/>
      <c r="E296" s="20"/>
      <c r="F296" s="21" t="str">
        <f aca="false">IF(B296="","",IFERROR(INDEX(Fields!$C:$C,MATCH(B296,Fields!$A:$A,0)),""))</f>
        <v/>
      </c>
      <c r="G296" s="18" t="str">
        <f aca="false">IF(A296="","",COUNTIF('Metric to Product'!$A:$A,A296))</f>
        <v/>
      </c>
      <c r="H296" s="20"/>
      <c r="I296" s="20"/>
      <c r="J296" s="20"/>
      <c r="K296" s="20"/>
    </row>
    <row r="297" customFormat="false" ht="15" hidden="false" customHeight="false" outlineLevel="0" collapsed="false">
      <c r="A297" s="18" t="str">
        <f aca="false">IF(C297="","",IFERROR(INDEX(Metrics!$A:$A,MATCH(C297,Metrics!$C:$C,0)),"Not found"))</f>
        <v/>
      </c>
      <c r="B297" s="18" t="str">
        <f aca="false">IF(D297="","",IFERROR(INDEX(Fields!$A:$A,MATCH(D297,Fields!$B:$B,0)),"Not found"))</f>
        <v/>
      </c>
      <c r="C297" s="20"/>
      <c r="D297" s="20"/>
      <c r="E297" s="20"/>
      <c r="F297" s="21" t="str">
        <f aca="false">IF(B297="","",IFERROR(INDEX(Fields!$C:$C,MATCH(B297,Fields!$A:$A,0)),""))</f>
        <v/>
      </c>
      <c r="G297" s="18" t="str">
        <f aca="false">IF(A297="","",COUNTIF('Metric to Product'!$A:$A,A297))</f>
        <v/>
      </c>
      <c r="H297" s="20"/>
      <c r="I297" s="20"/>
      <c r="J297" s="20"/>
      <c r="K297" s="20"/>
    </row>
    <row r="298" customFormat="false" ht="15" hidden="false" customHeight="false" outlineLevel="0" collapsed="false">
      <c r="A298" s="18" t="str">
        <f aca="false">IF(C298="","",IFERROR(INDEX(Metrics!$A:$A,MATCH(C298,Metrics!$C:$C,0)),"Not found"))</f>
        <v/>
      </c>
      <c r="B298" s="18" t="str">
        <f aca="false">IF(D298="","",IFERROR(INDEX(Fields!$A:$A,MATCH(D298,Fields!$B:$B,0)),"Not found"))</f>
        <v/>
      </c>
      <c r="C298" s="20"/>
      <c r="D298" s="20"/>
      <c r="E298" s="20"/>
      <c r="F298" s="21" t="str">
        <f aca="false">IF(B298="","",IFERROR(INDEX(Fields!$C:$C,MATCH(B298,Fields!$A:$A,0)),""))</f>
        <v/>
      </c>
      <c r="G298" s="18" t="str">
        <f aca="false">IF(A298="","",COUNTIF('Metric to Product'!$A:$A,A298))</f>
        <v/>
      </c>
      <c r="H298" s="20"/>
      <c r="I298" s="20"/>
      <c r="J298" s="20"/>
      <c r="K298" s="20"/>
    </row>
    <row r="299" customFormat="false" ht="15" hidden="false" customHeight="false" outlineLevel="0" collapsed="false">
      <c r="A299" s="18" t="str">
        <f aca="false">IF(C299="","",IFERROR(INDEX(Metrics!$A:$A,MATCH(C299,Metrics!$C:$C,0)),"Not found"))</f>
        <v/>
      </c>
      <c r="B299" s="18" t="str">
        <f aca="false">IF(D299="","",IFERROR(INDEX(Fields!$A:$A,MATCH(D299,Fields!$B:$B,0)),"Not found"))</f>
        <v/>
      </c>
      <c r="C299" s="20"/>
      <c r="D299" s="20"/>
      <c r="E299" s="20"/>
      <c r="F299" s="21" t="str">
        <f aca="false">IF(B299="","",IFERROR(INDEX(Fields!$C:$C,MATCH(B299,Fields!$A:$A,0)),""))</f>
        <v/>
      </c>
      <c r="G299" s="18" t="str">
        <f aca="false">IF(A299="","",COUNTIF('Metric to Product'!$A:$A,A299))</f>
        <v/>
      </c>
      <c r="H299" s="20"/>
      <c r="I299" s="20"/>
      <c r="J299" s="20"/>
      <c r="K299" s="20"/>
    </row>
    <row r="300" customFormat="false" ht="15" hidden="false" customHeight="false" outlineLevel="0" collapsed="false">
      <c r="A300" s="18" t="str">
        <f aca="false">IF(C300="","",IFERROR(INDEX(Metrics!$A:$A,MATCH(C300,Metrics!$C:$C,0)),"Not found"))</f>
        <v/>
      </c>
      <c r="B300" s="18" t="str">
        <f aca="false">IF(D300="","",IFERROR(INDEX(Fields!$A:$A,MATCH(D300,Fields!$B:$B,0)),"Not found"))</f>
        <v/>
      </c>
      <c r="C300" s="20"/>
      <c r="D300" s="20"/>
      <c r="E300" s="20"/>
      <c r="F300" s="21" t="str">
        <f aca="false">IF(B300="","",IFERROR(INDEX(Fields!$C:$C,MATCH(B300,Fields!$A:$A,0)),""))</f>
        <v/>
      </c>
      <c r="G300" s="18" t="str">
        <f aca="false">IF(A300="","",COUNTIF('Metric to Product'!$A:$A,A300))</f>
        <v/>
      </c>
      <c r="H300" s="20"/>
      <c r="I300" s="20"/>
      <c r="J300" s="20"/>
      <c r="K300" s="20"/>
    </row>
    <row r="301" customFormat="false" ht="15" hidden="false" customHeight="false" outlineLevel="0" collapsed="false">
      <c r="A301" s="18" t="str">
        <f aca="false">IF(C301="","",IFERROR(INDEX(Metrics!$A:$A,MATCH(C301,Metrics!$C:$C,0)),"Not found"))</f>
        <v/>
      </c>
      <c r="B301" s="18" t="str">
        <f aca="false">IF(D301="","",IFERROR(INDEX(Fields!$A:$A,MATCH(D301,Fields!$B:$B,0)),"Not found"))</f>
        <v/>
      </c>
      <c r="C301" s="20"/>
      <c r="D301" s="20"/>
      <c r="E301" s="20"/>
      <c r="F301" s="21" t="str">
        <f aca="false">IF(B301="","",IFERROR(INDEX(Fields!$C:$C,MATCH(B301,Fields!$A:$A,0)),""))</f>
        <v/>
      </c>
      <c r="G301" s="18" t="str">
        <f aca="false">IF(A301="","",COUNTIF('Metric to Product'!$A:$A,A301))</f>
        <v/>
      </c>
      <c r="H301" s="20"/>
      <c r="I301" s="20"/>
      <c r="J301" s="20"/>
      <c r="K301" s="20"/>
    </row>
    <row r="302" customFormat="false" ht="15" hidden="false" customHeight="false" outlineLevel="0" collapsed="false">
      <c r="A302" s="18" t="str">
        <f aca="false">IF(C302="","",IFERROR(INDEX(Metrics!$A:$A,MATCH(C302,Metrics!$C:$C,0)),"Not found"))</f>
        <v/>
      </c>
      <c r="B302" s="18" t="str">
        <f aca="false">IF(D302="","",IFERROR(INDEX(Fields!$A:$A,MATCH(D302,Fields!$B:$B,0)),"Not found"))</f>
        <v/>
      </c>
      <c r="C302" s="20"/>
      <c r="D302" s="20"/>
      <c r="E302" s="20"/>
      <c r="F302" s="21" t="str">
        <f aca="false">IF(B302="","",IFERROR(INDEX(Fields!$C:$C,MATCH(B302,Fields!$A:$A,0)),""))</f>
        <v/>
      </c>
      <c r="G302" s="18" t="str">
        <f aca="false">IF(A302="","",COUNTIF('Metric to Product'!$A:$A,A302))</f>
        <v/>
      </c>
      <c r="H302" s="20"/>
      <c r="I302" s="20"/>
      <c r="J302" s="20"/>
      <c r="K302" s="20"/>
    </row>
    <row r="303" customFormat="false" ht="15" hidden="false" customHeight="false" outlineLevel="0" collapsed="false">
      <c r="A303" s="18" t="str">
        <f aca="false">IF(C303="","",IFERROR(INDEX(Metrics!$A:$A,MATCH(C303,Metrics!$C:$C,0)),"Not found"))</f>
        <v/>
      </c>
      <c r="B303" s="18" t="str">
        <f aca="false">IF(D303="","",IFERROR(INDEX(Fields!$A:$A,MATCH(D303,Fields!$B:$B,0)),"Not found"))</f>
        <v/>
      </c>
      <c r="C303" s="20"/>
      <c r="D303" s="20"/>
      <c r="E303" s="20"/>
      <c r="F303" s="21" t="str">
        <f aca="false">IF(B303="","",IFERROR(INDEX(Fields!$C:$C,MATCH(B303,Fields!$A:$A,0)),""))</f>
        <v/>
      </c>
      <c r="G303" s="18" t="str">
        <f aca="false">IF(A303="","",COUNTIF('Metric to Product'!$A:$A,A303))</f>
        <v/>
      </c>
      <c r="H303" s="20"/>
      <c r="I303" s="20"/>
      <c r="J303" s="20"/>
      <c r="K303" s="20"/>
    </row>
    <row r="304" customFormat="false" ht="15" hidden="false" customHeight="false" outlineLevel="0" collapsed="false">
      <c r="A304" s="18" t="str">
        <f aca="false">IF(C304="","",IFERROR(INDEX(Metrics!$A:$A,MATCH(C304,Metrics!$C:$C,0)),"Not found"))</f>
        <v/>
      </c>
      <c r="B304" s="18" t="str">
        <f aca="false">IF(D304="","",IFERROR(INDEX(Fields!$A:$A,MATCH(D304,Fields!$B:$B,0)),"Not found"))</f>
        <v/>
      </c>
      <c r="C304" s="20"/>
      <c r="D304" s="20"/>
      <c r="E304" s="20"/>
      <c r="F304" s="21" t="str">
        <f aca="false">IF(B304="","",IFERROR(INDEX(Fields!$C:$C,MATCH(B304,Fields!$A:$A,0)),""))</f>
        <v/>
      </c>
      <c r="G304" s="18" t="str">
        <f aca="false">IF(A304="","",COUNTIF('Metric to Product'!$A:$A,A304))</f>
        <v/>
      </c>
      <c r="H304" s="20"/>
      <c r="I304" s="20"/>
      <c r="J304" s="20"/>
      <c r="K304" s="20"/>
    </row>
    <row r="305" customFormat="false" ht="15" hidden="false" customHeight="false" outlineLevel="0" collapsed="false">
      <c r="A305" s="18" t="str">
        <f aca="false">IF(C305="","",IFERROR(INDEX(Metrics!$A:$A,MATCH(C305,Metrics!$C:$C,0)),"Not found"))</f>
        <v/>
      </c>
      <c r="B305" s="18" t="str">
        <f aca="false">IF(D305="","",IFERROR(INDEX(Fields!$A:$A,MATCH(D305,Fields!$B:$B,0)),"Not found"))</f>
        <v/>
      </c>
      <c r="C305" s="20"/>
      <c r="D305" s="20"/>
      <c r="E305" s="20"/>
      <c r="F305" s="21" t="str">
        <f aca="false">IF(B305="","",IFERROR(INDEX(Fields!$C:$C,MATCH(B305,Fields!$A:$A,0)),""))</f>
        <v/>
      </c>
      <c r="G305" s="18" t="str">
        <f aca="false">IF(A305="","",COUNTIF('Metric to Product'!$A:$A,A305))</f>
        <v/>
      </c>
      <c r="H305" s="20"/>
      <c r="I305" s="20"/>
      <c r="J305" s="20"/>
      <c r="K305" s="20"/>
    </row>
    <row r="306" customFormat="false" ht="15" hidden="false" customHeight="false" outlineLevel="0" collapsed="false">
      <c r="A306" s="18" t="str">
        <f aca="false">IF(C306="","",IFERROR(INDEX(Metrics!$A:$A,MATCH(C306,Metrics!$C:$C,0)),"Not found"))</f>
        <v/>
      </c>
      <c r="B306" s="18" t="str">
        <f aca="false">IF(D306="","",IFERROR(INDEX(Fields!$A:$A,MATCH(D306,Fields!$B:$B,0)),"Not found"))</f>
        <v/>
      </c>
      <c r="C306" s="20"/>
      <c r="D306" s="20"/>
      <c r="E306" s="20"/>
      <c r="F306" s="21" t="str">
        <f aca="false">IF(B306="","",IFERROR(INDEX(Fields!$C:$C,MATCH(B306,Fields!$A:$A,0)),""))</f>
        <v/>
      </c>
      <c r="G306" s="18" t="str">
        <f aca="false">IF(A306="","",COUNTIF('Metric to Product'!$A:$A,A306))</f>
        <v/>
      </c>
      <c r="H306" s="20"/>
      <c r="I306" s="20"/>
      <c r="J306" s="20"/>
      <c r="K306" s="20"/>
    </row>
    <row r="307" customFormat="false" ht="15" hidden="false" customHeight="false" outlineLevel="0" collapsed="false">
      <c r="A307" s="18" t="str">
        <f aca="false">IF(C307="","",IFERROR(INDEX(Metrics!$A:$A,MATCH(C307,Metrics!$C:$C,0)),"Not found"))</f>
        <v/>
      </c>
      <c r="B307" s="18" t="str">
        <f aca="false">IF(D307="","",IFERROR(INDEX(Fields!$A:$A,MATCH(D307,Fields!$B:$B,0)),"Not found"))</f>
        <v/>
      </c>
      <c r="C307" s="20"/>
      <c r="D307" s="20"/>
      <c r="E307" s="20"/>
      <c r="F307" s="21" t="str">
        <f aca="false">IF(B307="","",IFERROR(INDEX(Fields!$C:$C,MATCH(B307,Fields!$A:$A,0)),""))</f>
        <v/>
      </c>
      <c r="G307" s="18" t="str">
        <f aca="false">IF(A307="","",COUNTIF('Metric to Product'!$A:$A,A307))</f>
        <v/>
      </c>
      <c r="H307" s="20"/>
      <c r="I307" s="20"/>
      <c r="J307" s="20"/>
      <c r="K307" s="20"/>
    </row>
    <row r="308" customFormat="false" ht="15" hidden="false" customHeight="false" outlineLevel="0" collapsed="false">
      <c r="A308" s="18" t="str">
        <f aca="false">IF(C308="","",IFERROR(INDEX(Metrics!$A:$A,MATCH(C308,Metrics!$C:$C,0)),"Not found"))</f>
        <v/>
      </c>
      <c r="B308" s="18" t="str">
        <f aca="false">IF(D308="","",IFERROR(INDEX(Fields!$A:$A,MATCH(D308,Fields!$B:$B,0)),"Not found"))</f>
        <v/>
      </c>
      <c r="C308" s="20"/>
      <c r="D308" s="20"/>
      <c r="E308" s="20"/>
      <c r="F308" s="21" t="str">
        <f aca="false">IF(B308="","",IFERROR(INDEX(Fields!$C:$C,MATCH(B308,Fields!$A:$A,0)),""))</f>
        <v/>
      </c>
      <c r="G308" s="18" t="str">
        <f aca="false">IF(A308="","",COUNTIF('Metric to Product'!$A:$A,A308))</f>
        <v/>
      </c>
      <c r="H308" s="20"/>
      <c r="I308" s="20"/>
      <c r="J308" s="20"/>
      <c r="K308" s="20"/>
    </row>
    <row r="309" customFormat="false" ht="15" hidden="false" customHeight="false" outlineLevel="0" collapsed="false">
      <c r="A309" s="18" t="str">
        <f aca="false">IF(C309="","",IFERROR(INDEX(Metrics!$A:$A,MATCH(C309,Metrics!$C:$C,0)),"Not found"))</f>
        <v/>
      </c>
      <c r="B309" s="18" t="str">
        <f aca="false">IF(D309="","",IFERROR(INDEX(Fields!$A:$A,MATCH(D309,Fields!$B:$B,0)),"Not found"))</f>
        <v/>
      </c>
      <c r="C309" s="20"/>
      <c r="D309" s="20"/>
      <c r="E309" s="20"/>
      <c r="F309" s="21" t="str">
        <f aca="false">IF(B309="","",IFERROR(INDEX(Fields!$C:$C,MATCH(B309,Fields!$A:$A,0)),""))</f>
        <v/>
      </c>
      <c r="G309" s="18" t="str">
        <f aca="false">IF(A309="","",COUNTIF('Metric to Product'!$A:$A,A309))</f>
        <v/>
      </c>
      <c r="H309" s="20"/>
      <c r="I309" s="20"/>
      <c r="J309" s="20"/>
      <c r="K309" s="20"/>
    </row>
    <row r="310" customFormat="false" ht="15" hidden="false" customHeight="false" outlineLevel="0" collapsed="false">
      <c r="A310" s="18" t="str">
        <f aca="false">IF(C310="","",IFERROR(INDEX(Metrics!$A:$A,MATCH(C310,Metrics!$C:$C,0)),"Not found"))</f>
        <v/>
      </c>
      <c r="B310" s="18" t="str">
        <f aca="false">IF(D310="","",IFERROR(INDEX(Fields!$A:$A,MATCH(D310,Fields!$B:$B,0)),"Not found"))</f>
        <v/>
      </c>
      <c r="C310" s="20"/>
      <c r="D310" s="20"/>
      <c r="E310" s="20"/>
      <c r="F310" s="21" t="str">
        <f aca="false">IF(B310="","",IFERROR(INDEX(Fields!$C:$C,MATCH(B310,Fields!$A:$A,0)),""))</f>
        <v/>
      </c>
      <c r="G310" s="18" t="str">
        <f aca="false">IF(A310="","",COUNTIF('Metric to Product'!$A:$A,A310))</f>
        <v/>
      </c>
      <c r="H310" s="20"/>
      <c r="I310" s="20"/>
      <c r="J310" s="20"/>
      <c r="K310" s="20"/>
    </row>
    <row r="311" customFormat="false" ht="15" hidden="false" customHeight="false" outlineLevel="0" collapsed="false">
      <c r="A311" s="18" t="str">
        <f aca="false">IF(C311="","",IFERROR(INDEX(Metrics!$A:$A,MATCH(C311,Metrics!$C:$C,0)),"Not found"))</f>
        <v/>
      </c>
      <c r="B311" s="18" t="str">
        <f aca="false">IF(D311="","",IFERROR(INDEX(Fields!$A:$A,MATCH(D311,Fields!$B:$B,0)),"Not found"))</f>
        <v/>
      </c>
      <c r="C311" s="20"/>
      <c r="D311" s="20"/>
      <c r="E311" s="20"/>
      <c r="F311" s="21" t="str">
        <f aca="false">IF(B311="","",IFERROR(INDEX(Fields!$C:$C,MATCH(B311,Fields!$A:$A,0)),""))</f>
        <v/>
      </c>
      <c r="G311" s="18" t="str">
        <f aca="false">IF(A311="","",COUNTIF('Metric to Product'!$A:$A,A311))</f>
        <v/>
      </c>
      <c r="H311" s="20"/>
      <c r="I311" s="20"/>
      <c r="J311" s="20"/>
      <c r="K311" s="20"/>
    </row>
    <row r="312" customFormat="false" ht="15" hidden="false" customHeight="false" outlineLevel="0" collapsed="false">
      <c r="A312" s="18" t="str">
        <f aca="false">IF(C312="","",IFERROR(INDEX(Metrics!$A:$A,MATCH(C312,Metrics!$C:$C,0)),"Not found"))</f>
        <v/>
      </c>
      <c r="B312" s="18" t="str">
        <f aca="false">IF(D312="","",IFERROR(INDEX(Fields!$A:$A,MATCH(D312,Fields!$B:$B,0)),"Not found"))</f>
        <v/>
      </c>
      <c r="C312" s="20"/>
      <c r="D312" s="20"/>
      <c r="E312" s="20"/>
      <c r="F312" s="21" t="str">
        <f aca="false">IF(B312="","",IFERROR(INDEX(Fields!$C:$C,MATCH(B312,Fields!$A:$A,0)),""))</f>
        <v/>
      </c>
      <c r="G312" s="18" t="str">
        <f aca="false">IF(A312="","",COUNTIF('Metric to Product'!$A:$A,A312))</f>
        <v/>
      </c>
      <c r="H312" s="20"/>
      <c r="I312" s="20"/>
      <c r="J312" s="20"/>
      <c r="K312" s="20"/>
    </row>
    <row r="313" customFormat="false" ht="15" hidden="false" customHeight="false" outlineLevel="0" collapsed="false">
      <c r="A313" s="18" t="str">
        <f aca="false">IF(C313="","",IFERROR(INDEX(Metrics!$A:$A,MATCH(C313,Metrics!$C:$C,0)),"Not found"))</f>
        <v/>
      </c>
      <c r="B313" s="18" t="str">
        <f aca="false">IF(D313="","",IFERROR(INDEX(Fields!$A:$A,MATCH(D313,Fields!$B:$B,0)),"Not found"))</f>
        <v/>
      </c>
      <c r="C313" s="20"/>
      <c r="D313" s="20"/>
      <c r="E313" s="20"/>
      <c r="F313" s="21" t="str">
        <f aca="false">IF(B313="","",IFERROR(INDEX(Fields!$C:$C,MATCH(B313,Fields!$A:$A,0)),""))</f>
        <v/>
      </c>
      <c r="G313" s="18" t="str">
        <f aca="false">IF(A313="","",COUNTIF('Metric to Product'!$A:$A,A313))</f>
        <v/>
      </c>
      <c r="H313" s="20"/>
      <c r="I313" s="20"/>
      <c r="J313" s="20"/>
      <c r="K313" s="20"/>
    </row>
    <row r="314" customFormat="false" ht="15" hidden="false" customHeight="false" outlineLevel="0" collapsed="false">
      <c r="A314" s="18" t="str">
        <f aca="false">IF(C314="","",IFERROR(INDEX(Metrics!$A:$A,MATCH(C314,Metrics!$C:$C,0)),"Not found"))</f>
        <v/>
      </c>
      <c r="B314" s="18" t="str">
        <f aca="false">IF(D314="","",IFERROR(INDEX(Fields!$A:$A,MATCH(D314,Fields!$B:$B,0)),"Not found"))</f>
        <v/>
      </c>
      <c r="C314" s="20"/>
      <c r="D314" s="20"/>
      <c r="E314" s="20"/>
      <c r="F314" s="21" t="str">
        <f aca="false">IF(B314="","",IFERROR(INDEX(Fields!$C:$C,MATCH(B314,Fields!$A:$A,0)),""))</f>
        <v/>
      </c>
      <c r="G314" s="18" t="str">
        <f aca="false">IF(A314="","",COUNTIF('Metric to Product'!$A:$A,A314))</f>
        <v/>
      </c>
      <c r="H314" s="20"/>
      <c r="I314" s="20"/>
      <c r="J314" s="20"/>
      <c r="K314" s="20"/>
    </row>
    <row r="315" customFormat="false" ht="15" hidden="false" customHeight="false" outlineLevel="0" collapsed="false">
      <c r="A315" s="18" t="str">
        <f aca="false">IF(C315="","",IFERROR(INDEX(Metrics!$A:$A,MATCH(C315,Metrics!$C:$C,0)),"Not found"))</f>
        <v/>
      </c>
      <c r="B315" s="18" t="str">
        <f aca="false">IF(D315="","",IFERROR(INDEX(Fields!$A:$A,MATCH(D315,Fields!$B:$B,0)),"Not found"))</f>
        <v/>
      </c>
      <c r="C315" s="20"/>
      <c r="D315" s="20"/>
      <c r="E315" s="20"/>
      <c r="F315" s="21" t="str">
        <f aca="false">IF(B315="","",IFERROR(INDEX(Fields!$C:$C,MATCH(B315,Fields!$A:$A,0)),""))</f>
        <v/>
      </c>
      <c r="G315" s="18" t="str">
        <f aca="false">IF(A315="","",COUNTIF('Metric to Product'!$A:$A,A315))</f>
        <v/>
      </c>
      <c r="H315" s="20"/>
      <c r="I315" s="20"/>
      <c r="J315" s="20"/>
      <c r="K315" s="20"/>
    </row>
    <row r="316" customFormat="false" ht="15" hidden="false" customHeight="false" outlineLevel="0" collapsed="false">
      <c r="A316" s="18" t="str">
        <f aca="false">IF(C316="","",IFERROR(INDEX(Metrics!$A:$A,MATCH(C316,Metrics!$C:$C,0)),"Not found"))</f>
        <v/>
      </c>
      <c r="B316" s="18" t="str">
        <f aca="false">IF(D316="","",IFERROR(INDEX(Fields!$A:$A,MATCH(D316,Fields!$B:$B,0)),"Not found"))</f>
        <v/>
      </c>
      <c r="C316" s="20"/>
      <c r="D316" s="20"/>
      <c r="E316" s="20"/>
      <c r="F316" s="21" t="str">
        <f aca="false">IF(B316="","",IFERROR(INDEX(Fields!$C:$C,MATCH(B316,Fields!$A:$A,0)),""))</f>
        <v/>
      </c>
      <c r="G316" s="18" t="str">
        <f aca="false">IF(A316="","",COUNTIF('Metric to Product'!$A:$A,A316))</f>
        <v/>
      </c>
      <c r="H316" s="20"/>
      <c r="I316" s="20"/>
      <c r="J316" s="20"/>
      <c r="K316" s="20"/>
    </row>
    <row r="317" customFormat="false" ht="15" hidden="false" customHeight="false" outlineLevel="0" collapsed="false">
      <c r="A317" s="18" t="str">
        <f aca="false">IF(C317="","",IFERROR(INDEX(Metrics!$A:$A,MATCH(C317,Metrics!$C:$C,0)),"Not found"))</f>
        <v/>
      </c>
      <c r="B317" s="18" t="str">
        <f aca="false">IF(D317="","",IFERROR(INDEX(Fields!$A:$A,MATCH(D317,Fields!$B:$B,0)),"Not found"))</f>
        <v/>
      </c>
      <c r="C317" s="20"/>
      <c r="D317" s="20"/>
      <c r="E317" s="20"/>
      <c r="F317" s="21" t="str">
        <f aca="false">IF(B317="","",IFERROR(INDEX(Fields!$C:$C,MATCH(B317,Fields!$A:$A,0)),""))</f>
        <v/>
      </c>
      <c r="G317" s="18" t="str">
        <f aca="false">IF(A317="","",COUNTIF('Metric to Product'!$A:$A,A317))</f>
        <v/>
      </c>
      <c r="H317" s="20"/>
      <c r="I317" s="20"/>
      <c r="J317" s="20"/>
      <c r="K317" s="20"/>
    </row>
    <row r="318" customFormat="false" ht="15" hidden="false" customHeight="false" outlineLevel="0" collapsed="false">
      <c r="A318" s="18" t="str">
        <f aca="false">IF(C318="","",IFERROR(INDEX(Metrics!$A:$A,MATCH(C318,Metrics!$C:$C,0)),"Not found"))</f>
        <v/>
      </c>
      <c r="B318" s="18" t="str">
        <f aca="false">IF(D318="","",IFERROR(INDEX(Fields!$A:$A,MATCH(D318,Fields!$B:$B,0)),"Not found"))</f>
        <v/>
      </c>
      <c r="C318" s="20"/>
      <c r="D318" s="20"/>
      <c r="E318" s="20"/>
      <c r="F318" s="21" t="str">
        <f aca="false">IF(B318="","",IFERROR(INDEX(Fields!$C:$C,MATCH(B318,Fields!$A:$A,0)),""))</f>
        <v/>
      </c>
      <c r="G318" s="18" t="str">
        <f aca="false">IF(A318="","",COUNTIF('Metric to Product'!$A:$A,A318))</f>
        <v/>
      </c>
      <c r="H318" s="20"/>
      <c r="I318" s="20"/>
      <c r="J318" s="20"/>
      <c r="K318" s="20"/>
    </row>
    <row r="319" customFormat="false" ht="15" hidden="false" customHeight="false" outlineLevel="0" collapsed="false">
      <c r="A319" s="18" t="str">
        <f aca="false">IF(C319="","",IFERROR(INDEX(Metrics!$A:$A,MATCH(C319,Metrics!$C:$C,0)),"Not found"))</f>
        <v/>
      </c>
      <c r="B319" s="18" t="str">
        <f aca="false">IF(D319="","",IFERROR(INDEX(Fields!$A:$A,MATCH(D319,Fields!$B:$B,0)),"Not found"))</f>
        <v/>
      </c>
      <c r="C319" s="20"/>
      <c r="D319" s="20"/>
      <c r="E319" s="20"/>
      <c r="F319" s="21" t="str">
        <f aca="false">IF(B319="","",IFERROR(INDEX(Fields!$C:$C,MATCH(B319,Fields!$A:$A,0)),""))</f>
        <v/>
      </c>
      <c r="G319" s="18" t="str">
        <f aca="false">IF(A319="","",COUNTIF('Metric to Product'!$A:$A,A319))</f>
        <v/>
      </c>
      <c r="H319" s="20"/>
      <c r="I319" s="20"/>
      <c r="J319" s="20"/>
      <c r="K319" s="20"/>
    </row>
    <row r="320" customFormat="false" ht="15" hidden="false" customHeight="false" outlineLevel="0" collapsed="false">
      <c r="A320" s="18" t="str">
        <f aca="false">IF(C320="","",IFERROR(INDEX(Metrics!$A:$A,MATCH(C320,Metrics!$C:$C,0)),"Not found"))</f>
        <v/>
      </c>
      <c r="B320" s="18" t="str">
        <f aca="false">IF(D320="","",IFERROR(INDEX(Fields!$A:$A,MATCH(D320,Fields!$B:$B,0)),"Not found"))</f>
        <v/>
      </c>
      <c r="C320" s="20"/>
      <c r="D320" s="20"/>
      <c r="E320" s="20"/>
      <c r="F320" s="21" t="str">
        <f aca="false">IF(B320="","",IFERROR(INDEX(Fields!$C:$C,MATCH(B320,Fields!$A:$A,0)),""))</f>
        <v/>
      </c>
      <c r="G320" s="18" t="str">
        <f aca="false">IF(A320="","",COUNTIF('Metric to Product'!$A:$A,A320))</f>
        <v/>
      </c>
      <c r="H320" s="20"/>
      <c r="I320" s="20"/>
      <c r="J320" s="20"/>
      <c r="K320" s="20"/>
    </row>
    <row r="321" customFormat="false" ht="15" hidden="false" customHeight="false" outlineLevel="0" collapsed="false">
      <c r="A321" s="18" t="str">
        <f aca="false">IF(C321="","",IFERROR(INDEX(Metrics!$A:$A,MATCH(C321,Metrics!$C:$C,0)),"Not found"))</f>
        <v/>
      </c>
      <c r="B321" s="18" t="str">
        <f aca="false">IF(D321="","",IFERROR(INDEX(Fields!$A:$A,MATCH(D321,Fields!$B:$B,0)),"Not found"))</f>
        <v/>
      </c>
      <c r="C321" s="20"/>
      <c r="D321" s="20"/>
      <c r="E321" s="20"/>
      <c r="F321" s="21" t="str">
        <f aca="false">IF(B321="","",IFERROR(INDEX(Fields!$C:$C,MATCH(B321,Fields!$A:$A,0)),""))</f>
        <v/>
      </c>
      <c r="G321" s="18" t="str">
        <f aca="false">IF(A321="","",COUNTIF('Metric to Product'!$A:$A,A321))</f>
        <v/>
      </c>
      <c r="H321" s="20"/>
      <c r="I321" s="20"/>
      <c r="J321" s="20"/>
      <c r="K321" s="20"/>
    </row>
    <row r="322" customFormat="false" ht="15" hidden="false" customHeight="false" outlineLevel="0" collapsed="false">
      <c r="A322" s="18" t="str">
        <f aca="false">IF(C322="","",IFERROR(INDEX(Metrics!$A:$A,MATCH(C322,Metrics!$C:$C,0)),"Not found"))</f>
        <v/>
      </c>
      <c r="B322" s="18" t="str">
        <f aca="false">IF(D322="","",IFERROR(INDEX(Fields!$A:$A,MATCH(D322,Fields!$B:$B,0)),"Not found"))</f>
        <v/>
      </c>
      <c r="C322" s="20"/>
      <c r="D322" s="20"/>
      <c r="E322" s="20"/>
      <c r="F322" s="21" t="str">
        <f aca="false">IF(B322="","",IFERROR(INDEX(Fields!$C:$C,MATCH(B322,Fields!$A:$A,0)),""))</f>
        <v/>
      </c>
      <c r="G322" s="18" t="str">
        <f aca="false">IF(A322="","",COUNTIF('Metric to Product'!$A:$A,A322))</f>
        <v/>
      </c>
      <c r="H322" s="20"/>
      <c r="I322" s="20"/>
      <c r="J322" s="20"/>
      <c r="K322" s="20"/>
    </row>
    <row r="323" customFormat="false" ht="15" hidden="false" customHeight="false" outlineLevel="0" collapsed="false">
      <c r="A323" s="18" t="str">
        <f aca="false">IF(C323="","",IFERROR(INDEX(Metrics!$A:$A,MATCH(C323,Metrics!$C:$C,0)),"Not found"))</f>
        <v/>
      </c>
      <c r="B323" s="18" t="str">
        <f aca="false">IF(D323="","",IFERROR(INDEX(Fields!$A:$A,MATCH(D323,Fields!$B:$B,0)),"Not found"))</f>
        <v/>
      </c>
      <c r="C323" s="20"/>
      <c r="D323" s="20"/>
      <c r="E323" s="20"/>
      <c r="F323" s="21" t="str">
        <f aca="false">IF(B323="","",IFERROR(INDEX(Fields!$C:$C,MATCH(B323,Fields!$A:$A,0)),""))</f>
        <v/>
      </c>
      <c r="G323" s="18" t="str">
        <f aca="false">IF(A323="","",COUNTIF('Metric to Product'!$A:$A,A323))</f>
        <v/>
      </c>
      <c r="H323" s="20"/>
      <c r="I323" s="20"/>
      <c r="J323" s="20"/>
      <c r="K323" s="20"/>
    </row>
    <row r="324" customFormat="false" ht="15" hidden="false" customHeight="false" outlineLevel="0" collapsed="false">
      <c r="A324" s="18" t="str">
        <f aca="false">IF(C324="","",IFERROR(INDEX(Metrics!$A:$A,MATCH(C324,Metrics!$C:$C,0)),"Not found"))</f>
        <v/>
      </c>
      <c r="B324" s="18" t="str">
        <f aca="false">IF(D324="","",IFERROR(INDEX(Fields!$A:$A,MATCH(D324,Fields!$B:$B,0)),"Not found"))</f>
        <v/>
      </c>
      <c r="C324" s="20"/>
      <c r="D324" s="20"/>
      <c r="E324" s="20"/>
      <c r="F324" s="21" t="str">
        <f aca="false">IF(B324="","",IFERROR(INDEX(Fields!$C:$C,MATCH(B324,Fields!$A:$A,0)),""))</f>
        <v/>
      </c>
      <c r="G324" s="18" t="str">
        <f aca="false">IF(A324="","",COUNTIF('Metric to Product'!$A:$A,A324))</f>
        <v/>
      </c>
      <c r="H324" s="20"/>
      <c r="I324" s="20"/>
      <c r="J324" s="20"/>
      <c r="K324" s="20"/>
    </row>
    <row r="325" customFormat="false" ht="15" hidden="false" customHeight="false" outlineLevel="0" collapsed="false">
      <c r="A325" s="18" t="str">
        <f aca="false">IF(C325="","",IFERROR(INDEX(Metrics!$A:$A,MATCH(C325,Metrics!$C:$C,0)),"Not found"))</f>
        <v/>
      </c>
      <c r="B325" s="18" t="str">
        <f aca="false">IF(D325="","",IFERROR(INDEX(Fields!$A:$A,MATCH(D325,Fields!$B:$B,0)),"Not found"))</f>
        <v/>
      </c>
      <c r="C325" s="20"/>
      <c r="D325" s="20"/>
      <c r="E325" s="20"/>
      <c r="F325" s="21" t="str">
        <f aca="false">IF(B325="","",IFERROR(INDEX(Fields!$C:$C,MATCH(B325,Fields!$A:$A,0)),""))</f>
        <v/>
      </c>
      <c r="G325" s="18" t="str">
        <f aca="false">IF(A325="","",COUNTIF('Metric to Product'!$A:$A,A325))</f>
        <v/>
      </c>
      <c r="H325" s="20"/>
      <c r="I325" s="20"/>
      <c r="J325" s="20"/>
      <c r="K325" s="20"/>
    </row>
    <row r="326" customFormat="false" ht="15" hidden="false" customHeight="false" outlineLevel="0" collapsed="false">
      <c r="A326" s="18" t="str">
        <f aca="false">IF(C326="","",IFERROR(INDEX(Metrics!$A:$A,MATCH(C326,Metrics!$C:$C,0)),"Not found"))</f>
        <v/>
      </c>
      <c r="B326" s="18" t="str">
        <f aca="false">IF(D326="","",IFERROR(INDEX(Fields!$A:$A,MATCH(D326,Fields!$B:$B,0)),"Not found"))</f>
        <v/>
      </c>
      <c r="C326" s="20"/>
      <c r="D326" s="20"/>
      <c r="E326" s="20"/>
      <c r="F326" s="21" t="str">
        <f aca="false">IF(B326="","",IFERROR(INDEX(Fields!$C:$C,MATCH(B326,Fields!$A:$A,0)),""))</f>
        <v/>
      </c>
      <c r="G326" s="18" t="str">
        <f aca="false">IF(A326="","",COUNTIF('Metric to Product'!$A:$A,A326))</f>
        <v/>
      </c>
      <c r="H326" s="20"/>
      <c r="I326" s="20"/>
      <c r="J326" s="20"/>
      <c r="K326" s="20"/>
    </row>
    <row r="327" customFormat="false" ht="15" hidden="false" customHeight="false" outlineLevel="0" collapsed="false">
      <c r="A327" s="18" t="str">
        <f aca="false">IF(C327="","",IFERROR(INDEX(Metrics!$A:$A,MATCH(C327,Metrics!$C:$C,0)),"Not found"))</f>
        <v/>
      </c>
      <c r="B327" s="18" t="str">
        <f aca="false">IF(D327="","",IFERROR(INDEX(Fields!$A:$A,MATCH(D327,Fields!$B:$B,0)),"Not found"))</f>
        <v/>
      </c>
      <c r="C327" s="20"/>
      <c r="D327" s="20"/>
      <c r="E327" s="20"/>
      <c r="F327" s="21" t="str">
        <f aca="false">IF(B327="","",IFERROR(INDEX(Fields!$C:$C,MATCH(B327,Fields!$A:$A,0)),""))</f>
        <v/>
      </c>
      <c r="G327" s="18" t="str">
        <f aca="false">IF(A327="","",COUNTIF('Metric to Product'!$A:$A,A327))</f>
        <v/>
      </c>
      <c r="H327" s="20"/>
      <c r="I327" s="20"/>
      <c r="J327" s="20"/>
      <c r="K327" s="20"/>
    </row>
    <row r="328" customFormat="false" ht="15" hidden="false" customHeight="false" outlineLevel="0" collapsed="false">
      <c r="A328" s="18" t="str">
        <f aca="false">IF(C328="","",IFERROR(INDEX(Metrics!$A:$A,MATCH(C328,Metrics!$C:$C,0)),"Not found"))</f>
        <v/>
      </c>
      <c r="B328" s="18" t="str">
        <f aca="false">IF(D328="","",IFERROR(INDEX(Fields!$A:$A,MATCH(D328,Fields!$B:$B,0)),"Not found"))</f>
        <v/>
      </c>
      <c r="C328" s="20"/>
      <c r="D328" s="20"/>
      <c r="E328" s="20"/>
      <c r="F328" s="21" t="str">
        <f aca="false">IF(B328="","",IFERROR(INDEX(Fields!$C:$C,MATCH(B328,Fields!$A:$A,0)),""))</f>
        <v/>
      </c>
      <c r="G328" s="18" t="str">
        <f aca="false">IF(A328="","",COUNTIF('Metric to Product'!$A:$A,A328))</f>
        <v/>
      </c>
      <c r="H328" s="20"/>
      <c r="I328" s="20"/>
      <c r="J328" s="20"/>
      <c r="K328" s="20"/>
    </row>
    <row r="329" customFormat="false" ht="15" hidden="false" customHeight="false" outlineLevel="0" collapsed="false">
      <c r="A329" s="18" t="str">
        <f aca="false">IF(C329="","",IFERROR(INDEX(Metrics!$A:$A,MATCH(C329,Metrics!$C:$C,0)),"Not found"))</f>
        <v/>
      </c>
      <c r="B329" s="18" t="str">
        <f aca="false">IF(D329="","",IFERROR(INDEX(Fields!$A:$A,MATCH(D329,Fields!$B:$B,0)),"Not found"))</f>
        <v/>
      </c>
      <c r="C329" s="20"/>
      <c r="D329" s="20"/>
      <c r="E329" s="20"/>
      <c r="F329" s="21" t="str">
        <f aca="false">IF(B329="","",IFERROR(INDEX(Fields!$C:$C,MATCH(B329,Fields!$A:$A,0)),""))</f>
        <v/>
      </c>
      <c r="G329" s="18" t="str">
        <f aca="false">IF(A329="","",COUNTIF('Metric to Product'!$A:$A,A329))</f>
        <v/>
      </c>
      <c r="H329" s="20"/>
      <c r="I329" s="20"/>
      <c r="J329" s="20"/>
      <c r="K329" s="20"/>
    </row>
    <row r="330" customFormat="false" ht="15" hidden="false" customHeight="false" outlineLevel="0" collapsed="false">
      <c r="A330" s="18" t="str">
        <f aca="false">IF(C330="","",IFERROR(INDEX(Metrics!$A:$A,MATCH(C330,Metrics!$C:$C,0)),"Not found"))</f>
        <v/>
      </c>
      <c r="B330" s="18" t="str">
        <f aca="false">IF(D330="","",IFERROR(INDEX(Fields!$A:$A,MATCH(D330,Fields!$B:$B,0)),"Not found"))</f>
        <v/>
      </c>
      <c r="C330" s="20"/>
      <c r="D330" s="20"/>
      <c r="E330" s="20"/>
      <c r="F330" s="21" t="str">
        <f aca="false">IF(B330="","",IFERROR(INDEX(Fields!$C:$C,MATCH(B330,Fields!$A:$A,0)),""))</f>
        <v/>
      </c>
      <c r="G330" s="18" t="str">
        <f aca="false">IF(A330="","",COUNTIF('Metric to Product'!$A:$A,A330))</f>
        <v/>
      </c>
      <c r="H330" s="20"/>
      <c r="I330" s="20"/>
      <c r="J330" s="20"/>
      <c r="K330" s="20"/>
    </row>
    <row r="331" customFormat="false" ht="15" hidden="false" customHeight="false" outlineLevel="0" collapsed="false">
      <c r="A331" s="18" t="str">
        <f aca="false">IF(C331="","",IFERROR(INDEX(Metrics!$A:$A,MATCH(C331,Metrics!$C:$C,0)),"Not found"))</f>
        <v/>
      </c>
      <c r="B331" s="18" t="str">
        <f aca="false">IF(D331="","",IFERROR(INDEX(Fields!$A:$A,MATCH(D331,Fields!$B:$B,0)),"Not found"))</f>
        <v/>
      </c>
      <c r="C331" s="20"/>
      <c r="D331" s="20"/>
      <c r="E331" s="20"/>
      <c r="F331" s="21" t="str">
        <f aca="false">IF(B331="","",IFERROR(INDEX(Fields!$C:$C,MATCH(B331,Fields!$A:$A,0)),""))</f>
        <v/>
      </c>
      <c r="G331" s="18" t="str">
        <f aca="false">IF(A331="","",COUNTIF('Metric to Product'!$A:$A,A331))</f>
        <v/>
      </c>
      <c r="H331" s="20"/>
      <c r="I331" s="20"/>
      <c r="J331" s="20"/>
      <c r="K331" s="20"/>
    </row>
    <row r="332" customFormat="false" ht="15" hidden="false" customHeight="false" outlineLevel="0" collapsed="false">
      <c r="A332" s="18" t="str">
        <f aca="false">IF(C332="","",IFERROR(INDEX(Metrics!$A:$A,MATCH(C332,Metrics!$C:$C,0)),"Not found"))</f>
        <v/>
      </c>
      <c r="B332" s="18" t="str">
        <f aca="false">IF(D332="","",IFERROR(INDEX(Fields!$A:$A,MATCH(D332,Fields!$B:$B,0)),"Not found"))</f>
        <v/>
      </c>
      <c r="C332" s="20"/>
      <c r="D332" s="20"/>
      <c r="E332" s="20"/>
      <c r="F332" s="21" t="str">
        <f aca="false">IF(B332="","",IFERROR(INDEX(Fields!$C:$C,MATCH(B332,Fields!$A:$A,0)),""))</f>
        <v/>
      </c>
      <c r="G332" s="18" t="str">
        <f aca="false">IF(A332="","",COUNTIF('Metric to Product'!$A:$A,A332))</f>
        <v/>
      </c>
      <c r="H332" s="20"/>
      <c r="I332" s="20"/>
      <c r="J332" s="20"/>
      <c r="K332" s="20"/>
    </row>
    <row r="333" customFormat="false" ht="15" hidden="false" customHeight="false" outlineLevel="0" collapsed="false">
      <c r="A333" s="18" t="str">
        <f aca="false">IF(C333="","",IFERROR(INDEX(Metrics!$A:$A,MATCH(C333,Metrics!$C:$C,0)),"Not found"))</f>
        <v/>
      </c>
      <c r="B333" s="18" t="str">
        <f aca="false">IF(D333="","",IFERROR(INDEX(Fields!$A:$A,MATCH(D333,Fields!$B:$B,0)),"Not found"))</f>
        <v/>
      </c>
      <c r="C333" s="20"/>
      <c r="D333" s="20"/>
      <c r="E333" s="20"/>
      <c r="F333" s="21" t="str">
        <f aca="false">IF(B333="","",IFERROR(INDEX(Fields!$C:$C,MATCH(B333,Fields!$A:$A,0)),""))</f>
        <v/>
      </c>
      <c r="G333" s="18" t="str">
        <f aca="false">IF(A333="","",COUNTIF('Metric to Product'!$A:$A,A333))</f>
        <v/>
      </c>
      <c r="H333" s="20"/>
      <c r="I333" s="20"/>
      <c r="J333" s="20"/>
      <c r="K333" s="20"/>
    </row>
    <row r="334" customFormat="false" ht="15" hidden="false" customHeight="false" outlineLevel="0" collapsed="false">
      <c r="A334" s="18" t="str">
        <f aca="false">IF(C334="","",IFERROR(INDEX(Metrics!$A:$A,MATCH(C334,Metrics!$C:$C,0)),"Not found"))</f>
        <v/>
      </c>
      <c r="B334" s="18" t="str">
        <f aca="false">IF(D334="","",IFERROR(INDEX(Fields!$A:$A,MATCH(D334,Fields!$B:$B,0)),"Not found"))</f>
        <v/>
      </c>
      <c r="C334" s="20"/>
      <c r="D334" s="20"/>
      <c r="E334" s="20"/>
      <c r="F334" s="21" t="str">
        <f aca="false">IF(B334="","",IFERROR(INDEX(Fields!$C:$C,MATCH(B334,Fields!$A:$A,0)),""))</f>
        <v/>
      </c>
      <c r="G334" s="18" t="str">
        <f aca="false">IF(A334="","",COUNTIF('Metric to Product'!$A:$A,A334))</f>
        <v/>
      </c>
      <c r="H334" s="20"/>
      <c r="I334" s="20"/>
      <c r="J334" s="20"/>
      <c r="K334" s="20"/>
    </row>
    <row r="335" customFormat="false" ht="15" hidden="false" customHeight="false" outlineLevel="0" collapsed="false">
      <c r="A335" s="18" t="str">
        <f aca="false">IF(C335="","",IFERROR(INDEX(Metrics!$A:$A,MATCH(C335,Metrics!$C:$C,0)),"Not found"))</f>
        <v/>
      </c>
      <c r="B335" s="18" t="str">
        <f aca="false">IF(D335="","",IFERROR(INDEX(Fields!$A:$A,MATCH(D335,Fields!$B:$B,0)),"Not found"))</f>
        <v/>
      </c>
      <c r="C335" s="20"/>
      <c r="D335" s="20"/>
      <c r="E335" s="20"/>
      <c r="F335" s="21" t="str">
        <f aca="false">IF(B335="","",IFERROR(INDEX(Fields!$C:$C,MATCH(B335,Fields!$A:$A,0)),""))</f>
        <v/>
      </c>
      <c r="G335" s="18" t="str">
        <f aca="false">IF(A335="","",COUNTIF('Metric to Product'!$A:$A,A335))</f>
        <v/>
      </c>
      <c r="H335" s="20"/>
      <c r="I335" s="20"/>
      <c r="J335" s="20"/>
      <c r="K335" s="20"/>
    </row>
    <row r="336" customFormat="false" ht="15" hidden="false" customHeight="false" outlineLevel="0" collapsed="false">
      <c r="A336" s="18" t="str">
        <f aca="false">IF(C336="","",IFERROR(INDEX(Metrics!$A:$A,MATCH(C336,Metrics!$C:$C,0)),"Not found"))</f>
        <v/>
      </c>
      <c r="B336" s="18" t="str">
        <f aca="false">IF(D336="","",IFERROR(INDEX(Fields!$A:$A,MATCH(D336,Fields!$B:$B,0)),"Not found"))</f>
        <v/>
      </c>
      <c r="C336" s="20"/>
      <c r="D336" s="20"/>
      <c r="E336" s="20"/>
      <c r="F336" s="21" t="str">
        <f aca="false">IF(B336="","",IFERROR(INDEX(Fields!$C:$C,MATCH(B336,Fields!$A:$A,0)),""))</f>
        <v/>
      </c>
      <c r="G336" s="18" t="str">
        <f aca="false">IF(A336="","",COUNTIF('Metric to Product'!$A:$A,A336))</f>
        <v/>
      </c>
      <c r="H336" s="20"/>
      <c r="I336" s="20"/>
      <c r="J336" s="20"/>
      <c r="K336" s="20"/>
    </row>
    <row r="337" customFormat="false" ht="15" hidden="false" customHeight="false" outlineLevel="0" collapsed="false">
      <c r="A337" s="18" t="str">
        <f aca="false">IF(C337="","",IFERROR(INDEX(Metrics!$A:$A,MATCH(C337,Metrics!$C:$C,0)),"Not found"))</f>
        <v/>
      </c>
      <c r="B337" s="18" t="str">
        <f aca="false">IF(D337="","",IFERROR(INDEX(Fields!$A:$A,MATCH(D337,Fields!$B:$B,0)),"Not found"))</f>
        <v/>
      </c>
      <c r="C337" s="20"/>
      <c r="D337" s="20"/>
      <c r="E337" s="20"/>
      <c r="F337" s="21" t="str">
        <f aca="false">IF(B337="","",IFERROR(INDEX(Fields!$C:$C,MATCH(B337,Fields!$A:$A,0)),""))</f>
        <v/>
      </c>
      <c r="G337" s="18" t="str">
        <f aca="false">IF(A337="","",COUNTIF('Metric to Product'!$A:$A,A337))</f>
        <v/>
      </c>
      <c r="H337" s="20"/>
      <c r="I337" s="20"/>
      <c r="J337" s="20"/>
      <c r="K337" s="20"/>
    </row>
    <row r="338" customFormat="false" ht="15" hidden="false" customHeight="false" outlineLevel="0" collapsed="false">
      <c r="A338" s="18" t="str">
        <f aca="false">IF(C338="","",IFERROR(INDEX(Metrics!$A:$A,MATCH(C338,Metrics!$C:$C,0)),"Not found"))</f>
        <v/>
      </c>
      <c r="B338" s="18" t="str">
        <f aca="false">IF(D338="","",IFERROR(INDEX(Fields!$A:$A,MATCH(D338,Fields!$B:$B,0)),"Not found"))</f>
        <v/>
      </c>
      <c r="C338" s="20"/>
      <c r="D338" s="20"/>
      <c r="E338" s="20"/>
      <c r="F338" s="21" t="str">
        <f aca="false">IF(B338="","",IFERROR(INDEX(Fields!$C:$C,MATCH(B338,Fields!$A:$A,0)),""))</f>
        <v/>
      </c>
      <c r="G338" s="18" t="str">
        <f aca="false">IF(A338="","",COUNTIF('Metric to Product'!$A:$A,A338))</f>
        <v/>
      </c>
      <c r="H338" s="20"/>
      <c r="I338" s="20"/>
      <c r="J338" s="20"/>
      <c r="K338" s="20"/>
    </row>
    <row r="339" customFormat="false" ht="15" hidden="false" customHeight="false" outlineLevel="0" collapsed="false">
      <c r="A339" s="18" t="str">
        <f aca="false">IF(C339="","",IFERROR(INDEX(Metrics!$A:$A,MATCH(C339,Metrics!$C:$C,0)),"Not found"))</f>
        <v/>
      </c>
      <c r="B339" s="18" t="str">
        <f aca="false">IF(D339="","",IFERROR(INDEX(Fields!$A:$A,MATCH(D339,Fields!$B:$B,0)),"Not found"))</f>
        <v/>
      </c>
      <c r="C339" s="20"/>
      <c r="D339" s="20"/>
      <c r="E339" s="20"/>
      <c r="F339" s="21" t="str">
        <f aca="false">IF(B339="","",IFERROR(INDEX(Fields!$C:$C,MATCH(B339,Fields!$A:$A,0)),""))</f>
        <v/>
      </c>
      <c r="G339" s="18" t="str">
        <f aca="false">IF(A339="","",COUNTIF('Metric to Product'!$A:$A,A339))</f>
        <v/>
      </c>
      <c r="H339" s="20"/>
      <c r="I339" s="20"/>
      <c r="J339" s="20"/>
      <c r="K339" s="20"/>
    </row>
    <row r="340" customFormat="false" ht="15" hidden="false" customHeight="false" outlineLevel="0" collapsed="false">
      <c r="A340" s="18" t="str">
        <f aca="false">IF(C340="","",IFERROR(INDEX(Metrics!$A:$A,MATCH(C340,Metrics!$C:$C,0)),"Not found"))</f>
        <v/>
      </c>
      <c r="B340" s="18" t="str">
        <f aca="false">IF(D340="","",IFERROR(INDEX(Fields!$A:$A,MATCH(D340,Fields!$B:$B,0)),"Not found"))</f>
        <v/>
      </c>
      <c r="C340" s="20"/>
      <c r="D340" s="20"/>
      <c r="E340" s="20"/>
      <c r="F340" s="21" t="str">
        <f aca="false">IF(B340="","",IFERROR(INDEX(Fields!$C:$C,MATCH(B340,Fields!$A:$A,0)),""))</f>
        <v/>
      </c>
      <c r="G340" s="18" t="str">
        <f aca="false">IF(A340="","",COUNTIF('Metric to Product'!$A:$A,A340))</f>
        <v/>
      </c>
      <c r="H340" s="20"/>
      <c r="I340" s="20"/>
      <c r="J340" s="20"/>
      <c r="K340" s="20"/>
    </row>
    <row r="341" customFormat="false" ht="15" hidden="false" customHeight="false" outlineLevel="0" collapsed="false">
      <c r="A341" s="18" t="str">
        <f aca="false">IF(C341="","",IFERROR(INDEX(Metrics!$A:$A,MATCH(C341,Metrics!$C:$C,0)),"Not found"))</f>
        <v/>
      </c>
      <c r="B341" s="18" t="str">
        <f aca="false">IF(D341="","",IFERROR(INDEX(Fields!$A:$A,MATCH(D341,Fields!$B:$B,0)),"Not found"))</f>
        <v/>
      </c>
      <c r="C341" s="20"/>
      <c r="D341" s="20"/>
      <c r="E341" s="20"/>
      <c r="F341" s="21" t="str">
        <f aca="false">IF(B341="","",IFERROR(INDEX(Fields!$C:$C,MATCH(B341,Fields!$A:$A,0)),""))</f>
        <v/>
      </c>
      <c r="G341" s="18" t="str">
        <f aca="false">IF(A341="","",COUNTIF('Metric to Product'!$A:$A,A341))</f>
        <v/>
      </c>
      <c r="H341" s="20"/>
      <c r="I341" s="20"/>
      <c r="J341" s="20"/>
      <c r="K341" s="20"/>
    </row>
    <row r="342" customFormat="false" ht="15" hidden="false" customHeight="false" outlineLevel="0" collapsed="false">
      <c r="A342" s="18" t="str">
        <f aca="false">IF(C342="","",IFERROR(INDEX(Metrics!$A:$A,MATCH(C342,Metrics!$C:$C,0)),"Not found"))</f>
        <v/>
      </c>
      <c r="B342" s="18" t="str">
        <f aca="false">IF(D342="","",IFERROR(INDEX(Fields!$A:$A,MATCH(D342,Fields!$B:$B,0)),"Not found"))</f>
        <v/>
      </c>
      <c r="C342" s="20"/>
      <c r="D342" s="20"/>
      <c r="E342" s="20"/>
      <c r="F342" s="21" t="str">
        <f aca="false">IF(B342="","",IFERROR(INDEX(Fields!$C:$C,MATCH(B342,Fields!$A:$A,0)),""))</f>
        <v/>
      </c>
      <c r="G342" s="18" t="str">
        <f aca="false">IF(A342="","",COUNTIF('Metric to Product'!$A:$A,A342))</f>
        <v/>
      </c>
      <c r="H342" s="20"/>
      <c r="I342" s="20"/>
      <c r="J342" s="20"/>
      <c r="K342" s="20"/>
    </row>
    <row r="343" customFormat="false" ht="15" hidden="false" customHeight="false" outlineLevel="0" collapsed="false">
      <c r="A343" s="18" t="str">
        <f aca="false">IF(C343="","",IFERROR(INDEX(Metrics!$A:$A,MATCH(C343,Metrics!$C:$C,0)),"Not found"))</f>
        <v/>
      </c>
      <c r="B343" s="18" t="str">
        <f aca="false">IF(D343="","",IFERROR(INDEX(Fields!$A:$A,MATCH(D343,Fields!$B:$B,0)),"Not found"))</f>
        <v/>
      </c>
      <c r="C343" s="20"/>
      <c r="D343" s="20"/>
      <c r="E343" s="20"/>
      <c r="F343" s="21" t="str">
        <f aca="false">IF(B343="","",IFERROR(INDEX(Fields!$C:$C,MATCH(B343,Fields!$A:$A,0)),""))</f>
        <v/>
      </c>
      <c r="G343" s="18" t="str">
        <f aca="false">IF(A343="","",COUNTIF('Metric to Product'!$A:$A,A343))</f>
        <v/>
      </c>
      <c r="H343" s="20"/>
      <c r="I343" s="20"/>
      <c r="J343" s="20"/>
      <c r="K343" s="20"/>
    </row>
    <row r="344" customFormat="false" ht="15" hidden="false" customHeight="false" outlineLevel="0" collapsed="false">
      <c r="A344" s="18" t="str">
        <f aca="false">IF(C344="","",IFERROR(INDEX(Metrics!$A:$A,MATCH(C344,Metrics!$C:$C,0)),"Not found"))</f>
        <v/>
      </c>
      <c r="B344" s="18" t="str">
        <f aca="false">IF(D344="","",IFERROR(INDEX(Fields!$A:$A,MATCH(D344,Fields!$B:$B,0)),"Not found"))</f>
        <v/>
      </c>
      <c r="C344" s="20"/>
      <c r="D344" s="20"/>
      <c r="E344" s="20"/>
      <c r="F344" s="21" t="str">
        <f aca="false">IF(B344="","",IFERROR(INDEX(Fields!$C:$C,MATCH(B344,Fields!$A:$A,0)),""))</f>
        <v/>
      </c>
      <c r="G344" s="18" t="str">
        <f aca="false">IF(A344="","",COUNTIF('Metric to Product'!$A:$A,A344))</f>
        <v/>
      </c>
      <c r="H344" s="20"/>
      <c r="I344" s="20"/>
      <c r="J344" s="20"/>
      <c r="K344" s="20"/>
    </row>
    <row r="345" customFormat="false" ht="15" hidden="false" customHeight="false" outlineLevel="0" collapsed="false">
      <c r="A345" s="18" t="str">
        <f aca="false">IF(C345="","",IFERROR(INDEX(Metrics!$A:$A,MATCH(C345,Metrics!$C:$C,0)),"Not found"))</f>
        <v/>
      </c>
      <c r="B345" s="18" t="str">
        <f aca="false">IF(D345="","",IFERROR(INDEX(Fields!$A:$A,MATCH(D345,Fields!$B:$B,0)),"Not found"))</f>
        <v/>
      </c>
      <c r="C345" s="20"/>
      <c r="D345" s="20"/>
      <c r="E345" s="20"/>
      <c r="F345" s="21" t="str">
        <f aca="false">IF(B345="","",IFERROR(INDEX(Fields!$C:$C,MATCH(B345,Fields!$A:$A,0)),""))</f>
        <v/>
      </c>
      <c r="G345" s="18" t="str">
        <f aca="false">IF(A345="","",COUNTIF('Metric to Product'!$A:$A,A345))</f>
        <v/>
      </c>
      <c r="H345" s="20"/>
      <c r="I345" s="20"/>
      <c r="J345" s="20"/>
      <c r="K345" s="20"/>
    </row>
    <row r="346" customFormat="false" ht="15" hidden="false" customHeight="false" outlineLevel="0" collapsed="false">
      <c r="A346" s="18" t="str">
        <f aca="false">IF(C346="","",IFERROR(INDEX(Metrics!$A:$A,MATCH(C346,Metrics!$C:$C,0)),"Not found"))</f>
        <v/>
      </c>
      <c r="B346" s="18" t="str">
        <f aca="false">IF(D346="","",IFERROR(INDEX(Fields!$A:$A,MATCH(D346,Fields!$B:$B,0)),"Not found"))</f>
        <v/>
      </c>
      <c r="C346" s="20"/>
      <c r="D346" s="20"/>
      <c r="E346" s="20"/>
      <c r="F346" s="21" t="str">
        <f aca="false">IF(B346="","",IFERROR(INDEX(Fields!$C:$C,MATCH(B346,Fields!$A:$A,0)),""))</f>
        <v/>
      </c>
      <c r="G346" s="18" t="str">
        <f aca="false">IF(A346="","",COUNTIF('Metric to Product'!$A:$A,A346))</f>
        <v/>
      </c>
      <c r="H346" s="20"/>
      <c r="I346" s="20"/>
      <c r="J346" s="20"/>
      <c r="K346" s="20"/>
    </row>
    <row r="347" customFormat="false" ht="15" hidden="false" customHeight="false" outlineLevel="0" collapsed="false">
      <c r="A347" s="18" t="str">
        <f aca="false">IF(C347="","",IFERROR(INDEX(Metrics!$A:$A,MATCH(C347,Metrics!$C:$C,0)),"Not found"))</f>
        <v/>
      </c>
      <c r="B347" s="18" t="str">
        <f aca="false">IF(D347="","",IFERROR(INDEX(Fields!$A:$A,MATCH(D347,Fields!$B:$B,0)),"Not found"))</f>
        <v/>
      </c>
      <c r="C347" s="20"/>
      <c r="D347" s="20"/>
      <c r="E347" s="20"/>
      <c r="F347" s="21" t="str">
        <f aca="false">IF(B347="","",IFERROR(INDEX(Fields!$C:$C,MATCH(B347,Fields!$A:$A,0)),""))</f>
        <v/>
      </c>
      <c r="G347" s="18" t="str">
        <f aca="false">IF(A347="","",COUNTIF('Metric to Product'!$A:$A,A347))</f>
        <v/>
      </c>
      <c r="H347" s="20"/>
      <c r="I347" s="20"/>
      <c r="J347" s="20"/>
      <c r="K347" s="20"/>
    </row>
    <row r="348" customFormat="false" ht="15" hidden="false" customHeight="false" outlineLevel="0" collapsed="false">
      <c r="A348" s="18" t="str">
        <f aca="false">IF(C348="","",IFERROR(INDEX(Metrics!$A:$A,MATCH(C348,Metrics!$C:$C,0)),"Not found"))</f>
        <v/>
      </c>
      <c r="B348" s="18" t="str">
        <f aca="false">IF(D348="","",IFERROR(INDEX(Fields!$A:$A,MATCH(D348,Fields!$B:$B,0)),"Not found"))</f>
        <v/>
      </c>
      <c r="C348" s="20"/>
      <c r="D348" s="20"/>
      <c r="E348" s="20"/>
      <c r="F348" s="21" t="str">
        <f aca="false">IF(B348="","",IFERROR(INDEX(Fields!$C:$C,MATCH(B348,Fields!$A:$A,0)),""))</f>
        <v/>
      </c>
      <c r="G348" s="18" t="str">
        <f aca="false">IF(A348="","",COUNTIF('Metric to Product'!$A:$A,A348))</f>
        <v/>
      </c>
      <c r="H348" s="20"/>
      <c r="I348" s="20"/>
      <c r="J348" s="20"/>
      <c r="K348" s="20"/>
    </row>
    <row r="349" customFormat="false" ht="15" hidden="false" customHeight="false" outlineLevel="0" collapsed="false">
      <c r="A349" s="18" t="str">
        <f aca="false">IF(C349="","",IFERROR(INDEX(Metrics!$A:$A,MATCH(C349,Metrics!$C:$C,0)),"Not found"))</f>
        <v/>
      </c>
      <c r="B349" s="18" t="str">
        <f aca="false">IF(D349="","",IFERROR(INDEX(Fields!$A:$A,MATCH(D349,Fields!$B:$B,0)),"Not found"))</f>
        <v/>
      </c>
      <c r="C349" s="20"/>
      <c r="D349" s="20"/>
      <c r="E349" s="20"/>
      <c r="F349" s="21" t="str">
        <f aca="false">IF(B349="","",IFERROR(INDEX(Fields!$C:$C,MATCH(B349,Fields!$A:$A,0)),""))</f>
        <v/>
      </c>
      <c r="G349" s="18" t="str">
        <f aca="false">IF(A349="","",COUNTIF('Metric to Product'!$A:$A,A349))</f>
        <v/>
      </c>
      <c r="H349" s="20"/>
      <c r="I349" s="20"/>
      <c r="J349" s="20"/>
      <c r="K349" s="20"/>
    </row>
    <row r="350" customFormat="false" ht="15" hidden="false" customHeight="false" outlineLevel="0" collapsed="false">
      <c r="A350" s="18" t="str">
        <f aca="false">IF(C350="","",IFERROR(INDEX(Metrics!$A:$A,MATCH(C350,Metrics!$C:$C,0)),"Not found"))</f>
        <v/>
      </c>
      <c r="B350" s="18" t="str">
        <f aca="false">IF(D350="","",IFERROR(INDEX(Fields!$A:$A,MATCH(D350,Fields!$B:$B,0)),"Not found"))</f>
        <v/>
      </c>
      <c r="C350" s="20"/>
      <c r="D350" s="20"/>
      <c r="E350" s="20"/>
      <c r="F350" s="21" t="str">
        <f aca="false">IF(B350="","",IFERROR(INDEX(Fields!$C:$C,MATCH(B350,Fields!$A:$A,0)),""))</f>
        <v/>
      </c>
      <c r="G350" s="18" t="str">
        <f aca="false">IF(A350="","",COUNTIF('Metric to Product'!$A:$A,A350))</f>
        <v/>
      </c>
      <c r="H350" s="20"/>
      <c r="I350" s="20"/>
      <c r="J350" s="20"/>
      <c r="K350" s="20"/>
    </row>
    <row r="351" customFormat="false" ht="15" hidden="false" customHeight="false" outlineLevel="0" collapsed="false">
      <c r="A351" s="18" t="str">
        <f aca="false">IF(C351="","",IFERROR(INDEX(Metrics!$A:$A,MATCH(C351,Metrics!$C:$C,0)),"Not found"))</f>
        <v/>
      </c>
      <c r="B351" s="18" t="str">
        <f aca="false">IF(D351="","",IFERROR(INDEX(Fields!$A:$A,MATCH(D351,Fields!$B:$B,0)),"Not found"))</f>
        <v/>
      </c>
      <c r="C351" s="20"/>
      <c r="D351" s="20"/>
      <c r="E351" s="20"/>
      <c r="F351" s="21" t="str">
        <f aca="false">IF(B351="","",IFERROR(INDEX(Fields!$C:$C,MATCH(B351,Fields!$A:$A,0)),""))</f>
        <v/>
      </c>
      <c r="G351" s="18" t="str">
        <f aca="false">IF(A351="","",COUNTIF('Metric to Product'!$A:$A,A351))</f>
        <v/>
      </c>
      <c r="H351" s="20"/>
      <c r="I351" s="20"/>
      <c r="J351" s="20"/>
      <c r="K351" s="20"/>
    </row>
    <row r="352" customFormat="false" ht="15" hidden="false" customHeight="false" outlineLevel="0" collapsed="false">
      <c r="A352" s="18" t="str">
        <f aca="false">IF(C352="","",IFERROR(INDEX(Metrics!$A:$A,MATCH(C352,Metrics!$C:$C,0)),"Not found"))</f>
        <v/>
      </c>
      <c r="B352" s="18" t="str">
        <f aca="false">IF(D352="","",IFERROR(INDEX(Fields!$A:$A,MATCH(D352,Fields!$B:$B,0)),"Not found"))</f>
        <v/>
      </c>
      <c r="C352" s="20"/>
      <c r="D352" s="20"/>
      <c r="E352" s="20"/>
      <c r="F352" s="21" t="str">
        <f aca="false">IF(B352="","",IFERROR(INDEX(Fields!$C:$C,MATCH(B352,Fields!$A:$A,0)),""))</f>
        <v/>
      </c>
      <c r="G352" s="18" t="str">
        <f aca="false">IF(A352="","",COUNTIF('Metric to Product'!$A:$A,A352))</f>
        <v/>
      </c>
      <c r="H352" s="20"/>
      <c r="I352" s="20"/>
      <c r="J352" s="20"/>
      <c r="K352" s="20"/>
    </row>
    <row r="353" customFormat="false" ht="15" hidden="false" customHeight="false" outlineLevel="0" collapsed="false">
      <c r="A353" s="18" t="str">
        <f aca="false">IF(C353="","",IFERROR(INDEX(Metrics!$A:$A,MATCH(C353,Metrics!$C:$C,0)),"Not found"))</f>
        <v/>
      </c>
      <c r="B353" s="18" t="str">
        <f aca="false">IF(D353="","",IFERROR(INDEX(Fields!$A:$A,MATCH(D353,Fields!$B:$B,0)),"Not found"))</f>
        <v/>
      </c>
      <c r="C353" s="20"/>
      <c r="D353" s="20"/>
      <c r="E353" s="20"/>
      <c r="F353" s="21" t="str">
        <f aca="false">IF(B353="","",IFERROR(INDEX(Fields!$C:$C,MATCH(B353,Fields!$A:$A,0)),""))</f>
        <v/>
      </c>
      <c r="G353" s="18" t="str">
        <f aca="false">IF(A353="","",COUNTIF('Metric to Product'!$A:$A,A353))</f>
        <v/>
      </c>
      <c r="H353" s="20"/>
      <c r="I353" s="20"/>
      <c r="J353" s="20"/>
      <c r="K353" s="20"/>
    </row>
    <row r="354" customFormat="false" ht="15" hidden="false" customHeight="false" outlineLevel="0" collapsed="false">
      <c r="A354" s="18" t="str">
        <f aca="false">IF(C354="","",IFERROR(INDEX(Metrics!$A:$A,MATCH(C354,Metrics!$C:$C,0)),"Not found"))</f>
        <v/>
      </c>
      <c r="B354" s="18" t="str">
        <f aca="false">IF(D354="","",IFERROR(INDEX(Fields!$A:$A,MATCH(D354,Fields!$B:$B,0)),"Not found"))</f>
        <v/>
      </c>
      <c r="C354" s="20"/>
      <c r="D354" s="20"/>
      <c r="E354" s="20"/>
      <c r="F354" s="21" t="str">
        <f aca="false">IF(B354="","",IFERROR(INDEX(Fields!$C:$C,MATCH(B354,Fields!$A:$A,0)),""))</f>
        <v/>
      </c>
      <c r="G354" s="18" t="str">
        <f aca="false">IF(A354="","",COUNTIF('Metric to Product'!$A:$A,A354))</f>
        <v/>
      </c>
      <c r="H354" s="20"/>
      <c r="I354" s="20"/>
      <c r="J354" s="20"/>
      <c r="K354" s="20"/>
    </row>
    <row r="355" customFormat="false" ht="15" hidden="false" customHeight="false" outlineLevel="0" collapsed="false">
      <c r="A355" s="18" t="str">
        <f aca="false">IF(C355="","",IFERROR(INDEX(Metrics!$A:$A,MATCH(C355,Metrics!$C:$C,0)),"Not found"))</f>
        <v/>
      </c>
      <c r="B355" s="18" t="str">
        <f aca="false">IF(D355="","",IFERROR(INDEX(Fields!$A:$A,MATCH(D355,Fields!$B:$B,0)),"Not found"))</f>
        <v/>
      </c>
      <c r="C355" s="20"/>
      <c r="D355" s="20"/>
      <c r="E355" s="20"/>
      <c r="F355" s="21" t="str">
        <f aca="false">IF(B355="","",IFERROR(INDEX(Fields!$C:$C,MATCH(B355,Fields!$A:$A,0)),""))</f>
        <v/>
      </c>
      <c r="G355" s="18" t="str">
        <f aca="false">IF(A355="","",COUNTIF('Metric to Product'!$A:$A,A355))</f>
        <v/>
      </c>
      <c r="H355" s="20"/>
      <c r="I355" s="20"/>
      <c r="J355" s="20"/>
      <c r="K355" s="20"/>
    </row>
    <row r="356" customFormat="false" ht="15" hidden="false" customHeight="false" outlineLevel="0" collapsed="false">
      <c r="A356" s="18" t="str">
        <f aca="false">IF(C356="","",IFERROR(INDEX(Metrics!$A:$A,MATCH(C356,Metrics!$C:$C,0)),"Not found"))</f>
        <v/>
      </c>
      <c r="B356" s="18" t="str">
        <f aca="false">IF(D356="","",IFERROR(INDEX(Fields!$A:$A,MATCH(D356,Fields!$B:$B,0)),"Not found"))</f>
        <v/>
      </c>
      <c r="C356" s="20"/>
      <c r="D356" s="20"/>
      <c r="E356" s="20"/>
      <c r="F356" s="21" t="str">
        <f aca="false">IF(B356="","",IFERROR(INDEX(Fields!$C:$C,MATCH(B356,Fields!$A:$A,0)),""))</f>
        <v/>
      </c>
      <c r="G356" s="18" t="str">
        <f aca="false">IF(A356="","",COUNTIF('Metric to Product'!$A:$A,A356))</f>
        <v/>
      </c>
      <c r="H356" s="20"/>
      <c r="I356" s="20"/>
      <c r="J356" s="20"/>
      <c r="K356" s="20"/>
    </row>
    <row r="357" customFormat="false" ht="15" hidden="false" customHeight="false" outlineLevel="0" collapsed="false">
      <c r="A357" s="18" t="str">
        <f aca="false">IF(C357="","",IFERROR(INDEX(Metrics!$A:$A,MATCH(C357,Metrics!$C:$C,0)),"Not found"))</f>
        <v/>
      </c>
      <c r="B357" s="18" t="str">
        <f aca="false">IF(D357="","",IFERROR(INDEX(Fields!$A:$A,MATCH(D357,Fields!$B:$B,0)),"Not found"))</f>
        <v/>
      </c>
      <c r="C357" s="20"/>
      <c r="D357" s="20"/>
      <c r="E357" s="20"/>
      <c r="F357" s="21" t="str">
        <f aca="false">IF(B357="","",IFERROR(INDEX(Fields!$C:$C,MATCH(B357,Fields!$A:$A,0)),""))</f>
        <v/>
      </c>
      <c r="G357" s="18" t="str">
        <f aca="false">IF(A357="","",COUNTIF('Metric to Product'!$A:$A,A357))</f>
        <v/>
      </c>
      <c r="H357" s="20"/>
      <c r="I357" s="20"/>
      <c r="J357" s="20"/>
      <c r="K357" s="20"/>
    </row>
    <row r="358" customFormat="false" ht="15" hidden="false" customHeight="false" outlineLevel="0" collapsed="false">
      <c r="A358" s="18" t="str">
        <f aca="false">IF(C358="","",IFERROR(INDEX(Metrics!$A:$A,MATCH(C358,Metrics!$C:$C,0)),"Not found"))</f>
        <v/>
      </c>
      <c r="B358" s="18" t="str">
        <f aca="false">IF(D358="","",IFERROR(INDEX(Fields!$A:$A,MATCH(D358,Fields!$B:$B,0)),"Not found"))</f>
        <v/>
      </c>
      <c r="C358" s="20"/>
      <c r="D358" s="20"/>
      <c r="E358" s="20"/>
      <c r="F358" s="21" t="str">
        <f aca="false">IF(B358="","",IFERROR(INDEX(Fields!$C:$C,MATCH(B358,Fields!$A:$A,0)),""))</f>
        <v/>
      </c>
      <c r="G358" s="18" t="str">
        <f aca="false">IF(A358="","",COUNTIF('Metric to Product'!$A:$A,A358))</f>
        <v/>
      </c>
      <c r="H358" s="20"/>
      <c r="I358" s="20"/>
      <c r="J358" s="20"/>
      <c r="K358" s="20"/>
    </row>
    <row r="359" customFormat="false" ht="15" hidden="false" customHeight="false" outlineLevel="0" collapsed="false">
      <c r="A359" s="18" t="str">
        <f aca="false">IF(C359="","",IFERROR(INDEX(Metrics!$A:$A,MATCH(C359,Metrics!$C:$C,0)),"Not found"))</f>
        <v/>
      </c>
      <c r="B359" s="18" t="str">
        <f aca="false">IF(D359="","",IFERROR(INDEX(Fields!$A:$A,MATCH(D359,Fields!$B:$B,0)),"Not found"))</f>
        <v/>
      </c>
      <c r="C359" s="20"/>
      <c r="D359" s="20"/>
      <c r="E359" s="20"/>
      <c r="F359" s="21" t="str">
        <f aca="false">IF(B359="","",IFERROR(INDEX(Fields!$C:$C,MATCH(B359,Fields!$A:$A,0)),""))</f>
        <v/>
      </c>
      <c r="G359" s="18" t="str">
        <f aca="false">IF(A359="","",COUNTIF('Metric to Product'!$A:$A,A359))</f>
        <v/>
      </c>
      <c r="H359" s="20"/>
      <c r="I359" s="20"/>
      <c r="J359" s="20"/>
      <c r="K359" s="20"/>
    </row>
    <row r="360" customFormat="false" ht="15" hidden="false" customHeight="false" outlineLevel="0" collapsed="false">
      <c r="A360" s="18" t="str">
        <f aca="false">IF(C360="","",IFERROR(INDEX(Metrics!$A:$A,MATCH(C360,Metrics!$C:$C,0)),"Not found"))</f>
        <v/>
      </c>
      <c r="B360" s="18" t="str">
        <f aca="false">IF(D360="","",IFERROR(INDEX(Fields!$A:$A,MATCH(D360,Fields!$B:$B,0)),"Not found"))</f>
        <v/>
      </c>
      <c r="C360" s="20"/>
      <c r="D360" s="20"/>
      <c r="E360" s="20"/>
      <c r="F360" s="21" t="str">
        <f aca="false">IF(B360="","",IFERROR(INDEX(Fields!$C:$C,MATCH(B360,Fields!$A:$A,0)),""))</f>
        <v/>
      </c>
      <c r="G360" s="18" t="str">
        <f aca="false">IF(A360="","",COUNTIF('Metric to Product'!$A:$A,A360))</f>
        <v/>
      </c>
      <c r="H360" s="20"/>
      <c r="I360" s="20"/>
      <c r="J360" s="20"/>
      <c r="K360" s="20"/>
    </row>
    <row r="361" customFormat="false" ht="15" hidden="false" customHeight="false" outlineLevel="0" collapsed="false">
      <c r="A361" s="18" t="str">
        <f aca="false">IF(C361="","",IFERROR(INDEX(Metrics!$A:$A,MATCH(C361,Metrics!$C:$C,0)),"Not found"))</f>
        <v/>
      </c>
      <c r="B361" s="18" t="str">
        <f aca="false">IF(D361="","",IFERROR(INDEX(Fields!$A:$A,MATCH(D361,Fields!$B:$B,0)),"Not found"))</f>
        <v/>
      </c>
      <c r="C361" s="20"/>
      <c r="D361" s="20"/>
      <c r="E361" s="20"/>
      <c r="F361" s="21" t="str">
        <f aca="false">IF(B361="","",IFERROR(INDEX(Fields!$C:$C,MATCH(B361,Fields!$A:$A,0)),""))</f>
        <v/>
      </c>
      <c r="G361" s="18" t="str">
        <f aca="false">IF(A361="","",COUNTIF('Metric to Product'!$A:$A,A361))</f>
        <v/>
      </c>
      <c r="H361" s="20"/>
      <c r="I361" s="20"/>
      <c r="J361" s="20"/>
      <c r="K361" s="20"/>
    </row>
    <row r="362" customFormat="false" ht="15" hidden="false" customHeight="false" outlineLevel="0" collapsed="false">
      <c r="A362" s="18" t="str">
        <f aca="false">IF(C362="","",IFERROR(INDEX(Metrics!$A:$A,MATCH(C362,Metrics!$C:$C,0)),"Not found"))</f>
        <v/>
      </c>
      <c r="B362" s="18" t="str">
        <f aca="false">IF(D362="","",IFERROR(INDEX(Fields!$A:$A,MATCH(D362,Fields!$B:$B,0)),"Not found"))</f>
        <v/>
      </c>
      <c r="C362" s="20"/>
      <c r="D362" s="20"/>
      <c r="E362" s="20"/>
      <c r="F362" s="21" t="str">
        <f aca="false">IF(B362="","",IFERROR(INDEX(Fields!$C:$C,MATCH(B362,Fields!$A:$A,0)),""))</f>
        <v/>
      </c>
      <c r="G362" s="18" t="str">
        <f aca="false">IF(A362="","",COUNTIF('Metric to Product'!$A:$A,A362))</f>
        <v/>
      </c>
      <c r="H362" s="20"/>
      <c r="I362" s="20"/>
      <c r="J362" s="20"/>
      <c r="K362" s="20"/>
    </row>
    <row r="363" customFormat="false" ht="15" hidden="false" customHeight="false" outlineLevel="0" collapsed="false">
      <c r="A363" s="18" t="str">
        <f aca="false">IF(C363="","",IFERROR(INDEX(Metrics!$A:$A,MATCH(C363,Metrics!$C:$C,0)),"Not found"))</f>
        <v/>
      </c>
      <c r="B363" s="18" t="str">
        <f aca="false">IF(D363="","",IFERROR(INDEX(Fields!$A:$A,MATCH(D363,Fields!$B:$B,0)),"Not found"))</f>
        <v/>
      </c>
      <c r="C363" s="20"/>
      <c r="D363" s="20"/>
      <c r="E363" s="20"/>
      <c r="F363" s="21" t="str">
        <f aca="false">IF(B363="","",IFERROR(INDEX(Fields!$C:$C,MATCH(B363,Fields!$A:$A,0)),""))</f>
        <v/>
      </c>
      <c r="G363" s="18" t="str">
        <f aca="false">IF(A363="","",COUNTIF('Metric to Product'!$A:$A,A363))</f>
        <v/>
      </c>
      <c r="H363" s="20"/>
      <c r="I363" s="20"/>
      <c r="J363" s="20"/>
      <c r="K363" s="20"/>
    </row>
    <row r="364" customFormat="false" ht="15" hidden="false" customHeight="false" outlineLevel="0" collapsed="false">
      <c r="A364" s="18" t="str">
        <f aca="false">IF(C364="","",IFERROR(INDEX(Metrics!$A:$A,MATCH(C364,Metrics!$C:$C,0)),"Not found"))</f>
        <v/>
      </c>
      <c r="B364" s="18" t="str">
        <f aca="false">IF(D364="","",IFERROR(INDEX(Fields!$A:$A,MATCH(D364,Fields!$B:$B,0)),"Not found"))</f>
        <v/>
      </c>
      <c r="C364" s="20"/>
      <c r="D364" s="20"/>
      <c r="E364" s="20"/>
      <c r="F364" s="21" t="str">
        <f aca="false">IF(B364="","",IFERROR(INDEX(Fields!$C:$C,MATCH(B364,Fields!$A:$A,0)),""))</f>
        <v/>
      </c>
      <c r="G364" s="18" t="str">
        <f aca="false">IF(A364="","",COUNTIF('Metric to Product'!$A:$A,A364))</f>
        <v/>
      </c>
      <c r="H364" s="20"/>
      <c r="I364" s="20"/>
      <c r="J364" s="20"/>
      <c r="K364" s="20"/>
    </row>
    <row r="365" customFormat="false" ht="15" hidden="false" customHeight="false" outlineLevel="0" collapsed="false">
      <c r="A365" s="18" t="str">
        <f aca="false">IF(C365="","",IFERROR(INDEX(Metrics!$A:$A,MATCH(C365,Metrics!$C:$C,0)),"Not found"))</f>
        <v/>
      </c>
      <c r="B365" s="18" t="str">
        <f aca="false">IF(D365="","",IFERROR(INDEX(Fields!$A:$A,MATCH(D365,Fields!$B:$B,0)),"Not found"))</f>
        <v/>
      </c>
      <c r="C365" s="20"/>
      <c r="D365" s="20"/>
      <c r="E365" s="20"/>
      <c r="F365" s="21" t="str">
        <f aca="false">IF(B365="","",IFERROR(INDEX(Fields!$C:$C,MATCH(B365,Fields!$A:$A,0)),""))</f>
        <v/>
      </c>
      <c r="G365" s="18" t="str">
        <f aca="false">IF(A365="","",COUNTIF('Metric to Product'!$A:$A,A365))</f>
        <v/>
      </c>
      <c r="H365" s="20"/>
      <c r="I365" s="20"/>
      <c r="J365" s="20"/>
      <c r="K365" s="20"/>
    </row>
    <row r="366" customFormat="false" ht="15" hidden="false" customHeight="false" outlineLevel="0" collapsed="false">
      <c r="A366" s="18" t="str">
        <f aca="false">IF(C366="","",IFERROR(INDEX(Metrics!$A:$A,MATCH(C366,Metrics!$C:$C,0)),"Not found"))</f>
        <v/>
      </c>
      <c r="B366" s="18" t="str">
        <f aca="false">IF(D366="","",IFERROR(INDEX(Fields!$A:$A,MATCH(D366,Fields!$B:$B,0)),"Not found"))</f>
        <v/>
      </c>
      <c r="C366" s="20"/>
      <c r="D366" s="20"/>
      <c r="E366" s="20"/>
      <c r="F366" s="21" t="str">
        <f aca="false">IF(B366="","",IFERROR(INDEX(Fields!$C:$C,MATCH(B366,Fields!$A:$A,0)),""))</f>
        <v/>
      </c>
      <c r="G366" s="18" t="str">
        <f aca="false">IF(A366="","",COUNTIF('Metric to Product'!$A:$A,A366))</f>
        <v/>
      </c>
      <c r="H366" s="20"/>
      <c r="I366" s="20"/>
      <c r="J366" s="20"/>
      <c r="K366" s="20"/>
    </row>
    <row r="367" customFormat="false" ht="15" hidden="false" customHeight="false" outlineLevel="0" collapsed="false">
      <c r="A367" s="18" t="str">
        <f aca="false">IF(C367="","",IFERROR(INDEX(Metrics!$A:$A,MATCH(C367,Metrics!$C:$C,0)),"Not found"))</f>
        <v/>
      </c>
      <c r="B367" s="18" t="str">
        <f aca="false">IF(D367="","",IFERROR(INDEX(Fields!$A:$A,MATCH(D367,Fields!$B:$B,0)),"Not found"))</f>
        <v/>
      </c>
      <c r="C367" s="20"/>
      <c r="D367" s="20"/>
      <c r="E367" s="20"/>
      <c r="F367" s="21" t="str">
        <f aca="false">IF(B367="","",IFERROR(INDEX(Fields!$C:$C,MATCH(B367,Fields!$A:$A,0)),""))</f>
        <v/>
      </c>
      <c r="G367" s="18" t="str">
        <f aca="false">IF(A367="","",COUNTIF('Metric to Product'!$A:$A,A367))</f>
        <v/>
      </c>
      <c r="H367" s="20"/>
      <c r="I367" s="20"/>
      <c r="J367" s="20"/>
      <c r="K367" s="20"/>
    </row>
    <row r="368" customFormat="false" ht="15" hidden="false" customHeight="false" outlineLevel="0" collapsed="false">
      <c r="A368" s="18" t="str">
        <f aca="false">IF(C368="","",IFERROR(INDEX(Metrics!$A:$A,MATCH(C368,Metrics!$C:$C,0)),"Not found"))</f>
        <v/>
      </c>
      <c r="B368" s="18" t="str">
        <f aca="false">IF(D368="","",IFERROR(INDEX(Fields!$A:$A,MATCH(D368,Fields!$B:$B,0)),"Not found"))</f>
        <v/>
      </c>
      <c r="C368" s="20"/>
      <c r="D368" s="20"/>
      <c r="E368" s="20"/>
      <c r="F368" s="21" t="str">
        <f aca="false">IF(B368="","",IFERROR(INDEX(Fields!$C:$C,MATCH(B368,Fields!$A:$A,0)),""))</f>
        <v/>
      </c>
      <c r="G368" s="18" t="str">
        <f aca="false">IF(A368="","",COUNTIF('Metric to Product'!$A:$A,A368))</f>
        <v/>
      </c>
      <c r="H368" s="20"/>
      <c r="I368" s="20"/>
      <c r="J368" s="20"/>
      <c r="K368" s="20"/>
    </row>
    <row r="369" customFormat="false" ht="15" hidden="false" customHeight="false" outlineLevel="0" collapsed="false">
      <c r="A369" s="18" t="str">
        <f aca="false">IF(C369="","",IFERROR(INDEX(Metrics!$A:$A,MATCH(C369,Metrics!$C:$C,0)),"Not found"))</f>
        <v/>
      </c>
      <c r="B369" s="18" t="str">
        <f aca="false">IF(D369="","",IFERROR(INDEX(Fields!$A:$A,MATCH(D369,Fields!$B:$B,0)),"Not found"))</f>
        <v/>
      </c>
      <c r="C369" s="20"/>
      <c r="D369" s="20"/>
      <c r="E369" s="20"/>
      <c r="F369" s="21" t="str">
        <f aca="false">IF(B369="","",IFERROR(INDEX(Fields!$C:$C,MATCH(B369,Fields!$A:$A,0)),""))</f>
        <v/>
      </c>
      <c r="G369" s="18" t="str">
        <f aca="false">IF(A369="","",COUNTIF('Metric to Product'!$A:$A,A369))</f>
        <v/>
      </c>
      <c r="H369" s="20"/>
      <c r="I369" s="20"/>
      <c r="J369" s="20"/>
      <c r="K369" s="20"/>
    </row>
    <row r="370" customFormat="false" ht="15" hidden="false" customHeight="false" outlineLevel="0" collapsed="false">
      <c r="A370" s="18" t="str">
        <f aca="false">IF(C370="","",IFERROR(INDEX(Metrics!$A:$A,MATCH(C370,Metrics!$C:$C,0)),"Not found"))</f>
        <v/>
      </c>
      <c r="B370" s="18" t="str">
        <f aca="false">IF(D370="","",IFERROR(INDEX(Fields!$A:$A,MATCH(D370,Fields!$B:$B,0)),"Not found"))</f>
        <v/>
      </c>
      <c r="C370" s="20"/>
      <c r="D370" s="20"/>
      <c r="E370" s="20"/>
      <c r="F370" s="21" t="str">
        <f aca="false">IF(B370="","",IFERROR(INDEX(Fields!$C:$C,MATCH(B370,Fields!$A:$A,0)),""))</f>
        <v/>
      </c>
      <c r="G370" s="18" t="str">
        <f aca="false">IF(A370="","",COUNTIF('Metric to Product'!$A:$A,A370))</f>
        <v/>
      </c>
      <c r="H370" s="20"/>
      <c r="I370" s="20"/>
      <c r="J370" s="20"/>
      <c r="K370" s="20"/>
    </row>
    <row r="371" customFormat="false" ht="15" hidden="false" customHeight="false" outlineLevel="0" collapsed="false">
      <c r="A371" s="18" t="str">
        <f aca="false">IF(C371="","",IFERROR(INDEX(Metrics!$A:$A,MATCH(C371,Metrics!$C:$C,0)),"Not found"))</f>
        <v/>
      </c>
      <c r="B371" s="18" t="str">
        <f aca="false">IF(D371="","",IFERROR(INDEX(Fields!$A:$A,MATCH(D371,Fields!$B:$B,0)),"Not found"))</f>
        <v/>
      </c>
      <c r="C371" s="20"/>
      <c r="D371" s="20"/>
      <c r="E371" s="20"/>
      <c r="F371" s="21" t="str">
        <f aca="false">IF(B371="","",IFERROR(INDEX(Fields!$C:$C,MATCH(B371,Fields!$A:$A,0)),""))</f>
        <v/>
      </c>
      <c r="G371" s="18" t="str">
        <f aca="false">IF(A371="","",COUNTIF('Metric to Product'!$A:$A,A371))</f>
        <v/>
      </c>
      <c r="H371" s="20"/>
      <c r="I371" s="20"/>
      <c r="J371" s="20"/>
      <c r="K371" s="20"/>
    </row>
    <row r="372" customFormat="false" ht="15" hidden="false" customHeight="false" outlineLevel="0" collapsed="false">
      <c r="A372" s="18" t="str">
        <f aca="false">IF(C372="","",IFERROR(INDEX(Metrics!$A:$A,MATCH(C372,Metrics!$C:$C,0)),"Not found"))</f>
        <v/>
      </c>
      <c r="B372" s="18" t="str">
        <f aca="false">IF(D372="","",IFERROR(INDEX(Fields!$A:$A,MATCH(D372,Fields!$B:$B,0)),"Not found"))</f>
        <v/>
      </c>
      <c r="C372" s="20"/>
      <c r="D372" s="20"/>
      <c r="E372" s="20"/>
      <c r="F372" s="21" t="str">
        <f aca="false">IF(B372="","",IFERROR(INDEX(Fields!$C:$C,MATCH(B372,Fields!$A:$A,0)),""))</f>
        <v/>
      </c>
      <c r="G372" s="18" t="str">
        <f aca="false">IF(A372="","",COUNTIF('Metric to Product'!$A:$A,A372))</f>
        <v/>
      </c>
      <c r="H372" s="20"/>
      <c r="I372" s="20"/>
      <c r="J372" s="20"/>
      <c r="K372" s="20"/>
    </row>
    <row r="373" customFormat="false" ht="15" hidden="false" customHeight="false" outlineLevel="0" collapsed="false">
      <c r="A373" s="18" t="str">
        <f aca="false">IF(C373="","",IFERROR(INDEX(Metrics!$A:$A,MATCH(C373,Metrics!$C:$C,0)),"Not found"))</f>
        <v/>
      </c>
      <c r="B373" s="18" t="str">
        <f aca="false">IF(D373="","",IFERROR(INDEX(Fields!$A:$A,MATCH(D373,Fields!$B:$B,0)),"Not found"))</f>
        <v/>
      </c>
      <c r="C373" s="20"/>
      <c r="D373" s="20"/>
      <c r="E373" s="20"/>
      <c r="F373" s="21" t="str">
        <f aca="false">IF(B373="","",IFERROR(INDEX(Fields!$C:$C,MATCH(B373,Fields!$A:$A,0)),""))</f>
        <v/>
      </c>
      <c r="G373" s="18" t="str">
        <f aca="false">IF(A373="","",COUNTIF('Metric to Product'!$A:$A,A373))</f>
        <v/>
      </c>
      <c r="H373" s="20"/>
      <c r="I373" s="20"/>
      <c r="J373" s="20"/>
      <c r="K373" s="20"/>
    </row>
    <row r="374" customFormat="false" ht="15" hidden="false" customHeight="false" outlineLevel="0" collapsed="false">
      <c r="A374" s="18" t="str">
        <f aca="false">IF(C374="","",IFERROR(INDEX(Metrics!$A:$A,MATCH(C374,Metrics!$C:$C,0)),"Not found"))</f>
        <v/>
      </c>
      <c r="B374" s="18" t="str">
        <f aca="false">IF(D374="","",IFERROR(INDEX(Fields!$A:$A,MATCH(D374,Fields!$B:$B,0)),"Not found"))</f>
        <v/>
      </c>
      <c r="C374" s="20"/>
      <c r="D374" s="20"/>
      <c r="E374" s="20"/>
      <c r="F374" s="21" t="str">
        <f aca="false">IF(B374="","",IFERROR(INDEX(Fields!$C:$C,MATCH(B374,Fields!$A:$A,0)),""))</f>
        <v/>
      </c>
      <c r="G374" s="18" t="str">
        <f aca="false">IF(A374="","",COUNTIF('Metric to Product'!$A:$A,A374))</f>
        <v/>
      </c>
      <c r="H374" s="20"/>
      <c r="I374" s="20"/>
      <c r="J374" s="20"/>
      <c r="K374" s="20"/>
    </row>
    <row r="375" customFormat="false" ht="15" hidden="false" customHeight="false" outlineLevel="0" collapsed="false">
      <c r="A375" s="18" t="str">
        <f aca="false">IF(C375="","",IFERROR(INDEX(Metrics!$A:$A,MATCH(C375,Metrics!$C:$C,0)),"Not found"))</f>
        <v/>
      </c>
      <c r="B375" s="18" t="str">
        <f aca="false">IF(D375="","",IFERROR(INDEX(Fields!$A:$A,MATCH(D375,Fields!$B:$B,0)),"Not found"))</f>
        <v/>
      </c>
      <c r="C375" s="20"/>
      <c r="D375" s="20"/>
      <c r="E375" s="20"/>
      <c r="F375" s="21" t="str">
        <f aca="false">IF(B375="","",IFERROR(INDEX(Fields!$C:$C,MATCH(B375,Fields!$A:$A,0)),""))</f>
        <v/>
      </c>
      <c r="G375" s="18" t="str">
        <f aca="false">IF(A375="","",COUNTIF('Metric to Product'!$A:$A,A375))</f>
        <v/>
      </c>
      <c r="H375" s="20"/>
      <c r="I375" s="20"/>
      <c r="J375" s="20"/>
      <c r="K375" s="20"/>
    </row>
    <row r="376" customFormat="false" ht="15" hidden="false" customHeight="false" outlineLevel="0" collapsed="false">
      <c r="A376" s="18" t="str">
        <f aca="false">IF(C376="","",IFERROR(INDEX(Metrics!$A:$A,MATCH(C376,Metrics!$C:$C,0)),"Not found"))</f>
        <v/>
      </c>
      <c r="B376" s="18" t="str">
        <f aca="false">IF(D376="","",IFERROR(INDEX(Fields!$A:$A,MATCH(D376,Fields!$B:$B,0)),"Not found"))</f>
        <v/>
      </c>
      <c r="C376" s="20"/>
      <c r="D376" s="20"/>
      <c r="E376" s="20"/>
      <c r="F376" s="21" t="str">
        <f aca="false">IF(B376="","",IFERROR(INDEX(Fields!$C:$C,MATCH(B376,Fields!$A:$A,0)),""))</f>
        <v/>
      </c>
      <c r="G376" s="18" t="str">
        <f aca="false">IF(A376="","",COUNTIF('Metric to Product'!$A:$A,A376))</f>
        <v/>
      </c>
      <c r="H376" s="20"/>
      <c r="I376" s="20"/>
      <c r="J376" s="20"/>
      <c r="K376" s="20"/>
    </row>
    <row r="377" customFormat="false" ht="15" hidden="false" customHeight="false" outlineLevel="0" collapsed="false">
      <c r="A377" s="18" t="str">
        <f aca="false">IF(C377="","",IFERROR(INDEX(Metrics!$A:$A,MATCH(C377,Metrics!$C:$C,0)),"Not found"))</f>
        <v/>
      </c>
      <c r="B377" s="18" t="str">
        <f aca="false">IF(D377="","",IFERROR(INDEX(Fields!$A:$A,MATCH(D377,Fields!$B:$B,0)),"Not found"))</f>
        <v/>
      </c>
      <c r="C377" s="20"/>
      <c r="D377" s="20"/>
      <c r="E377" s="20"/>
      <c r="F377" s="21" t="str">
        <f aca="false">IF(B377="","",IFERROR(INDEX(Fields!$C:$C,MATCH(B377,Fields!$A:$A,0)),""))</f>
        <v/>
      </c>
      <c r="G377" s="18" t="str">
        <f aca="false">IF(A377="","",COUNTIF('Metric to Product'!$A:$A,A377))</f>
        <v/>
      </c>
      <c r="H377" s="20"/>
      <c r="I377" s="20"/>
      <c r="J377" s="20"/>
      <c r="K377" s="20"/>
    </row>
    <row r="378" customFormat="false" ht="15" hidden="false" customHeight="false" outlineLevel="0" collapsed="false">
      <c r="A378" s="18" t="str">
        <f aca="false">IF(C378="","",IFERROR(INDEX(Metrics!$A:$A,MATCH(C378,Metrics!$C:$C,0)),"Not found"))</f>
        <v/>
      </c>
      <c r="B378" s="18" t="str">
        <f aca="false">IF(D378="","",IFERROR(INDEX(Fields!$A:$A,MATCH(D378,Fields!$B:$B,0)),"Not found"))</f>
        <v/>
      </c>
      <c r="C378" s="20"/>
      <c r="D378" s="20"/>
      <c r="E378" s="20"/>
      <c r="F378" s="21" t="str">
        <f aca="false">IF(B378="","",IFERROR(INDEX(Fields!$C:$C,MATCH(B378,Fields!$A:$A,0)),""))</f>
        <v/>
      </c>
      <c r="G378" s="18" t="str">
        <f aca="false">IF(A378="","",COUNTIF('Metric to Product'!$A:$A,A378))</f>
        <v/>
      </c>
      <c r="H378" s="20"/>
      <c r="I378" s="20"/>
      <c r="J378" s="20"/>
      <c r="K378" s="20"/>
    </row>
    <row r="379" customFormat="false" ht="15" hidden="false" customHeight="false" outlineLevel="0" collapsed="false">
      <c r="A379" s="18" t="str">
        <f aca="false">IF(C379="","",IFERROR(INDEX(Metrics!$A:$A,MATCH(C379,Metrics!$C:$C,0)),"Not found"))</f>
        <v/>
      </c>
      <c r="B379" s="18" t="str">
        <f aca="false">IF(D379="","",IFERROR(INDEX(Fields!$A:$A,MATCH(D379,Fields!$B:$B,0)),"Not found"))</f>
        <v/>
      </c>
      <c r="C379" s="20"/>
      <c r="D379" s="20"/>
      <c r="E379" s="20"/>
      <c r="F379" s="21" t="str">
        <f aca="false">IF(B379="","",IFERROR(INDEX(Fields!$C:$C,MATCH(B379,Fields!$A:$A,0)),""))</f>
        <v/>
      </c>
      <c r="G379" s="18" t="str">
        <f aca="false">IF(A379="","",COUNTIF('Metric to Product'!$A:$A,A379))</f>
        <v/>
      </c>
      <c r="H379" s="20"/>
      <c r="I379" s="20"/>
      <c r="J379" s="20"/>
      <c r="K379" s="20"/>
    </row>
    <row r="380" customFormat="false" ht="15" hidden="false" customHeight="false" outlineLevel="0" collapsed="false">
      <c r="A380" s="18" t="str">
        <f aca="false">IF(C380="","",IFERROR(INDEX(Metrics!$A:$A,MATCH(C380,Metrics!$C:$C,0)),"Not found"))</f>
        <v/>
      </c>
      <c r="B380" s="18" t="str">
        <f aca="false">IF(D380="","",IFERROR(INDEX(Fields!$A:$A,MATCH(D380,Fields!$B:$B,0)),"Not found"))</f>
        <v/>
      </c>
      <c r="C380" s="20"/>
      <c r="D380" s="20"/>
      <c r="E380" s="20"/>
      <c r="F380" s="21" t="str">
        <f aca="false">IF(B380="","",IFERROR(INDEX(Fields!$C:$C,MATCH(B380,Fields!$A:$A,0)),""))</f>
        <v/>
      </c>
      <c r="G380" s="18" t="str">
        <f aca="false">IF(A380="","",COUNTIF('Metric to Product'!$A:$A,A380))</f>
        <v/>
      </c>
      <c r="H380" s="20"/>
      <c r="I380" s="20"/>
      <c r="J380" s="20"/>
      <c r="K380" s="20"/>
    </row>
    <row r="381" customFormat="false" ht="15" hidden="false" customHeight="false" outlineLevel="0" collapsed="false">
      <c r="A381" s="18" t="str">
        <f aca="false">IF(C381="","",IFERROR(INDEX(Metrics!$A:$A,MATCH(C381,Metrics!$C:$C,0)),"Not found"))</f>
        <v/>
      </c>
      <c r="B381" s="18" t="str">
        <f aca="false">IF(D381="","",IFERROR(INDEX(Fields!$A:$A,MATCH(D381,Fields!$B:$B,0)),"Not found"))</f>
        <v/>
      </c>
      <c r="C381" s="20"/>
      <c r="D381" s="20"/>
      <c r="E381" s="20"/>
      <c r="F381" s="21" t="str">
        <f aca="false">IF(B381="","",IFERROR(INDEX(Fields!$C:$C,MATCH(B381,Fields!$A:$A,0)),""))</f>
        <v/>
      </c>
      <c r="G381" s="18" t="str">
        <f aca="false">IF(A381="","",COUNTIF('Metric to Product'!$A:$A,A381))</f>
        <v/>
      </c>
      <c r="H381" s="20"/>
      <c r="I381" s="20"/>
      <c r="J381" s="20"/>
      <c r="K381" s="20"/>
    </row>
    <row r="382" customFormat="false" ht="15" hidden="false" customHeight="false" outlineLevel="0" collapsed="false">
      <c r="A382" s="18" t="str">
        <f aca="false">IF(C382="","",IFERROR(INDEX(Metrics!$A:$A,MATCH(C382,Metrics!$C:$C,0)),"Not found"))</f>
        <v/>
      </c>
      <c r="B382" s="18" t="str">
        <f aca="false">IF(D382="","",IFERROR(INDEX(Fields!$A:$A,MATCH(D382,Fields!$B:$B,0)),"Not found"))</f>
        <v/>
      </c>
      <c r="C382" s="20"/>
      <c r="D382" s="20"/>
      <c r="E382" s="20"/>
      <c r="F382" s="21" t="str">
        <f aca="false">IF(B382="","",IFERROR(INDEX(Fields!$C:$C,MATCH(B382,Fields!$A:$A,0)),""))</f>
        <v/>
      </c>
      <c r="G382" s="18" t="str">
        <f aca="false">IF(A382="","",COUNTIF('Metric to Product'!$A:$A,A382))</f>
        <v/>
      </c>
      <c r="H382" s="20"/>
      <c r="I382" s="20"/>
      <c r="J382" s="20"/>
      <c r="K382" s="20"/>
    </row>
    <row r="383" customFormat="false" ht="15" hidden="false" customHeight="false" outlineLevel="0" collapsed="false">
      <c r="A383" s="18" t="str">
        <f aca="false">IF(C383="","",IFERROR(INDEX(Metrics!$A:$A,MATCH(C383,Metrics!$C:$C,0)),"Not found"))</f>
        <v/>
      </c>
      <c r="B383" s="18" t="str">
        <f aca="false">IF(D383="","",IFERROR(INDEX(Fields!$A:$A,MATCH(D383,Fields!$B:$B,0)),"Not found"))</f>
        <v/>
      </c>
      <c r="C383" s="20"/>
      <c r="D383" s="20"/>
      <c r="E383" s="20"/>
      <c r="F383" s="21" t="str">
        <f aca="false">IF(B383="","",IFERROR(INDEX(Fields!$C:$C,MATCH(B383,Fields!$A:$A,0)),""))</f>
        <v/>
      </c>
      <c r="G383" s="18" t="str">
        <f aca="false">IF(A383="","",COUNTIF('Metric to Product'!$A:$A,A383))</f>
        <v/>
      </c>
      <c r="H383" s="20"/>
      <c r="I383" s="20"/>
      <c r="J383" s="20"/>
      <c r="K383" s="20"/>
    </row>
    <row r="384" customFormat="false" ht="15" hidden="false" customHeight="false" outlineLevel="0" collapsed="false">
      <c r="A384" s="18" t="str">
        <f aca="false">IF(C384="","",IFERROR(INDEX(Metrics!$A:$A,MATCH(C384,Metrics!$C:$C,0)),"Not found"))</f>
        <v/>
      </c>
      <c r="B384" s="18" t="str">
        <f aca="false">IF(D384="","",IFERROR(INDEX(Fields!$A:$A,MATCH(D384,Fields!$B:$B,0)),"Not found"))</f>
        <v/>
      </c>
      <c r="C384" s="20"/>
      <c r="D384" s="20"/>
      <c r="E384" s="20"/>
      <c r="F384" s="21" t="str">
        <f aca="false">IF(B384="","",IFERROR(INDEX(Fields!$C:$C,MATCH(B384,Fields!$A:$A,0)),""))</f>
        <v/>
      </c>
      <c r="G384" s="18" t="str">
        <f aca="false">IF(A384="","",COUNTIF('Metric to Product'!$A:$A,A384))</f>
        <v/>
      </c>
      <c r="H384" s="20"/>
      <c r="I384" s="20"/>
      <c r="J384" s="20"/>
      <c r="K384" s="20"/>
    </row>
    <row r="385" customFormat="false" ht="15" hidden="false" customHeight="false" outlineLevel="0" collapsed="false">
      <c r="A385" s="18" t="str">
        <f aca="false">IF(C385="","",IFERROR(INDEX(Metrics!$A:$A,MATCH(C385,Metrics!$C:$C,0)),"Not found"))</f>
        <v/>
      </c>
      <c r="B385" s="18" t="str">
        <f aca="false">IF(D385="","",IFERROR(INDEX(Fields!$A:$A,MATCH(D385,Fields!$B:$B,0)),"Not found"))</f>
        <v/>
      </c>
      <c r="C385" s="20"/>
      <c r="D385" s="20"/>
      <c r="E385" s="20"/>
      <c r="F385" s="21" t="str">
        <f aca="false">IF(B385="","",IFERROR(INDEX(Fields!$C:$C,MATCH(B385,Fields!$A:$A,0)),""))</f>
        <v/>
      </c>
      <c r="G385" s="18" t="str">
        <f aca="false">IF(A385="","",COUNTIF('Metric to Product'!$A:$A,A385))</f>
        <v/>
      </c>
      <c r="H385" s="20"/>
      <c r="I385" s="20"/>
      <c r="J385" s="20"/>
      <c r="K385" s="20"/>
    </row>
    <row r="386" customFormat="false" ht="15" hidden="false" customHeight="false" outlineLevel="0" collapsed="false">
      <c r="A386" s="18" t="str">
        <f aca="false">IF(C386="","",IFERROR(INDEX(Metrics!$A:$A,MATCH(C386,Metrics!$C:$C,0)),"Not found"))</f>
        <v/>
      </c>
      <c r="B386" s="18" t="str">
        <f aca="false">IF(D386="","",IFERROR(INDEX(Fields!$A:$A,MATCH(D386,Fields!$B:$B,0)),"Not found"))</f>
        <v/>
      </c>
      <c r="C386" s="20"/>
      <c r="D386" s="20"/>
      <c r="E386" s="20"/>
      <c r="F386" s="21" t="str">
        <f aca="false">IF(B386="","",IFERROR(INDEX(Fields!$C:$C,MATCH(B386,Fields!$A:$A,0)),""))</f>
        <v/>
      </c>
      <c r="G386" s="18" t="str">
        <f aca="false">IF(A386="","",COUNTIF('Metric to Product'!$A:$A,A386))</f>
        <v/>
      </c>
      <c r="H386" s="20"/>
      <c r="I386" s="20"/>
      <c r="J386" s="20"/>
      <c r="K386" s="20"/>
    </row>
    <row r="387" customFormat="false" ht="15" hidden="false" customHeight="false" outlineLevel="0" collapsed="false">
      <c r="A387" s="18" t="str">
        <f aca="false">IF(C387="","",IFERROR(INDEX(Metrics!$A:$A,MATCH(C387,Metrics!$C:$C,0)),"Not found"))</f>
        <v/>
      </c>
      <c r="B387" s="18" t="str">
        <f aca="false">IF(D387="","",IFERROR(INDEX(Fields!$A:$A,MATCH(D387,Fields!$B:$B,0)),"Not found"))</f>
        <v/>
      </c>
      <c r="C387" s="20"/>
      <c r="D387" s="20"/>
      <c r="E387" s="20"/>
      <c r="F387" s="21" t="str">
        <f aca="false">IF(B387="","",IFERROR(INDEX(Fields!$C:$C,MATCH(B387,Fields!$A:$A,0)),""))</f>
        <v/>
      </c>
      <c r="G387" s="18" t="str">
        <f aca="false">IF(A387="","",COUNTIF('Metric to Product'!$A:$A,A387))</f>
        <v/>
      </c>
      <c r="H387" s="20"/>
      <c r="I387" s="20"/>
      <c r="J387" s="20"/>
      <c r="K387" s="20"/>
    </row>
    <row r="388" customFormat="false" ht="15" hidden="false" customHeight="false" outlineLevel="0" collapsed="false">
      <c r="A388" s="18" t="str">
        <f aca="false">IF(C388="","",IFERROR(INDEX(Metrics!$A:$A,MATCH(C388,Metrics!$C:$C,0)),"Not found"))</f>
        <v/>
      </c>
      <c r="B388" s="18" t="str">
        <f aca="false">IF(D388="","",IFERROR(INDEX(Fields!$A:$A,MATCH(D388,Fields!$B:$B,0)),"Not found"))</f>
        <v/>
      </c>
      <c r="C388" s="20"/>
      <c r="D388" s="20"/>
      <c r="E388" s="20"/>
      <c r="F388" s="21" t="str">
        <f aca="false">IF(B388="","",IFERROR(INDEX(Fields!$C:$C,MATCH(B388,Fields!$A:$A,0)),""))</f>
        <v/>
      </c>
      <c r="G388" s="18" t="str">
        <f aca="false">IF(A388="","",COUNTIF('Metric to Product'!$A:$A,A388))</f>
        <v/>
      </c>
      <c r="H388" s="20"/>
      <c r="I388" s="20"/>
      <c r="J388" s="20"/>
      <c r="K388" s="20"/>
    </row>
    <row r="389" customFormat="false" ht="15" hidden="false" customHeight="false" outlineLevel="0" collapsed="false">
      <c r="A389" s="18" t="str">
        <f aca="false">IF(C389="","",IFERROR(INDEX(Metrics!$A:$A,MATCH(C389,Metrics!$C:$C,0)),"Not found"))</f>
        <v/>
      </c>
      <c r="B389" s="18" t="str">
        <f aca="false">IF(D389="","",IFERROR(INDEX(Fields!$A:$A,MATCH(D389,Fields!$B:$B,0)),"Not found"))</f>
        <v/>
      </c>
      <c r="C389" s="20"/>
      <c r="D389" s="20"/>
      <c r="E389" s="20"/>
      <c r="F389" s="21" t="str">
        <f aca="false">IF(B389="","",IFERROR(INDEX(Fields!$C:$C,MATCH(B389,Fields!$A:$A,0)),""))</f>
        <v/>
      </c>
      <c r="G389" s="18" t="str">
        <f aca="false">IF(A389="","",COUNTIF('Metric to Product'!$A:$A,A389))</f>
        <v/>
      </c>
      <c r="H389" s="20"/>
      <c r="I389" s="20"/>
      <c r="J389" s="20"/>
      <c r="K389" s="20"/>
    </row>
    <row r="390" customFormat="false" ht="15" hidden="false" customHeight="false" outlineLevel="0" collapsed="false">
      <c r="A390" s="18" t="str">
        <f aca="false">IF(C390="","",IFERROR(INDEX(Metrics!$A:$A,MATCH(C390,Metrics!$C:$C,0)),"Not found"))</f>
        <v/>
      </c>
      <c r="B390" s="18" t="str">
        <f aca="false">IF(D390="","",IFERROR(INDEX(Fields!$A:$A,MATCH(D390,Fields!$B:$B,0)),"Not found"))</f>
        <v/>
      </c>
      <c r="C390" s="20"/>
      <c r="D390" s="20"/>
      <c r="E390" s="20"/>
      <c r="F390" s="21" t="str">
        <f aca="false">IF(B390="","",IFERROR(INDEX(Fields!$C:$C,MATCH(B390,Fields!$A:$A,0)),""))</f>
        <v/>
      </c>
      <c r="G390" s="18" t="str">
        <f aca="false">IF(A390="","",COUNTIF('Metric to Product'!$A:$A,A390))</f>
        <v/>
      </c>
      <c r="H390" s="20"/>
      <c r="I390" s="20"/>
      <c r="J390" s="20"/>
      <c r="K390" s="20"/>
    </row>
    <row r="391" customFormat="false" ht="15" hidden="false" customHeight="false" outlineLevel="0" collapsed="false">
      <c r="A391" s="18" t="str">
        <f aca="false">IF(C391="","",IFERROR(INDEX(Metrics!$A:$A,MATCH(C391,Metrics!$C:$C,0)),"Not found"))</f>
        <v/>
      </c>
      <c r="B391" s="18" t="str">
        <f aca="false">IF(D391="","",IFERROR(INDEX(Fields!$A:$A,MATCH(D391,Fields!$B:$B,0)),"Not found"))</f>
        <v/>
      </c>
      <c r="C391" s="20"/>
      <c r="D391" s="20"/>
      <c r="E391" s="20"/>
      <c r="F391" s="21" t="str">
        <f aca="false">IF(B391="","",IFERROR(INDEX(Fields!$C:$C,MATCH(B391,Fields!$A:$A,0)),""))</f>
        <v/>
      </c>
      <c r="G391" s="18" t="str">
        <f aca="false">IF(A391="","",COUNTIF('Metric to Product'!$A:$A,A391))</f>
        <v/>
      </c>
      <c r="H391" s="20"/>
      <c r="I391" s="20"/>
      <c r="J391" s="20"/>
      <c r="K391" s="20"/>
    </row>
    <row r="392" customFormat="false" ht="15" hidden="false" customHeight="false" outlineLevel="0" collapsed="false">
      <c r="A392" s="18" t="str">
        <f aca="false">IF(C392="","",IFERROR(INDEX(Metrics!$A:$A,MATCH(C392,Metrics!$C:$C,0)),"Not found"))</f>
        <v/>
      </c>
      <c r="B392" s="18" t="str">
        <f aca="false">IF(D392="","",IFERROR(INDEX(Fields!$A:$A,MATCH(D392,Fields!$B:$B,0)),"Not found"))</f>
        <v/>
      </c>
      <c r="C392" s="20"/>
      <c r="D392" s="20"/>
      <c r="E392" s="20"/>
      <c r="F392" s="21" t="str">
        <f aca="false">IF(B392="","",IFERROR(INDEX(Fields!$C:$C,MATCH(B392,Fields!$A:$A,0)),""))</f>
        <v/>
      </c>
      <c r="G392" s="18" t="str">
        <f aca="false">IF(A392="","",COUNTIF('Metric to Product'!$A:$A,A392))</f>
        <v/>
      </c>
      <c r="H392" s="20"/>
      <c r="I392" s="20"/>
      <c r="J392" s="20"/>
      <c r="K392" s="20"/>
    </row>
    <row r="393" customFormat="false" ht="15" hidden="false" customHeight="false" outlineLevel="0" collapsed="false">
      <c r="A393" s="18" t="str">
        <f aca="false">IF(C393="","",IFERROR(INDEX(Metrics!$A:$A,MATCH(C393,Metrics!$C:$C,0)),"Not found"))</f>
        <v/>
      </c>
      <c r="B393" s="18" t="str">
        <f aca="false">IF(D393="","",IFERROR(INDEX(Fields!$A:$A,MATCH(D393,Fields!$B:$B,0)),"Not found"))</f>
        <v/>
      </c>
      <c r="C393" s="20"/>
      <c r="D393" s="20"/>
      <c r="E393" s="20"/>
      <c r="F393" s="21" t="str">
        <f aca="false">IF(B393="","",IFERROR(INDEX(Fields!$C:$C,MATCH(B393,Fields!$A:$A,0)),""))</f>
        <v/>
      </c>
      <c r="G393" s="18" t="str">
        <f aca="false">IF(A393="","",COUNTIF('Metric to Product'!$A:$A,A393))</f>
        <v/>
      </c>
      <c r="H393" s="20"/>
      <c r="I393" s="20"/>
      <c r="J393" s="20"/>
      <c r="K393" s="20"/>
    </row>
    <row r="394" customFormat="false" ht="15" hidden="false" customHeight="false" outlineLevel="0" collapsed="false">
      <c r="A394" s="18" t="str">
        <f aca="false">IF(C394="","",IFERROR(INDEX(Metrics!$A:$A,MATCH(C394,Metrics!$C:$C,0)),"Not found"))</f>
        <v/>
      </c>
      <c r="B394" s="18" t="str">
        <f aca="false">IF(D394="","",IFERROR(INDEX(Fields!$A:$A,MATCH(D394,Fields!$B:$B,0)),"Not found"))</f>
        <v/>
      </c>
      <c r="C394" s="20"/>
      <c r="D394" s="20"/>
      <c r="E394" s="20"/>
      <c r="F394" s="21" t="str">
        <f aca="false">IF(B394="","",IFERROR(INDEX(Fields!$C:$C,MATCH(B394,Fields!$A:$A,0)),""))</f>
        <v/>
      </c>
      <c r="G394" s="18" t="str">
        <f aca="false">IF(A394="","",COUNTIF('Metric to Product'!$A:$A,A394))</f>
        <v/>
      </c>
      <c r="H394" s="20"/>
      <c r="I394" s="20"/>
      <c r="J394" s="20"/>
      <c r="K394" s="20"/>
    </row>
    <row r="395" customFormat="false" ht="15" hidden="false" customHeight="false" outlineLevel="0" collapsed="false">
      <c r="A395" s="18" t="str">
        <f aca="false">IF(C395="","",IFERROR(INDEX(Metrics!$A:$A,MATCH(C395,Metrics!$C:$C,0)),"Not found"))</f>
        <v/>
      </c>
      <c r="B395" s="18" t="str">
        <f aca="false">IF(D395="","",IFERROR(INDEX(Fields!$A:$A,MATCH(D395,Fields!$B:$B,0)),"Not found"))</f>
        <v/>
      </c>
      <c r="C395" s="20"/>
      <c r="D395" s="20"/>
      <c r="E395" s="20"/>
      <c r="F395" s="21" t="str">
        <f aca="false">IF(B395="","",IFERROR(INDEX(Fields!$C:$C,MATCH(B395,Fields!$A:$A,0)),""))</f>
        <v/>
      </c>
      <c r="G395" s="18" t="str">
        <f aca="false">IF(A395="","",COUNTIF('Metric to Product'!$A:$A,A395))</f>
        <v/>
      </c>
      <c r="H395" s="20"/>
      <c r="I395" s="20"/>
      <c r="J395" s="20"/>
      <c r="K395" s="20"/>
    </row>
    <row r="396" customFormat="false" ht="15" hidden="false" customHeight="false" outlineLevel="0" collapsed="false">
      <c r="A396" s="18" t="str">
        <f aca="false">IF(C396="","",IFERROR(INDEX(Metrics!$A:$A,MATCH(C396,Metrics!$C:$C,0)),"Not found"))</f>
        <v/>
      </c>
      <c r="B396" s="18" t="str">
        <f aca="false">IF(D396="","",IFERROR(INDEX(Fields!$A:$A,MATCH(D396,Fields!$B:$B,0)),"Not found"))</f>
        <v/>
      </c>
      <c r="C396" s="20"/>
      <c r="D396" s="20"/>
      <c r="E396" s="20"/>
      <c r="F396" s="21" t="str">
        <f aca="false">IF(B396="","",IFERROR(INDEX(Fields!$C:$C,MATCH(B396,Fields!$A:$A,0)),""))</f>
        <v/>
      </c>
      <c r="G396" s="18" t="str">
        <f aca="false">IF(A396="","",COUNTIF('Metric to Product'!$A:$A,A396))</f>
        <v/>
      </c>
      <c r="H396" s="20"/>
      <c r="I396" s="20"/>
      <c r="J396" s="20"/>
      <c r="K396" s="20"/>
    </row>
    <row r="397" customFormat="false" ht="15" hidden="false" customHeight="false" outlineLevel="0" collapsed="false">
      <c r="A397" s="18" t="str">
        <f aca="false">IF(C397="","",IFERROR(INDEX(Metrics!$A:$A,MATCH(C397,Metrics!$C:$C,0)),"Not found"))</f>
        <v/>
      </c>
      <c r="B397" s="18" t="str">
        <f aca="false">IF(D397="","",IFERROR(INDEX(Fields!$A:$A,MATCH(D397,Fields!$B:$B,0)),"Not found"))</f>
        <v/>
      </c>
      <c r="C397" s="20"/>
      <c r="D397" s="20"/>
      <c r="E397" s="20"/>
      <c r="F397" s="21" t="str">
        <f aca="false">IF(B397="","",IFERROR(INDEX(Fields!$C:$C,MATCH(B397,Fields!$A:$A,0)),""))</f>
        <v/>
      </c>
      <c r="G397" s="18" t="str">
        <f aca="false">IF(A397="","",COUNTIF('Metric to Product'!$A:$A,A397))</f>
        <v/>
      </c>
      <c r="H397" s="20"/>
      <c r="I397" s="20"/>
      <c r="J397" s="20"/>
      <c r="K397" s="20"/>
    </row>
    <row r="398" customFormat="false" ht="15" hidden="false" customHeight="false" outlineLevel="0" collapsed="false">
      <c r="A398" s="18" t="str">
        <f aca="false">IF(C398="","",IFERROR(INDEX(Metrics!$A:$A,MATCH(C398,Metrics!$C:$C,0)),"Not found"))</f>
        <v/>
      </c>
      <c r="B398" s="18" t="str">
        <f aca="false">IF(D398="","",IFERROR(INDEX(Fields!$A:$A,MATCH(D398,Fields!$B:$B,0)),"Not found"))</f>
        <v/>
      </c>
      <c r="C398" s="20"/>
      <c r="D398" s="20"/>
      <c r="E398" s="20"/>
      <c r="F398" s="21" t="str">
        <f aca="false">IF(B398="","",IFERROR(INDEX(Fields!$C:$C,MATCH(B398,Fields!$A:$A,0)),""))</f>
        <v/>
      </c>
      <c r="G398" s="18" t="str">
        <f aca="false">IF(A398="","",COUNTIF('Metric to Product'!$A:$A,A398))</f>
        <v/>
      </c>
      <c r="H398" s="20"/>
      <c r="I398" s="20"/>
      <c r="J398" s="20"/>
      <c r="K398" s="20"/>
    </row>
    <row r="399" customFormat="false" ht="15" hidden="false" customHeight="false" outlineLevel="0" collapsed="false">
      <c r="A399" s="18" t="str">
        <f aca="false">IF(C399="","",IFERROR(INDEX(Metrics!$A:$A,MATCH(C399,Metrics!$C:$C,0)),"Not found"))</f>
        <v/>
      </c>
      <c r="B399" s="18" t="str">
        <f aca="false">IF(D399="","",IFERROR(INDEX(Fields!$A:$A,MATCH(D399,Fields!$B:$B,0)),"Not found"))</f>
        <v/>
      </c>
      <c r="C399" s="20"/>
      <c r="D399" s="20"/>
      <c r="E399" s="20"/>
      <c r="F399" s="21" t="str">
        <f aca="false">IF(B399="","",IFERROR(INDEX(Fields!$C:$C,MATCH(B399,Fields!$A:$A,0)),""))</f>
        <v/>
      </c>
      <c r="G399" s="18" t="str">
        <f aca="false">IF(A399="","",COUNTIF('Metric to Product'!$A:$A,A399))</f>
        <v/>
      </c>
      <c r="H399" s="20"/>
      <c r="I399" s="20"/>
      <c r="J399" s="20"/>
      <c r="K399" s="20"/>
    </row>
    <row r="400" customFormat="false" ht="15" hidden="false" customHeight="false" outlineLevel="0" collapsed="false">
      <c r="A400" s="18" t="str">
        <f aca="false">IF(C400="","",IFERROR(INDEX(Metrics!$A:$A,MATCH(C400,Metrics!$C:$C,0)),"Not found"))</f>
        <v/>
      </c>
      <c r="B400" s="18" t="str">
        <f aca="false">IF(D400="","",IFERROR(INDEX(Fields!$A:$A,MATCH(D400,Fields!$B:$B,0)),"Not found"))</f>
        <v/>
      </c>
      <c r="C400" s="20"/>
      <c r="D400" s="20"/>
      <c r="E400" s="20"/>
      <c r="F400" s="21" t="str">
        <f aca="false">IF(B400="","",IFERROR(INDEX(Fields!$C:$C,MATCH(B400,Fields!$A:$A,0)),""))</f>
        <v/>
      </c>
      <c r="G400" s="18" t="str">
        <f aca="false">IF(A400="","",COUNTIF('Metric to Product'!$A:$A,A400))</f>
        <v/>
      </c>
      <c r="H400" s="20"/>
      <c r="I400" s="20"/>
      <c r="J400" s="20"/>
      <c r="K400" s="20"/>
    </row>
    <row r="401" customFormat="false" ht="15" hidden="false" customHeight="false" outlineLevel="0" collapsed="false">
      <c r="A401" s="18" t="str">
        <f aca="false">IF(C401="","",IFERROR(INDEX(Metrics!$A:$A,MATCH(C401,Metrics!$C:$C,0)),"Not found"))</f>
        <v/>
      </c>
      <c r="B401" s="18" t="str">
        <f aca="false">IF(D401="","",IFERROR(INDEX(Fields!$A:$A,MATCH(D401,Fields!$B:$B,0)),"Not found"))</f>
        <v/>
      </c>
      <c r="C401" s="20"/>
      <c r="D401" s="20"/>
      <c r="E401" s="20"/>
      <c r="F401" s="21" t="str">
        <f aca="false">IF(B401="","",IFERROR(INDEX(Fields!$C:$C,MATCH(B401,Fields!$A:$A,0)),""))</f>
        <v/>
      </c>
      <c r="G401" s="18" t="str">
        <f aca="false">IF(A401="","",COUNTIF('Metric to Product'!$A:$A,A401))</f>
        <v/>
      </c>
      <c r="H401" s="20"/>
      <c r="I401" s="20"/>
      <c r="J401" s="20"/>
      <c r="K401" s="20"/>
    </row>
    <row r="402" customFormat="false" ht="15" hidden="false" customHeight="false" outlineLevel="0" collapsed="false">
      <c r="A402" s="18" t="str">
        <f aca="false">IF(C402="","",IFERROR(INDEX(Metrics!$A:$A,MATCH(C402,Metrics!$C:$C,0)),"Not found"))</f>
        <v/>
      </c>
      <c r="B402" s="18" t="str">
        <f aca="false">IF(D402="","",IFERROR(INDEX(Fields!$A:$A,MATCH(D402,Fields!$B:$B,0)),"Not found"))</f>
        <v/>
      </c>
      <c r="C402" s="20"/>
      <c r="D402" s="20"/>
      <c r="E402" s="20"/>
      <c r="F402" s="21" t="str">
        <f aca="false">IF(B402="","",IFERROR(INDEX(Fields!$C:$C,MATCH(B402,Fields!$A:$A,0)),""))</f>
        <v/>
      </c>
      <c r="G402" s="18" t="str">
        <f aca="false">IF(A402="","",COUNTIF('Metric to Product'!$A:$A,A402))</f>
        <v/>
      </c>
      <c r="H402" s="20"/>
      <c r="I402" s="20"/>
      <c r="J402" s="20"/>
      <c r="K402" s="20"/>
    </row>
    <row r="403" customFormat="false" ht="15" hidden="false" customHeight="false" outlineLevel="0" collapsed="false">
      <c r="A403" s="18" t="str">
        <f aca="false">IF(C403="","",IFERROR(INDEX(Metrics!$A:$A,MATCH(C403,Metrics!$C:$C,0)),"Not found"))</f>
        <v/>
      </c>
      <c r="B403" s="18" t="str">
        <f aca="false">IF(D403="","",IFERROR(INDEX(Fields!$A:$A,MATCH(D403,Fields!$B:$B,0)),"Not found"))</f>
        <v/>
      </c>
      <c r="C403" s="20"/>
      <c r="D403" s="20"/>
      <c r="E403" s="20"/>
      <c r="F403" s="21" t="str">
        <f aca="false">IF(B403="","",IFERROR(INDEX(Fields!$C:$C,MATCH(B403,Fields!$A:$A,0)),""))</f>
        <v/>
      </c>
      <c r="G403" s="18" t="str">
        <f aca="false">IF(A403="","",COUNTIF('Metric to Product'!$A:$A,A403))</f>
        <v/>
      </c>
      <c r="H403" s="20"/>
      <c r="I403" s="20"/>
      <c r="J403" s="20"/>
      <c r="K403" s="20"/>
    </row>
    <row r="404" customFormat="false" ht="15" hidden="false" customHeight="false" outlineLevel="0" collapsed="false">
      <c r="A404" s="18" t="str">
        <f aca="false">IF(C404="","",IFERROR(INDEX(Metrics!$A:$A,MATCH(C404,Metrics!$C:$C,0)),"Not found"))</f>
        <v/>
      </c>
      <c r="B404" s="18" t="str">
        <f aca="false">IF(D404="","",IFERROR(INDEX(Fields!$A:$A,MATCH(D404,Fields!$B:$B,0)),"Not found"))</f>
        <v/>
      </c>
      <c r="C404" s="20"/>
      <c r="D404" s="20"/>
      <c r="E404" s="20"/>
      <c r="F404" s="21" t="str">
        <f aca="false">IF(B404="","",IFERROR(INDEX(Fields!$C:$C,MATCH(B404,Fields!$A:$A,0)),""))</f>
        <v/>
      </c>
      <c r="G404" s="18" t="str">
        <f aca="false">IF(A404="","",COUNTIF('Metric to Product'!$A:$A,A404))</f>
        <v/>
      </c>
      <c r="H404" s="20"/>
      <c r="I404" s="20"/>
      <c r="J404" s="20"/>
      <c r="K404" s="20"/>
    </row>
    <row r="405" customFormat="false" ht="15" hidden="false" customHeight="false" outlineLevel="0" collapsed="false">
      <c r="A405" s="18" t="str">
        <f aca="false">IF(C405="","",IFERROR(INDEX(Metrics!$A:$A,MATCH(C405,Metrics!$C:$C,0)),"Not found"))</f>
        <v/>
      </c>
      <c r="B405" s="18" t="str">
        <f aca="false">IF(D405="","",IFERROR(INDEX(Fields!$A:$A,MATCH(D405,Fields!$B:$B,0)),"Not found"))</f>
        <v/>
      </c>
      <c r="C405" s="20"/>
      <c r="D405" s="20"/>
      <c r="E405" s="20"/>
      <c r="F405" s="21" t="str">
        <f aca="false">IF(B405="","",IFERROR(INDEX(Fields!$C:$C,MATCH(B405,Fields!$A:$A,0)),""))</f>
        <v/>
      </c>
      <c r="G405" s="18" t="str">
        <f aca="false">IF(A405="","",COUNTIF('Metric to Product'!$A:$A,A405))</f>
        <v/>
      </c>
      <c r="H405" s="20"/>
      <c r="I405" s="20"/>
      <c r="J405" s="20"/>
      <c r="K405" s="20"/>
    </row>
    <row r="406" customFormat="false" ht="15" hidden="false" customHeight="false" outlineLevel="0" collapsed="false">
      <c r="A406" s="18" t="str">
        <f aca="false">IF(C406="","",IFERROR(INDEX(Metrics!$A:$A,MATCH(C406,Metrics!$C:$C,0)),"Not found"))</f>
        <v/>
      </c>
      <c r="B406" s="18" t="str">
        <f aca="false">IF(D406="","",IFERROR(INDEX(Fields!$A:$A,MATCH(D406,Fields!$B:$B,0)),"Not found"))</f>
        <v/>
      </c>
      <c r="C406" s="20"/>
      <c r="D406" s="20"/>
      <c r="E406" s="20"/>
      <c r="F406" s="21" t="str">
        <f aca="false">IF(B406="","",IFERROR(INDEX(Fields!$C:$C,MATCH(B406,Fields!$A:$A,0)),""))</f>
        <v/>
      </c>
      <c r="G406" s="18" t="str">
        <f aca="false">IF(A406="","",COUNTIF('Metric to Product'!$A:$A,A406))</f>
        <v/>
      </c>
      <c r="H406" s="20"/>
      <c r="I406" s="20"/>
      <c r="J406" s="20"/>
      <c r="K406" s="20"/>
    </row>
    <row r="407" customFormat="false" ht="15" hidden="false" customHeight="false" outlineLevel="0" collapsed="false">
      <c r="A407" s="18" t="str">
        <f aca="false">IF(C407="","",IFERROR(INDEX(Metrics!$A:$A,MATCH(C407,Metrics!$C:$C,0)),"Not found"))</f>
        <v/>
      </c>
      <c r="B407" s="18" t="str">
        <f aca="false">IF(D407="","",IFERROR(INDEX(Fields!$A:$A,MATCH(D407,Fields!$B:$B,0)),"Not found"))</f>
        <v/>
      </c>
      <c r="C407" s="20"/>
      <c r="D407" s="20"/>
      <c r="E407" s="20"/>
      <c r="F407" s="21" t="str">
        <f aca="false">IF(B407="","",IFERROR(INDEX(Fields!$C:$C,MATCH(B407,Fields!$A:$A,0)),""))</f>
        <v/>
      </c>
      <c r="G407" s="18" t="str">
        <f aca="false">IF(A407="","",COUNTIF('Metric to Product'!$A:$A,A407))</f>
        <v/>
      </c>
      <c r="H407" s="20"/>
      <c r="I407" s="20"/>
      <c r="J407" s="20"/>
      <c r="K407" s="20"/>
    </row>
    <row r="408" customFormat="false" ht="15" hidden="false" customHeight="false" outlineLevel="0" collapsed="false">
      <c r="A408" s="18" t="str">
        <f aca="false">IF(C408="","",IFERROR(INDEX(Metrics!$A:$A,MATCH(C408,Metrics!$C:$C,0)),"Not found"))</f>
        <v/>
      </c>
      <c r="B408" s="18" t="str">
        <f aca="false">IF(D408="","",IFERROR(INDEX(Fields!$A:$A,MATCH(D408,Fields!$B:$B,0)),"Not found"))</f>
        <v/>
      </c>
      <c r="C408" s="20"/>
      <c r="D408" s="20"/>
      <c r="E408" s="20"/>
      <c r="F408" s="21" t="str">
        <f aca="false">IF(B408="","",IFERROR(INDEX(Fields!$C:$C,MATCH(B408,Fields!$A:$A,0)),""))</f>
        <v/>
      </c>
      <c r="G408" s="18" t="str">
        <f aca="false">IF(A408="","",COUNTIF('Metric to Product'!$A:$A,A408))</f>
        <v/>
      </c>
      <c r="H408" s="20"/>
      <c r="I408" s="20"/>
      <c r="J408" s="20"/>
      <c r="K408" s="20"/>
    </row>
    <row r="409" customFormat="false" ht="15" hidden="false" customHeight="false" outlineLevel="0" collapsed="false">
      <c r="A409" s="18" t="str">
        <f aca="false">IF(C409="","",IFERROR(INDEX(Metrics!$A:$A,MATCH(C409,Metrics!$C:$C,0)),"Not found"))</f>
        <v/>
      </c>
      <c r="B409" s="18" t="str">
        <f aca="false">IF(D409="","",IFERROR(INDEX(Fields!$A:$A,MATCH(D409,Fields!$B:$B,0)),"Not found"))</f>
        <v/>
      </c>
      <c r="C409" s="20"/>
      <c r="D409" s="20"/>
      <c r="E409" s="20"/>
      <c r="F409" s="21" t="str">
        <f aca="false">IF(B409="","",IFERROR(INDEX(Fields!$C:$C,MATCH(B409,Fields!$A:$A,0)),""))</f>
        <v/>
      </c>
      <c r="G409" s="18" t="str">
        <f aca="false">IF(A409="","",COUNTIF('Metric to Product'!$A:$A,A409))</f>
        <v/>
      </c>
      <c r="H409" s="20"/>
      <c r="I409" s="20"/>
      <c r="J409" s="20"/>
      <c r="K409" s="20"/>
    </row>
    <row r="410" customFormat="false" ht="15" hidden="false" customHeight="false" outlineLevel="0" collapsed="false">
      <c r="A410" s="18" t="str">
        <f aca="false">IF(C410="","",IFERROR(INDEX(Metrics!$A:$A,MATCH(C410,Metrics!$C:$C,0)),"Not found"))</f>
        <v/>
      </c>
      <c r="B410" s="18" t="str">
        <f aca="false">IF(D410="","",IFERROR(INDEX(Fields!$A:$A,MATCH(D410,Fields!$B:$B,0)),"Not found"))</f>
        <v/>
      </c>
      <c r="C410" s="20"/>
      <c r="D410" s="20"/>
      <c r="E410" s="20"/>
      <c r="F410" s="21" t="str">
        <f aca="false">IF(B410="","",IFERROR(INDEX(Fields!$C:$C,MATCH(B410,Fields!$A:$A,0)),""))</f>
        <v/>
      </c>
      <c r="G410" s="18" t="str">
        <f aca="false">IF(A410="","",COUNTIF('Metric to Product'!$A:$A,A410))</f>
        <v/>
      </c>
      <c r="H410" s="20"/>
      <c r="I410" s="20"/>
      <c r="J410" s="20"/>
      <c r="K410" s="20"/>
    </row>
    <row r="411" customFormat="false" ht="15" hidden="false" customHeight="false" outlineLevel="0" collapsed="false">
      <c r="A411" s="18" t="str">
        <f aca="false">IF(C411="","",IFERROR(INDEX(Metrics!$A:$A,MATCH(C411,Metrics!$C:$C,0)),"Not found"))</f>
        <v/>
      </c>
      <c r="B411" s="18" t="str">
        <f aca="false">IF(D411="","",IFERROR(INDEX(Fields!$A:$A,MATCH(D411,Fields!$B:$B,0)),"Not found"))</f>
        <v/>
      </c>
      <c r="C411" s="20"/>
      <c r="D411" s="20"/>
      <c r="E411" s="20"/>
      <c r="F411" s="21" t="str">
        <f aca="false">IF(B411="","",IFERROR(INDEX(Fields!$C:$C,MATCH(B411,Fields!$A:$A,0)),""))</f>
        <v/>
      </c>
      <c r="G411" s="18" t="str">
        <f aca="false">IF(A411="","",COUNTIF('Metric to Product'!$A:$A,A411))</f>
        <v/>
      </c>
      <c r="H411" s="20"/>
      <c r="I411" s="20"/>
      <c r="J411" s="20"/>
      <c r="K411" s="20"/>
    </row>
    <row r="412" customFormat="false" ht="15" hidden="false" customHeight="false" outlineLevel="0" collapsed="false">
      <c r="A412" s="18" t="str">
        <f aca="false">IF(C412="","",IFERROR(INDEX(Metrics!$A:$A,MATCH(C412,Metrics!$C:$C,0)),"Not found"))</f>
        <v/>
      </c>
      <c r="B412" s="18" t="str">
        <f aca="false">IF(D412="","",IFERROR(INDEX(Fields!$A:$A,MATCH(D412,Fields!$B:$B,0)),"Not found"))</f>
        <v/>
      </c>
      <c r="C412" s="20"/>
      <c r="D412" s="20"/>
      <c r="E412" s="20"/>
      <c r="F412" s="21" t="str">
        <f aca="false">IF(B412="","",IFERROR(INDEX(Fields!$C:$C,MATCH(B412,Fields!$A:$A,0)),""))</f>
        <v/>
      </c>
      <c r="G412" s="18" t="str">
        <f aca="false">IF(A412="","",COUNTIF('Metric to Product'!$A:$A,A412))</f>
        <v/>
      </c>
      <c r="H412" s="20"/>
      <c r="I412" s="20"/>
      <c r="J412" s="20"/>
      <c r="K412" s="20"/>
    </row>
    <row r="413" customFormat="false" ht="15" hidden="false" customHeight="false" outlineLevel="0" collapsed="false">
      <c r="A413" s="18" t="str">
        <f aca="false">IF(C413="","",IFERROR(INDEX(Metrics!$A:$A,MATCH(C413,Metrics!$C:$C,0)),"Not found"))</f>
        <v/>
      </c>
      <c r="B413" s="18" t="str">
        <f aca="false">IF(D413="","",IFERROR(INDEX(Fields!$A:$A,MATCH(D413,Fields!$B:$B,0)),"Not found"))</f>
        <v/>
      </c>
      <c r="C413" s="20"/>
      <c r="D413" s="20"/>
      <c r="E413" s="20"/>
      <c r="F413" s="21" t="str">
        <f aca="false">IF(B413="","",IFERROR(INDEX(Fields!$C:$C,MATCH(B413,Fields!$A:$A,0)),""))</f>
        <v/>
      </c>
      <c r="G413" s="18" t="str">
        <f aca="false">IF(A413="","",COUNTIF('Metric to Product'!$A:$A,A413))</f>
        <v/>
      </c>
      <c r="H413" s="20"/>
      <c r="I413" s="20"/>
      <c r="J413" s="20"/>
      <c r="K413" s="20"/>
    </row>
    <row r="414" customFormat="false" ht="15" hidden="false" customHeight="false" outlineLevel="0" collapsed="false">
      <c r="A414" s="18" t="str">
        <f aca="false">IF(C414="","",IFERROR(INDEX(Metrics!$A:$A,MATCH(C414,Metrics!$C:$C,0)),"Not found"))</f>
        <v/>
      </c>
      <c r="B414" s="18" t="str">
        <f aca="false">IF(D414="","",IFERROR(INDEX(Fields!$A:$A,MATCH(D414,Fields!$B:$B,0)),"Not found"))</f>
        <v/>
      </c>
      <c r="C414" s="20"/>
      <c r="D414" s="20"/>
      <c r="E414" s="20"/>
      <c r="F414" s="21" t="str">
        <f aca="false">IF(B414="","",IFERROR(INDEX(Fields!$C:$C,MATCH(B414,Fields!$A:$A,0)),""))</f>
        <v/>
      </c>
      <c r="G414" s="18" t="str">
        <f aca="false">IF(A414="","",COUNTIF('Metric to Product'!$A:$A,A414))</f>
        <v/>
      </c>
      <c r="H414" s="20"/>
      <c r="I414" s="20"/>
      <c r="J414" s="20"/>
      <c r="K414" s="20"/>
    </row>
    <row r="415" customFormat="false" ht="15" hidden="false" customHeight="false" outlineLevel="0" collapsed="false">
      <c r="A415" s="18" t="str">
        <f aca="false">IF(C415="","",IFERROR(INDEX(Metrics!$A:$A,MATCH(C415,Metrics!$C:$C,0)),"Not found"))</f>
        <v/>
      </c>
      <c r="B415" s="18" t="str">
        <f aca="false">IF(D415="","",IFERROR(INDEX(Fields!$A:$A,MATCH(D415,Fields!$B:$B,0)),"Not found"))</f>
        <v/>
      </c>
      <c r="C415" s="20"/>
      <c r="D415" s="20"/>
      <c r="E415" s="20"/>
      <c r="F415" s="21" t="str">
        <f aca="false">IF(B415="","",IFERROR(INDEX(Fields!$C:$C,MATCH(B415,Fields!$A:$A,0)),""))</f>
        <v/>
      </c>
      <c r="G415" s="18" t="str">
        <f aca="false">IF(A415="","",COUNTIF('Metric to Product'!$A:$A,A415))</f>
        <v/>
      </c>
      <c r="H415" s="20"/>
      <c r="I415" s="20"/>
      <c r="J415" s="20"/>
      <c r="K415" s="20"/>
    </row>
    <row r="416" customFormat="false" ht="15" hidden="false" customHeight="false" outlineLevel="0" collapsed="false">
      <c r="A416" s="18" t="str">
        <f aca="false">IF(C416="","",IFERROR(INDEX(Metrics!$A:$A,MATCH(C416,Metrics!$C:$C,0)),"Not found"))</f>
        <v/>
      </c>
      <c r="B416" s="18" t="str">
        <f aca="false">IF(D416="","",IFERROR(INDEX(Fields!$A:$A,MATCH(D416,Fields!$B:$B,0)),"Not found"))</f>
        <v/>
      </c>
      <c r="C416" s="20"/>
      <c r="D416" s="20"/>
      <c r="E416" s="20"/>
      <c r="F416" s="21" t="str">
        <f aca="false">IF(B416="","",IFERROR(INDEX(Fields!$C:$C,MATCH(B416,Fields!$A:$A,0)),""))</f>
        <v/>
      </c>
      <c r="G416" s="18" t="str">
        <f aca="false">IF(A416="","",COUNTIF('Metric to Product'!$A:$A,A416))</f>
        <v/>
      </c>
      <c r="H416" s="20"/>
      <c r="I416" s="20"/>
      <c r="J416" s="20"/>
      <c r="K416" s="20"/>
    </row>
    <row r="417" customFormat="false" ht="15" hidden="false" customHeight="false" outlineLevel="0" collapsed="false">
      <c r="A417" s="18" t="str">
        <f aca="false">IF(C417="","",IFERROR(INDEX(Metrics!$A:$A,MATCH(C417,Metrics!$C:$C,0)),"Not found"))</f>
        <v/>
      </c>
      <c r="B417" s="18" t="str">
        <f aca="false">IF(D417="","",IFERROR(INDEX(Fields!$A:$A,MATCH(D417,Fields!$B:$B,0)),"Not found"))</f>
        <v/>
      </c>
      <c r="C417" s="20"/>
      <c r="D417" s="20"/>
      <c r="E417" s="20"/>
      <c r="F417" s="21" t="str">
        <f aca="false">IF(B417="","",IFERROR(INDEX(Fields!$C:$C,MATCH(B417,Fields!$A:$A,0)),""))</f>
        <v/>
      </c>
      <c r="G417" s="18" t="str">
        <f aca="false">IF(A417="","",COUNTIF('Metric to Product'!$A:$A,A417))</f>
        <v/>
      </c>
      <c r="H417" s="20"/>
      <c r="I417" s="20"/>
      <c r="J417" s="20"/>
      <c r="K417" s="20"/>
    </row>
    <row r="418" customFormat="false" ht="15" hidden="false" customHeight="false" outlineLevel="0" collapsed="false">
      <c r="A418" s="18" t="str">
        <f aca="false">IF(C418="","",IFERROR(INDEX(Metrics!$A:$A,MATCH(C418,Metrics!$C:$C,0)),"Not found"))</f>
        <v/>
      </c>
      <c r="B418" s="18" t="str">
        <f aca="false">IF(D418="","",IFERROR(INDEX(Fields!$A:$A,MATCH(D418,Fields!$B:$B,0)),"Not found"))</f>
        <v/>
      </c>
      <c r="C418" s="20"/>
      <c r="D418" s="20"/>
      <c r="E418" s="20"/>
      <c r="F418" s="21" t="str">
        <f aca="false">IF(B418="","",IFERROR(INDEX(Fields!$C:$C,MATCH(B418,Fields!$A:$A,0)),""))</f>
        <v/>
      </c>
      <c r="G418" s="18" t="str">
        <f aca="false">IF(A418="","",COUNTIF('Metric to Product'!$A:$A,A418))</f>
        <v/>
      </c>
      <c r="H418" s="20"/>
      <c r="I418" s="20"/>
      <c r="J418" s="20"/>
      <c r="K418" s="20"/>
    </row>
    <row r="419" customFormat="false" ht="15" hidden="false" customHeight="false" outlineLevel="0" collapsed="false">
      <c r="A419" s="18" t="str">
        <f aca="false">IF(C419="","",IFERROR(INDEX(Metrics!$A:$A,MATCH(C419,Metrics!$C:$C,0)),"Not found"))</f>
        <v/>
      </c>
      <c r="B419" s="18" t="str">
        <f aca="false">IF(D419="","",IFERROR(INDEX(Fields!$A:$A,MATCH(D419,Fields!$B:$B,0)),"Not found"))</f>
        <v/>
      </c>
      <c r="C419" s="20"/>
      <c r="D419" s="20"/>
      <c r="E419" s="20"/>
      <c r="F419" s="21" t="str">
        <f aca="false">IF(B419="","",IFERROR(INDEX(Fields!$C:$C,MATCH(B419,Fields!$A:$A,0)),""))</f>
        <v/>
      </c>
      <c r="G419" s="18" t="str">
        <f aca="false">IF(A419="","",COUNTIF('Metric to Product'!$A:$A,A419))</f>
        <v/>
      </c>
      <c r="H419" s="20"/>
      <c r="I419" s="20"/>
      <c r="J419" s="20"/>
      <c r="K419" s="20"/>
    </row>
    <row r="420" customFormat="false" ht="15" hidden="false" customHeight="false" outlineLevel="0" collapsed="false">
      <c r="A420" s="18" t="str">
        <f aca="false">IF(C420="","",IFERROR(INDEX(Metrics!$A:$A,MATCH(C420,Metrics!$C:$C,0)),"Not found"))</f>
        <v/>
      </c>
      <c r="B420" s="18" t="str">
        <f aca="false">IF(D420="","",IFERROR(INDEX(Fields!$A:$A,MATCH(D420,Fields!$B:$B,0)),"Not found"))</f>
        <v/>
      </c>
      <c r="C420" s="20"/>
      <c r="D420" s="20"/>
      <c r="E420" s="20"/>
      <c r="F420" s="21" t="str">
        <f aca="false">IF(B420="","",IFERROR(INDEX(Fields!$C:$C,MATCH(B420,Fields!$A:$A,0)),""))</f>
        <v/>
      </c>
      <c r="G420" s="18" t="str">
        <f aca="false">IF(A420="","",COUNTIF('Metric to Product'!$A:$A,A420))</f>
        <v/>
      </c>
      <c r="H420" s="20"/>
      <c r="I420" s="20"/>
      <c r="J420" s="20"/>
      <c r="K420" s="20"/>
    </row>
    <row r="421" customFormat="false" ht="15" hidden="false" customHeight="false" outlineLevel="0" collapsed="false">
      <c r="A421" s="18" t="str">
        <f aca="false">IF(C421="","",IFERROR(INDEX(Metrics!$A:$A,MATCH(C421,Metrics!$C:$C,0)),"Not found"))</f>
        <v/>
      </c>
      <c r="B421" s="18" t="str">
        <f aca="false">IF(D421="","",IFERROR(INDEX(Fields!$A:$A,MATCH(D421,Fields!$B:$B,0)),"Not found"))</f>
        <v/>
      </c>
      <c r="C421" s="20"/>
      <c r="D421" s="20"/>
      <c r="E421" s="20"/>
      <c r="F421" s="21" t="str">
        <f aca="false">IF(B421="","",IFERROR(INDEX(Fields!$C:$C,MATCH(B421,Fields!$A:$A,0)),""))</f>
        <v/>
      </c>
      <c r="G421" s="18" t="str">
        <f aca="false">IF(A421="","",COUNTIF('Metric to Product'!$A:$A,A421))</f>
        <v/>
      </c>
      <c r="H421" s="20"/>
      <c r="I421" s="20"/>
      <c r="J421" s="20"/>
      <c r="K421" s="20"/>
    </row>
    <row r="422" customFormat="false" ht="15" hidden="false" customHeight="false" outlineLevel="0" collapsed="false">
      <c r="A422" s="18" t="str">
        <f aca="false">IF(C422="","",IFERROR(INDEX(Metrics!$A:$A,MATCH(C422,Metrics!$C:$C,0)),"Not found"))</f>
        <v/>
      </c>
      <c r="B422" s="18" t="str">
        <f aca="false">IF(D422="","",IFERROR(INDEX(Fields!$A:$A,MATCH(D422,Fields!$B:$B,0)),"Not found"))</f>
        <v/>
      </c>
      <c r="C422" s="20"/>
      <c r="D422" s="20"/>
      <c r="E422" s="20"/>
      <c r="F422" s="21" t="str">
        <f aca="false">IF(B422="","",IFERROR(INDEX(Fields!$C:$C,MATCH(B422,Fields!$A:$A,0)),""))</f>
        <v/>
      </c>
      <c r="G422" s="18" t="str">
        <f aca="false">IF(A422="","",COUNTIF('Metric to Product'!$A:$A,A422))</f>
        <v/>
      </c>
      <c r="H422" s="20"/>
      <c r="I422" s="20"/>
      <c r="J422" s="20"/>
      <c r="K422" s="20"/>
    </row>
    <row r="423" customFormat="false" ht="15" hidden="false" customHeight="false" outlineLevel="0" collapsed="false">
      <c r="A423" s="18" t="str">
        <f aca="false">IF(C423="","",IFERROR(INDEX(Metrics!$A:$A,MATCH(C423,Metrics!$C:$C,0)),"Not found"))</f>
        <v/>
      </c>
      <c r="B423" s="18" t="str">
        <f aca="false">IF(D423="","",IFERROR(INDEX(Fields!$A:$A,MATCH(D423,Fields!$B:$B,0)),"Not found"))</f>
        <v/>
      </c>
      <c r="C423" s="20"/>
      <c r="D423" s="20"/>
      <c r="E423" s="20"/>
      <c r="F423" s="21" t="str">
        <f aca="false">IF(B423="","",IFERROR(INDEX(Fields!$C:$C,MATCH(B423,Fields!$A:$A,0)),""))</f>
        <v/>
      </c>
      <c r="G423" s="18" t="str">
        <f aca="false">IF(A423="","",COUNTIF('Metric to Product'!$A:$A,A423))</f>
        <v/>
      </c>
      <c r="H423" s="20"/>
      <c r="I423" s="20"/>
      <c r="J423" s="20"/>
      <c r="K423" s="20"/>
    </row>
    <row r="424" customFormat="false" ht="15" hidden="false" customHeight="false" outlineLevel="0" collapsed="false">
      <c r="A424" s="18" t="str">
        <f aca="false">IF(C424="","",IFERROR(INDEX(Metrics!$A:$A,MATCH(C424,Metrics!$C:$C,0)),"Not found"))</f>
        <v/>
      </c>
      <c r="B424" s="18" t="str">
        <f aca="false">IF(D424="","",IFERROR(INDEX(Fields!$A:$A,MATCH(D424,Fields!$B:$B,0)),"Not found"))</f>
        <v/>
      </c>
      <c r="C424" s="20"/>
      <c r="D424" s="20"/>
      <c r="E424" s="20"/>
      <c r="F424" s="21" t="str">
        <f aca="false">IF(B424="","",IFERROR(INDEX(Fields!$C:$C,MATCH(B424,Fields!$A:$A,0)),""))</f>
        <v/>
      </c>
      <c r="G424" s="18" t="str">
        <f aca="false">IF(A424="","",COUNTIF('Metric to Product'!$A:$A,A424))</f>
        <v/>
      </c>
      <c r="H424" s="20"/>
      <c r="I424" s="20"/>
      <c r="J424" s="20"/>
      <c r="K424" s="20"/>
    </row>
    <row r="425" customFormat="false" ht="15" hidden="false" customHeight="false" outlineLevel="0" collapsed="false">
      <c r="A425" s="18" t="str">
        <f aca="false">IF(C425="","",IFERROR(INDEX(Metrics!$A:$A,MATCH(C425,Metrics!$C:$C,0)),"Not found"))</f>
        <v/>
      </c>
      <c r="B425" s="18" t="str">
        <f aca="false">IF(D425="","",IFERROR(INDEX(Fields!$A:$A,MATCH(D425,Fields!$B:$B,0)),"Not found"))</f>
        <v/>
      </c>
      <c r="C425" s="20"/>
      <c r="D425" s="20"/>
      <c r="E425" s="20"/>
      <c r="F425" s="21" t="str">
        <f aca="false">IF(B425="","",IFERROR(INDEX(Fields!$C:$C,MATCH(B425,Fields!$A:$A,0)),""))</f>
        <v/>
      </c>
      <c r="G425" s="18" t="str">
        <f aca="false">IF(A425="","",COUNTIF('Metric to Product'!$A:$A,A425))</f>
        <v/>
      </c>
      <c r="H425" s="20"/>
      <c r="I425" s="20"/>
      <c r="J425" s="20"/>
      <c r="K425" s="20"/>
    </row>
    <row r="426" customFormat="false" ht="15" hidden="false" customHeight="false" outlineLevel="0" collapsed="false">
      <c r="A426" s="18" t="str">
        <f aca="false">IF(C426="","",IFERROR(INDEX(Metrics!$A:$A,MATCH(C426,Metrics!$C:$C,0)),"Not found"))</f>
        <v/>
      </c>
      <c r="B426" s="18" t="str">
        <f aca="false">IF(D426="","",IFERROR(INDEX(Fields!$A:$A,MATCH(D426,Fields!$B:$B,0)),"Not found"))</f>
        <v/>
      </c>
      <c r="C426" s="20"/>
      <c r="D426" s="20"/>
      <c r="E426" s="20"/>
      <c r="F426" s="21" t="str">
        <f aca="false">IF(B426="","",IFERROR(INDEX(Fields!$C:$C,MATCH(B426,Fields!$A:$A,0)),""))</f>
        <v/>
      </c>
      <c r="G426" s="18" t="str">
        <f aca="false">IF(A426="","",COUNTIF('Metric to Product'!$A:$A,A426))</f>
        <v/>
      </c>
      <c r="H426" s="20"/>
      <c r="I426" s="20"/>
      <c r="J426" s="20"/>
      <c r="K426" s="20"/>
    </row>
    <row r="427" customFormat="false" ht="15" hidden="false" customHeight="false" outlineLevel="0" collapsed="false">
      <c r="A427" s="18" t="str">
        <f aca="false">IF(C427="","",IFERROR(INDEX(Metrics!$A:$A,MATCH(C427,Metrics!$C:$C,0)),"Not found"))</f>
        <v/>
      </c>
      <c r="B427" s="18" t="str">
        <f aca="false">IF(D427="","",IFERROR(INDEX(Fields!$A:$A,MATCH(D427,Fields!$B:$B,0)),"Not found"))</f>
        <v/>
      </c>
      <c r="C427" s="20"/>
      <c r="D427" s="20"/>
      <c r="E427" s="20"/>
      <c r="F427" s="21" t="str">
        <f aca="false">IF(B427="","",IFERROR(INDEX(Fields!$C:$C,MATCH(B427,Fields!$A:$A,0)),""))</f>
        <v/>
      </c>
      <c r="G427" s="18" t="str">
        <f aca="false">IF(A427="","",COUNTIF('Metric to Product'!$A:$A,A427))</f>
        <v/>
      </c>
      <c r="H427" s="20"/>
      <c r="I427" s="20"/>
      <c r="J427" s="20"/>
      <c r="K427" s="20"/>
    </row>
    <row r="428" customFormat="false" ht="15" hidden="false" customHeight="false" outlineLevel="0" collapsed="false">
      <c r="A428" s="18" t="str">
        <f aca="false">IF(C428="","",IFERROR(INDEX(Metrics!$A:$A,MATCH(C428,Metrics!$C:$C,0)),"Not found"))</f>
        <v/>
      </c>
      <c r="B428" s="18" t="str">
        <f aca="false">IF(D428="","",IFERROR(INDEX(Fields!$A:$A,MATCH(D428,Fields!$B:$B,0)),"Not found"))</f>
        <v/>
      </c>
      <c r="C428" s="20"/>
      <c r="D428" s="20"/>
      <c r="E428" s="20"/>
      <c r="F428" s="21" t="str">
        <f aca="false">IF(B428="","",IFERROR(INDEX(Fields!$C:$C,MATCH(B428,Fields!$A:$A,0)),""))</f>
        <v/>
      </c>
      <c r="G428" s="18" t="str">
        <f aca="false">IF(A428="","",COUNTIF('Metric to Product'!$A:$A,A428))</f>
        <v/>
      </c>
      <c r="H428" s="20"/>
      <c r="I428" s="20"/>
      <c r="J428" s="20"/>
      <c r="K428" s="20"/>
    </row>
    <row r="429" customFormat="false" ht="15" hidden="false" customHeight="false" outlineLevel="0" collapsed="false">
      <c r="A429" s="18" t="str">
        <f aca="false">IF(C429="","",IFERROR(INDEX(Metrics!$A:$A,MATCH(C429,Metrics!$C:$C,0)),"Not found"))</f>
        <v/>
      </c>
      <c r="B429" s="18" t="str">
        <f aca="false">IF(D429="","",IFERROR(INDEX(Fields!$A:$A,MATCH(D429,Fields!$B:$B,0)),"Not found"))</f>
        <v/>
      </c>
      <c r="C429" s="20"/>
      <c r="D429" s="20"/>
      <c r="E429" s="20"/>
      <c r="F429" s="21" t="str">
        <f aca="false">IF(B429="","",IFERROR(INDEX(Fields!$C:$C,MATCH(B429,Fields!$A:$A,0)),""))</f>
        <v/>
      </c>
      <c r="G429" s="18" t="str">
        <f aca="false">IF(A429="","",COUNTIF('Metric to Product'!$A:$A,A429))</f>
        <v/>
      </c>
      <c r="H429" s="20"/>
      <c r="I429" s="20"/>
      <c r="J429" s="20"/>
      <c r="K429" s="20"/>
    </row>
    <row r="430" customFormat="false" ht="15" hidden="false" customHeight="false" outlineLevel="0" collapsed="false">
      <c r="A430" s="18" t="str">
        <f aca="false">IF(C430="","",IFERROR(INDEX(Metrics!$A:$A,MATCH(C430,Metrics!$C:$C,0)),"Not found"))</f>
        <v/>
      </c>
      <c r="B430" s="18" t="str">
        <f aca="false">IF(D430="","",IFERROR(INDEX(Fields!$A:$A,MATCH(D430,Fields!$B:$B,0)),"Not found"))</f>
        <v/>
      </c>
      <c r="C430" s="20"/>
      <c r="D430" s="20"/>
      <c r="E430" s="20"/>
      <c r="F430" s="21" t="str">
        <f aca="false">IF(B430="","",IFERROR(INDEX(Fields!$C:$C,MATCH(B430,Fields!$A:$A,0)),""))</f>
        <v/>
      </c>
      <c r="G430" s="18" t="str">
        <f aca="false">IF(A430="","",COUNTIF('Metric to Product'!$A:$A,A430))</f>
        <v/>
      </c>
      <c r="H430" s="20"/>
      <c r="I430" s="20"/>
      <c r="J430" s="20"/>
      <c r="K430" s="20"/>
    </row>
    <row r="431" customFormat="false" ht="15" hidden="false" customHeight="false" outlineLevel="0" collapsed="false">
      <c r="A431" s="18" t="str">
        <f aca="false">IF(C431="","",IFERROR(INDEX(Metrics!$A:$A,MATCH(C431,Metrics!$C:$C,0)),"Not found"))</f>
        <v/>
      </c>
      <c r="B431" s="18" t="str">
        <f aca="false">IF(D431="","",IFERROR(INDEX(Fields!$A:$A,MATCH(D431,Fields!$B:$B,0)),"Not found"))</f>
        <v/>
      </c>
      <c r="C431" s="20"/>
      <c r="D431" s="20"/>
      <c r="E431" s="20"/>
      <c r="F431" s="21" t="str">
        <f aca="false">IF(B431="","",IFERROR(INDEX(Fields!$C:$C,MATCH(B431,Fields!$A:$A,0)),""))</f>
        <v/>
      </c>
      <c r="G431" s="18" t="str">
        <f aca="false">IF(A431="","",COUNTIF('Metric to Product'!$A:$A,A431))</f>
        <v/>
      </c>
      <c r="H431" s="20"/>
      <c r="I431" s="20"/>
      <c r="J431" s="20"/>
      <c r="K431" s="20"/>
    </row>
    <row r="432" customFormat="false" ht="15" hidden="false" customHeight="false" outlineLevel="0" collapsed="false">
      <c r="A432" s="18" t="str">
        <f aca="false">IF(C432="","",IFERROR(INDEX(Metrics!$A:$A,MATCH(C432,Metrics!$C:$C,0)),"Not found"))</f>
        <v/>
      </c>
      <c r="B432" s="18" t="str">
        <f aca="false">IF(D432="","",IFERROR(INDEX(Fields!$A:$A,MATCH(D432,Fields!$B:$B,0)),"Not found"))</f>
        <v/>
      </c>
      <c r="C432" s="20"/>
      <c r="D432" s="20"/>
      <c r="E432" s="20"/>
      <c r="F432" s="21" t="str">
        <f aca="false">IF(B432="","",IFERROR(INDEX(Fields!$C:$C,MATCH(B432,Fields!$A:$A,0)),""))</f>
        <v/>
      </c>
      <c r="G432" s="18" t="str">
        <f aca="false">IF(A432="","",COUNTIF('Metric to Product'!$A:$A,A432))</f>
        <v/>
      </c>
      <c r="H432" s="20"/>
      <c r="I432" s="20"/>
      <c r="J432" s="20"/>
      <c r="K432" s="20"/>
    </row>
    <row r="433" customFormat="false" ht="15" hidden="false" customHeight="false" outlineLevel="0" collapsed="false">
      <c r="A433" s="18" t="str">
        <f aca="false">IF(C433="","",IFERROR(INDEX(Metrics!$A:$A,MATCH(C433,Metrics!$C:$C,0)),"Not found"))</f>
        <v/>
      </c>
      <c r="B433" s="18" t="str">
        <f aca="false">IF(D433="","",IFERROR(INDEX(Fields!$A:$A,MATCH(D433,Fields!$B:$B,0)),"Not found"))</f>
        <v/>
      </c>
      <c r="C433" s="20"/>
      <c r="D433" s="20"/>
      <c r="E433" s="20"/>
      <c r="F433" s="21" t="str">
        <f aca="false">IF(B433="","",IFERROR(INDEX(Fields!$C:$C,MATCH(B433,Fields!$A:$A,0)),""))</f>
        <v/>
      </c>
      <c r="G433" s="18" t="str">
        <f aca="false">IF(A433="","",COUNTIF('Metric to Product'!$A:$A,A433))</f>
        <v/>
      </c>
      <c r="H433" s="20"/>
      <c r="I433" s="20"/>
      <c r="J433" s="20"/>
      <c r="K433" s="20"/>
    </row>
    <row r="434" customFormat="false" ht="15" hidden="false" customHeight="false" outlineLevel="0" collapsed="false">
      <c r="A434" s="18" t="str">
        <f aca="false">IF(C434="","",IFERROR(INDEX(Metrics!$A:$A,MATCH(C434,Metrics!$C:$C,0)),"Not found"))</f>
        <v/>
      </c>
      <c r="B434" s="18" t="str">
        <f aca="false">IF(D434="","",IFERROR(INDEX(Fields!$A:$A,MATCH(D434,Fields!$B:$B,0)),"Not found"))</f>
        <v/>
      </c>
      <c r="C434" s="20"/>
      <c r="D434" s="20"/>
      <c r="E434" s="20"/>
      <c r="F434" s="21" t="str">
        <f aca="false">IF(B434="","",IFERROR(INDEX(Fields!$C:$C,MATCH(B434,Fields!$A:$A,0)),""))</f>
        <v/>
      </c>
      <c r="G434" s="18" t="str">
        <f aca="false">IF(A434="","",COUNTIF('Metric to Product'!$A:$A,A434))</f>
        <v/>
      </c>
      <c r="H434" s="20"/>
      <c r="I434" s="20"/>
      <c r="J434" s="20"/>
      <c r="K434" s="20"/>
    </row>
    <row r="435" customFormat="false" ht="15" hidden="false" customHeight="false" outlineLevel="0" collapsed="false">
      <c r="A435" s="18" t="str">
        <f aca="false">IF(C435="","",IFERROR(INDEX(Metrics!$A:$A,MATCH(C435,Metrics!$C:$C,0)),"Not found"))</f>
        <v/>
      </c>
      <c r="B435" s="18" t="str">
        <f aca="false">IF(D435="","",IFERROR(INDEX(Fields!$A:$A,MATCH(D435,Fields!$B:$B,0)),"Not found"))</f>
        <v/>
      </c>
      <c r="C435" s="20"/>
      <c r="D435" s="20"/>
      <c r="E435" s="20"/>
      <c r="F435" s="21" t="str">
        <f aca="false">IF(B435="","",IFERROR(INDEX(Fields!$C:$C,MATCH(B435,Fields!$A:$A,0)),""))</f>
        <v/>
      </c>
      <c r="G435" s="18" t="str">
        <f aca="false">IF(A435="","",COUNTIF('Metric to Product'!$A:$A,A435))</f>
        <v/>
      </c>
      <c r="H435" s="20"/>
      <c r="I435" s="20"/>
      <c r="J435" s="20"/>
      <c r="K435" s="20"/>
    </row>
    <row r="436" customFormat="false" ht="15" hidden="false" customHeight="false" outlineLevel="0" collapsed="false">
      <c r="A436" s="18" t="str">
        <f aca="false">IF(C436="","",IFERROR(INDEX(Metrics!$A:$A,MATCH(C436,Metrics!$C:$C,0)),"Not found"))</f>
        <v/>
      </c>
      <c r="B436" s="18" t="str">
        <f aca="false">IF(D436="","",IFERROR(INDEX(Fields!$A:$A,MATCH(D436,Fields!$B:$B,0)),"Not found"))</f>
        <v/>
      </c>
      <c r="C436" s="20"/>
      <c r="D436" s="20"/>
      <c r="E436" s="20"/>
      <c r="F436" s="21" t="str">
        <f aca="false">IF(B436="","",IFERROR(INDEX(Fields!$C:$C,MATCH(B436,Fields!$A:$A,0)),""))</f>
        <v/>
      </c>
      <c r="G436" s="18" t="str">
        <f aca="false">IF(A436="","",COUNTIF('Metric to Product'!$A:$A,A436))</f>
        <v/>
      </c>
      <c r="H436" s="20"/>
      <c r="I436" s="20"/>
      <c r="J436" s="20"/>
      <c r="K436" s="20"/>
    </row>
    <row r="437" customFormat="false" ht="15" hidden="false" customHeight="false" outlineLevel="0" collapsed="false">
      <c r="A437" s="18" t="str">
        <f aca="false">IF(C437="","",IFERROR(INDEX(Metrics!$A:$A,MATCH(C437,Metrics!$C:$C,0)),"Not found"))</f>
        <v/>
      </c>
      <c r="B437" s="18" t="str">
        <f aca="false">IF(D437="","",IFERROR(INDEX(Fields!$A:$A,MATCH(D437,Fields!$B:$B,0)),"Not found"))</f>
        <v/>
      </c>
      <c r="C437" s="20"/>
      <c r="D437" s="20"/>
      <c r="E437" s="20"/>
      <c r="F437" s="21" t="str">
        <f aca="false">IF(B437="","",IFERROR(INDEX(Fields!$C:$C,MATCH(B437,Fields!$A:$A,0)),""))</f>
        <v/>
      </c>
      <c r="G437" s="18" t="str">
        <f aca="false">IF(A437="","",COUNTIF('Metric to Product'!$A:$A,A437))</f>
        <v/>
      </c>
      <c r="H437" s="20"/>
      <c r="I437" s="20"/>
      <c r="J437" s="20"/>
      <c r="K437" s="20"/>
    </row>
    <row r="438" customFormat="false" ht="15" hidden="false" customHeight="false" outlineLevel="0" collapsed="false">
      <c r="A438" s="18" t="str">
        <f aca="false">IF(C438="","",IFERROR(INDEX(Metrics!$A:$A,MATCH(C438,Metrics!$C:$C,0)),"Not found"))</f>
        <v/>
      </c>
      <c r="B438" s="18" t="str">
        <f aca="false">IF(D438="","",IFERROR(INDEX(Fields!$A:$A,MATCH(D438,Fields!$B:$B,0)),"Not found"))</f>
        <v/>
      </c>
      <c r="C438" s="20"/>
      <c r="D438" s="20"/>
      <c r="E438" s="20"/>
      <c r="F438" s="21" t="str">
        <f aca="false">IF(B438="","",IFERROR(INDEX(Fields!$C:$C,MATCH(B438,Fields!$A:$A,0)),""))</f>
        <v/>
      </c>
      <c r="G438" s="18" t="str">
        <f aca="false">IF(A438="","",COUNTIF('Metric to Product'!$A:$A,A438))</f>
        <v/>
      </c>
      <c r="H438" s="20"/>
      <c r="I438" s="20"/>
      <c r="J438" s="20"/>
      <c r="K438" s="20"/>
    </row>
    <row r="439" customFormat="false" ht="15" hidden="false" customHeight="false" outlineLevel="0" collapsed="false">
      <c r="A439" s="18" t="str">
        <f aca="false">IF(C439="","",IFERROR(INDEX(Metrics!$A:$A,MATCH(C439,Metrics!$C:$C,0)),"Not found"))</f>
        <v/>
      </c>
      <c r="B439" s="18" t="str">
        <f aca="false">IF(D439="","",IFERROR(INDEX(Fields!$A:$A,MATCH(D439,Fields!$B:$B,0)),"Not found"))</f>
        <v/>
      </c>
      <c r="C439" s="20"/>
      <c r="D439" s="20"/>
      <c r="E439" s="20"/>
      <c r="F439" s="21" t="str">
        <f aca="false">IF(B439="","",IFERROR(INDEX(Fields!$C:$C,MATCH(B439,Fields!$A:$A,0)),""))</f>
        <v/>
      </c>
      <c r="G439" s="18" t="str">
        <f aca="false">IF(A439="","",COUNTIF('Metric to Product'!$A:$A,A439))</f>
        <v/>
      </c>
      <c r="H439" s="20"/>
      <c r="I439" s="20"/>
      <c r="J439" s="20"/>
      <c r="K439" s="20"/>
    </row>
    <row r="440" customFormat="false" ht="15" hidden="false" customHeight="false" outlineLevel="0" collapsed="false">
      <c r="A440" s="18" t="str">
        <f aca="false">IF(C440="","",IFERROR(INDEX(Metrics!$A:$A,MATCH(C440,Metrics!$C:$C,0)),"Not found"))</f>
        <v/>
      </c>
      <c r="B440" s="18" t="str">
        <f aca="false">IF(D440="","",IFERROR(INDEX(Fields!$A:$A,MATCH(D440,Fields!$B:$B,0)),"Not found"))</f>
        <v/>
      </c>
      <c r="C440" s="20"/>
      <c r="D440" s="20"/>
      <c r="E440" s="20"/>
      <c r="F440" s="21" t="str">
        <f aca="false">IF(B440="","",IFERROR(INDEX(Fields!$C:$C,MATCH(B440,Fields!$A:$A,0)),""))</f>
        <v/>
      </c>
      <c r="G440" s="18" t="str">
        <f aca="false">IF(A440="","",COUNTIF('Metric to Product'!$A:$A,A440))</f>
        <v/>
      </c>
      <c r="H440" s="20"/>
      <c r="I440" s="20"/>
      <c r="J440" s="20"/>
      <c r="K440" s="20"/>
    </row>
    <row r="441" customFormat="false" ht="15" hidden="false" customHeight="false" outlineLevel="0" collapsed="false">
      <c r="A441" s="18" t="str">
        <f aca="false">IF(C441="","",IFERROR(INDEX(Metrics!$A:$A,MATCH(C441,Metrics!$C:$C,0)),"Not found"))</f>
        <v/>
      </c>
      <c r="B441" s="18" t="str">
        <f aca="false">IF(D441="","",IFERROR(INDEX(Fields!$A:$A,MATCH(D441,Fields!$B:$B,0)),"Not found"))</f>
        <v/>
      </c>
      <c r="C441" s="20"/>
      <c r="D441" s="20"/>
      <c r="E441" s="20"/>
      <c r="F441" s="21" t="str">
        <f aca="false">IF(B441="","",IFERROR(INDEX(Fields!$C:$C,MATCH(B441,Fields!$A:$A,0)),""))</f>
        <v/>
      </c>
      <c r="G441" s="18" t="str">
        <f aca="false">IF(A441="","",COUNTIF('Metric to Product'!$A:$A,A441))</f>
        <v/>
      </c>
      <c r="H441" s="20"/>
      <c r="I441" s="20"/>
      <c r="J441" s="20"/>
      <c r="K441" s="20"/>
    </row>
    <row r="442" customFormat="false" ht="15" hidden="false" customHeight="false" outlineLevel="0" collapsed="false">
      <c r="A442" s="18" t="str">
        <f aca="false">IF(C442="","",IFERROR(INDEX(Metrics!$A:$A,MATCH(C442,Metrics!$C:$C,0)),"Not found"))</f>
        <v/>
      </c>
      <c r="B442" s="18" t="str">
        <f aca="false">IF(D442="","",IFERROR(INDEX(Fields!$A:$A,MATCH(D442,Fields!$B:$B,0)),"Not found"))</f>
        <v/>
      </c>
      <c r="C442" s="20"/>
      <c r="D442" s="20"/>
      <c r="E442" s="20"/>
      <c r="F442" s="21" t="str">
        <f aca="false">IF(B442="","",IFERROR(INDEX(Fields!$C:$C,MATCH(B442,Fields!$A:$A,0)),""))</f>
        <v/>
      </c>
      <c r="G442" s="18" t="str">
        <f aca="false">IF(A442="","",COUNTIF('Metric to Product'!$A:$A,A442))</f>
        <v/>
      </c>
      <c r="H442" s="20"/>
      <c r="I442" s="20"/>
      <c r="J442" s="20"/>
      <c r="K442" s="20"/>
    </row>
    <row r="443" customFormat="false" ht="15" hidden="false" customHeight="false" outlineLevel="0" collapsed="false">
      <c r="A443" s="18" t="str">
        <f aca="false">IF(C443="","",IFERROR(INDEX(Metrics!$A:$A,MATCH(C443,Metrics!$C:$C,0)),"Not found"))</f>
        <v/>
      </c>
      <c r="B443" s="18" t="str">
        <f aca="false">IF(D443="","",IFERROR(INDEX(Fields!$A:$A,MATCH(D443,Fields!$B:$B,0)),"Not found"))</f>
        <v/>
      </c>
      <c r="C443" s="20"/>
      <c r="D443" s="20"/>
      <c r="E443" s="20"/>
      <c r="F443" s="21" t="str">
        <f aca="false">IF(B443="","",IFERROR(INDEX(Fields!$C:$C,MATCH(B443,Fields!$A:$A,0)),""))</f>
        <v/>
      </c>
      <c r="G443" s="18" t="str">
        <f aca="false">IF(A443="","",COUNTIF('Metric to Product'!$A:$A,A443))</f>
        <v/>
      </c>
      <c r="H443" s="20"/>
      <c r="I443" s="20"/>
      <c r="J443" s="20"/>
      <c r="K443" s="20"/>
    </row>
    <row r="444" customFormat="false" ht="15" hidden="false" customHeight="false" outlineLevel="0" collapsed="false">
      <c r="A444" s="18" t="str">
        <f aca="false">IF(C444="","",IFERROR(INDEX(Metrics!$A:$A,MATCH(C444,Metrics!$C:$C,0)),"Not found"))</f>
        <v/>
      </c>
      <c r="B444" s="18" t="str">
        <f aca="false">IF(D444="","",IFERROR(INDEX(Fields!$A:$A,MATCH(D444,Fields!$B:$B,0)),"Not found"))</f>
        <v/>
      </c>
      <c r="C444" s="20"/>
      <c r="D444" s="20"/>
      <c r="E444" s="20"/>
      <c r="F444" s="21" t="str">
        <f aca="false">IF(B444="","",IFERROR(INDEX(Fields!$C:$C,MATCH(B444,Fields!$A:$A,0)),""))</f>
        <v/>
      </c>
      <c r="G444" s="18" t="str">
        <f aca="false">IF(A444="","",COUNTIF('Metric to Product'!$A:$A,A444))</f>
        <v/>
      </c>
      <c r="H444" s="20"/>
      <c r="I444" s="20"/>
      <c r="J444" s="20"/>
      <c r="K444" s="20"/>
    </row>
    <row r="445" customFormat="false" ht="15" hidden="false" customHeight="false" outlineLevel="0" collapsed="false">
      <c r="A445" s="18" t="str">
        <f aca="false">IF(C445="","",IFERROR(INDEX(Metrics!$A:$A,MATCH(C445,Metrics!$C:$C,0)),"Not found"))</f>
        <v/>
      </c>
      <c r="B445" s="18" t="str">
        <f aca="false">IF(D445="","",IFERROR(INDEX(Fields!$A:$A,MATCH(D445,Fields!$B:$B,0)),"Not found"))</f>
        <v/>
      </c>
      <c r="C445" s="20"/>
      <c r="D445" s="20"/>
      <c r="E445" s="20"/>
      <c r="F445" s="21" t="str">
        <f aca="false">IF(B445="","",IFERROR(INDEX(Fields!$C:$C,MATCH(B445,Fields!$A:$A,0)),""))</f>
        <v/>
      </c>
      <c r="G445" s="18" t="str">
        <f aca="false">IF(A445="","",COUNTIF('Metric to Product'!$A:$A,A445))</f>
        <v/>
      </c>
      <c r="H445" s="20"/>
      <c r="I445" s="20"/>
      <c r="J445" s="20"/>
      <c r="K445" s="20"/>
    </row>
    <row r="446" customFormat="false" ht="15" hidden="false" customHeight="false" outlineLevel="0" collapsed="false">
      <c r="A446" s="18" t="str">
        <f aca="false">IF(C446="","",IFERROR(INDEX(Metrics!$A:$A,MATCH(C446,Metrics!$C:$C,0)),"Not found"))</f>
        <v/>
      </c>
      <c r="B446" s="18" t="str">
        <f aca="false">IF(D446="","",IFERROR(INDEX(Fields!$A:$A,MATCH(D446,Fields!$B:$B,0)),"Not found"))</f>
        <v/>
      </c>
      <c r="C446" s="20"/>
      <c r="D446" s="20"/>
      <c r="E446" s="20"/>
      <c r="F446" s="21" t="str">
        <f aca="false">IF(B446="","",IFERROR(INDEX(Fields!$C:$C,MATCH(B446,Fields!$A:$A,0)),""))</f>
        <v/>
      </c>
      <c r="G446" s="18" t="str">
        <f aca="false">IF(A446="","",COUNTIF('Metric to Product'!$A:$A,A446))</f>
        <v/>
      </c>
      <c r="H446" s="20"/>
      <c r="I446" s="20"/>
      <c r="J446" s="20"/>
      <c r="K446" s="20"/>
    </row>
    <row r="447" customFormat="false" ht="15" hidden="false" customHeight="false" outlineLevel="0" collapsed="false">
      <c r="A447" s="18" t="str">
        <f aca="false">IF(C447="","",IFERROR(INDEX(Metrics!$A:$A,MATCH(C447,Metrics!$C:$C,0)),"Not found"))</f>
        <v/>
      </c>
      <c r="B447" s="18" t="str">
        <f aca="false">IF(D447="","",IFERROR(INDEX(Fields!$A:$A,MATCH(D447,Fields!$B:$B,0)),"Not found"))</f>
        <v/>
      </c>
      <c r="C447" s="20"/>
      <c r="D447" s="20"/>
      <c r="E447" s="20"/>
      <c r="F447" s="21" t="str">
        <f aca="false">IF(B447="","",IFERROR(INDEX(Fields!$C:$C,MATCH(B447,Fields!$A:$A,0)),""))</f>
        <v/>
      </c>
      <c r="G447" s="18" t="str">
        <f aca="false">IF(A447="","",COUNTIF('Metric to Product'!$A:$A,A447))</f>
        <v/>
      </c>
      <c r="H447" s="20"/>
      <c r="I447" s="20"/>
      <c r="J447" s="20"/>
      <c r="K447" s="20"/>
    </row>
    <row r="448" customFormat="false" ht="15" hidden="false" customHeight="false" outlineLevel="0" collapsed="false">
      <c r="A448" s="18" t="str">
        <f aca="false">IF(C448="","",IFERROR(INDEX(Metrics!$A:$A,MATCH(C448,Metrics!$C:$C,0)),"Not found"))</f>
        <v/>
      </c>
      <c r="B448" s="18" t="str">
        <f aca="false">IF(D448="","",IFERROR(INDEX(Fields!$A:$A,MATCH(D448,Fields!$B:$B,0)),"Not found"))</f>
        <v/>
      </c>
      <c r="C448" s="20"/>
      <c r="D448" s="20"/>
      <c r="E448" s="20"/>
      <c r="F448" s="21" t="str">
        <f aca="false">IF(B448="","",IFERROR(INDEX(Fields!$C:$C,MATCH(B448,Fields!$A:$A,0)),""))</f>
        <v/>
      </c>
      <c r="G448" s="18" t="str">
        <f aca="false">IF(A448="","",COUNTIF('Metric to Product'!$A:$A,A448))</f>
        <v/>
      </c>
      <c r="H448" s="20"/>
      <c r="I448" s="20"/>
      <c r="J448" s="20"/>
      <c r="K448" s="20"/>
    </row>
    <row r="449" customFormat="false" ht="15" hidden="false" customHeight="false" outlineLevel="0" collapsed="false">
      <c r="A449" s="18" t="str">
        <f aca="false">IF(C449="","",IFERROR(INDEX(Metrics!$A:$A,MATCH(C449,Metrics!$C:$C,0)),"Not found"))</f>
        <v/>
      </c>
      <c r="B449" s="18" t="str">
        <f aca="false">IF(D449="","",IFERROR(INDEX(Fields!$A:$A,MATCH(D449,Fields!$B:$B,0)),"Not found"))</f>
        <v/>
      </c>
      <c r="C449" s="20"/>
      <c r="D449" s="20"/>
      <c r="E449" s="20"/>
      <c r="F449" s="21" t="str">
        <f aca="false">IF(B449="","",IFERROR(INDEX(Fields!$C:$C,MATCH(B449,Fields!$A:$A,0)),""))</f>
        <v/>
      </c>
      <c r="G449" s="18" t="str">
        <f aca="false">IF(A449="","",COUNTIF('Metric to Product'!$A:$A,A449))</f>
        <v/>
      </c>
      <c r="H449" s="20"/>
      <c r="I449" s="20"/>
      <c r="J449" s="20"/>
      <c r="K449" s="20"/>
    </row>
    <row r="450" customFormat="false" ht="15" hidden="false" customHeight="false" outlineLevel="0" collapsed="false">
      <c r="A450" s="18" t="str">
        <f aca="false">IF(C450="","",IFERROR(INDEX(Metrics!$A:$A,MATCH(C450,Metrics!$C:$C,0)),"Not found"))</f>
        <v/>
      </c>
      <c r="B450" s="18" t="str">
        <f aca="false">IF(D450="","",IFERROR(INDEX(Fields!$A:$A,MATCH(D450,Fields!$B:$B,0)),"Not found"))</f>
        <v/>
      </c>
      <c r="C450" s="20"/>
      <c r="D450" s="20"/>
      <c r="E450" s="20"/>
      <c r="F450" s="21" t="str">
        <f aca="false">IF(B450="","",IFERROR(INDEX(Fields!$C:$C,MATCH(B450,Fields!$A:$A,0)),""))</f>
        <v/>
      </c>
      <c r="G450" s="18" t="str">
        <f aca="false">IF(A450="","",COUNTIF('Metric to Product'!$A:$A,A450))</f>
        <v/>
      </c>
      <c r="H450" s="20"/>
      <c r="I450" s="20"/>
      <c r="J450" s="20"/>
      <c r="K450" s="20"/>
    </row>
    <row r="451" customFormat="false" ht="15" hidden="false" customHeight="false" outlineLevel="0" collapsed="false">
      <c r="A451" s="18" t="str">
        <f aca="false">IF(C451="","",IFERROR(INDEX(Metrics!$A:$A,MATCH(C451,Metrics!$C:$C,0)),"Not found"))</f>
        <v/>
      </c>
      <c r="B451" s="18" t="str">
        <f aca="false">IF(D451="","",IFERROR(INDEX(Fields!$A:$A,MATCH(D451,Fields!$B:$B,0)),"Not found"))</f>
        <v/>
      </c>
      <c r="C451" s="20"/>
      <c r="D451" s="20"/>
      <c r="E451" s="20"/>
      <c r="F451" s="21" t="str">
        <f aca="false">IF(B451="","",IFERROR(INDEX(Fields!$C:$C,MATCH(B451,Fields!$A:$A,0)),""))</f>
        <v/>
      </c>
      <c r="G451" s="18" t="str">
        <f aca="false">IF(A451="","",COUNTIF('Metric to Product'!$A:$A,A451))</f>
        <v/>
      </c>
      <c r="H451" s="20"/>
      <c r="I451" s="20"/>
      <c r="J451" s="20"/>
      <c r="K451" s="20"/>
    </row>
    <row r="452" customFormat="false" ht="15" hidden="false" customHeight="false" outlineLevel="0" collapsed="false">
      <c r="A452" s="18" t="str">
        <f aca="false">IF(C452="","",IFERROR(INDEX(Metrics!$A:$A,MATCH(C452,Metrics!$C:$C,0)),"Not found"))</f>
        <v/>
      </c>
      <c r="B452" s="18" t="str">
        <f aca="false">IF(D452="","",IFERROR(INDEX(Fields!$A:$A,MATCH(D452,Fields!$B:$B,0)),"Not found"))</f>
        <v/>
      </c>
      <c r="C452" s="20"/>
      <c r="D452" s="20"/>
      <c r="E452" s="20"/>
      <c r="F452" s="21" t="str">
        <f aca="false">IF(B452="","",IFERROR(INDEX(Fields!$C:$C,MATCH(B452,Fields!$A:$A,0)),""))</f>
        <v/>
      </c>
      <c r="G452" s="18" t="str">
        <f aca="false">IF(A452="","",COUNTIF('Metric to Product'!$A:$A,A452))</f>
        <v/>
      </c>
      <c r="H452" s="20"/>
      <c r="I452" s="20"/>
      <c r="J452" s="20"/>
      <c r="K452" s="20"/>
    </row>
    <row r="453" customFormat="false" ht="15" hidden="false" customHeight="false" outlineLevel="0" collapsed="false">
      <c r="A453" s="18" t="str">
        <f aca="false">IF(C453="","",IFERROR(INDEX(Metrics!$A:$A,MATCH(C453,Metrics!$C:$C,0)),"Not found"))</f>
        <v/>
      </c>
      <c r="B453" s="18" t="str">
        <f aca="false">IF(D453="","",IFERROR(INDEX(Fields!$A:$A,MATCH(D453,Fields!$B:$B,0)),"Not found"))</f>
        <v/>
      </c>
      <c r="C453" s="20"/>
      <c r="D453" s="20"/>
      <c r="E453" s="20"/>
      <c r="F453" s="21" t="str">
        <f aca="false">IF(B453="","",IFERROR(INDEX(Fields!$C:$C,MATCH(B453,Fields!$A:$A,0)),""))</f>
        <v/>
      </c>
      <c r="G453" s="18" t="str">
        <f aca="false">IF(A453="","",COUNTIF('Metric to Product'!$A:$A,A453))</f>
        <v/>
      </c>
      <c r="H453" s="20"/>
      <c r="I453" s="20"/>
      <c r="J453" s="20"/>
      <c r="K453" s="20"/>
    </row>
    <row r="454" customFormat="false" ht="15" hidden="false" customHeight="false" outlineLevel="0" collapsed="false">
      <c r="A454" s="18" t="str">
        <f aca="false">IF(C454="","",IFERROR(INDEX(Metrics!$A:$A,MATCH(C454,Metrics!$C:$C,0)),"Not found"))</f>
        <v/>
      </c>
      <c r="B454" s="18" t="str">
        <f aca="false">IF(D454="","",IFERROR(INDEX(Fields!$A:$A,MATCH(D454,Fields!$B:$B,0)),"Not found"))</f>
        <v/>
      </c>
      <c r="C454" s="20"/>
      <c r="D454" s="20"/>
      <c r="E454" s="20"/>
      <c r="F454" s="21" t="str">
        <f aca="false">IF(B454="","",IFERROR(INDEX(Fields!$C:$C,MATCH(B454,Fields!$A:$A,0)),""))</f>
        <v/>
      </c>
      <c r="G454" s="18" t="str">
        <f aca="false">IF(A454="","",COUNTIF('Metric to Product'!$A:$A,A454))</f>
        <v/>
      </c>
      <c r="H454" s="20"/>
      <c r="I454" s="20"/>
      <c r="J454" s="20"/>
      <c r="K454" s="20"/>
    </row>
    <row r="455" customFormat="false" ht="15" hidden="false" customHeight="false" outlineLevel="0" collapsed="false">
      <c r="A455" s="18" t="str">
        <f aca="false">IF(C455="","",IFERROR(INDEX(Metrics!$A:$A,MATCH(C455,Metrics!$C:$C,0)),"Not found"))</f>
        <v/>
      </c>
      <c r="B455" s="18" t="str">
        <f aca="false">IF(D455="","",IFERROR(INDEX(Fields!$A:$A,MATCH(D455,Fields!$B:$B,0)),"Not found"))</f>
        <v/>
      </c>
      <c r="C455" s="20"/>
      <c r="D455" s="20"/>
      <c r="E455" s="20"/>
      <c r="F455" s="21" t="str">
        <f aca="false">IF(B455="","",IFERROR(INDEX(Fields!$C:$C,MATCH(B455,Fields!$A:$A,0)),""))</f>
        <v/>
      </c>
      <c r="G455" s="18" t="str">
        <f aca="false">IF(A455="","",COUNTIF('Metric to Product'!$A:$A,A455))</f>
        <v/>
      </c>
      <c r="H455" s="20"/>
      <c r="I455" s="20"/>
      <c r="J455" s="20"/>
      <c r="K455" s="20"/>
    </row>
    <row r="456" customFormat="false" ht="15" hidden="false" customHeight="false" outlineLevel="0" collapsed="false">
      <c r="A456" s="18" t="str">
        <f aca="false">IF(C456="","",IFERROR(INDEX(Metrics!$A:$A,MATCH(C456,Metrics!$C:$C,0)),"Not found"))</f>
        <v/>
      </c>
      <c r="B456" s="18" t="str">
        <f aca="false">IF(D456="","",IFERROR(INDEX(Fields!$A:$A,MATCH(D456,Fields!$B:$B,0)),"Not found"))</f>
        <v/>
      </c>
      <c r="C456" s="20"/>
      <c r="D456" s="20"/>
      <c r="E456" s="20"/>
      <c r="F456" s="21" t="str">
        <f aca="false">IF(B456="","",IFERROR(INDEX(Fields!$C:$C,MATCH(B456,Fields!$A:$A,0)),""))</f>
        <v/>
      </c>
      <c r="G456" s="18" t="str">
        <f aca="false">IF(A456="","",COUNTIF('Metric to Product'!$A:$A,A456))</f>
        <v/>
      </c>
      <c r="H456" s="20"/>
      <c r="I456" s="20"/>
      <c r="J456" s="20"/>
      <c r="K456" s="20"/>
    </row>
    <row r="457" customFormat="false" ht="15" hidden="false" customHeight="false" outlineLevel="0" collapsed="false">
      <c r="A457" s="18" t="str">
        <f aca="false">IF(C457="","",IFERROR(INDEX(Metrics!$A:$A,MATCH(C457,Metrics!$C:$C,0)),"Not found"))</f>
        <v/>
      </c>
      <c r="B457" s="18" t="str">
        <f aca="false">IF(D457="","",IFERROR(INDEX(Fields!$A:$A,MATCH(D457,Fields!$B:$B,0)),"Not found"))</f>
        <v/>
      </c>
      <c r="C457" s="20"/>
      <c r="D457" s="20"/>
      <c r="E457" s="20"/>
      <c r="F457" s="21" t="str">
        <f aca="false">IF(B457="","",IFERROR(INDEX(Fields!$C:$C,MATCH(B457,Fields!$A:$A,0)),""))</f>
        <v/>
      </c>
      <c r="G457" s="18" t="str">
        <f aca="false">IF(A457="","",COUNTIF('Metric to Product'!$A:$A,A457))</f>
        <v/>
      </c>
      <c r="H457" s="20"/>
      <c r="I457" s="20"/>
      <c r="J457" s="20"/>
      <c r="K457" s="20"/>
    </row>
    <row r="458" customFormat="false" ht="15" hidden="false" customHeight="false" outlineLevel="0" collapsed="false">
      <c r="A458" s="18" t="str">
        <f aca="false">IF(C458="","",IFERROR(INDEX(Metrics!$A:$A,MATCH(C458,Metrics!$C:$C,0)),"Not found"))</f>
        <v/>
      </c>
      <c r="B458" s="18" t="str">
        <f aca="false">IF(D458="","",IFERROR(INDEX(Fields!$A:$A,MATCH(D458,Fields!$B:$B,0)),"Not found"))</f>
        <v/>
      </c>
      <c r="C458" s="20"/>
      <c r="D458" s="20"/>
      <c r="E458" s="20"/>
      <c r="F458" s="21" t="str">
        <f aca="false">IF(B458="","",IFERROR(INDEX(Fields!$C:$C,MATCH(B458,Fields!$A:$A,0)),""))</f>
        <v/>
      </c>
      <c r="G458" s="18" t="str">
        <f aca="false">IF(A458="","",COUNTIF('Metric to Product'!$A:$A,A458))</f>
        <v/>
      </c>
      <c r="H458" s="20"/>
      <c r="I458" s="20"/>
      <c r="J458" s="20"/>
      <c r="K458" s="20"/>
    </row>
    <row r="459" customFormat="false" ht="15" hidden="false" customHeight="false" outlineLevel="0" collapsed="false">
      <c r="A459" s="18" t="str">
        <f aca="false">IF(C459="","",IFERROR(INDEX(Metrics!$A:$A,MATCH(C459,Metrics!$C:$C,0)),"Not found"))</f>
        <v/>
      </c>
      <c r="B459" s="18" t="str">
        <f aca="false">IF(D459="","",IFERROR(INDEX(Fields!$A:$A,MATCH(D459,Fields!$B:$B,0)),"Not found"))</f>
        <v/>
      </c>
      <c r="C459" s="20"/>
      <c r="D459" s="20"/>
      <c r="E459" s="20"/>
      <c r="F459" s="21" t="str">
        <f aca="false">IF(B459="","",IFERROR(INDEX(Fields!$C:$C,MATCH(B459,Fields!$A:$A,0)),""))</f>
        <v/>
      </c>
      <c r="G459" s="18" t="str">
        <f aca="false">IF(A459="","",COUNTIF('Metric to Product'!$A:$A,A459))</f>
        <v/>
      </c>
      <c r="H459" s="20"/>
      <c r="I459" s="20"/>
      <c r="J459" s="20"/>
      <c r="K459" s="20"/>
    </row>
    <row r="460" customFormat="false" ht="15" hidden="false" customHeight="false" outlineLevel="0" collapsed="false">
      <c r="A460" s="18" t="str">
        <f aca="false">IF(C460="","",IFERROR(INDEX(Metrics!$A:$A,MATCH(C460,Metrics!$C:$C,0)),"Not found"))</f>
        <v/>
      </c>
      <c r="B460" s="18" t="str">
        <f aca="false">IF(D460="","",IFERROR(INDEX(Fields!$A:$A,MATCH(D460,Fields!$B:$B,0)),"Not found"))</f>
        <v/>
      </c>
      <c r="C460" s="20"/>
      <c r="D460" s="20"/>
      <c r="E460" s="20"/>
      <c r="F460" s="21" t="str">
        <f aca="false">IF(B460="","",IFERROR(INDEX(Fields!$C:$C,MATCH(B460,Fields!$A:$A,0)),""))</f>
        <v/>
      </c>
      <c r="G460" s="18" t="str">
        <f aca="false">IF(A460="","",COUNTIF('Metric to Product'!$A:$A,A460))</f>
        <v/>
      </c>
      <c r="H460" s="20"/>
      <c r="I460" s="20"/>
      <c r="J460" s="20"/>
      <c r="K460" s="20"/>
    </row>
    <row r="461" customFormat="false" ht="15" hidden="false" customHeight="false" outlineLevel="0" collapsed="false">
      <c r="A461" s="18" t="str">
        <f aca="false">IF(C461="","",IFERROR(INDEX(Metrics!$A:$A,MATCH(C461,Metrics!$C:$C,0)),"Not found"))</f>
        <v/>
      </c>
      <c r="B461" s="18" t="str">
        <f aca="false">IF(D461="","",IFERROR(INDEX(Fields!$A:$A,MATCH(D461,Fields!$B:$B,0)),"Not found"))</f>
        <v/>
      </c>
      <c r="C461" s="20"/>
      <c r="D461" s="20"/>
      <c r="E461" s="20"/>
      <c r="F461" s="21" t="str">
        <f aca="false">IF(B461="","",IFERROR(INDEX(Fields!$C:$C,MATCH(B461,Fields!$A:$A,0)),""))</f>
        <v/>
      </c>
      <c r="G461" s="18" t="str">
        <f aca="false">IF(A461="","",COUNTIF('Metric to Product'!$A:$A,A461))</f>
        <v/>
      </c>
      <c r="H461" s="20"/>
      <c r="I461" s="20"/>
      <c r="J461" s="20"/>
      <c r="K461" s="20"/>
    </row>
    <row r="462" customFormat="false" ht="15" hidden="false" customHeight="false" outlineLevel="0" collapsed="false">
      <c r="A462" s="18" t="str">
        <f aca="false">IF(C462="","",IFERROR(INDEX(Metrics!$A:$A,MATCH(C462,Metrics!$C:$C,0)),"Not found"))</f>
        <v/>
      </c>
      <c r="B462" s="18" t="str">
        <f aca="false">IF(D462="","",IFERROR(INDEX(Fields!$A:$A,MATCH(D462,Fields!$B:$B,0)),"Not found"))</f>
        <v/>
      </c>
      <c r="C462" s="20"/>
      <c r="D462" s="20"/>
      <c r="E462" s="20"/>
      <c r="F462" s="21" t="str">
        <f aca="false">IF(B462="","",IFERROR(INDEX(Fields!$C:$C,MATCH(B462,Fields!$A:$A,0)),""))</f>
        <v/>
      </c>
      <c r="G462" s="18" t="str">
        <f aca="false">IF(A462="","",COUNTIF('Metric to Product'!$A:$A,A462))</f>
        <v/>
      </c>
      <c r="H462" s="20"/>
      <c r="I462" s="20"/>
      <c r="J462" s="20"/>
      <c r="K462" s="20"/>
    </row>
    <row r="463" customFormat="false" ht="15" hidden="false" customHeight="false" outlineLevel="0" collapsed="false">
      <c r="A463" s="18" t="str">
        <f aca="false">IF(C463="","",IFERROR(INDEX(Metrics!$A:$A,MATCH(C463,Metrics!$C:$C,0)),"Not found"))</f>
        <v/>
      </c>
      <c r="B463" s="18" t="str">
        <f aca="false">IF(D463="","",IFERROR(INDEX(Fields!$A:$A,MATCH(D463,Fields!$B:$B,0)),"Not found"))</f>
        <v/>
      </c>
      <c r="C463" s="20"/>
      <c r="D463" s="20"/>
      <c r="E463" s="20"/>
      <c r="F463" s="21" t="str">
        <f aca="false">IF(B463="","",IFERROR(INDEX(Fields!$C:$C,MATCH(B463,Fields!$A:$A,0)),""))</f>
        <v/>
      </c>
      <c r="G463" s="18" t="str">
        <f aca="false">IF(A463="","",COUNTIF('Metric to Product'!$A:$A,A463))</f>
        <v/>
      </c>
      <c r="H463" s="20"/>
      <c r="I463" s="20"/>
      <c r="J463" s="20"/>
      <c r="K463" s="20"/>
    </row>
    <row r="464" customFormat="false" ht="15" hidden="false" customHeight="false" outlineLevel="0" collapsed="false">
      <c r="A464" s="18" t="str">
        <f aca="false">IF(C464="","",IFERROR(INDEX(Metrics!$A:$A,MATCH(C464,Metrics!$C:$C,0)),"Not found"))</f>
        <v/>
      </c>
      <c r="B464" s="18" t="str">
        <f aca="false">IF(D464="","",IFERROR(INDEX(Fields!$A:$A,MATCH(D464,Fields!$B:$B,0)),"Not found"))</f>
        <v/>
      </c>
      <c r="C464" s="20"/>
      <c r="D464" s="20"/>
      <c r="E464" s="20"/>
      <c r="F464" s="21" t="str">
        <f aca="false">IF(B464="","",IFERROR(INDEX(Fields!$C:$C,MATCH(B464,Fields!$A:$A,0)),""))</f>
        <v/>
      </c>
      <c r="G464" s="18" t="str">
        <f aca="false">IF(A464="","",COUNTIF('Metric to Product'!$A:$A,A464))</f>
        <v/>
      </c>
      <c r="H464" s="20"/>
      <c r="I464" s="20"/>
      <c r="J464" s="20"/>
      <c r="K464" s="20"/>
    </row>
    <row r="465" customFormat="false" ht="15" hidden="false" customHeight="false" outlineLevel="0" collapsed="false">
      <c r="A465" s="18" t="str">
        <f aca="false">IF(C465="","",IFERROR(INDEX(Metrics!$A:$A,MATCH(C465,Metrics!$C:$C,0)),"Not found"))</f>
        <v/>
      </c>
      <c r="B465" s="18" t="str">
        <f aca="false">IF(D465="","",IFERROR(INDEX(Fields!$A:$A,MATCH(D465,Fields!$B:$B,0)),"Not found"))</f>
        <v/>
      </c>
      <c r="C465" s="20"/>
      <c r="D465" s="20"/>
      <c r="E465" s="20"/>
      <c r="F465" s="21" t="str">
        <f aca="false">IF(B465="","",IFERROR(INDEX(Fields!$C:$C,MATCH(B465,Fields!$A:$A,0)),""))</f>
        <v/>
      </c>
      <c r="G465" s="18" t="str">
        <f aca="false">IF(A465="","",COUNTIF('Metric to Product'!$A:$A,A465))</f>
        <v/>
      </c>
      <c r="H465" s="20"/>
      <c r="I465" s="20"/>
      <c r="J465" s="20"/>
      <c r="K465" s="20"/>
    </row>
    <row r="466" customFormat="false" ht="15" hidden="false" customHeight="false" outlineLevel="0" collapsed="false">
      <c r="A466" s="18" t="str">
        <f aca="false">IF(C466="","",IFERROR(INDEX(Metrics!$A:$A,MATCH(C466,Metrics!$C:$C,0)),"Not found"))</f>
        <v/>
      </c>
      <c r="B466" s="18" t="str">
        <f aca="false">IF(D466="","",IFERROR(INDEX(Fields!$A:$A,MATCH(D466,Fields!$B:$B,0)),"Not found"))</f>
        <v/>
      </c>
      <c r="C466" s="20"/>
      <c r="D466" s="20"/>
      <c r="E466" s="20"/>
      <c r="F466" s="21" t="str">
        <f aca="false">IF(B466="","",IFERROR(INDEX(Fields!$C:$C,MATCH(B466,Fields!$A:$A,0)),""))</f>
        <v/>
      </c>
      <c r="G466" s="18" t="str">
        <f aca="false">IF(A466="","",COUNTIF('Metric to Product'!$A:$A,A466))</f>
        <v/>
      </c>
      <c r="H466" s="20"/>
      <c r="I466" s="20"/>
      <c r="J466" s="20"/>
      <c r="K466" s="20"/>
    </row>
    <row r="467" customFormat="false" ht="15" hidden="false" customHeight="false" outlineLevel="0" collapsed="false">
      <c r="A467" s="18" t="str">
        <f aca="false">IF(C467="","",IFERROR(INDEX(Metrics!$A:$A,MATCH(C467,Metrics!$C:$C,0)),"Not found"))</f>
        <v/>
      </c>
      <c r="B467" s="18" t="str">
        <f aca="false">IF(D467="","",IFERROR(INDEX(Fields!$A:$A,MATCH(D467,Fields!$B:$B,0)),"Not found"))</f>
        <v/>
      </c>
      <c r="C467" s="20"/>
      <c r="D467" s="20"/>
      <c r="E467" s="20"/>
      <c r="F467" s="21" t="str">
        <f aca="false">IF(B467="","",IFERROR(INDEX(Fields!$C:$C,MATCH(B467,Fields!$A:$A,0)),""))</f>
        <v/>
      </c>
      <c r="G467" s="18" t="str">
        <f aca="false">IF(A467="","",COUNTIF('Metric to Product'!$A:$A,A467))</f>
        <v/>
      </c>
      <c r="H467" s="20"/>
      <c r="I467" s="20"/>
      <c r="J467" s="20"/>
      <c r="K467" s="20"/>
    </row>
    <row r="468" customFormat="false" ht="15" hidden="false" customHeight="false" outlineLevel="0" collapsed="false">
      <c r="A468" s="18" t="str">
        <f aca="false">IF(C468="","",IFERROR(INDEX(Metrics!$A:$A,MATCH(C468,Metrics!$C:$C,0)),"Not found"))</f>
        <v/>
      </c>
      <c r="B468" s="18" t="str">
        <f aca="false">IF(D468="","",IFERROR(INDEX(Fields!$A:$A,MATCH(D468,Fields!$B:$B,0)),"Not found"))</f>
        <v/>
      </c>
      <c r="C468" s="20"/>
      <c r="D468" s="20"/>
      <c r="E468" s="20"/>
      <c r="F468" s="21" t="str">
        <f aca="false">IF(B468="","",IFERROR(INDEX(Fields!$C:$C,MATCH(B468,Fields!$A:$A,0)),""))</f>
        <v/>
      </c>
      <c r="G468" s="18" t="str">
        <f aca="false">IF(A468="","",COUNTIF('Metric to Product'!$A:$A,A468))</f>
        <v/>
      </c>
      <c r="H468" s="20"/>
      <c r="I468" s="20"/>
      <c r="J468" s="20"/>
      <c r="K468" s="20"/>
    </row>
    <row r="469" customFormat="false" ht="15" hidden="false" customHeight="false" outlineLevel="0" collapsed="false">
      <c r="A469" s="18" t="str">
        <f aca="false">IF(C469="","",IFERROR(INDEX(Metrics!$A:$A,MATCH(C469,Metrics!$C:$C,0)),"Not found"))</f>
        <v/>
      </c>
      <c r="B469" s="18" t="str">
        <f aca="false">IF(D469="","",IFERROR(INDEX(Fields!$A:$A,MATCH(D469,Fields!$B:$B,0)),"Not found"))</f>
        <v/>
      </c>
      <c r="C469" s="20"/>
      <c r="D469" s="20"/>
      <c r="E469" s="20"/>
      <c r="F469" s="21" t="str">
        <f aca="false">IF(B469="","",IFERROR(INDEX(Fields!$C:$C,MATCH(B469,Fields!$A:$A,0)),""))</f>
        <v/>
      </c>
      <c r="G469" s="18" t="str">
        <f aca="false">IF(A469="","",COUNTIF('Metric to Product'!$A:$A,A469))</f>
        <v/>
      </c>
      <c r="H469" s="20"/>
      <c r="I469" s="20"/>
      <c r="J469" s="20"/>
      <c r="K469" s="20"/>
    </row>
    <row r="470" customFormat="false" ht="15" hidden="false" customHeight="false" outlineLevel="0" collapsed="false">
      <c r="A470" s="18" t="str">
        <f aca="false">IF(C470="","",IFERROR(INDEX(Metrics!$A:$A,MATCH(C470,Metrics!$C:$C,0)),"Not found"))</f>
        <v/>
      </c>
      <c r="B470" s="18" t="str">
        <f aca="false">IF(D470="","",IFERROR(INDEX(Fields!$A:$A,MATCH(D470,Fields!$B:$B,0)),"Not found"))</f>
        <v/>
      </c>
      <c r="C470" s="20"/>
      <c r="D470" s="20"/>
      <c r="E470" s="20"/>
      <c r="F470" s="21" t="str">
        <f aca="false">IF(B470="","",IFERROR(INDEX(Fields!$C:$C,MATCH(B470,Fields!$A:$A,0)),""))</f>
        <v/>
      </c>
      <c r="G470" s="18" t="str">
        <f aca="false">IF(A470="","",COUNTIF('Metric to Product'!$A:$A,A470))</f>
        <v/>
      </c>
      <c r="H470" s="20"/>
      <c r="I470" s="20"/>
      <c r="J470" s="20"/>
      <c r="K470" s="20"/>
    </row>
    <row r="471" customFormat="false" ht="15" hidden="false" customHeight="false" outlineLevel="0" collapsed="false">
      <c r="A471" s="18" t="str">
        <f aca="false">IF(C471="","",IFERROR(INDEX(Metrics!$A:$A,MATCH(C471,Metrics!$C:$C,0)),"Not found"))</f>
        <v/>
      </c>
      <c r="B471" s="18" t="str">
        <f aca="false">IF(D471="","",IFERROR(INDEX(Fields!$A:$A,MATCH(D471,Fields!$B:$B,0)),"Not found"))</f>
        <v/>
      </c>
      <c r="C471" s="20"/>
      <c r="D471" s="20"/>
      <c r="E471" s="20"/>
      <c r="F471" s="21" t="str">
        <f aca="false">IF(B471="","",IFERROR(INDEX(Fields!$C:$C,MATCH(B471,Fields!$A:$A,0)),""))</f>
        <v/>
      </c>
      <c r="G471" s="18" t="str">
        <f aca="false">IF(A471="","",COUNTIF('Metric to Product'!$A:$A,A471))</f>
        <v/>
      </c>
      <c r="H471" s="20"/>
      <c r="I471" s="20"/>
      <c r="J471" s="20"/>
      <c r="K471" s="20"/>
    </row>
    <row r="472" customFormat="false" ht="15" hidden="false" customHeight="false" outlineLevel="0" collapsed="false">
      <c r="A472" s="18" t="str">
        <f aca="false">IF(C472="","",IFERROR(INDEX(Metrics!$A:$A,MATCH(C472,Metrics!$C:$C,0)),"Not found"))</f>
        <v/>
      </c>
      <c r="B472" s="18" t="str">
        <f aca="false">IF(D472="","",IFERROR(INDEX(Fields!$A:$A,MATCH(D472,Fields!$B:$B,0)),"Not found"))</f>
        <v/>
      </c>
      <c r="C472" s="20"/>
      <c r="D472" s="20"/>
      <c r="E472" s="20"/>
      <c r="F472" s="21" t="str">
        <f aca="false">IF(B472="","",IFERROR(INDEX(Fields!$C:$C,MATCH(B472,Fields!$A:$A,0)),""))</f>
        <v/>
      </c>
      <c r="G472" s="18" t="str">
        <f aca="false">IF(A472="","",COUNTIF('Metric to Product'!$A:$A,A472))</f>
        <v/>
      </c>
      <c r="H472" s="20"/>
      <c r="I472" s="20"/>
      <c r="J472" s="20"/>
      <c r="K472" s="20"/>
    </row>
    <row r="473" customFormat="false" ht="15" hidden="false" customHeight="false" outlineLevel="0" collapsed="false">
      <c r="A473" s="18" t="str">
        <f aca="false">IF(C473="","",IFERROR(INDEX(Metrics!$A:$A,MATCH(C473,Metrics!$C:$C,0)),"Not found"))</f>
        <v/>
      </c>
      <c r="B473" s="18" t="str">
        <f aca="false">IF(D473="","",IFERROR(INDEX(Fields!$A:$A,MATCH(D473,Fields!$B:$B,0)),"Not found"))</f>
        <v/>
      </c>
      <c r="C473" s="20"/>
      <c r="D473" s="20"/>
      <c r="E473" s="20"/>
      <c r="F473" s="21" t="str">
        <f aca="false">IF(B473="","",IFERROR(INDEX(Fields!$C:$C,MATCH(B473,Fields!$A:$A,0)),""))</f>
        <v/>
      </c>
      <c r="G473" s="18" t="str">
        <f aca="false">IF(A473="","",COUNTIF('Metric to Product'!$A:$A,A473))</f>
        <v/>
      </c>
      <c r="H473" s="20"/>
      <c r="I473" s="20"/>
      <c r="J473" s="20"/>
      <c r="K473" s="20"/>
    </row>
    <row r="474" customFormat="false" ht="15" hidden="false" customHeight="false" outlineLevel="0" collapsed="false">
      <c r="A474" s="18" t="str">
        <f aca="false">IF(C474="","",IFERROR(INDEX(Metrics!$A:$A,MATCH(C474,Metrics!$C:$C,0)),"Not found"))</f>
        <v/>
      </c>
      <c r="B474" s="18" t="str">
        <f aca="false">IF(D474="","",IFERROR(INDEX(Fields!$A:$A,MATCH(D474,Fields!$B:$B,0)),"Not found"))</f>
        <v/>
      </c>
      <c r="C474" s="20"/>
      <c r="D474" s="20"/>
      <c r="E474" s="20"/>
      <c r="F474" s="21" t="str">
        <f aca="false">IF(B474="","",IFERROR(INDEX(Fields!$C:$C,MATCH(B474,Fields!$A:$A,0)),""))</f>
        <v/>
      </c>
      <c r="G474" s="18" t="str">
        <f aca="false">IF(A474="","",COUNTIF('Metric to Product'!$A:$A,A474))</f>
        <v/>
      </c>
      <c r="H474" s="20"/>
      <c r="I474" s="20"/>
      <c r="J474" s="20"/>
      <c r="K474" s="20"/>
    </row>
    <row r="475" customFormat="false" ht="15" hidden="false" customHeight="false" outlineLevel="0" collapsed="false">
      <c r="A475" s="18" t="str">
        <f aca="false">IF(C475="","",IFERROR(INDEX(Metrics!$A:$A,MATCH(C475,Metrics!$C:$C,0)),"Not found"))</f>
        <v/>
      </c>
      <c r="B475" s="18" t="str">
        <f aca="false">IF(D475="","",IFERROR(INDEX(Fields!$A:$A,MATCH(D475,Fields!$B:$B,0)),"Not found"))</f>
        <v/>
      </c>
      <c r="C475" s="20"/>
      <c r="D475" s="20"/>
      <c r="E475" s="20"/>
      <c r="F475" s="21" t="str">
        <f aca="false">IF(B475="","",IFERROR(INDEX(Fields!$C:$C,MATCH(B475,Fields!$A:$A,0)),""))</f>
        <v/>
      </c>
      <c r="G475" s="18" t="str">
        <f aca="false">IF(A475="","",COUNTIF('Metric to Product'!$A:$A,A475))</f>
        <v/>
      </c>
      <c r="H475" s="20"/>
      <c r="I475" s="20"/>
      <c r="J475" s="20"/>
      <c r="K475" s="20"/>
    </row>
    <row r="476" customFormat="false" ht="15" hidden="false" customHeight="false" outlineLevel="0" collapsed="false">
      <c r="A476" s="18" t="str">
        <f aca="false">IF(C476="","",IFERROR(INDEX(Metrics!$A:$A,MATCH(C476,Metrics!$C:$C,0)),"Not found"))</f>
        <v/>
      </c>
      <c r="B476" s="18" t="str">
        <f aca="false">IF(D476="","",IFERROR(INDEX(Fields!$A:$A,MATCH(D476,Fields!$B:$B,0)),"Not found"))</f>
        <v/>
      </c>
      <c r="C476" s="20"/>
      <c r="D476" s="20"/>
      <c r="E476" s="20"/>
      <c r="F476" s="21" t="str">
        <f aca="false">IF(B476="","",IFERROR(INDEX(Fields!$C:$C,MATCH(B476,Fields!$A:$A,0)),""))</f>
        <v/>
      </c>
      <c r="G476" s="18" t="str">
        <f aca="false">IF(A476="","",COUNTIF('Metric to Product'!$A:$A,A476))</f>
        <v/>
      </c>
      <c r="H476" s="20"/>
      <c r="I476" s="20"/>
      <c r="J476" s="20"/>
      <c r="K476" s="20"/>
    </row>
    <row r="477" customFormat="false" ht="15" hidden="false" customHeight="false" outlineLevel="0" collapsed="false">
      <c r="A477" s="18" t="str">
        <f aca="false">IF(C477="","",IFERROR(INDEX(Metrics!$A:$A,MATCH(C477,Metrics!$C:$C,0)),"Not found"))</f>
        <v/>
      </c>
      <c r="B477" s="18" t="str">
        <f aca="false">IF(D477="","",IFERROR(INDEX(Fields!$A:$A,MATCH(D477,Fields!$B:$B,0)),"Not found"))</f>
        <v/>
      </c>
      <c r="C477" s="20"/>
      <c r="D477" s="20"/>
      <c r="E477" s="20"/>
      <c r="F477" s="21" t="str">
        <f aca="false">IF(B477="","",IFERROR(INDEX(Fields!$C:$C,MATCH(B477,Fields!$A:$A,0)),""))</f>
        <v/>
      </c>
      <c r="G477" s="18" t="str">
        <f aca="false">IF(A477="","",COUNTIF('Metric to Product'!$A:$A,A477))</f>
        <v/>
      </c>
      <c r="H477" s="20"/>
      <c r="I477" s="20"/>
      <c r="J477" s="20"/>
      <c r="K477" s="20"/>
    </row>
    <row r="478" customFormat="false" ht="15" hidden="false" customHeight="false" outlineLevel="0" collapsed="false">
      <c r="A478" s="18" t="str">
        <f aca="false">IF(C478="","",IFERROR(INDEX(Metrics!$A:$A,MATCH(C478,Metrics!$C:$C,0)),"Not found"))</f>
        <v/>
      </c>
      <c r="B478" s="18" t="str">
        <f aca="false">IF(D478="","",IFERROR(INDEX(Fields!$A:$A,MATCH(D478,Fields!$B:$B,0)),"Not found"))</f>
        <v/>
      </c>
      <c r="C478" s="20"/>
      <c r="D478" s="20"/>
      <c r="E478" s="20"/>
      <c r="F478" s="21" t="str">
        <f aca="false">IF(B478="","",IFERROR(INDEX(Fields!$C:$C,MATCH(B478,Fields!$A:$A,0)),""))</f>
        <v/>
      </c>
      <c r="G478" s="18" t="str">
        <f aca="false">IF(A478="","",COUNTIF('Metric to Product'!$A:$A,A478))</f>
        <v/>
      </c>
      <c r="H478" s="20"/>
      <c r="I478" s="20"/>
      <c r="J478" s="20"/>
      <c r="K478" s="20"/>
    </row>
    <row r="479" customFormat="false" ht="15" hidden="false" customHeight="false" outlineLevel="0" collapsed="false">
      <c r="A479" s="18" t="str">
        <f aca="false">IF(C479="","",IFERROR(INDEX(Metrics!$A:$A,MATCH(C479,Metrics!$C:$C,0)),"Not found"))</f>
        <v/>
      </c>
      <c r="B479" s="18" t="str">
        <f aca="false">IF(D479="","",IFERROR(INDEX(Fields!$A:$A,MATCH(D479,Fields!$B:$B,0)),"Not found"))</f>
        <v/>
      </c>
      <c r="C479" s="20"/>
      <c r="D479" s="20"/>
      <c r="E479" s="20"/>
      <c r="F479" s="21" t="str">
        <f aca="false">IF(B479="","",IFERROR(INDEX(Fields!$C:$C,MATCH(B479,Fields!$A:$A,0)),""))</f>
        <v/>
      </c>
      <c r="G479" s="18" t="str">
        <f aca="false">IF(A479="","",COUNTIF('Metric to Product'!$A:$A,A479))</f>
        <v/>
      </c>
      <c r="H479" s="20"/>
      <c r="I479" s="20"/>
      <c r="J479" s="20"/>
      <c r="K479" s="20"/>
    </row>
    <row r="480" customFormat="false" ht="15" hidden="false" customHeight="false" outlineLevel="0" collapsed="false">
      <c r="A480" s="18" t="str">
        <f aca="false">IF(C480="","",IFERROR(INDEX(Metrics!$A:$A,MATCH(C480,Metrics!$C:$C,0)),"Not found"))</f>
        <v/>
      </c>
      <c r="B480" s="18" t="str">
        <f aca="false">IF(D480="","",IFERROR(INDEX(Fields!$A:$A,MATCH(D480,Fields!$B:$B,0)),"Not found"))</f>
        <v/>
      </c>
      <c r="C480" s="20"/>
      <c r="D480" s="20"/>
      <c r="E480" s="20"/>
      <c r="F480" s="21" t="str">
        <f aca="false">IF(B480="","",IFERROR(INDEX(Fields!$C:$C,MATCH(B480,Fields!$A:$A,0)),""))</f>
        <v/>
      </c>
      <c r="G480" s="18" t="str">
        <f aca="false">IF(A480="","",COUNTIF('Metric to Product'!$A:$A,A480))</f>
        <v/>
      </c>
      <c r="H480" s="20"/>
      <c r="I480" s="20"/>
      <c r="J480" s="20"/>
      <c r="K480" s="20"/>
    </row>
    <row r="481" customFormat="false" ht="15" hidden="false" customHeight="false" outlineLevel="0" collapsed="false">
      <c r="A481" s="18" t="str">
        <f aca="false">IF(C481="","",IFERROR(INDEX(Metrics!$A:$A,MATCH(C481,Metrics!$C:$C,0)),"Not found"))</f>
        <v/>
      </c>
      <c r="B481" s="18" t="str">
        <f aca="false">IF(D481="","",IFERROR(INDEX(Fields!$A:$A,MATCH(D481,Fields!$B:$B,0)),"Not found"))</f>
        <v/>
      </c>
      <c r="C481" s="20"/>
      <c r="D481" s="20"/>
      <c r="E481" s="20"/>
      <c r="F481" s="21" t="str">
        <f aca="false">IF(B481="","",IFERROR(INDEX(Fields!$C:$C,MATCH(B481,Fields!$A:$A,0)),""))</f>
        <v/>
      </c>
      <c r="G481" s="18" t="str">
        <f aca="false">IF(A481="","",COUNTIF('Metric to Product'!$A:$A,A481))</f>
        <v/>
      </c>
      <c r="H481" s="20"/>
      <c r="I481" s="20"/>
      <c r="J481" s="20"/>
      <c r="K481" s="20"/>
    </row>
    <row r="482" customFormat="false" ht="15" hidden="false" customHeight="false" outlineLevel="0" collapsed="false">
      <c r="A482" s="18" t="str">
        <f aca="false">IF(C482="","",IFERROR(INDEX(Metrics!$A:$A,MATCH(C482,Metrics!$C:$C,0)),"Not found"))</f>
        <v/>
      </c>
      <c r="B482" s="18" t="str">
        <f aca="false">IF(D482="","",IFERROR(INDEX(Fields!$A:$A,MATCH(D482,Fields!$B:$B,0)),"Not found"))</f>
        <v/>
      </c>
      <c r="C482" s="20"/>
      <c r="D482" s="20"/>
      <c r="E482" s="20"/>
      <c r="F482" s="21" t="str">
        <f aca="false">IF(B482="","",IFERROR(INDEX(Fields!$C:$C,MATCH(B482,Fields!$A:$A,0)),""))</f>
        <v/>
      </c>
      <c r="G482" s="18" t="str">
        <f aca="false">IF(A482="","",COUNTIF('Metric to Product'!$A:$A,A482))</f>
        <v/>
      </c>
      <c r="H482" s="20"/>
      <c r="I482" s="20"/>
      <c r="J482" s="20"/>
      <c r="K482" s="20"/>
    </row>
    <row r="483" customFormat="false" ht="15" hidden="false" customHeight="false" outlineLevel="0" collapsed="false">
      <c r="A483" s="18" t="str">
        <f aca="false">IF(C483="","",IFERROR(INDEX(Metrics!$A:$A,MATCH(C483,Metrics!$C:$C,0)),"Not found"))</f>
        <v/>
      </c>
      <c r="B483" s="18" t="str">
        <f aca="false">IF(D483="","",IFERROR(INDEX(Fields!$A:$A,MATCH(D483,Fields!$B:$B,0)),"Not found"))</f>
        <v/>
      </c>
      <c r="C483" s="20"/>
      <c r="D483" s="20"/>
      <c r="E483" s="20"/>
      <c r="F483" s="21" t="str">
        <f aca="false">IF(B483="","",IFERROR(INDEX(Fields!$C:$C,MATCH(B483,Fields!$A:$A,0)),""))</f>
        <v/>
      </c>
      <c r="G483" s="18" t="str">
        <f aca="false">IF(A483="","",COUNTIF('Metric to Product'!$A:$A,A483))</f>
        <v/>
      </c>
      <c r="H483" s="20"/>
      <c r="I483" s="20"/>
      <c r="J483" s="20"/>
      <c r="K483" s="20"/>
    </row>
    <row r="484" customFormat="false" ht="15" hidden="false" customHeight="false" outlineLevel="0" collapsed="false">
      <c r="A484" s="18" t="str">
        <f aca="false">IF(C484="","",IFERROR(INDEX(Metrics!$A:$A,MATCH(C484,Metrics!$C:$C,0)),"Not found"))</f>
        <v/>
      </c>
      <c r="B484" s="18" t="str">
        <f aca="false">IF(D484="","",IFERROR(INDEX(Fields!$A:$A,MATCH(D484,Fields!$B:$B,0)),"Not found"))</f>
        <v/>
      </c>
      <c r="C484" s="20"/>
      <c r="D484" s="20"/>
      <c r="E484" s="20"/>
      <c r="F484" s="21" t="str">
        <f aca="false">IF(B484="","",IFERROR(INDEX(Fields!$C:$C,MATCH(B484,Fields!$A:$A,0)),""))</f>
        <v/>
      </c>
      <c r="G484" s="18" t="str">
        <f aca="false">IF(A484="","",COUNTIF('Metric to Product'!$A:$A,A484))</f>
        <v/>
      </c>
      <c r="H484" s="20"/>
      <c r="I484" s="20"/>
      <c r="J484" s="20"/>
      <c r="K484" s="20"/>
    </row>
    <row r="485" customFormat="false" ht="15" hidden="false" customHeight="false" outlineLevel="0" collapsed="false">
      <c r="A485" s="18" t="str">
        <f aca="false">IF(C485="","",IFERROR(INDEX(Metrics!$A:$A,MATCH(C485,Metrics!$C:$C,0)),"Not found"))</f>
        <v/>
      </c>
      <c r="B485" s="18" t="str">
        <f aca="false">IF(D485="","",IFERROR(INDEX(Fields!$A:$A,MATCH(D485,Fields!$B:$B,0)),"Not found"))</f>
        <v/>
      </c>
      <c r="C485" s="20"/>
      <c r="D485" s="20"/>
      <c r="E485" s="20"/>
      <c r="F485" s="21" t="str">
        <f aca="false">IF(B485="","",IFERROR(INDEX(Fields!$C:$C,MATCH(B485,Fields!$A:$A,0)),""))</f>
        <v/>
      </c>
      <c r="G485" s="18" t="str">
        <f aca="false">IF(A485="","",COUNTIF('Metric to Product'!$A:$A,A485))</f>
        <v/>
      </c>
      <c r="H485" s="20"/>
      <c r="I485" s="20"/>
      <c r="J485" s="20"/>
      <c r="K485" s="20"/>
    </row>
    <row r="486" customFormat="false" ht="15" hidden="false" customHeight="false" outlineLevel="0" collapsed="false">
      <c r="A486" s="18" t="str">
        <f aca="false">IF(C486="","",IFERROR(INDEX(Metrics!$A:$A,MATCH(C486,Metrics!$C:$C,0)),"Not found"))</f>
        <v/>
      </c>
      <c r="B486" s="18" t="str">
        <f aca="false">IF(D486="","",IFERROR(INDEX(Fields!$A:$A,MATCH(D486,Fields!$B:$B,0)),"Not found"))</f>
        <v/>
      </c>
      <c r="C486" s="20"/>
      <c r="D486" s="20"/>
      <c r="E486" s="20"/>
      <c r="F486" s="21" t="str">
        <f aca="false">IF(B486="","",IFERROR(INDEX(Fields!$C:$C,MATCH(B486,Fields!$A:$A,0)),""))</f>
        <v/>
      </c>
      <c r="G486" s="18" t="str">
        <f aca="false">IF(A486="","",COUNTIF('Metric to Product'!$A:$A,A486))</f>
        <v/>
      </c>
      <c r="H486" s="20"/>
      <c r="I486" s="20"/>
      <c r="J486" s="20"/>
      <c r="K486" s="20"/>
    </row>
    <row r="487" customFormat="false" ht="15" hidden="false" customHeight="false" outlineLevel="0" collapsed="false">
      <c r="A487" s="18" t="str">
        <f aca="false">IF(C487="","",IFERROR(INDEX(Metrics!$A:$A,MATCH(C487,Metrics!$C:$C,0)),"Not found"))</f>
        <v/>
      </c>
      <c r="B487" s="18" t="str">
        <f aca="false">IF(D487="","",IFERROR(INDEX(Fields!$A:$A,MATCH(D487,Fields!$B:$B,0)),"Not found"))</f>
        <v/>
      </c>
      <c r="C487" s="20"/>
      <c r="D487" s="20"/>
      <c r="E487" s="20"/>
      <c r="F487" s="21" t="str">
        <f aca="false">IF(B487="","",IFERROR(INDEX(Fields!$C:$C,MATCH(B487,Fields!$A:$A,0)),""))</f>
        <v/>
      </c>
      <c r="G487" s="18" t="str">
        <f aca="false">IF(A487="","",COUNTIF('Metric to Product'!$A:$A,A487))</f>
        <v/>
      </c>
      <c r="H487" s="20"/>
      <c r="I487" s="20"/>
      <c r="J487" s="20"/>
      <c r="K487" s="20"/>
    </row>
    <row r="488" customFormat="false" ht="15" hidden="false" customHeight="false" outlineLevel="0" collapsed="false">
      <c r="A488" s="18" t="str">
        <f aca="false">IF(C488="","",IFERROR(INDEX(Metrics!$A:$A,MATCH(C488,Metrics!$C:$C,0)),"Not found"))</f>
        <v/>
      </c>
      <c r="B488" s="18" t="str">
        <f aca="false">IF(D488="","",IFERROR(INDEX(Fields!$A:$A,MATCH(D488,Fields!$B:$B,0)),"Not found"))</f>
        <v/>
      </c>
      <c r="C488" s="20"/>
      <c r="D488" s="20"/>
      <c r="E488" s="20"/>
      <c r="F488" s="21" t="str">
        <f aca="false">IF(B488="","",IFERROR(INDEX(Fields!$C:$C,MATCH(B488,Fields!$A:$A,0)),""))</f>
        <v/>
      </c>
      <c r="G488" s="18" t="str">
        <f aca="false">IF(A488="","",COUNTIF('Metric to Product'!$A:$A,A488))</f>
        <v/>
      </c>
      <c r="H488" s="20"/>
      <c r="I488" s="20"/>
      <c r="J488" s="20"/>
      <c r="K488" s="20"/>
    </row>
    <row r="489" customFormat="false" ht="15" hidden="false" customHeight="false" outlineLevel="0" collapsed="false">
      <c r="A489" s="18" t="str">
        <f aca="false">IF(C489="","",IFERROR(INDEX(Metrics!$A:$A,MATCH(C489,Metrics!$C:$C,0)),"Not found"))</f>
        <v/>
      </c>
      <c r="B489" s="18" t="str">
        <f aca="false">IF(D489="","",IFERROR(INDEX(Fields!$A:$A,MATCH(D489,Fields!$B:$B,0)),"Not found"))</f>
        <v/>
      </c>
      <c r="C489" s="20"/>
      <c r="D489" s="20"/>
      <c r="E489" s="20"/>
      <c r="F489" s="21" t="str">
        <f aca="false">IF(B489="","",IFERROR(INDEX(Fields!$C:$C,MATCH(B489,Fields!$A:$A,0)),""))</f>
        <v/>
      </c>
      <c r="G489" s="18" t="str">
        <f aca="false">IF(A489="","",COUNTIF('Metric to Product'!$A:$A,A489))</f>
        <v/>
      </c>
      <c r="H489" s="20"/>
      <c r="I489" s="20"/>
      <c r="J489" s="20"/>
      <c r="K489" s="20"/>
    </row>
    <row r="490" customFormat="false" ht="15" hidden="false" customHeight="false" outlineLevel="0" collapsed="false">
      <c r="A490" s="18" t="str">
        <f aca="false">IF(C490="","",IFERROR(INDEX(Metrics!$A:$A,MATCH(C490,Metrics!$C:$C,0)),"Not found"))</f>
        <v/>
      </c>
      <c r="B490" s="18" t="str">
        <f aca="false">IF(D490="","",IFERROR(INDEX(Fields!$A:$A,MATCH(D490,Fields!$B:$B,0)),"Not found"))</f>
        <v/>
      </c>
      <c r="C490" s="20"/>
      <c r="D490" s="20"/>
      <c r="E490" s="20"/>
      <c r="F490" s="21" t="str">
        <f aca="false">IF(B490="","",IFERROR(INDEX(Fields!$C:$C,MATCH(B490,Fields!$A:$A,0)),""))</f>
        <v/>
      </c>
      <c r="G490" s="18" t="str">
        <f aca="false">IF(A490="","",COUNTIF('Metric to Product'!$A:$A,A490))</f>
        <v/>
      </c>
      <c r="H490" s="20"/>
      <c r="I490" s="20"/>
      <c r="J490" s="20"/>
      <c r="K490" s="20"/>
    </row>
    <row r="491" customFormat="false" ht="15" hidden="false" customHeight="false" outlineLevel="0" collapsed="false">
      <c r="A491" s="18" t="str">
        <f aca="false">IF(C491="","",IFERROR(INDEX(Metrics!$A:$A,MATCH(C491,Metrics!$C:$C,0)),"Not found"))</f>
        <v/>
      </c>
      <c r="B491" s="18" t="str">
        <f aca="false">IF(D491="","",IFERROR(INDEX(Fields!$A:$A,MATCH(D491,Fields!$B:$B,0)),"Not found"))</f>
        <v/>
      </c>
      <c r="C491" s="20"/>
      <c r="D491" s="20"/>
      <c r="E491" s="20"/>
      <c r="F491" s="21" t="str">
        <f aca="false">IF(B491="","",IFERROR(INDEX(Fields!$C:$C,MATCH(B491,Fields!$A:$A,0)),""))</f>
        <v/>
      </c>
      <c r="G491" s="18" t="str">
        <f aca="false">IF(A491="","",COUNTIF('Metric to Product'!$A:$A,A491))</f>
        <v/>
      </c>
      <c r="H491" s="20"/>
      <c r="I491" s="20"/>
      <c r="J491" s="20"/>
      <c r="K491" s="20"/>
    </row>
    <row r="492" customFormat="false" ht="15" hidden="false" customHeight="false" outlineLevel="0" collapsed="false">
      <c r="A492" s="18" t="str">
        <f aca="false">IF(C492="","",IFERROR(INDEX(Metrics!$A:$A,MATCH(C492,Metrics!$C:$C,0)),"Not found"))</f>
        <v/>
      </c>
      <c r="B492" s="18" t="str">
        <f aca="false">IF(D492="","",IFERROR(INDEX(Fields!$A:$A,MATCH(D492,Fields!$B:$B,0)),"Not found"))</f>
        <v/>
      </c>
      <c r="C492" s="20"/>
      <c r="D492" s="20"/>
      <c r="E492" s="20"/>
      <c r="F492" s="21" t="str">
        <f aca="false">IF(B492="","",IFERROR(INDEX(Fields!$C:$C,MATCH(B492,Fields!$A:$A,0)),""))</f>
        <v/>
      </c>
      <c r="G492" s="18" t="str">
        <f aca="false">IF(A492="","",COUNTIF('Metric to Product'!$A:$A,A492))</f>
        <v/>
      </c>
      <c r="H492" s="20"/>
      <c r="I492" s="20"/>
      <c r="J492" s="20"/>
      <c r="K492" s="20"/>
    </row>
    <row r="493" customFormat="false" ht="15" hidden="false" customHeight="false" outlineLevel="0" collapsed="false">
      <c r="A493" s="18" t="str">
        <f aca="false">IF(C493="","",IFERROR(INDEX(Metrics!$A:$A,MATCH(C493,Metrics!$C:$C,0)),"Not found"))</f>
        <v/>
      </c>
      <c r="B493" s="18" t="str">
        <f aca="false">IF(D493="","",IFERROR(INDEX(Fields!$A:$A,MATCH(D493,Fields!$B:$B,0)),"Not found"))</f>
        <v/>
      </c>
      <c r="C493" s="20"/>
      <c r="D493" s="20"/>
      <c r="E493" s="20"/>
      <c r="F493" s="21" t="str">
        <f aca="false">IF(B493="","",IFERROR(INDEX(Fields!$C:$C,MATCH(B493,Fields!$A:$A,0)),""))</f>
        <v/>
      </c>
      <c r="G493" s="18" t="str">
        <f aca="false">IF(A493="","",COUNTIF('Metric to Product'!$A:$A,A493))</f>
        <v/>
      </c>
      <c r="H493" s="20"/>
      <c r="I493" s="20"/>
      <c r="J493" s="20"/>
      <c r="K493" s="20"/>
    </row>
    <row r="494" customFormat="false" ht="15" hidden="false" customHeight="false" outlineLevel="0" collapsed="false">
      <c r="A494" s="18" t="str">
        <f aca="false">IF(C494="","",IFERROR(INDEX(Metrics!$A:$A,MATCH(C494,Metrics!$C:$C,0)),"Not found"))</f>
        <v/>
      </c>
      <c r="B494" s="18" t="str">
        <f aca="false">IF(D494="","",IFERROR(INDEX(Fields!$A:$A,MATCH(D494,Fields!$B:$B,0)),"Not found"))</f>
        <v/>
      </c>
      <c r="C494" s="20"/>
      <c r="D494" s="20"/>
      <c r="E494" s="20"/>
      <c r="F494" s="21" t="str">
        <f aca="false">IF(B494="","",IFERROR(INDEX(Fields!$C:$C,MATCH(B494,Fields!$A:$A,0)),""))</f>
        <v/>
      </c>
      <c r="G494" s="18" t="str">
        <f aca="false">IF(A494="","",COUNTIF('Metric to Product'!$A:$A,A494))</f>
        <v/>
      </c>
      <c r="H494" s="20"/>
      <c r="I494" s="20"/>
      <c r="J494" s="20"/>
      <c r="K494" s="20"/>
    </row>
    <row r="495" customFormat="false" ht="15" hidden="false" customHeight="false" outlineLevel="0" collapsed="false">
      <c r="A495" s="18" t="str">
        <f aca="false">IF(C495="","",IFERROR(INDEX(Metrics!$A:$A,MATCH(C495,Metrics!$C:$C,0)),"Not found"))</f>
        <v/>
      </c>
      <c r="B495" s="18" t="str">
        <f aca="false">IF(D495="","",IFERROR(INDEX(Fields!$A:$A,MATCH(D495,Fields!$B:$B,0)),"Not found"))</f>
        <v/>
      </c>
      <c r="C495" s="20"/>
      <c r="D495" s="20"/>
      <c r="E495" s="20"/>
      <c r="F495" s="21" t="str">
        <f aca="false">IF(B495="","",IFERROR(INDEX(Fields!$C:$C,MATCH(B495,Fields!$A:$A,0)),""))</f>
        <v/>
      </c>
      <c r="G495" s="18" t="str">
        <f aca="false">IF(A495="","",COUNTIF('Metric to Product'!$A:$A,A495))</f>
        <v/>
      </c>
      <c r="H495" s="20"/>
      <c r="I495" s="20"/>
      <c r="J495" s="20"/>
      <c r="K495" s="20"/>
    </row>
    <row r="496" customFormat="false" ht="15" hidden="false" customHeight="false" outlineLevel="0" collapsed="false">
      <c r="A496" s="18" t="str">
        <f aca="false">IF(C496="","",IFERROR(INDEX(Metrics!$A:$A,MATCH(C496,Metrics!$C:$C,0)),"Not found"))</f>
        <v/>
      </c>
      <c r="B496" s="18" t="str">
        <f aca="false">IF(D496="","",IFERROR(INDEX(Fields!$A:$A,MATCH(D496,Fields!$B:$B,0)),"Not found"))</f>
        <v/>
      </c>
      <c r="C496" s="20"/>
      <c r="D496" s="20"/>
      <c r="E496" s="20"/>
      <c r="F496" s="21" t="str">
        <f aca="false">IF(B496="","",IFERROR(INDEX(Fields!$C:$C,MATCH(B496,Fields!$A:$A,0)),""))</f>
        <v/>
      </c>
      <c r="G496" s="18" t="str">
        <f aca="false">IF(A496="","",COUNTIF('Metric to Product'!$A:$A,A496))</f>
        <v/>
      </c>
      <c r="H496" s="20"/>
      <c r="I496" s="20"/>
      <c r="J496" s="20"/>
      <c r="K496" s="20"/>
    </row>
    <row r="497" customFormat="false" ht="15" hidden="false" customHeight="false" outlineLevel="0" collapsed="false">
      <c r="A497" s="18" t="str">
        <f aca="false">IF(C497="","",IFERROR(INDEX(Metrics!$A:$A,MATCH(C497,Metrics!$C:$C,0)),"Not found"))</f>
        <v/>
      </c>
      <c r="B497" s="18" t="str">
        <f aca="false">IF(D497="","",IFERROR(INDEX(Fields!$A:$A,MATCH(D497,Fields!$B:$B,0)),"Not found"))</f>
        <v/>
      </c>
      <c r="C497" s="20"/>
      <c r="D497" s="20"/>
      <c r="E497" s="20"/>
      <c r="F497" s="21" t="str">
        <f aca="false">IF(B497="","",IFERROR(INDEX(Fields!$C:$C,MATCH(B497,Fields!$A:$A,0)),""))</f>
        <v/>
      </c>
      <c r="G497" s="18" t="str">
        <f aca="false">IF(A497="","",COUNTIF('Metric to Product'!$A:$A,A497))</f>
        <v/>
      </c>
      <c r="H497" s="20"/>
      <c r="I497" s="20"/>
      <c r="J497" s="20"/>
      <c r="K497" s="20"/>
    </row>
    <row r="498" customFormat="false" ht="15" hidden="false" customHeight="false" outlineLevel="0" collapsed="false">
      <c r="A498" s="18" t="str">
        <f aca="false">IF(C498="","",IFERROR(INDEX(Metrics!$A:$A,MATCH(C498,Metrics!$C:$C,0)),"Not found"))</f>
        <v/>
      </c>
      <c r="B498" s="18" t="str">
        <f aca="false">IF(D498="","",IFERROR(INDEX(Fields!$A:$A,MATCH(D498,Fields!$B:$B,0)),"Not found"))</f>
        <v/>
      </c>
      <c r="C498" s="20"/>
      <c r="D498" s="20"/>
      <c r="E498" s="20"/>
      <c r="F498" s="21" t="str">
        <f aca="false">IF(B498="","",IFERROR(INDEX(Fields!$C:$C,MATCH(B498,Fields!$A:$A,0)),""))</f>
        <v/>
      </c>
      <c r="G498" s="18" t="str">
        <f aca="false">IF(A498="","",COUNTIF('Metric to Product'!$A:$A,A498))</f>
        <v/>
      </c>
      <c r="H498" s="20"/>
      <c r="I498" s="20"/>
      <c r="J498" s="20"/>
      <c r="K498" s="20"/>
    </row>
    <row r="499" customFormat="false" ht="15" hidden="false" customHeight="false" outlineLevel="0" collapsed="false">
      <c r="A499" s="18" t="str">
        <f aca="false">IF(C499="","",IFERROR(INDEX(Metrics!$A:$A,MATCH(C499,Metrics!$C:$C,0)),"Not found"))</f>
        <v/>
      </c>
      <c r="B499" s="18" t="str">
        <f aca="false">IF(D499="","",IFERROR(INDEX(Fields!$A:$A,MATCH(D499,Fields!$B:$B,0)),"Not found"))</f>
        <v/>
      </c>
      <c r="C499" s="20"/>
      <c r="D499" s="20"/>
      <c r="E499" s="20"/>
      <c r="F499" s="21" t="str">
        <f aca="false">IF(B499="","",IFERROR(INDEX(Fields!$C:$C,MATCH(B499,Fields!$A:$A,0)),""))</f>
        <v/>
      </c>
      <c r="G499" s="18" t="str">
        <f aca="false">IF(A499="","",COUNTIF('Metric to Product'!$A:$A,A499))</f>
        <v/>
      </c>
      <c r="H499" s="20"/>
      <c r="I499" s="20"/>
      <c r="J499" s="20"/>
      <c r="K499" s="20"/>
    </row>
    <row r="500" customFormat="false" ht="15" hidden="false" customHeight="false" outlineLevel="0" collapsed="false">
      <c r="A500" s="18" t="str">
        <f aca="false">IF(C500="","",IFERROR(INDEX(Metrics!$A:$A,MATCH(C500,Metrics!$C:$C,0)),"Not found"))</f>
        <v/>
      </c>
      <c r="B500" s="18" t="str">
        <f aca="false">IF(D500="","",IFERROR(INDEX(Fields!$A:$A,MATCH(D500,Fields!$B:$B,0)),"Not found"))</f>
        <v/>
      </c>
      <c r="C500" s="20"/>
      <c r="D500" s="20"/>
      <c r="E500" s="20"/>
      <c r="F500" s="21" t="str">
        <f aca="false">IF(B500="","",IFERROR(INDEX(Fields!$C:$C,MATCH(B500,Fields!$A:$A,0)),""))</f>
        <v/>
      </c>
      <c r="G500" s="18" t="str">
        <f aca="false">IF(A500="","",COUNTIF('Metric to Product'!$A:$A,A500))</f>
        <v/>
      </c>
      <c r="H500" s="20"/>
      <c r="I500" s="20"/>
      <c r="J500" s="20"/>
      <c r="K500" s="20"/>
    </row>
    <row r="501" customFormat="false" ht="15" hidden="false" customHeight="false" outlineLevel="0" collapsed="false">
      <c r="A501" s="18" t="str">
        <f aca="false">IF(C501="","",IFERROR(INDEX(Metrics!$A:$A,MATCH(C501,Metrics!$C:$C,0)),"Not found"))</f>
        <v/>
      </c>
      <c r="B501" s="18" t="str">
        <f aca="false">IF(D501="","",IFERROR(INDEX(Fields!$A:$A,MATCH(D501,Fields!$B:$B,0)),"Not found"))</f>
        <v/>
      </c>
      <c r="C501" s="20"/>
      <c r="D501" s="20"/>
      <c r="E501" s="20"/>
      <c r="F501" s="21" t="str">
        <f aca="false">IF(B501="","",IFERROR(INDEX(Fields!$C:$C,MATCH(B501,Fields!$A:$A,0)),""))</f>
        <v/>
      </c>
      <c r="G501" s="18" t="str">
        <f aca="false">IF(A501="","",COUNTIF('Metric to Product'!$A:$A,A501))</f>
        <v/>
      </c>
      <c r="H501" s="20"/>
      <c r="I501" s="20"/>
      <c r="J501" s="20"/>
      <c r="K501" s="20"/>
    </row>
    <row r="502" customFormat="false" ht="15" hidden="false" customHeight="false" outlineLevel="0" collapsed="false">
      <c r="A502" s="18" t="str">
        <f aca="false">IF(C502="","",IFERROR(INDEX(Metrics!$A:$A,MATCH(C502,Metrics!$C:$C,0)),"Not found"))</f>
        <v/>
      </c>
      <c r="B502" s="18" t="str">
        <f aca="false">IF(D502="","",IFERROR(INDEX(Fields!$A:$A,MATCH(D502,Fields!$B:$B,0)),"Not found"))</f>
        <v/>
      </c>
      <c r="C502" s="20"/>
      <c r="D502" s="20"/>
      <c r="E502" s="20"/>
      <c r="F502" s="21" t="str">
        <f aca="false">IF(B502="","",IFERROR(INDEX(Fields!$C:$C,MATCH(B502,Fields!$A:$A,0)),""))</f>
        <v/>
      </c>
      <c r="G502" s="18" t="str">
        <f aca="false">IF(A502="","",COUNTIF('Metric to Product'!$A:$A,A502))</f>
        <v/>
      </c>
      <c r="H502" s="20"/>
      <c r="I502" s="20"/>
      <c r="J502" s="20"/>
      <c r="K502" s="20"/>
    </row>
    <row r="503" customFormat="false" ht="15" hidden="false" customHeight="false" outlineLevel="0" collapsed="false">
      <c r="A503" s="18" t="str">
        <f aca="false">IF(C503="","",IFERROR(INDEX(Metrics!$A:$A,MATCH(C503,Metrics!$C:$C,0)),"Not found"))</f>
        <v/>
      </c>
      <c r="B503" s="18" t="str">
        <f aca="false">IF(D503="","",IFERROR(INDEX(Fields!$A:$A,MATCH(D503,Fields!$B:$B,0)),"Not found"))</f>
        <v/>
      </c>
      <c r="C503" s="20"/>
      <c r="D503" s="20"/>
      <c r="E503" s="20"/>
      <c r="F503" s="21" t="str">
        <f aca="false">IF(B503="","",IFERROR(INDEX(Fields!$C:$C,MATCH(B503,Fields!$A:$A,0)),""))</f>
        <v/>
      </c>
      <c r="G503" s="18" t="str">
        <f aca="false">IF(A503="","",COUNTIF('Metric to Product'!$A:$A,A503))</f>
        <v/>
      </c>
      <c r="H503" s="20"/>
      <c r="I503" s="20"/>
      <c r="J503" s="20"/>
      <c r="K503" s="20"/>
    </row>
    <row r="504" customFormat="false" ht="15" hidden="false" customHeight="false" outlineLevel="0" collapsed="false">
      <c r="A504" s="18" t="str">
        <f aca="false">IF(C504="","",IFERROR(INDEX(Metrics!$A:$A,MATCH(C504,Metrics!$C:$C,0)),"Not found"))</f>
        <v/>
      </c>
      <c r="B504" s="18" t="str">
        <f aca="false">IF(D504="","",IFERROR(INDEX(Fields!$A:$A,MATCH(D504,Fields!$B:$B,0)),"Not found"))</f>
        <v/>
      </c>
      <c r="C504" s="20"/>
      <c r="D504" s="20"/>
      <c r="E504" s="20"/>
      <c r="F504" s="21" t="str">
        <f aca="false">IF(B504="","",IFERROR(INDEX(Fields!$C:$C,MATCH(B504,Fields!$A:$A,0)),""))</f>
        <v/>
      </c>
      <c r="G504" s="18" t="str">
        <f aca="false">IF(A504="","",COUNTIF('Metric to Product'!$A:$A,A504))</f>
        <v/>
      </c>
      <c r="H504" s="20"/>
      <c r="I504" s="20"/>
      <c r="J504" s="20"/>
      <c r="K504" s="20"/>
    </row>
    <row r="505" customFormat="false" ht="15" hidden="false" customHeight="false" outlineLevel="0" collapsed="false">
      <c r="A505" s="18" t="str">
        <f aca="false">IF(C505="","",IFERROR(INDEX(Metrics!$A:$A,MATCH(C505,Metrics!$C:$C,0)),"Not found"))</f>
        <v/>
      </c>
      <c r="B505" s="18" t="str">
        <f aca="false">IF(D505="","",IFERROR(INDEX(Fields!$A:$A,MATCH(D505,Fields!$B:$B,0)),"Not found"))</f>
        <v/>
      </c>
      <c r="C505" s="20"/>
      <c r="D505" s="20"/>
      <c r="E505" s="20"/>
      <c r="F505" s="21" t="str">
        <f aca="false">IF(B505="","",IFERROR(INDEX(Fields!$C:$C,MATCH(B505,Fields!$A:$A,0)),""))</f>
        <v/>
      </c>
      <c r="G505" s="18" t="str">
        <f aca="false">IF(A505="","",COUNTIF('Metric to Product'!$A:$A,A505))</f>
        <v/>
      </c>
      <c r="H505" s="20"/>
      <c r="I505" s="20"/>
      <c r="J505" s="20"/>
      <c r="K505" s="20"/>
    </row>
    <row r="506" customFormat="false" ht="15" hidden="false" customHeight="false" outlineLevel="0" collapsed="false">
      <c r="A506" s="18" t="str">
        <f aca="false">IF(C506="","",IFERROR(INDEX(Metrics!$A:$A,MATCH(C506,Metrics!$C:$C,0)),"Not found"))</f>
        <v/>
      </c>
      <c r="B506" s="18" t="str">
        <f aca="false">IF(D506="","",IFERROR(INDEX(Fields!$A:$A,MATCH(D506,Fields!$B:$B,0)),"Not found"))</f>
        <v/>
      </c>
      <c r="C506" s="20"/>
      <c r="D506" s="20"/>
      <c r="E506" s="20"/>
      <c r="F506" s="21" t="str">
        <f aca="false">IF(B506="","",IFERROR(INDEX(Fields!$C:$C,MATCH(B506,Fields!$A:$A,0)),""))</f>
        <v/>
      </c>
      <c r="G506" s="18" t="str">
        <f aca="false">IF(A506="","",COUNTIF('Metric to Product'!$A:$A,A506))</f>
        <v/>
      </c>
      <c r="H506" s="20"/>
      <c r="I506" s="20"/>
      <c r="J506" s="20"/>
      <c r="K506" s="20"/>
    </row>
    <row r="507" customFormat="false" ht="15" hidden="false" customHeight="false" outlineLevel="0" collapsed="false">
      <c r="A507" s="18" t="str">
        <f aca="false">IF(C507="","",IFERROR(INDEX(Metrics!$A:$A,MATCH(C507,Metrics!$C:$C,0)),"Not found"))</f>
        <v/>
      </c>
      <c r="B507" s="18" t="str">
        <f aca="false">IF(D507="","",IFERROR(INDEX(Fields!$A:$A,MATCH(D507,Fields!$B:$B,0)),"Not found"))</f>
        <v/>
      </c>
      <c r="C507" s="20"/>
      <c r="D507" s="20"/>
      <c r="E507" s="20"/>
      <c r="F507" s="21" t="str">
        <f aca="false">IF(B507="","",IFERROR(INDEX(Fields!$C:$C,MATCH(B507,Fields!$A:$A,0)),""))</f>
        <v/>
      </c>
      <c r="G507" s="18" t="str">
        <f aca="false">IF(A507="","",COUNTIF('Metric to Product'!$A:$A,A507))</f>
        <v/>
      </c>
      <c r="H507" s="20"/>
      <c r="I507" s="20"/>
      <c r="J507" s="20"/>
      <c r="K507" s="20"/>
    </row>
    <row r="508" customFormat="false" ht="15" hidden="false" customHeight="false" outlineLevel="0" collapsed="false">
      <c r="A508" s="18" t="str">
        <f aca="false">IF(C508="","",IFERROR(INDEX(Metrics!$A:$A,MATCH(C508,Metrics!$C:$C,0)),"Not found"))</f>
        <v/>
      </c>
      <c r="B508" s="18" t="str">
        <f aca="false">IF(D508="","",IFERROR(INDEX(Fields!$A:$A,MATCH(D508,Fields!$B:$B,0)),"Not found"))</f>
        <v/>
      </c>
      <c r="C508" s="20"/>
      <c r="D508" s="20"/>
      <c r="E508" s="20"/>
      <c r="F508" s="21" t="str">
        <f aca="false">IF(B508="","",IFERROR(INDEX(Fields!$C:$C,MATCH(B508,Fields!$A:$A,0)),""))</f>
        <v/>
      </c>
      <c r="G508" s="18" t="str">
        <f aca="false">IF(A508="","",COUNTIF('Metric to Product'!$A:$A,A508))</f>
        <v/>
      </c>
      <c r="H508" s="20"/>
      <c r="I508" s="20"/>
      <c r="J508" s="20"/>
      <c r="K508" s="20"/>
    </row>
    <row r="509" customFormat="false" ht="15" hidden="false" customHeight="false" outlineLevel="0" collapsed="false">
      <c r="A509" s="18" t="str">
        <f aca="false">IF(C509="","",IFERROR(INDEX(Metrics!$A:$A,MATCH(C509,Metrics!$C:$C,0)),"Not found"))</f>
        <v/>
      </c>
      <c r="B509" s="18" t="str">
        <f aca="false">IF(D509="","",IFERROR(INDEX(Fields!$A:$A,MATCH(D509,Fields!$B:$B,0)),"Not found"))</f>
        <v/>
      </c>
      <c r="C509" s="20"/>
      <c r="D509" s="20"/>
      <c r="E509" s="20"/>
      <c r="F509" s="21" t="str">
        <f aca="false">IF(B509="","",IFERROR(INDEX(Fields!$C:$C,MATCH(B509,Fields!$A:$A,0)),""))</f>
        <v/>
      </c>
      <c r="G509" s="18" t="str">
        <f aca="false">IF(A509="","",COUNTIF('Metric to Product'!$A:$A,A509))</f>
        <v/>
      </c>
      <c r="H509" s="20"/>
      <c r="I509" s="20"/>
      <c r="J509" s="20"/>
      <c r="K509" s="20"/>
    </row>
    <row r="510" customFormat="false" ht="15" hidden="false" customHeight="false" outlineLevel="0" collapsed="false">
      <c r="A510" s="18" t="str">
        <f aca="false">IF(C510="","",IFERROR(INDEX(Metrics!$A:$A,MATCH(C510,Metrics!$C:$C,0)),"Not found"))</f>
        <v/>
      </c>
      <c r="B510" s="18" t="str">
        <f aca="false">IF(D510="","",IFERROR(INDEX(Fields!$A:$A,MATCH(D510,Fields!$B:$B,0)),"Not found"))</f>
        <v/>
      </c>
      <c r="C510" s="20"/>
      <c r="D510" s="20"/>
      <c r="E510" s="20"/>
      <c r="F510" s="21" t="str">
        <f aca="false">IF(B510="","",IFERROR(INDEX(Fields!$C:$C,MATCH(B510,Fields!$A:$A,0)),""))</f>
        <v/>
      </c>
      <c r="G510" s="18" t="str">
        <f aca="false">IF(A510="","",COUNTIF('Metric to Product'!$A:$A,A510))</f>
        <v/>
      </c>
      <c r="H510" s="20"/>
      <c r="I510" s="20"/>
      <c r="J510" s="20"/>
      <c r="K510" s="20"/>
    </row>
    <row r="511" customFormat="false" ht="15" hidden="false" customHeight="false" outlineLevel="0" collapsed="false">
      <c r="A511" s="18" t="str">
        <f aca="false">IF(C511="","",IFERROR(INDEX(Metrics!$A:$A,MATCH(C511,Metrics!$C:$C,0)),"Not found"))</f>
        <v/>
      </c>
      <c r="B511" s="18" t="str">
        <f aca="false">IF(D511="","",IFERROR(INDEX(Fields!$A:$A,MATCH(D511,Fields!$B:$B,0)),"Not found"))</f>
        <v/>
      </c>
      <c r="C511" s="20"/>
      <c r="D511" s="20"/>
      <c r="E511" s="20"/>
      <c r="F511" s="21" t="str">
        <f aca="false">IF(B511="","",IFERROR(INDEX(Fields!$C:$C,MATCH(B511,Fields!$A:$A,0)),""))</f>
        <v/>
      </c>
      <c r="G511" s="18" t="str">
        <f aca="false">IF(A511="","",COUNTIF('Metric to Product'!$A:$A,A511))</f>
        <v/>
      </c>
      <c r="H511" s="20"/>
      <c r="I511" s="20"/>
      <c r="J511" s="20"/>
      <c r="K511" s="20"/>
    </row>
    <row r="512" customFormat="false" ht="15" hidden="false" customHeight="false" outlineLevel="0" collapsed="false">
      <c r="A512" s="18" t="str">
        <f aca="false">IF(C512="","",IFERROR(INDEX(Metrics!$A:$A,MATCH(C512,Metrics!$C:$C,0)),"Not found"))</f>
        <v/>
      </c>
      <c r="B512" s="18" t="str">
        <f aca="false">IF(D512="","",IFERROR(INDEX(Fields!$A:$A,MATCH(D512,Fields!$B:$B,0)),"Not found"))</f>
        <v/>
      </c>
      <c r="C512" s="20"/>
      <c r="D512" s="20"/>
      <c r="E512" s="20"/>
      <c r="F512" s="21" t="str">
        <f aca="false">IF(B512="","",IFERROR(INDEX(Fields!$C:$C,MATCH(B512,Fields!$A:$A,0)),""))</f>
        <v/>
      </c>
      <c r="G512" s="18" t="str">
        <f aca="false">IF(A512="","",COUNTIF('Metric to Product'!$A:$A,A512))</f>
        <v/>
      </c>
      <c r="H512" s="20"/>
      <c r="I512" s="20"/>
      <c r="J512" s="20"/>
      <c r="K512" s="20"/>
    </row>
    <row r="513" customFormat="false" ht="15" hidden="false" customHeight="false" outlineLevel="0" collapsed="false">
      <c r="A513" s="18" t="str">
        <f aca="false">IF(C513="","",IFERROR(INDEX(Metrics!$A:$A,MATCH(C513,Metrics!$C:$C,0)),"Not found"))</f>
        <v/>
      </c>
      <c r="B513" s="18" t="str">
        <f aca="false">IF(D513="","",IFERROR(INDEX(Fields!$A:$A,MATCH(D513,Fields!$B:$B,0)),"Not found"))</f>
        <v/>
      </c>
      <c r="C513" s="20"/>
      <c r="D513" s="20"/>
      <c r="E513" s="20"/>
      <c r="F513" s="21" t="str">
        <f aca="false">IF(B513="","",IFERROR(INDEX(Fields!$C:$C,MATCH(B513,Fields!$A:$A,0)),""))</f>
        <v/>
      </c>
      <c r="G513" s="18" t="str">
        <f aca="false">IF(A513="","",COUNTIF('Metric to Product'!$A:$A,A513))</f>
        <v/>
      </c>
      <c r="H513" s="20"/>
      <c r="I513" s="20"/>
      <c r="J513" s="20"/>
      <c r="K513" s="20"/>
    </row>
    <row r="514" customFormat="false" ht="15" hidden="false" customHeight="false" outlineLevel="0" collapsed="false">
      <c r="A514" s="18" t="str">
        <f aca="false">IF(C514="","",IFERROR(INDEX(Metrics!$A:$A,MATCH(C514,Metrics!$C:$C,0)),"Not found"))</f>
        <v/>
      </c>
      <c r="B514" s="18" t="str">
        <f aca="false">IF(D514="","",IFERROR(INDEX(Fields!$A:$A,MATCH(D514,Fields!$B:$B,0)),"Not found"))</f>
        <v/>
      </c>
      <c r="C514" s="20"/>
      <c r="D514" s="20"/>
      <c r="E514" s="20"/>
      <c r="F514" s="21" t="str">
        <f aca="false">IF(B514="","",IFERROR(INDEX(Fields!$C:$C,MATCH(B514,Fields!$A:$A,0)),""))</f>
        <v/>
      </c>
      <c r="G514" s="18" t="str">
        <f aca="false">IF(A514="","",COUNTIF('Metric to Product'!$A:$A,A514))</f>
        <v/>
      </c>
      <c r="H514" s="20"/>
      <c r="I514" s="20"/>
      <c r="J514" s="20"/>
      <c r="K514" s="20"/>
    </row>
    <row r="515" customFormat="false" ht="15" hidden="false" customHeight="false" outlineLevel="0" collapsed="false">
      <c r="A515" s="18" t="str">
        <f aca="false">IF(C515="","",IFERROR(INDEX(Metrics!$A:$A,MATCH(C515,Metrics!$C:$C,0)),"Not found"))</f>
        <v/>
      </c>
      <c r="B515" s="18" t="str">
        <f aca="false">IF(D515="","",IFERROR(INDEX(Fields!$A:$A,MATCH(D515,Fields!$B:$B,0)),"Not found"))</f>
        <v/>
      </c>
      <c r="C515" s="20"/>
      <c r="D515" s="20"/>
      <c r="E515" s="20"/>
      <c r="F515" s="21" t="str">
        <f aca="false">IF(B515="","",IFERROR(INDEX(Fields!$C:$C,MATCH(B515,Fields!$A:$A,0)),""))</f>
        <v/>
      </c>
      <c r="G515" s="18" t="str">
        <f aca="false">IF(A515="","",COUNTIF('Metric to Product'!$A:$A,A515))</f>
        <v/>
      </c>
      <c r="H515" s="20"/>
      <c r="I515" s="20"/>
      <c r="J515" s="20"/>
      <c r="K515" s="20"/>
    </row>
    <row r="516" customFormat="false" ht="15" hidden="false" customHeight="false" outlineLevel="0" collapsed="false">
      <c r="A516" s="18" t="str">
        <f aca="false">IF(C516="","",IFERROR(INDEX(Metrics!$A:$A,MATCH(C516,Metrics!$C:$C,0)),"Not found"))</f>
        <v/>
      </c>
      <c r="B516" s="18" t="str">
        <f aca="false">IF(D516="","",IFERROR(INDEX(Fields!$A:$A,MATCH(D516,Fields!$B:$B,0)),"Not found"))</f>
        <v/>
      </c>
      <c r="C516" s="20"/>
      <c r="D516" s="20"/>
      <c r="E516" s="20"/>
      <c r="F516" s="21" t="str">
        <f aca="false">IF(B516="","",IFERROR(INDEX(Fields!$C:$C,MATCH(B516,Fields!$A:$A,0)),""))</f>
        <v/>
      </c>
      <c r="G516" s="18" t="str">
        <f aca="false">IF(A516="","",COUNTIF('Metric to Product'!$A:$A,A516))</f>
        <v/>
      </c>
      <c r="H516" s="20"/>
      <c r="I516" s="20"/>
      <c r="J516" s="20"/>
      <c r="K516" s="20"/>
    </row>
    <row r="517" customFormat="false" ht="15" hidden="false" customHeight="false" outlineLevel="0" collapsed="false">
      <c r="A517" s="18" t="str">
        <f aca="false">IF(C517="","",IFERROR(INDEX(Metrics!$A:$A,MATCH(C517,Metrics!$C:$C,0)),"Not found"))</f>
        <v/>
      </c>
      <c r="B517" s="18" t="str">
        <f aca="false">IF(D517="","",IFERROR(INDEX(Fields!$A:$A,MATCH(D517,Fields!$B:$B,0)),"Not found"))</f>
        <v/>
      </c>
      <c r="C517" s="20"/>
      <c r="D517" s="20"/>
      <c r="E517" s="20"/>
      <c r="F517" s="21" t="str">
        <f aca="false">IF(B517="","",IFERROR(INDEX(Fields!$C:$C,MATCH(B517,Fields!$A:$A,0)),""))</f>
        <v/>
      </c>
      <c r="G517" s="18" t="str">
        <f aca="false">IF(A517="","",COUNTIF('Metric to Product'!$A:$A,A517))</f>
        <v/>
      </c>
      <c r="H517" s="20"/>
      <c r="I517" s="20"/>
      <c r="J517" s="20"/>
      <c r="K517" s="20"/>
    </row>
    <row r="518" customFormat="false" ht="15" hidden="false" customHeight="false" outlineLevel="0" collapsed="false">
      <c r="A518" s="18" t="str">
        <f aca="false">IF(C518="","",IFERROR(INDEX(Metrics!$A:$A,MATCH(C518,Metrics!$C:$C,0)),"Not found"))</f>
        <v/>
      </c>
      <c r="B518" s="18" t="str">
        <f aca="false">IF(D518="","",IFERROR(INDEX(Fields!$A:$A,MATCH(D518,Fields!$B:$B,0)),"Not found"))</f>
        <v/>
      </c>
      <c r="C518" s="20"/>
      <c r="D518" s="20"/>
      <c r="E518" s="20"/>
      <c r="F518" s="21" t="str">
        <f aca="false">IF(B518="","",IFERROR(INDEX(Fields!$C:$C,MATCH(B518,Fields!$A:$A,0)),""))</f>
        <v/>
      </c>
      <c r="G518" s="18" t="str">
        <f aca="false">IF(A518="","",COUNTIF('Metric to Product'!$A:$A,A518))</f>
        <v/>
      </c>
      <c r="H518" s="20"/>
      <c r="I518" s="20"/>
      <c r="J518" s="20"/>
      <c r="K518" s="20"/>
    </row>
    <row r="519" customFormat="false" ht="15" hidden="false" customHeight="false" outlineLevel="0" collapsed="false">
      <c r="A519" s="18" t="str">
        <f aca="false">IF(C519="","",IFERROR(INDEX(Metrics!$A:$A,MATCH(C519,Metrics!$C:$C,0)),"Not found"))</f>
        <v/>
      </c>
      <c r="B519" s="18" t="str">
        <f aca="false">IF(D519="","",IFERROR(INDEX(Fields!$A:$A,MATCH(D519,Fields!$B:$B,0)),"Not found"))</f>
        <v/>
      </c>
      <c r="C519" s="20"/>
      <c r="D519" s="20"/>
      <c r="E519" s="20"/>
      <c r="F519" s="21" t="str">
        <f aca="false">IF(B519="","",IFERROR(INDEX(Fields!$C:$C,MATCH(B519,Fields!$A:$A,0)),""))</f>
        <v/>
      </c>
      <c r="G519" s="18" t="str">
        <f aca="false">IF(A519="","",COUNTIF('Metric to Product'!$A:$A,A519))</f>
        <v/>
      </c>
      <c r="H519" s="20"/>
      <c r="I519" s="20"/>
      <c r="J519" s="20"/>
      <c r="K519" s="20"/>
    </row>
    <row r="520" customFormat="false" ht="15" hidden="false" customHeight="false" outlineLevel="0" collapsed="false">
      <c r="A520" s="18" t="str">
        <f aca="false">IF(C520="","",IFERROR(INDEX(Metrics!$A:$A,MATCH(C520,Metrics!$C:$C,0)),"Not found"))</f>
        <v/>
      </c>
      <c r="B520" s="18" t="str">
        <f aca="false">IF(D520="","",IFERROR(INDEX(Fields!$A:$A,MATCH(D520,Fields!$B:$B,0)),"Not found"))</f>
        <v/>
      </c>
      <c r="C520" s="20"/>
      <c r="D520" s="20"/>
      <c r="E520" s="20"/>
      <c r="F520" s="21" t="str">
        <f aca="false">IF(B520="","",IFERROR(INDEX(Fields!$C:$C,MATCH(B520,Fields!$A:$A,0)),""))</f>
        <v/>
      </c>
      <c r="G520" s="18" t="str">
        <f aca="false">IF(A520="","",COUNTIF('Metric to Product'!$A:$A,A520))</f>
        <v/>
      </c>
      <c r="H520" s="20"/>
      <c r="I520" s="20"/>
      <c r="J520" s="20"/>
      <c r="K520" s="20"/>
    </row>
    <row r="521" customFormat="false" ht="15" hidden="false" customHeight="false" outlineLevel="0" collapsed="false">
      <c r="A521" s="18" t="str">
        <f aca="false">IF(C521="","",IFERROR(INDEX(Metrics!$A:$A,MATCH(C521,Metrics!$C:$C,0)),"Not found"))</f>
        <v/>
      </c>
      <c r="B521" s="18" t="str">
        <f aca="false">IF(D521="","",IFERROR(INDEX(Fields!$A:$A,MATCH(D521,Fields!$B:$B,0)),"Not found"))</f>
        <v/>
      </c>
      <c r="C521" s="20"/>
      <c r="D521" s="20"/>
      <c r="E521" s="20"/>
      <c r="F521" s="21" t="str">
        <f aca="false">IF(B521="","",IFERROR(INDEX(Fields!$C:$C,MATCH(B521,Fields!$A:$A,0)),""))</f>
        <v/>
      </c>
      <c r="G521" s="18" t="str">
        <f aca="false">IF(A521="","",COUNTIF('Metric to Product'!$A:$A,A521))</f>
        <v/>
      </c>
      <c r="H521" s="20"/>
      <c r="I521" s="20"/>
      <c r="J521" s="20"/>
      <c r="K521" s="20"/>
    </row>
    <row r="522" customFormat="false" ht="15" hidden="false" customHeight="false" outlineLevel="0" collapsed="false">
      <c r="A522" s="18" t="str">
        <f aca="false">IF(C522="","",IFERROR(INDEX(Metrics!$A:$A,MATCH(C522,Metrics!$C:$C,0)),"Not found"))</f>
        <v/>
      </c>
      <c r="B522" s="18" t="str">
        <f aca="false">IF(D522="","",IFERROR(INDEX(Fields!$A:$A,MATCH(D522,Fields!$B:$B,0)),"Not found"))</f>
        <v/>
      </c>
      <c r="C522" s="20"/>
      <c r="D522" s="20"/>
      <c r="E522" s="20"/>
      <c r="F522" s="21" t="str">
        <f aca="false">IF(B522="","",IFERROR(INDEX(Fields!$C:$C,MATCH(B522,Fields!$A:$A,0)),""))</f>
        <v/>
      </c>
      <c r="G522" s="18" t="str">
        <f aca="false">IF(A522="","",COUNTIF('Metric to Product'!$A:$A,A522))</f>
        <v/>
      </c>
      <c r="H522" s="20"/>
      <c r="I522" s="20"/>
      <c r="J522" s="20"/>
      <c r="K522" s="20"/>
    </row>
    <row r="523" customFormat="false" ht="15" hidden="false" customHeight="false" outlineLevel="0" collapsed="false">
      <c r="A523" s="18" t="str">
        <f aca="false">IF(C523="","",IFERROR(INDEX(Metrics!$A:$A,MATCH(C523,Metrics!$C:$C,0)),"Not found"))</f>
        <v/>
      </c>
      <c r="B523" s="18" t="str">
        <f aca="false">IF(D523="","",IFERROR(INDEX(Fields!$A:$A,MATCH(D523,Fields!$B:$B,0)),"Not found"))</f>
        <v/>
      </c>
      <c r="C523" s="20"/>
      <c r="D523" s="20"/>
      <c r="E523" s="20"/>
      <c r="F523" s="21" t="str">
        <f aca="false">IF(B523="","",IFERROR(INDEX(Fields!$C:$C,MATCH(B523,Fields!$A:$A,0)),""))</f>
        <v/>
      </c>
      <c r="G523" s="18" t="str">
        <f aca="false">IF(A523="","",COUNTIF('Metric to Product'!$A:$A,A523))</f>
        <v/>
      </c>
      <c r="H523" s="20"/>
      <c r="I523" s="20"/>
      <c r="J523" s="20"/>
      <c r="K523" s="20"/>
    </row>
    <row r="524" customFormat="false" ht="15" hidden="false" customHeight="false" outlineLevel="0" collapsed="false">
      <c r="A524" s="18" t="str">
        <f aca="false">IF(C524="","",IFERROR(INDEX(Metrics!$A:$A,MATCH(C524,Metrics!$C:$C,0)),"Not found"))</f>
        <v/>
      </c>
      <c r="B524" s="18" t="str">
        <f aca="false">IF(D524="","",IFERROR(INDEX(Fields!$A:$A,MATCH(D524,Fields!$B:$B,0)),"Not found"))</f>
        <v/>
      </c>
      <c r="C524" s="20"/>
      <c r="D524" s="20"/>
      <c r="E524" s="20"/>
      <c r="F524" s="21" t="str">
        <f aca="false">IF(B524="","",IFERROR(INDEX(Fields!$C:$C,MATCH(B524,Fields!$A:$A,0)),""))</f>
        <v/>
      </c>
      <c r="G524" s="18" t="str">
        <f aca="false">IF(A524="","",COUNTIF('Metric to Product'!$A:$A,A524))</f>
        <v/>
      </c>
      <c r="H524" s="20"/>
      <c r="I524" s="20"/>
      <c r="J524" s="20"/>
      <c r="K524" s="20"/>
    </row>
    <row r="525" customFormat="false" ht="15" hidden="false" customHeight="false" outlineLevel="0" collapsed="false">
      <c r="A525" s="18" t="str">
        <f aca="false">IF(C525="","",IFERROR(INDEX(Metrics!$A:$A,MATCH(C525,Metrics!$C:$C,0)),"Not found"))</f>
        <v/>
      </c>
      <c r="B525" s="18" t="str">
        <f aca="false">IF(D525="","",IFERROR(INDEX(Fields!$A:$A,MATCH(D525,Fields!$B:$B,0)),"Not found"))</f>
        <v/>
      </c>
      <c r="C525" s="20"/>
      <c r="D525" s="20"/>
      <c r="E525" s="20"/>
      <c r="F525" s="21" t="str">
        <f aca="false">IF(B525="","",IFERROR(INDEX(Fields!$C:$C,MATCH(B525,Fields!$A:$A,0)),""))</f>
        <v/>
      </c>
      <c r="G525" s="18" t="str">
        <f aca="false">IF(A525="","",COUNTIF('Metric to Product'!$A:$A,A525))</f>
        <v/>
      </c>
      <c r="H525" s="20"/>
      <c r="I525" s="20"/>
      <c r="J525" s="20"/>
      <c r="K525" s="20"/>
    </row>
    <row r="526" customFormat="false" ht="15" hidden="false" customHeight="false" outlineLevel="0" collapsed="false">
      <c r="A526" s="18" t="str">
        <f aca="false">IF(C526="","",IFERROR(INDEX(Metrics!$A:$A,MATCH(C526,Metrics!$C:$C,0)),"Not found"))</f>
        <v/>
      </c>
      <c r="B526" s="18" t="str">
        <f aca="false">IF(D526="","",IFERROR(INDEX(Fields!$A:$A,MATCH(D526,Fields!$B:$B,0)),"Not found"))</f>
        <v/>
      </c>
      <c r="C526" s="20"/>
      <c r="D526" s="20"/>
      <c r="E526" s="20"/>
      <c r="F526" s="21" t="str">
        <f aca="false">IF(B526="","",IFERROR(INDEX(Fields!$C:$C,MATCH(B526,Fields!$A:$A,0)),""))</f>
        <v/>
      </c>
      <c r="G526" s="18" t="str">
        <f aca="false">IF(A526="","",COUNTIF('Metric to Product'!$A:$A,A526))</f>
        <v/>
      </c>
      <c r="H526" s="20"/>
      <c r="I526" s="20"/>
      <c r="J526" s="20"/>
      <c r="K526" s="20"/>
    </row>
    <row r="527" customFormat="false" ht="15" hidden="false" customHeight="false" outlineLevel="0" collapsed="false">
      <c r="A527" s="18" t="str">
        <f aca="false">IF(C527="","",IFERROR(INDEX(Metrics!$A:$A,MATCH(C527,Metrics!$C:$C,0)),"Not found"))</f>
        <v/>
      </c>
      <c r="B527" s="18" t="str">
        <f aca="false">IF(D527="","",IFERROR(INDEX(Fields!$A:$A,MATCH(D527,Fields!$B:$B,0)),"Not found"))</f>
        <v/>
      </c>
      <c r="C527" s="20"/>
      <c r="D527" s="20"/>
      <c r="E527" s="20"/>
      <c r="F527" s="21" t="str">
        <f aca="false">IF(B527="","",IFERROR(INDEX(Fields!$C:$C,MATCH(B527,Fields!$A:$A,0)),""))</f>
        <v/>
      </c>
      <c r="G527" s="18" t="str">
        <f aca="false">IF(A527="","",COUNTIF('Metric to Product'!$A:$A,A527))</f>
        <v/>
      </c>
      <c r="H527" s="20"/>
      <c r="I527" s="20"/>
      <c r="J527" s="20"/>
      <c r="K527" s="20"/>
    </row>
    <row r="528" customFormat="false" ht="15" hidden="false" customHeight="false" outlineLevel="0" collapsed="false">
      <c r="A528" s="18" t="str">
        <f aca="false">IF(C528="","",IFERROR(INDEX(Metrics!$A:$A,MATCH(C528,Metrics!$C:$C,0)),"Not found"))</f>
        <v/>
      </c>
      <c r="B528" s="18" t="str">
        <f aca="false">IF(D528="","",IFERROR(INDEX(Fields!$A:$A,MATCH(D528,Fields!$B:$B,0)),"Not found"))</f>
        <v/>
      </c>
      <c r="C528" s="20"/>
      <c r="D528" s="20"/>
      <c r="E528" s="20"/>
      <c r="F528" s="21" t="str">
        <f aca="false">IF(B528="","",IFERROR(INDEX(Fields!$C:$C,MATCH(B528,Fields!$A:$A,0)),""))</f>
        <v/>
      </c>
      <c r="G528" s="18" t="str">
        <f aca="false">IF(A528="","",COUNTIF('Metric to Product'!$A:$A,A528))</f>
        <v/>
      </c>
      <c r="H528" s="20"/>
      <c r="I528" s="20"/>
      <c r="J528" s="20"/>
      <c r="K528" s="20"/>
    </row>
    <row r="529" customFormat="false" ht="15" hidden="false" customHeight="false" outlineLevel="0" collapsed="false">
      <c r="A529" s="18" t="str">
        <f aca="false">IF(C529="","",IFERROR(INDEX(Metrics!$A:$A,MATCH(C529,Metrics!$C:$C,0)),"Not found"))</f>
        <v/>
      </c>
      <c r="B529" s="18" t="str">
        <f aca="false">IF(D529="","",IFERROR(INDEX(Fields!$A:$A,MATCH(D529,Fields!$B:$B,0)),"Not found"))</f>
        <v/>
      </c>
      <c r="C529" s="20"/>
      <c r="D529" s="20"/>
      <c r="E529" s="20"/>
      <c r="F529" s="21" t="str">
        <f aca="false">IF(B529="","",IFERROR(INDEX(Fields!$C:$C,MATCH(B529,Fields!$A:$A,0)),""))</f>
        <v/>
      </c>
      <c r="G529" s="18" t="str">
        <f aca="false">IF(A529="","",COUNTIF('Metric to Product'!$A:$A,A529))</f>
        <v/>
      </c>
      <c r="H529" s="20"/>
      <c r="I529" s="20"/>
      <c r="J529" s="20"/>
      <c r="K529" s="20"/>
    </row>
    <row r="530" customFormat="false" ht="15" hidden="false" customHeight="false" outlineLevel="0" collapsed="false">
      <c r="A530" s="18" t="str">
        <f aca="false">IF(C530="","",IFERROR(INDEX(Metrics!$A:$A,MATCH(C530,Metrics!$C:$C,0)),"Not found"))</f>
        <v/>
      </c>
      <c r="B530" s="18" t="str">
        <f aca="false">IF(D530="","",IFERROR(INDEX(Fields!$A:$A,MATCH(D530,Fields!$B:$B,0)),"Not found"))</f>
        <v/>
      </c>
      <c r="C530" s="20"/>
      <c r="D530" s="20"/>
      <c r="E530" s="20"/>
      <c r="F530" s="21" t="str">
        <f aca="false">IF(B530="","",IFERROR(INDEX(Fields!$C:$C,MATCH(B530,Fields!$A:$A,0)),""))</f>
        <v/>
      </c>
      <c r="G530" s="18" t="str">
        <f aca="false">IF(A530="","",COUNTIF('Metric to Product'!$A:$A,A530))</f>
        <v/>
      </c>
      <c r="H530" s="20"/>
      <c r="I530" s="20"/>
      <c r="J530" s="20"/>
      <c r="K530" s="20"/>
    </row>
    <row r="531" customFormat="false" ht="15" hidden="false" customHeight="false" outlineLevel="0" collapsed="false">
      <c r="A531" s="18" t="str">
        <f aca="false">IF(C531="","",IFERROR(INDEX(Metrics!$A:$A,MATCH(C531,Metrics!$C:$C,0)),"Not found"))</f>
        <v/>
      </c>
      <c r="B531" s="18" t="str">
        <f aca="false">IF(D531="","",IFERROR(INDEX(Fields!$A:$A,MATCH(D531,Fields!$B:$B,0)),"Not found"))</f>
        <v/>
      </c>
      <c r="C531" s="20"/>
      <c r="D531" s="20"/>
      <c r="E531" s="20"/>
      <c r="F531" s="21" t="str">
        <f aca="false">IF(B531="","",IFERROR(INDEX(Fields!$C:$C,MATCH(B531,Fields!$A:$A,0)),""))</f>
        <v/>
      </c>
      <c r="G531" s="18" t="str">
        <f aca="false">IF(A531="","",COUNTIF('Metric to Product'!$A:$A,A531))</f>
        <v/>
      </c>
      <c r="H531" s="20"/>
      <c r="I531" s="20"/>
      <c r="J531" s="20"/>
      <c r="K531" s="20"/>
    </row>
    <row r="532" customFormat="false" ht="15" hidden="false" customHeight="false" outlineLevel="0" collapsed="false">
      <c r="A532" s="18" t="str">
        <f aca="false">IF(C532="","",IFERROR(INDEX(Metrics!$A:$A,MATCH(C532,Metrics!$C:$C,0)),"Not found"))</f>
        <v/>
      </c>
      <c r="B532" s="18" t="str">
        <f aca="false">IF(D532="","",IFERROR(INDEX(Fields!$A:$A,MATCH(D532,Fields!$B:$B,0)),"Not found"))</f>
        <v/>
      </c>
      <c r="C532" s="20"/>
      <c r="D532" s="20"/>
      <c r="E532" s="20"/>
      <c r="F532" s="21" t="str">
        <f aca="false">IF(B532="","",IFERROR(INDEX(Fields!$C:$C,MATCH(B532,Fields!$A:$A,0)),""))</f>
        <v/>
      </c>
      <c r="G532" s="18" t="str">
        <f aca="false">IF(A532="","",COUNTIF('Metric to Product'!$A:$A,A532))</f>
        <v/>
      </c>
      <c r="H532" s="20"/>
      <c r="I532" s="20"/>
      <c r="J532" s="20"/>
      <c r="K532" s="20"/>
    </row>
    <row r="533" customFormat="false" ht="15" hidden="false" customHeight="false" outlineLevel="0" collapsed="false">
      <c r="A533" s="18" t="str">
        <f aca="false">IF(C533="","",IFERROR(INDEX(Metrics!$A:$A,MATCH(C533,Metrics!$C:$C,0)),"Not found"))</f>
        <v/>
      </c>
      <c r="B533" s="18" t="str">
        <f aca="false">IF(D533="","",IFERROR(INDEX(Fields!$A:$A,MATCH(D533,Fields!$B:$B,0)),"Not found"))</f>
        <v/>
      </c>
      <c r="C533" s="20"/>
      <c r="D533" s="20"/>
      <c r="E533" s="20"/>
      <c r="F533" s="21" t="str">
        <f aca="false">IF(B533="","",IFERROR(INDEX(Fields!$C:$C,MATCH(B533,Fields!$A:$A,0)),""))</f>
        <v/>
      </c>
      <c r="G533" s="18" t="str">
        <f aca="false">IF(A533="","",COUNTIF('Metric to Product'!$A:$A,A533))</f>
        <v/>
      </c>
      <c r="H533" s="20"/>
      <c r="I533" s="20"/>
      <c r="J533" s="20"/>
      <c r="K533" s="20"/>
    </row>
    <row r="534" customFormat="false" ht="15" hidden="false" customHeight="false" outlineLevel="0" collapsed="false">
      <c r="A534" s="18" t="str">
        <f aca="false">IF(C534="","",IFERROR(INDEX(Metrics!$A:$A,MATCH(C534,Metrics!$C:$C,0)),"Not found"))</f>
        <v/>
      </c>
      <c r="B534" s="18" t="str">
        <f aca="false">IF(D534="","",IFERROR(INDEX(Fields!$A:$A,MATCH(D534,Fields!$B:$B,0)),"Not found"))</f>
        <v/>
      </c>
      <c r="C534" s="20"/>
      <c r="D534" s="20"/>
      <c r="E534" s="20"/>
      <c r="F534" s="21" t="str">
        <f aca="false">IF(B534="","",IFERROR(INDEX(Fields!$C:$C,MATCH(B534,Fields!$A:$A,0)),""))</f>
        <v/>
      </c>
      <c r="G534" s="18" t="str">
        <f aca="false">IF(A534="","",COUNTIF('Metric to Product'!$A:$A,A534))</f>
        <v/>
      </c>
      <c r="H534" s="20"/>
      <c r="I534" s="20"/>
      <c r="J534" s="20"/>
      <c r="K534" s="20"/>
    </row>
    <row r="535" customFormat="false" ht="15" hidden="false" customHeight="false" outlineLevel="0" collapsed="false">
      <c r="A535" s="18" t="str">
        <f aca="false">IF(C535="","",IFERROR(INDEX(Metrics!$A:$A,MATCH(C535,Metrics!$C:$C,0)),"Not found"))</f>
        <v/>
      </c>
      <c r="B535" s="18" t="str">
        <f aca="false">IF(D535="","",IFERROR(INDEX(Fields!$A:$A,MATCH(D535,Fields!$B:$B,0)),"Not found"))</f>
        <v/>
      </c>
      <c r="C535" s="20"/>
      <c r="D535" s="20"/>
      <c r="E535" s="20"/>
      <c r="F535" s="21" t="str">
        <f aca="false">IF(B535="","",IFERROR(INDEX(Fields!$C:$C,MATCH(B535,Fields!$A:$A,0)),""))</f>
        <v/>
      </c>
      <c r="G535" s="18" t="str">
        <f aca="false">IF(A535="","",COUNTIF('Metric to Product'!$A:$A,A535))</f>
        <v/>
      </c>
      <c r="H535" s="20"/>
      <c r="I535" s="20"/>
      <c r="J535" s="20"/>
      <c r="K535" s="20"/>
    </row>
    <row r="536" customFormat="false" ht="15" hidden="false" customHeight="false" outlineLevel="0" collapsed="false">
      <c r="A536" s="18" t="str">
        <f aca="false">IF(C536="","",IFERROR(INDEX(Metrics!$A:$A,MATCH(C536,Metrics!$C:$C,0)),"Not found"))</f>
        <v/>
      </c>
      <c r="B536" s="18" t="str">
        <f aca="false">IF(D536="","",IFERROR(INDEX(Fields!$A:$A,MATCH(D536,Fields!$B:$B,0)),"Not found"))</f>
        <v/>
      </c>
      <c r="C536" s="20"/>
      <c r="D536" s="20"/>
      <c r="E536" s="20"/>
      <c r="F536" s="21" t="str">
        <f aca="false">IF(B536="","",IFERROR(INDEX(Fields!$C:$C,MATCH(B536,Fields!$A:$A,0)),""))</f>
        <v/>
      </c>
      <c r="G536" s="18" t="str">
        <f aca="false">IF(A536="","",COUNTIF('Metric to Product'!$A:$A,A536))</f>
        <v/>
      </c>
      <c r="H536" s="20"/>
      <c r="I536" s="20"/>
      <c r="J536" s="20"/>
      <c r="K536" s="20"/>
    </row>
    <row r="537" customFormat="false" ht="15" hidden="false" customHeight="false" outlineLevel="0" collapsed="false">
      <c r="A537" s="18" t="str">
        <f aca="false">IF(C537="","",IFERROR(INDEX(Metrics!$A:$A,MATCH(C537,Metrics!$C:$C,0)),"Not found"))</f>
        <v/>
      </c>
      <c r="B537" s="18" t="str">
        <f aca="false">IF(D537="","",IFERROR(INDEX(Fields!$A:$A,MATCH(D537,Fields!$B:$B,0)),"Not found"))</f>
        <v/>
      </c>
      <c r="C537" s="20"/>
      <c r="D537" s="20"/>
      <c r="E537" s="20"/>
      <c r="F537" s="21" t="str">
        <f aca="false">IF(B537="","",IFERROR(INDEX(Fields!$C:$C,MATCH(B537,Fields!$A:$A,0)),""))</f>
        <v/>
      </c>
      <c r="G537" s="18" t="str">
        <f aca="false">IF(A537="","",COUNTIF('Metric to Product'!$A:$A,A537))</f>
        <v/>
      </c>
      <c r="H537" s="20"/>
      <c r="I537" s="20"/>
      <c r="J537" s="20"/>
      <c r="K537" s="20"/>
    </row>
    <row r="538" customFormat="false" ht="15" hidden="false" customHeight="false" outlineLevel="0" collapsed="false">
      <c r="A538" s="18" t="str">
        <f aca="false">IF(C538="","",IFERROR(INDEX(Metrics!$A:$A,MATCH(C538,Metrics!$C:$C,0)),"Not found"))</f>
        <v/>
      </c>
      <c r="B538" s="18" t="str">
        <f aca="false">IF(D538="","",IFERROR(INDEX(Fields!$A:$A,MATCH(D538,Fields!$B:$B,0)),"Not found"))</f>
        <v/>
      </c>
      <c r="C538" s="20"/>
      <c r="D538" s="20"/>
      <c r="E538" s="20"/>
      <c r="F538" s="21" t="str">
        <f aca="false">IF(B538="","",IFERROR(INDEX(Fields!$C:$C,MATCH(B538,Fields!$A:$A,0)),""))</f>
        <v/>
      </c>
      <c r="G538" s="18" t="str">
        <f aca="false">IF(A538="","",COUNTIF('Metric to Product'!$A:$A,A538))</f>
        <v/>
      </c>
      <c r="H538" s="20"/>
      <c r="I538" s="20"/>
      <c r="J538" s="20"/>
      <c r="K538" s="20"/>
    </row>
    <row r="539" customFormat="false" ht="15" hidden="false" customHeight="false" outlineLevel="0" collapsed="false">
      <c r="A539" s="18" t="str">
        <f aca="false">IF(C539="","",IFERROR(INDEX(Metrics!$A:$A,MATCH(C539,Metrics!$C:$C,0)),"Not found"))</f>
        <v/>
      </c>
      <c r="B539" s="18" t="str">
        <f aca="false">IF(D539="","",IFERROR(INDEX(Fields!$A:$A,MATCH(D539,Fields!$B:$B,0)),"Not found"))</f>
        <v/>
      </c>
      <c r="C539" s="20"/>
      <c r="D539" s="20"/>
      <c r="E539" s="20"/>
      <c r="F539" s="21" t="str">
        <f aca="false">IF(B539="","",IFERROR(INDEX(Fields!$C:$C,MATCH(B539,Fields!$A:$A,0)),""))</f>
        <v/>
      </c>
      <c r="G539" s="18" t="str">
        <f aca="false">IF(A539="","",COUNTIF('Metric to Product'!$A:$A,A539))</f>
        <v/>
      </c>
      <c r="H539" s="20"/>
      <c r="I539" s="20"/>
      <c r="J539" s="20"/>
      <c r="K539" s="20"/>
    </row>
    <row r="540" customFormat="false" ht="15" hidden="false" customHeight="false" outlineLevel="0" collapsed="false">
      <c r="A540" s="18" t="str">
        <f aca="false">IF(C540="","",IFERROR(INDEX(Metrics!$A:$A,MATCH(C540,Metrics!$C:$C,0)),"Not found"))</f>
        <v/>
      </c>
      <c r="B540" s="18" t="str">
        <f aca="false">IF(D540="","",IFERROR(INDEX(Fields!$A:$A,MATCH(D540,Fields!$B:$B,0)),"Not found"))</f>
        <v/>
      </c>
      <c r="C540" s="20"/>
      <c r="D540" s="20"/>
      <c r="E540" s="20"/>
      <c r="F540" s="21" t="str">
        <f aca="false">IF(B540="","",IFERROR(INDEX(Fields!$C:$C,MATCH(B540,Fields!$A:$A,0)),""))</f>
        <v/>
      </c>
      <c r="G540" s="18" t="str">
        <f aca="false">IF(A540="","",COUNTIF('Metric to Product'!$A:$A,A540))</f>
        <v/>
      </c>
      <c r="H540" s="20"/>
      <c r="I540" s="20"/>
      <c r="J540" s="20"/>
      <c r="K540" s="20"/>
    </row>
    <row r="541" customFormat="false" ht="15" hidden="false" customHeight="false" outlineLevel="0" collapsed="false">
      <c r="A541" s="18" t="str">
        <f aca="false">IF(C541="","",IFERROR(INDEX(Metrics!$A:$A,MATCH(C541,Metrics!$C:$C,0)),"Not found"))</f>
        <v/>
      </c>
      <c r="B541" s="18" t="str">
        <f aca="false">IF(D541="","",IFERROR(INDEX(Fields!$A:$A,MATCH(D541,Fields!$B:$B,0)),"Not found"))</f>
        <v/>
      </c>
      <c r="C541" s="20"/>
      <c r="D541" s="20"/>
      <c r="E541" s="20"/>
      <c r="F541" s="21" t="str">
        <f aca="false">IF(B541="","",IFERROR(INDEX(Fields!$C:$C,MATCH(B541,Fields!$A:$A,0)),""))</f>
        <v/>
      </c>
      <c r="G541" s="18" t="str">
        <f aca="false">IF(A541="","",COUNTIF('Metric to Product'!$A:$A,A541))</f>
        <v/>
      </c>
      <c r="H541" s="20"/>
      <c r="I541" s="20"/>
      <c r="J541" s="20"/>
      <c r="K541" s="20"/>
    </row>
    <row r="542" customFormat="false" ht="15" hidden="false" customHeight="false" outlineLevel="0" collapsed="false">
      <c r="A542" s="18" t="str">
        <f aca="false">IF(C542="","",IFERROR(INDEX(Metrics!$A:$A,MATCH(C542,Metrics!$C:$C,0)),"Not found"))</f>
        <v/>
      </c>
      <c r="B542" s="18" t="str">
        <f aca="false">IF(D542="","",IFERROR(INDEX(Fields!$A:$A,MATCH(D542,Fields!$B:$B,0)),"Not found"))</f>
        <v/>
      </c>
      <c r="C542" s="20"/>
      <c r="D542" s="20"/>
      <c r="E542" s="20"/>
      <c r="F542" s="21" t="str">
        <f aca="false">IF(B542="","",IFERROR(INDEX(Fields!$C:$C,MATCH(B542,Fields!$A:$A,0)),""))</f>
        <v/>
      </c>
      <c r="G542" s="18" t="str">
        <f aca="false">IF(A542="","",COUNTIF('Metric to Product'!$A:$A,A542))</f>
        <v/>
      </c>
      <c r="H542" s="20"/>
      <c r="I542" s="20"/>
      <c r="J542" s="20"/>
      <c r="K542" s="20"/>
    </row>
    <row r="543" customFormat="false" ht="15" hidden="false" customHeight="false" outlineLevel="0" collapsed="false">
      <c r="A543" s="18" t="str">
        <f aca="false">IF(C543="","",IFERROR(INDEX(Metrics!$A:$A,MATCH(C543,Metrics!$C:$C,0)),"Not found"))</f>
        <v/>
      </c>
      <c r="B543" s="18" t="str">
        <f aca="false">IF(D543="","",IFERROR(INDEX(Fields!$A:$A,MATCH(D543,Fields!$B:$B,0)),"Not found"))</f>
        <v/>
      </c>
      <c r="C543" s="20"/>
      <c r="D543" s="20"/>
      <c r="E543" s="20"/>
      <c r="F543" s="21" t="str">
        <f aca="false">IF(B543="","",IFERROR(INDEX(Fields!$C:$C,MATCH(B543,Fields!$A:$A,0)),""))</f>
        <v/>
      </c>
      <c r="G543" s="18" t="str">
        <f aca="false">IF(A543="","",COUNTIF('Metric to Product'!$A:$A,A543))</f>
        <v/>
      </c>
      <c r="H543" s="20"/>
      <c r="I543" s="20"/>
      <c r="J543" s="20"/>
      <c r="K543" s="20"/>
    </row>
    <row r="544" customFormat="false" ht="15" hidden="false" customHeight="false" outlineLevel="0" collapsed="false">
      <c r="A544" s="18" t="str">
        <f aca="false">IF(C544="","",IFERROR(INDEX(Metrics!$A:$A,MATCH(C544,Metrics!$C:$C,0)),"Not found"))</f>
        <v/>
      </c>
      <c r="B544" s="18" t="str">
        <f aca="false">IF(D544="","",IFERROR(INDEX(Fields!$A:$A,MATCH(D544,Fields!$B:$B,0)),"Not found"))</f>
        <v/>
      </c>
      <c r="C544" s="20"/>
      <c r="D544" s="20"/>
      <c r="E544" s="20"/>
      <c r="F544" s="21" t="str">
        <f aca="false">IF(B544="","",IFERROR(INDEX(Fields!$C:$C,MATCH(B544,Fields!$A:$A,0)),""))</f>
        <v/>
      </c>
      <c r="G544" s="18" t="str">
        <f aca="false">IF(A544="","",COUNTIF('Metric to Product'!$A:$A,A544))</f>
        <v/>
      </c>
      <c r="H544" s="20"/>
      <c r="I544" s="20"/>
      <c r="J544" s="20"/>
      <c r="K544" s="20"/>
    </row>
    <row r="545" customFormat="false" ht="15" hidden="false" customHeight="false" outlineLevel="0" collapsed="false">
      <c r="A545" s="18" t="str">
        <f aca="false">IF(C545="","",IFERROR(INDEX(Metrics!$A:$A,MATCH(C545,Metrics!$C:$C,0)),"Not found"))</f>
        <v/>
      </c>
      <c r="B545" s="18" t="str">
        <f aca="false">IF(D545="","",IFERROR(INDEX(Fields!$A:$A,MATCH(D545,Fields!$B:$B,0)),"Not found"))</f>
        <v/>
      </c>
      <c r="C545" s="20"/>
      <c r="D545" s="20"/>
      <c r="E545" s="20"/>
      <c r="F545" s="21" t="str">
        <f aca="false">IF(B545="","",IFERROR(INDEX(Fields!$C:$C,MATCH(B545,Fields!$A:$A,0)),""))</f>
        <v/>
      </c>
      <c r="G545" s="18" t="str">
        <f aca="false">IF(A545="","",COUNTIF('Metric to Product'!$A:$A,A545))</f>
        <v/>
      </c>
      <c r="H545" s="20"/>
      <c r="I545" s="20"/>
      <c r="J545" s="20"/>
      <c r="K545" s="20"/>
    </row>
    <row r="546" customFormat="false" ht="15" hidden="false" customHeight="false" outlineLevel="0" collapsed="false">
      <c r="A546" s="18" t="str">
        <f aca="false">IF(C546="","",IFERROR(INDEX(Metrics!$A:$A,MATCH(C546,Metrics!$C:$C,0)),"Not found"))</f>
        <v/>
      </c>
      <c r="B546" s="18" t="str">
        <f aca="false">IF(D546="","",IFERROR(INDEX(Fields!$A:$A,MATCH(D546,Fields!$B:$B,0)),"Not found"))</f>
        <v/>
      </c>
      <c r="C546" s="20"/>
      <c r="D546" s="20"/>
      <c r="E546" s="20"/>
      <c r="F546" s="21" t="str">
        <f aca="false">IF(B546="","",IFERROR(INDEX(Fields!$C:$C,MATCH(B546,Fields!$A:$A,0)),""))</f>
        <v/>
      </c>
      <c r="G546" s="18" t="str">
        <f aca="false">IF(A546="","",COUNTIF('Metric to Product'!$A:$A,A546))</f>
        <v/>
      </c>
      <c r="H546" s="20"/>
      <c r="I546" s="20"/>
      <c r="J546" s="20"/>
      <c r="K546" s="20"/>
    </row>
    <row r="547" customFormat="false" ht="15" hidden="false" customHeight="false" outlineLevel="0" collapsed="false">
      <c r="A547" s="18" t="str">
        <f aca="false">IF(C547="","",IFERROR(INDEX(Metrics!$A:$A,MATCH(C547,Metrics!$C:$C,0)),"Not found"))</f>
        <v/>
      </c>
      <c r="B547" s="18" t="str">
        <f aca="false">IF(D547="","",IFERROR(INDEX(Fields!$A:$A,MATCH(D547,Fields!$B:$B,0)),"Not found"))</f>
        <v/>
      </c>
      <c r="C547" s="20"/>
      <c r="D547" s="20"/>
      <c r="E547" s="20"/>
      <c r="F547" s="21" t="str">
        <f aca="false">IF(B547="","",IFERROR(INDEX(Fields!$C:$C,MATCH(B547,Fields!$A:$A,0)),""))</f>
        <v/>
      </c>
      <c r="G547" s="18" t="str">
        <f aca="false">IF(A547="","",COUNTIF('Metric to Product'!$A:$A,A547))</f>
        <v/>
      </c>
      <c r="H547" s="20"/>
      <c r="I547" s="20"/>
      <c r="J547" s="20"/>
      <c r="K547" s="20"/>
    </row>
    <row r="548" customFormat="false" ht="15" hidden="false" customHeight="false" outlineLevel="0" collapsed="false">
      <c r="A548" s="18" t="str">
        <f aca="false">IF(C548="","",IFERROR(INDEX(Metrics!$A:$A,MATCH(C548,Metrics!$C:$C,0)),"Not found"))</f>
        <v/>
      </c>
      <c r="B548" s="18" t="str">
        <f aca="false">IF(D548="","",IFERROR(INDEX(Fields!$A:$A,MATCH(D548,Fields!$B:$B,0)),"Not found"))</f>
        <v/>
      </c>
      <c r="C548" s="20"/>
      <c r="D548" s="20"/>
      <c r="E548" s="20"/>
      <c r="F548" s="21" t="str">
        <f aca="false">IF(B548="","",IFERROR(INDEX(Fields!$C:$C,MATCH(B548,Fields!$A:$A,0)),""))</f>
        <v/>
      </c>
      <c r="G548" s="18" t="str">
        <f aca="false">IF(A548="","",COUNTIF('Metric to Product'!$A:$A,A548))</f>
        <v/>
      </c>
      <c r="H548" s="20"/>
      <c r="I548" s="20"/>
      <c r="J548" s="20"/>
      <c r="K548" s="20"/>
    </row>
    <row r="549" customFormat="false" ht="15" hidden="false" customHeight="false" outlineLevel="0" collapsed="false">
      <c r="A549" s="18" t="str">
        <f aca="false">IF(C549="","",IFERROR(INDEX(Metrics!$A:$A,MATCH(C549,Metrics!$C:$C,0)),"Not found"))</f>
        <v/>
      </c>
      <c r="B549" s="18" t="str">
        <f aca="false">IF(D549="","",IFERROR(INDEX(Fields!$A:$A,MATCH(D549,Fields!$B:$B,0)),"Not found"))</f>
        <v/>
      </c>
      <c r="C549" s="20"/>
      <c r="D549" s="20"/>
      <c r="E549" s="20"/>
      <c r="F549" s="21" t="str">
        <f aca="false">IF(B549="","",IFERROR(INDEX(Fields!$C:$C,MATCH(B549,Fields!$A:$A,0)),""))</f>
        <v/>
      </c>
      <c r="G549" s="18" t="str">
        <f aca="false">IF(A549="","",COUNTIF('Metric to Product'!$A:$A,A549))</f>
        <v/>
      </c>
      <c r="H549" s="20"/>
      <c r="I549" s="20"/>
      <c r="J549" s="20"/>
      <c r="K549" s="20"/>
    </row>
    <row r="550" customFormat="false" ht="15" hidden="false" customHeight="false" outlineLevel="0" collapsed="false">
      <c r="A550" s="18" t="str">
        <f aca="false">IF(C550="","",IFERROR(INDEX(Metrics!$A:$A,MATCH(C550,Metrics!$C:$C,0)),"Not found"))</f>
        <v/>
      </c>
      <c r="B550" s="18" t="str">
        <f aca="false">IF(D550="","",IFERROR(INDEX(Fields!$A:$A,MATCH(D550,Fields!$B:$B,0)),"Not found"))</f>
        <v/>
      </c>
      <c r="C550" s="20"/>
      <c r="D550" s="20"/>
      <c r="E550" s="20"/>
      <c r="F550" s="21" t="str">
        <f aca="false">IF(B550="","",IFERROR(INDEX(Fields!$C:$C,MATCH(B550,Fields!$A:$A,0)),""))</f>
        <v/>
      </c>
      <c r="G550" s="18" t="str">
        <f aca="false">IF(A550="","",COUNTIF('Metric to Product'!$A:$A,A550))</f>
        <v/>
      </c>
      <c r="H550" s="20"/>
      <c r="I550" s="20"/>
      <c r="J550" s="20"/>
      <c r="K550" s="20"/>
    </row>
    <row r="551" customFormat="false" ht="15" hidden="false" customHeight="false" outlineLevel="0" collapsed="false">
      <c r="A551" s="18" t="str">
        <f aca="false">IF(C551="","",IFERROR(INDEX(Metrics!$A:$A,MATCH(C551,Metrics!$C:$C,0)),"Not found"))</f>
        <v/>
      </c>
      <c r="B551" s="18" t="str">
        <f aca="false">IF(D551="","",IFERROR(INDEX(Fields!$A:$A,MATCH(D551,Fields!$B:$B,0)),"Not found"))</f>
        <v/>
      </c>
      <c r="C551" s="20"/>
      <c r="D551" s="20"/>
      <c r="E551" s="20"/>
      <c r="F551" s="21" t="str">
        <f aca="false">IF(B551="","",IFERROR(INDEX(Fields!$C:$C,MATCH(B551,Fields!$A:$A,0)),""))</f>
        <v/>
      </c>
      <c r="G551" s="18" t="str">
        <f aca="false">IF(A551="","",COUNTIF('Metric to Product'!$A:$A,A551))</f>
        <v/>
      </c>
      <c r="H551" s="20"/>
      <c r="I551" s="20"/>
      <c r="J551" s="20"/>
      <c r="K551" s="20"/>
    </row>
    <row r="552" customFormat="false" ht="15" hidden="false" customHeight="false" outlineLevel="0" collapsed="false">
      <c r="A552" s="18" t="str">
        <f aca="false">IF(C552="","",IFERROR(INDEX(Metrics!$A:$A,MATCH(C552,Metrics!$C:$C,0)),"Not found"))</f>
        <v/>
      </c>
      <c r="B552" s="18" t="str">
        <f aca="false">IF(D552="","",IFERROR(INDEX(Fields!$A:$A,MATCH(D552,Fields!$B:$B,0)),"Not found"))</f>
        <v/>
      </c>
      <c r="C552" s="20"/>
      <c r="D552" s="20"/>
      <c r="E552" s="20"/>
      <c r="F552" s="21" t="str">
        <f aca="false">IF(B552="","",IFERROR(INDEX(Fields!$C:$C,MATCH(B552,Fields!$A:$A,0)),""))</f>
        <v/>
      </c>
      <c r="G552" s="18" t="str">
        <f aca="false">IF(A552="","",COUNTIF('Metric to Product'!$A:$A,A552))</f>
        <v/>
      </c>
      <c r="H552" s="20"/>
      <c r="I552" s="20"/>
      <c r="J552" s="20"/>
      <c r="K552" s="20"/>
    </row>
    <row r="553" customFormat="false" ht="15" hidden="false" customHeight="false" outlineLevel="0" collapsed="false">
      <c r="A553" s="18" t="str">
        <f aca="false">IF(C553="","",IFERROR(INDEX(Metrics!$A:$A,MATCH(C553,Metrics!$C:$C,0)),"Not found"))</f>
        <v/>
      </c>
      <c r="B553" s="18" t="str">
        <f aca="false">IF(D553="","",IFERROR(INDEX(Fields!$A:$A,MATCH(D553,Fields!$B:$B,0)),"Not found"))</f>
        <v/>
      </c>
      <c r="C553" s="20"/>
      <c r="D553" s="20"/>
      <c r="E553" s="20"/>
      <c r="F553" s="21" t="str">
        <f aca="false">IF(B553="","",IFERROR(INDEX(Fields!$C:$C,MATCH(B553,Fields!$A:$A,0)),""))</f>
        <v/>
      </c>
      <c r="G553" s="18" t="str">
        <f aca="false">IF(A553="","",COUNTIF('Metric to Product'!$A:$A,A553))</f>
        <v/>
      </c>
      <c r="H553" s="20"/>
      <c r="I553" s="20"/>
      <c r="J553" s="20"/>
      <c r="K553" s="20"/>
    </row>
    <row r="554" customFormat="false" ht="15" hidden="false" customHeight="false" outlineLevel="0" collapsed="false">
      <c r="A554" s="18" t="str">
        <f aca="false">IF(C554="","",IFERROR(INDEX(Metrics!$A:$A,MATCH(C554,Metrics!$C:$C,0)),"Not found"))</f>
        <v/>
      </c>
      <c r="B554" s="18" t="str">
        <f aca="false">IF(D554="","",IFERROR(INDEX(Fields!$A:$A,MATCH(D554,Fields!$B:$B,0)),"Not found"))</f>
        <v/>
      </c>
      <c r="C554" s="20"/>
      <c r="D554" s="20"/>
      <c r="E554" s="20"/>
      <c r="F554" s="21" t="str">
        <f aca="false">IF(B554="","",IFERROR(INDEX(Fields!$C:$C,MATCH(B554,Fields!$A:$A,0)),""))</f>
        <v/>
      </c>
      <c r="G554" s="18" t="str">
        <f aca="false">IF(A554="","",COUNTIF('Metric to Product'!$A:$A,A554))</f>
        <v/>
      </c>
      <c r="H554" s="20"/>
      <c r="I554" s="20"/>
      <c r="J554" s="20"/>
      <c r="K554" s="20"/>
    </row>
    <row r="555" customFormat="false" ht="15" hidden="false" customHeight="false" outlineLevel="0" collapsed="false">
      <c r="A555" s="18" t="str">
        <f aca="false">IF(C555="","",IFERROR(INDEX(Metrics!$A:$A,MATCH(C555,Metrics!$C:$C,0)),"Not found"))</f>
        <v/>
      </c>
      <c r="B555" s="18" t="str">
        <f aca="false">IF(D555="","",IFERROR(INDEX(Fields!$A:$A,MATCH(D555,Fields!$B:$B,0)),"Not found"))</f>
        <v/>
      </c>
      <c r="C555" s="20"/>
      <c r="D555" s="20"/>
      <c r="E555" s="20"/>
      <c r="F555" s="21" t="str">
        <f aca="false">IF(B555="","",IFERROR(INDEX(Fields!$C:$C,MATCH(B555,Fields!$A:$A,0)),""))</f>
        <v/>
      </c>
      <c r="G555" s="18" t="str">
        <f aca="false">IF(A555="","",COUNTIF('Metric to Product'!$A:$A,A555))</f>
        <v/>
      </c>
      <c r="H555" s="20"/>
      <c r="I555" s="20"/>
      <c r="J555" s="20"/>
      <c r="K555" s="20"/>
    </row>
    <row r="556" customFormat="false" ht="15" hidden="false" customHeight="false" outlineLevel="0" collapsed="false">
      <c r="A556" s="18" t="str">
        <f aca="false">IF(C556="","",IFERROR(INDEX(Metrics!$A:$A,MATCH(C556,Metrics!$C:$C,0)),"Not found"))</f>
        <v/>
      </c>
      <c r="B556" s="18" t="str">
        <f aca="false">IF(D556="","",IFERROR(INDEX(Fields!$A:$A,MATCH(D556,Fields!$B:$B,0)),"Not found"))</f>
        <v/>
      </c>
      <c r="C556" s="20"/>
      <c r="D556" s="20"/>
      <c r="E556" s="20"/>
      <c r="F556" s="21" t="str">
        <f aca="false">IF(B556="","",IFERROR(INDEX(Fields!$C:$C,MATCH(B556,Fields!$A:$A,0)),""))</f>
        <v/>
      </c>
      <c r="G556" s="18" t="str">
        <f aca="false">IF(A556="","",COUNTIF('Metric to Product'!$A:$A,A556))</f>
        <v/>
      </c>
      <c r="H556" s="20"/>
      <c r="I556" s="20"/>
      <c r="J556" s="20"/>
      <c r="K556" s="20"/>
    </row>
    <row r="557" customFormat="false" ht="15" hidden="false" customHeight="false" outlineLevel="0" collapsed="false">
      <c r="A557" s="18" t="str">
        <f aca="false">IF(C557="","",IFERROR(INDEX(Metrics!$A:$A,MATCH(C557,Metrics!$C:$C,0)),"Not found"))</f>
        <v/>
      </c>
      <c r="B557" s="18" t="str">
        <f aca="false">IF(D557="","",IFERROR(INDEX(Fields!$A:$A,MATCH(D557,Fields!$B:$B,0)),"Not found"))</f>
        <v/>
      </c>
      <c r="C557" s="20"/>
      <c r="D557" s="20"/>
      <c r="E557" s="20"/>
      <c r="F557" s="21" t="str">
        <f aca="false">IF(B557="","",IFERROR(INDEX(Fields!$C:$C,MATCH(B557,Fields!$A:$A,0)),""))</f>
        <v/>
      </c>
      <c r="G557" s="18" t="str">
        <f aca="false">IF(A557="","",COUNTIF('Metric to Product'!$A:$A,A557))</f>
        <v/>
      </c>
      <c r="H557" s="20"/>
      <c r="I557" s="20"/>
      <c r="J557" s="20"/>
      <c r="K557" s="20"/>
    </row>
    <row r="558" customFormat="false" ht="15" hidden="false" customHeight="false" outlineLevel="0" collapsed="false">
      <c r="A558" s="18" t="str">
        <f aca="false">IF(C558="","",IFERROR(INDEX(Metrics!$A:$A,MATCH(C558,Metrics!$C:$C,0)),"Not found"))</f>
        <v/>
      </c>
      <c r="B558" s="18" t="str">
        <f aca="false">IF(D558="","",IFERROR(INDEX(Fields!$A:$A,MATCH(D558,Fields!$B:$B,0)),"Not found"))</f>
        <v/>
      </c>
      <c r="C558" s="20"/>
      <c r="D558" s="20"/>
      <c r="E558" s="20"/>
      <c r="F558" s="21" t="str">
        <f aca="false">IF(B558="","",IFERROR(INDEX(Fields!$C:$C,MATCH(B558,Fields!$A:$A,0)),""))</f>
        <v/>
      </c>
      <c r="G558" s="18" t="str">
        <f aca="false">IF(A558="","",COUNTIF('Metric to Product'!$A:$A,A558))</f>
        <v/>
      </c>
      <c r="H558" s="20"/>
      <c r="I558" s="20"/>
      <c r="J558" s="20"/>
      <c r="K558" s="20"/>
    </row>
    <row r="559" customFormat="false" ht="15" hidden="false" customHeight="false" outlineLevel="0" collapsed="false">
      <c r="A559" s="18" t="str">
        <f aca="false">IF(C559="","",IFERROR(INDEX(Metrics!$A:$A,MATCH(C559,Metrics!$C:$C,0)),"Not found"))</f>
        <v/>
      </c>
      <c r="B559" s="18" t="str">
        <f aca="false">IF(D559="","",IFERROR(INDEX(Fields!$A:$A,MATCH(D559,Fields!$B:$B,0)),"Not found"))</f>
        <v/>
      </c>
      <c r="C559" s="20"/>
      <c r="D559" s="20"/>
      <c r="E559" s="20"/>
      <c r="F559" s="21" t="str">
        <f aca="false">IF(B559="","",IFERROR(INDEX(Fields!$C:$C,MATCH(B559,Fields!$A:$A,0)),""))</f>
        <v/>
      </c>
      <c r="G559" s="18" t="str">
        <f aca="false">IF(A559="","",COUNTIF('Metric to Product'!$A:$A,A559))</f>
        <v/>
      </c>
      <c r="H559" s="20"/>
      <c r="I559" s="20"/>
      <c r="J559" s="20"/>
      <c r="K559" s="20"/>
    </row>
    <row r="560" customFormat="false" ht="15" hidden="false" customHeight="false" outlineLevel="0" collapsed="false">
      <c r="A560" s="18" t="str">
        <f aca="false">IF(C560="","",IFERROR(INDEX(Metrics!$A:$A,MATCH(C560,Metrics!$C:$C,0)),"Not found"))</f>
        <v/>
      </c>
      <c r="B560" s="18" t="str">
        <f aca="false">IF(D560="","",IFERROR(INDEX(Fields!$A:$A,MATCH(D560,Fields!$B:$B,0)),"Not found"))</f>
        <v/>
      </c>
      <c r="C560" s="20"/>
      <c r="D560" s="20"/>
      <c r="E560" s="20"/>
      <c r="F560" s="21" t="str">
        <f aca="false">IF(B560="","",IFERROR(INDEX(Fields!$C:$C,MATCH(B560,Fields!$A:$A,0)),""))</f>
        <v/>
      </c>
      <c r="G560" s="18" t="str">
        <f aca="false">IF(A560="","",COUNTIF('Metric to Product'!$A:$A,A560))</f>
        <v/>
      </c>
      <c r="H560" s="20"/>
      <c r="I560" s="20"/>
      <c r="J560" s="20"/>
      <c r="K560" s="20"/>
    </row>
    <row r="561" customFormat="false" ht="15" hidden="false" customHeight="false" outlineLevel="0" collapsed="false">
      <c r="A561" s="18" t="str">
        <f aca="false">IF(C561="","",IFERROR(INDEX(Metrics!$A:$A,MATCH(C561,Metrics!$C:$C,0)),"Not found"))</f>
        <v/>
      </c>
      <c r="B561" s="18" t="str">
        <f aca="false">IF(D561="","",IFERROR(INDEX(Fields!$A:$A,MATCH(D561,Fields!$B:$B,0)),"Not found"))</f>
        <v/>
      </c>
      <c r="C561" s="20"/>
      <c r="D561" s="20"/>
      <c r="E561" s="20"/>
      <c r="F561" s="21" t="str">
        <f aca="false">IF(B561="","",IFERROR(INDEX(Fields!$C:$C,MATCH(B561,Fields!$A:$A,0)),""))</f>
        <v/>
      </c>
      <c r="G561" s="18" t="str">
        <f aca="false">IF(A561="","",COUNTIF('Metric to Product'!$A:$A,A561))</f>
        <v/>
      </c>
      <c r="H561" s="20"/>
      <c r="I561" s="20"/>
      <c r="J561" s="20"/>
      <c r="K561" s="20"/>
    </row>
    <row r="562" customFormat="false" ht="15" hidden="false" customHeight="false" outlineLevel="0" collapsed="false">
      <c r="A562" s="18" t="str">
        <f aca="false">IF(C562="","",IFERROR(INDEX(Metrics!$A:$A,MATCH(C562,Metrics!$C:$C,0)),"Not found"))</f>
        <v/>
      </c>
      <c r="B562" s="18" t="str">
        <f aca="false">IF(D562="","",IFERROR(INDEX(Fields!$A:$A,MATCH(D562,Fields!$B:$B,0)),"Not found"))</f>
        <v/>
      </c>
      <c r="C562" s="20"/>
      <c r="D562" s="20"/>
      <c r="E562" s="20"/>
      <c r="F562" s="21" t="str">
        <f aca="false">IF(B562="","",IFERROR(INDEX(Fields!$C:$C,MATCH(B562,Fields!$A:$A,0)),""))</f>
        <v/>
      </c>
      <c r="G562" s="18" t="str">
        <f aca="false">IF(A562="","",COUNTIF('Metric to Product'!$A:$A,A562))</f>
        <v/>
      </c>
      <c r="H562" s="20"/>
      <c r="I562" s="20"/>
      <c r="J562" s="20"/>
      <c r="K562" s="20"/>
    </row>
    <row r="563" customFormat="false" ht="15" hidden="false" customHeight="false" outlineLevel="0" collapsed="false">
      <c r="A563" s="18" t="str">
        <f aca="false">IF(C563="","",IFERROR(INDEX(Metrics!$A:$A,MATCH(C563,Metrics!$C:$C,0)),"Not found"))</f>
        <v/>
      </c>
      <c r="B563" s="18" t="str">
        <f aca="false">IF(D563="","",IFERROR(INDEX(Fields!$A:$A,MATCH(D563,Fields!$B:$B,0)),"Not found"))</f>
        <v/>
      </c>
      <c r="C563" s="20"/>
      <c r="D563" s="20"/>
      <c r="E563" s="20"/>
      <c r="F563" s="21" t="str">
        <f aca="false">IF(B563="","",IFERROR(INDEX(Fields!$C:$C,MATCH(B563,Fields!$A:$A,0)),""))</f>
        <v/>
      </c>
      <c r="G563" s="18" t="str">
        <f aca="false">IF(A563="","",COUNTIF('Metric to Product'!$A:$A,A563))</f>
        <v/>
      </c>
      <c r="H563" s="20"/>
      <c r="I563" s="20"/>
      <c r="J563" s="20"/>
      <c r="K563" s="20"/>
    </row>
    <row r="564" customFormat="false" ht="15" hidden="false" customHeight="false" outlineLevel="0" collapsed="false">
      <c r="A564" s="18" t="str">
        <f aca="false">IF(C564="","",IFERROR(INDEX(Metrics!$A:$A,MATCH(C564,Metrics!$C:$C,0)),"Not found"))</f>
        <v/>
      </c>
      <c r="B564" s="18" t="str">
        <f aca="false">IF(D564="","",IFERROR(INDEX(Fields!$A:$A,MATCH(D564,Fields!$B:$B,0)),"Not found"))</f>
        <v/>
      </c>
      <c r="C564" s="20"/>
      <c r="D564" s="20"/>
      <c r="E564" s="20"/>
      <c r="F564" s="21" t="str">
        <f aca="false">IF(B564="","",IFERROR(INDEX(Fields!$C:$C,MATCH(B564,Fields!$A:$A,0)),""))</f>
        <v/>
      </c>
      <c r="G564" s="18" t="str">
        <f aca="false">IF(A564="","",COUNTIF('Metric to Product'!$A:$A,A564))</f>
        <v/>
      </c>
      <c r="H564" s="20"/>
      <c r="I564" s="20"/>
      <c r="J564" s="20"/>
      <c r="K564" s="20"/>
    </row>
    <row r="565" customFormat="false" ht="15" hidden="false" customHeight="false" outlineLevel="0" collapsed="false">
      <c r="A565" s="18" t="str">
        <f aca="false">IF(C565="","",IFERROR(INDEX(Metrics!$A:$A,MATCH(C565,Metrics!$C:$C,0)),"Not found"))</f>
        <v/>
      </c>
      <c r="B565" s="18" t="str">
        <f aca="false">IF(D565="","",IFERROR(INDEX(Fields!$A:$A,MATCH(D565,Fields!$B:$B,0)),"Not found"))</f>
        <v/>
      </c>
      <c r="C565" s="20"/>
      <c r="D565" s="20"/>
      <c r="E565" s="20"/>
      <c r="F565" s="21" t="str">
        <f aca="false">IF(B565="","",IFERROR(INDEX(Fields!$C:$C,MATCH(B565,Fields!$A:$A,0)),""))</f>
        <v/>
      </c>
      <c r="G565" s="18" t="str">
        <f aca="false">IF(A565="","",COUNTIF('Metric to Product'!$A:$A,A565))</f>
        <v/>
      </c>
      <c r="H565" s="20"/>
      <c r="I565" s="20"/>
      <c r="J565" s="20"/>
      <c r="K565" s="20"/>
    </row>
    <row r="566" customFormat="false" ht="15" hidden="false" customHeight="false" outlineLevel="0" collapsed="false">
      <c r="A566" s="18" t="str">
        <f aca="false">IF(C566="","",IFERROR(INDEX(Metrics!$A:$A,MATCH(C566,Metrics!$C:$C,0)),"Not found"))</f>
        <v/>
      </c>
      <c r="B566" s="18" t="str">
        <f aca="false">IF(D566="","",IFERROR(INDEX(Fields!$A:$A,MATCH(D566,Fields!$B:$B,0)),"Not found"))</f>
        <v/>
      </c>
      <c r="C566" s="20"/>
      <c r="D566" s="20"/>
      <c r="E566" s="20"/>
      <c r="F566" s="21" t="str">
        <f aca="false">IF(B566="","",IFERROR(INDEX(Fields!$C:$C,MATCH(B566,Fields!$A:$A,0)),""))</f>
        <v/>
      </c>
      <c r="G566" s="18" t="str">
        <f aca="false">IF(A566="","",COUNTIF('Metric to Product'!$A:$A,A566))</f>
        <v/>
      </c>
      <c r="H566" s="20"/>
      <c r="I566" s="20"/>
      <c r="J566" s="20"/>
      <c r="K566" s="20"/>
    </row>
    <row r="567" customFormat="false" ht="15" hidden="false" customHeight="false" outlineLevel="0" collapsed="false">
      <c r="A567" s="18" t="str">
        <f aca="false">IF(C567="","",IFERROR(INDEX(Metrics!$A:$A,MATCH(C567,Metrics!$C:$C,0)),"Not found"))</f>
        <v/>
      </c>
      <c r="B567" s="18" t="str">
        <f aca="false">IF(D567="","",IFERROR(INDEX(Fields!$A:$A,MATCH(D567,Fields!$B:$B,0)),"Not found"))</f>
        <v/>
      </c>
      <c r="C567" s="20"/>
      <c r="D567" s="20"/>
      <c r="E567" s="20"/>
      <c r="F567" s="21" t="str">
        <f aca="false">IF(B567="","",IFERROR(INDEX(Fields!$C:$C,MATCH(B567,Fields!$A:$A,0)),""))</f>
        <v/>
      </c>
      <c r="G567" s="18" t="str">
        <f aca="false">IF(A567="","",COUNTIF('Metric to Product'!$A:$A,A567))</f>
        <v/>
      </c>
      <c r="H567" s="20"/>
      <c r="I567" s="20"/>
      <c r="J567" s="20"/>
      <c r="K567" s="20"/>
    </row>
    <row r="568" customFormat="false" ht="15" hidden="false" customHeight="false" outlineLevel="0" collapsed="false">
      <c r="A568" s="18" t="str">
        <f aca="false">IF(C568="","",IFERROR(INDEX(Metrics!$A:$A,MATCH(C568,Metrics!$C:$C,0)),"Not found"))</f>
        <v/>
      </c>
      <c r="B568" s="18" t="str">
        <f aca="false">IF(D568="","",IFERROR(INDEX(Fields!$A:$A,MATCH(D568,Fields!$B:$B,0)),"Not found"))</f>
        <v/>
      </c>
      <c r="C568" s="20"/>
      <c r="D568" s="20"/>
      <c r="E568" s="20"/>
      <c r="F568" s="21" t="str">
        <f aca="false">IF(B568="","",IFERROR(INDEX(Fields!$C:$C,MATCH(B568,Fields!$A:$A,0)),""))</f>
        <v/>
      </c>
      <c r="G568" s="18" t="str">
        <f aca="false">IF(A568="","",COUNTIF('Metric to Product'!$A:$A,A568))</f>
        <v/>
      </c>
      <c r="H568" s="20"/>
      <c r="I568" s="20"/>
      <c r="J568" s="20"/>
      <c r="K568" s="20"/>
    </row>
    <row r="569" customFormat="false" ht="15" hidden="false" customHeight="false" outlineLevel="0" collapsed="false">
      <c r="A569" s="18" t="str">
        <f aca="false">IF(C569="","",IFERROR(INDEX(Metrics!$A:$A,MATCH(C569,Metrics!$C:$C,0)),"Not found"))</f>
        <v/>
      </c>
      <c r="B569" s="18" t="str">
        <f aca="false">IF(D569="","",IFERROR(INDEX(Fields!$A:$A,MATCH(D569,Fields!$B:$B,0)),"Not found"))</f>
        <v/>
      </c>
      <c r="C569" s="20"/>
      <c r="D569" s="20"/>
      <c r="E569" s="20"/>
      <c r="F569" s="21" t="str">
        <f aca="false">IF(B569="","",IFERROR(INDEX(Fields!$C:$C,MATCH(B569,Fields!$A:$A,0)),""))</f>
        <v/>
      </c>
      <c r="G569" s="18" t="str">
        <f aca="false">IF(A569="","",COUNTIF('Metric to Product'!$A:$A,A569))</f>
        <v/>
      </c>
      <c r="H569" s="20"/>
      <c r="I569" s="20"/>
      <c r="J569" s="20"/>
      <c r="K569" s="20"/>
    </row>
    <row r="570" customFormat="false" ht="15" hidden="false" customHeight="false" outlineLevel="0" collapsed="false">
      <c r="A570" s="18" t="str">
        <f aca="false">IF(C570="","",IFERROR(INDEX(Metrics!$A:$A,MATCH(C570,Metrics!$C:$C,0)),"Not found"))</f>
        <v/>
      </c>
      <c r="B570" s="18" t="str">
        <f aca="false">IF(D570="","",IFERROR(INDEX(Fields!$A:$A,MATCH(D570,Fields!$B:$B,0)),"Not found"))</f>
        <v/>
      </c>
      <c r="C570" s="20"/>
      <c r="D570" s="20"/>
      <c r="E570" s="20"/>
      <c r="F570" s="21" t="str">
        <f aca="false">IF(B570="","",IFERROR(INDEX(Fields!$C:$C,MATCH(B570,Fields!$A:$A,0)),""))</f>
        <v/>
      </c>
      <c r="G570" s="18" t="str">
        <f aca="false">IF(A570="","",COUNTIF('Metric to Product'!$A:$A,A570))</f>
        <v/>
      </c>
      <c r="H570" s="20"/>
      <c r="I570" s="20"/>
      <c r="J570" s="20"/>
      <c r="K570" s="20"/>
    </row>
    <row r="571" customFormat="false" ht="15" hidden="false" customHeight="false" outlineLevel="0" collapsed="false">
      <c r="A571" s="18" t="str">
        <f aca="false">IF(C571="","",IFERROR(INDEX(Metrics!$A:$A,MATCH(C571,Metrics!$C:$C,0)),"Not found"))</f>
        <v/>
      </c>
      <c r="B571" s="18" t="str">
        <f aca="false">IF(D571="","",IFERROR(INDEX(Fields!$A:$A,MATCH(D571,Fields!$B:$B,0)),"Not found"))</f>
        <v/>
      </c>
      <c r="C571" s="20"/>
      <c r="D571" s="20"/>
      <c r="E571" s="20"/>
      <c r="F571" s="21" t="str">
        <f aca="false">IF(B571="","",IFERROR(INDEX(Fields!$C:$C,MATCH(B571,Fields!$A:$A,0)),""))</f>
        <v/>
      </c>
      <c r="G571" s="18" t="str">
        <f aca="false">IF(A571="","",COUNTIF('Metric to Product'!$A:$A,A571))</f>
        <v/>
      </c>
      <c r="H571" s="20"/>
      <c r="I571" s="20"/>
      <c r="J571" s="20"/>
      <c r="K571" s="20"/>
    </row>
    <row r="572" customFormat="false" ht="15" hidden="false" customHeight="false" outlineLevel="0" collapsed="false">
      <c r="A572" s="18" t="str">
        <f aca="false">IF(C572="","",IFERROR(INDEX(Metrics!$A:$A,MATCH(C572,Metrics!$C:$C,0)),"Not found"))</f>
        <v/>
      </c>
      <c r="B572" s="18" t="str">
        <f aca="false">IF(D572="","",IFERROR(INDEX(Fields!$A:$A,MATCH(D572,Fields!$B:$B,0)),"Not found"))</f>
        <v/>
      </c>
      <c r="C572" s="20"/>
      <c r="D572" s="20"/>
      <c r="E572" s="20"/>
      <c r="F572" s="21" t="str">
        <f aca="false">IF(B572="","",IFERROR(INDEX(Fields!$C:$C,MATCH(B572,Fields!$A:$A,0)),""))</f>
        <v/>
      </c>
      <c r="G572" s="18" t="str">
        <f aca="false">IF(A572="","",COUNTIF('Metric to Product'!$A:$A,A572))</f>
        <v/>
      </c>
      <c r="H572" s="20"/>
      <c r="I572" s="20"/>
      <c r="J572" s="20"/>
      <c r="K572" s="20"/>
    </row>
    <row r="573" customFormat="false" ht="15" hidden="false" customHeight="false" outlineLevel="0" collapsed="false">
      <c r="A573" s="18" t="str">
        <f aca="false">IF(C573="","",IFERROR(INDEX(Metrics!$A:$A,MATCH(C573,Metrics!$C:$C,0)),"Not found"))</f>
        <v/>
      </c>
      <c r="B573" s="18" t="str">
        <f aca="false">IF(D573="","",IFERROR(INDEX(Fields!$A:$A,MATCH(D573,Fields!$B:$B,0)),"Not found"))</f>
        <v/>
      </c>
      <c r="C573" s="20"/>
      <c r="D573" s="20"/>
      <c r="E573" s="20"/>
      <c r="F573" s="21" t="str">
        <f aca="false">IF(B573="","",IFERROR(INDEX(Fields!$C:$C,MATCH(B573,Fields!$A:$A,0)),""))</f>
        <v/>
      </c>
      <c r="G573" s="18" t="str">
        <f aca="false">IF(A573="","",COUNTIF('Metric to Product'!$A:$A,A573))</f>
        <v/>
      </c>
      <c r="H573" s="20"/>
      <c r="I573" s="20"/>
      <c r="J573" s="20"/>
      <c r="K573" s="20"/>
    </row>
    <row r="574" customFormat="false" ht="15" hidden="false" customHeight="false" outlineLevel="0" collapsed="false">
      <c r="A574" s="18" t="str">
        <f aca="false">IF(C574="","",IFERROR(INDEX(Metrics!$A:$A,MATCH(C574,Metrics!$C:$C,0)),"Not found"))</f>
        <v/>
      </c>
      <c r="B574" s="18" t="str">
        <f aca="false">IF(D574="","",IFERROR(INDEX(Fields!$A:$A,MATCH(D574,Fields!$B:$B,0)),"Not found"))</f>
        <v/>
      </c>
      <c r="C574" s="20"/>
      <c r="D574" s="20"/>
      <c r="E574" s="20"/>
      <c r="F574" s="21" t="str">
        <f aca="false">IF(B574="","",IFERROR(INDEX(Fields!$C:$C,MATCH(B574,Fields!$A:$A,0)),""))</f>
        <v/>
      </c>
      <c r="G574" s="18" t="str">
        <f aca="false">IF(A574="","",COUNTIF('Metric to Product'!$A:$A,A574))</f>
        <v/>
      </c>
      <c r="H574" s="20"/>
      <c r="I574" s="20"/>
      <c r="J574" s="20"/>
      <c r="K574" s="20"/>
    </row>
    <row r="575" customFormat="false" ht="15" hidden="false" customHeight="false" outlineLevel="0" collapsed="false">
      <c r="A575" s="18" t="str">
        <f aca="false">IF(C575="","",IFERROR(INDEX(Metrics!$A:$A,MATCH(C575,Metrics!$C:$C,0)),"Not found"))</f>
        <v/>
      </c>
      <c r="B575" s="18" t="str">
        <f aca="false">IF(D575="","",IFERROR(INDEX(Fields!$A:$A,MATCH(D575,Fields!$B:$B,0)),"Not found"))</f>
        <v/>
      </c>
      <c r="C575" s="20"/>
      <c r="D575" s="20"/>
      <c r="E575" s="20"/>
      <c r="F575" s="21" t="str">
        <f aca="false">IF(B575="","",IFERROR(INDEX(Fields!$C:$C,MATCH(B575,Fields!$A:$A,0)),""))</f>
        <v/>
      </c>
      <c r="G575" s="18" t="str">
        <f aca="false">IF(A575="","",COUNTIF('Metric to Product'!$A:$A,A575))</f>
        <v/>
      </c>
      <c r="H575" s="20"/>
      <c r="I575" s="20"/>
      <c r="J575" s="20"/>
      <c r="K575" s="20"/>
    </row>
    <row r="576" customFormat="false" ht="15" hidden="false" customHeight="false" outlineLevel="0" collapsed="false">
      <c r="A576" s="18" t="str">
        <f aca="false">IF(C576="","",IFERROR(INDEX(Metrics!$A:$A,MATCH(C576,Metrics!$C:$C,0)),"Not found"))</f>
        <v/>
      </c>
      <c r="B576" s="18" t="str">
        <f aca="false">IF(D576="","",IFERROR(INDEX(Fields!$A:$A,MATCH(D576,Fields!$B:$B,0)),"Not found"))</f>
        <v/>
      </c>
      <c r="C576" s="20"/>
      <c r="D576" s="20"/>
      <c r="E576" s="20"/>
      <c r="F576" s="21" t="str">
        <f aca="false">IF(B576="","",IFERROR(INDEX(Fields!$C:$C,MATCH(B576,Fields!$A:$A,0)),""))</f>
        <v/>
      </c>
      <c r="G576" s="18" t="str">
        <f aca="false">IF(A576="","",COUNTIF('Metric to Product'!$A:$A,A576))</f>
        <v/>
      </c>
      <c r="H576" s="20"/>
      <c r="I576" s="20"/>
      <c r="J576" s="20"/>
      <c r="K576" s="20"/>
    </row>
    <row r="577" customFormat="false" ht="15" hidden="false" customHeight="false" outlineLevel="0" collapsed="false">
      <c r="A577" s="18" t="str">
        <f aca="false">IF(C577="","",IFERROR(INDEX(Metrics!$A:$A,MATCH(C577,Metrics!$C:$C,0)),"Not found"))</f>
        <v/>
      </c>
      <c r="B577" s="18" t="str">
        <f aca="false">IF(D577="","",IFERROR(INDEX(Fields!$A:$A,MATCH(D577,Fields!$B:$B,0)),"Not found"))</f>
        <v/>
      </c>
      <c r="C577" s="20"/>
      <c r="D577" s="20"/>
      <c r="E577" s="20"/>
      <c r="F577" s="21" t="str">
        <f aca="false">IF(B577="","",IFERROR(INDEX(Fields!$C:$C,MATCH(B577,Fields!$A:$A,0)),""))</f>
        <v/>
      </c>
      <c r="G577" s="18" t="str">
        <f aca="false">IF(A577="","",COUNTIF('Metric to Product'!$A:$A,A577))</f>
        <v/>
      </c>
      <c r="H577" s="20"/>
      <c r="I577" s="20"/>
      <c r="J577" s="20"/>
      <c r="K577" s="20"/>
    </row>
    <row r="578" customFormat="false" ht="15" hidden="false" customHeight="false" outlineLevel="0" collapsed="false">
      <c r="A578" s="18" t="str">
        <f aca="false">IF(C578="","",IFERROR(INDEX(Metrics!$A:$A,MATCH(C578,Metrics!$C:$C,0)),"Not found"))</f>
        <v/>
      </c>
      <c r="B578" s="18" t="str">
        <f aca="false">IF(D578="","",IFERROR(INDEX(Fields!$A:$A,MATCH(D578,Fields!$B:$B,0)),"Not found"))</f>
        <v/>
      </c>
      <c r="C578" s="20"/>
      <c r="D578" s="20"/>
      <c r="E578" s="20"/>
      <c r="F578" s="21" t="str">
        <f aca="false">IF(B578="","",IFERROR(INDEX(Fields!$C:$C,MATCH(B578,Fields!$A:$A,0)),""))</f>
        <v/>
      </c>
      <c r="G578" s="18" t="str">
        <f aca="false">IF(A578="","",COUNTIF('Metric to Product'!$A:$A,A578))</f>
        <v/>
      </c>
      <c r="H578" s="20"/>
      <c r="I578" s="20"/>
      <c r="J578" s="20"/>
      <c r="K578" s="20"/>
    </row>
    <row r="579" customFormat="false" ht="15" hidden="false" customHeight="false" outlineLevel="0" collapsed="false">
      <c r="A579" s="18" t="str">
        <f aca="false">IF(C579="","",IFERROR(INDEX(Metrics!$A:$A,MATCH(C579,Metrics!$C:$C,0)),"Not found"))</f>
        <v/>
      </c>
      <c r="B579" s="18" t="str">
        <f aca="false">IF(D579="","",IFERROR(INDEX(Fields!$A:$A,MATCH(D579,Fields!$B:$B,0)),"Not found"))</f>
        <v/>
      </c>
      <c r="C579" s="20"/>
      <c r="D579" s="20"/>
      <c r="E579" s="20"/>
      <c r="F579" s="21" t="str">
        <f aca="false">IF(B579="","",IFERROR(INDEX(Fields!$C:$C,MATCH(B579,Fields!$A:$A,0)),""))</f>
        <v/>
      </c>
      <c r="G579" s="18" t="str">
        <f aca="false">IF(A579="","",COUNTIF('Metric to Product'!$A:$A,A579))</f>
        <v/>
      </c>
      <c r="H579" s="20"/>
      <c r="I579" s="20"/>
      <c r="J579" s="20"/>
      <c r="K579" s="20"/>
    </row>
    <row r="580" customFormat="false" ht="15" hidden="false" customHeight="false" outlineLevel="0" collapsed="false">
      <c r="A580" s="18" t="str">
        <f aca="false">IF(C580="","",IFERROR(INDEX(Metrics!$A:$A,MATCH(C580,Metrics!$C:$C,0)),"Not found"))</f>
        <v/>
      </c>
      <c r="B580" s="18" t="str">
        <f aca="false">IF(D580="","",IFERROR(INDEX(Fields!$A:$A,MATCH(D580,Fields!$B:$B,0)),"Not found"))</f>
        <v/>
      </c>
      <c r="C580" s="20"/>
      <c r="D580" s="20"/>
      <c r="E580" s="20"/>
      <c r="F580" s="21" t="str">
        <f aca="false">IF(B580="","",IFERROR(INDEX(Fields!$C:$C,MATCH(B580,Fields!$A:$A,0)),""))</f>
        <v/>
      </c>
      <c r="G580" s="18" t="str">
        <f aca="false">IF(A580="","",COUNTIF('Metric to Product'!$A:$A,A580))</f>
        <v/>
      </c>
      <c r="H580" s="20"/>
      <c r="I580" s="20"/>
      <c r="J580" s="20"/>
      <c r="K580" s="20"/>
    </row>
    <row r="581" customFormat="false" ht="15" hidden="false" customHeight="false" outlineLevel="0" collapsed="false">
      <c r="A581" s="18" t="str">
        <f aca="false">IF(C581="","",IFERROR(INDEX(Metrics!$A:$A,MATCH(C581,Metrics!$C:$C,0)),"Not found"))</f>
        <v/>
      </c>
      <c r="B581" s="18" t="str">
        <f aca="false">IF(D581="","",IFERROR(INDEX(Fields!$A:$A,MATCH(D581,Fields!$B:$B,0)),"Not found"))</f>
        <v/>
      </c>
      <c r="C581" s="20"/>
      <c r="D581" s="20"/>
      <c r="E581" s="20"/>
      <c r="F581" s="21" t="str">
        <f aca="false">IF(B581="","",IFERROR(INDEX(Fields!$C:$C,MATCH(B581,Fields!$A:$A,0)),""))</f>
        <v/>
      </c>
      <c r="G581" s="18" t="str">
        <f aca="false">IF(A581="","",COUNTIF('Metric to Product'!$A:$A,A581))</f>
        <v/>
      </c>
      <c r="H581" s="20"/>
      <c r="I581" s="20"/>
      <c r="J581" s="20"/>
      <c r="K581" s="20"/>
    </row>
    <row r="582" customFormat="false" ht="15" hidden="false" customHeight="false" outlineLevel="0" collapsed="false">
      <c r="A582" s="18" t="str">
        <f aca="false">IF(C582="","",IFERROR(INDEX(Metrics!$A:$A,MATCH(C582,Metrics!$C:$C,0)),"Not found"))</f>
        <v/>
      </c>
      <c r="B582" s="18" t="str">
        <f aca="false">IF(D582="","",IFERROR(INDEX(Fields!$A:$A,MATCH(D582,Fields!$B:$B,0)),"Not found"))</f>
        <v/>
      </c>
      <c r="C582" s="20"/>
      <c r="D582" s="20"/>
      <c r="E582" s="20"/>
      <c r="F582" s="21" t="str">
        <f aca="false">IF(B582="","",IFERROR(INDEX(Fields!$C:$C,MATCH(B582,Fields!$A:$A,0)),""))</f>
        <v/>
      </c>
      <c r="G582" s="18" t="str">
        <f aca="false">IF(A582="","",COUNTIF('Metric to Product'!$A:$A,A582))</f>
        <v/>
      </c>
      <c r="H582" s="20"/>
      <c r="I582" s="20"/>
      <c r="J582" s="20"/>
      <c r="K582" s="20"/>
    </row>
    <row r="583" customFormat="false" ht="15" hidden="false" customHeight="false" outlineLevel="0" collapsed="false">
      <c r="A583" s="18" t="str">
        <f aca="false">IF(C583="","",IFERROR(INDEX(Metrics!$A:$A,MATCH(C583,Metrics!$C:$C,0)),"Not found"))</f>
        <v/>
      </c>
      <c r="B583" s="18" t="str">
        <f aca="false">IF(D583="","",IFERROR(INDEX(Fields!$A:$A,MATCH(D583,Fields!$B:$B,0)),"Not found"))</f>
        <v/>
      </c>
      <c r="C583" s="20"/>
      <c r="D583" s="20"/>
      <c r="E583" s="20"/>
      <c r="F583" s="21" t="str">
        <f aca="false">IF(B583="","",IFERROR(INDEX(Fields!$C:$C,MATCH(B583,Fields!$A:$A,0)),""))</f>
        <v/>
      </c>
      <c r="G583" s="18" t="str">
        <f aca="false">IF(A583="","",COUNTIF('Metric to Product'!$A:$A,A583))</f>
        <v/>
      </c>
      <c r="H583" s="20"/>
      <c r="I583" s="20"/>
      <c r="J583" s="20"/>
      <c r="K583" s="20"/>
    </row>
    <row r="584" customFormat="false" ht="15" hidden="false" customHeight="false" outlineLevel="0" collapsed="false">
      <c r="A584" s="18" t="str">
        <f aca="false">IF(C584="","",IFERROR(INDEX(Metrics!$A:$A,MATCH(C584,Metrics!$C:$C,0)),"Not found"))</f>
        <v/>
      </c>
      <c r="B584" s="18" t="str">
        <f aca="false">IF(D584="","",IFERROR(INDEX(Fields!$A:$A,MATCH(D584,Fields!$B:$B,0)),"Not found"))</f>
        <v/>
      </c>
      <c r="C584" s="20"/>
      <c r="D584" s="20"/>
      <c r="E584" s="20"/>
      <c r="F584" s="21" t="str">
        <f aca="false">IF(B584="","",IFERROR(INDEX(Fields!$C:$C,MATCH(B584,Fields!$A:$A,0)),""))</f>
        <v/>
      </c>
      <c r="G584" s="18" t="str">
        <f aca="false">IF(A584="","",COUNTIF('Metric to Product'!$A:$A,A584))</f>
        <v/>
      </c>
      <c r="H584" s="20"/>
      <c r="I584" s="20"/>
      <c r="J584" s="20"/>
      <c r="K584" s="20"/>
    </row>
    <row r="585" customFormat="false" ht="15" hidden="false" customHeight="false" outlineLevel="0" collapsed="false">
      <c r="A585" s="18" t="str">
        <f aca="false">IF(C585="","",IFERROR(INDEX(Metrics!$A:$A,MATCH(C585,Metrics!$C:$C,0)),"Not found"))</f>
        <v/>
      </c>
      <c r="B585" s="18" t="str">
        <f aca="false">IF(D585="","",IFERROR(INDEX(Fields!$A:$A,MATCH(D585,Fields!$B:$B,0)),"Not found"))</f>
        <v/>
      </c>
      <c r="C585" s="20"/>
      <c r="D585" s="20"/>
      <c r="E585" s="20"/>
      <c r="F585" s="21" t="str">
        <f aca="false">IF(B585="","",IFERROR(INDEX(Fields!$C:$C,MATCH(B585,Fields!$A:$A,0)),""))</f>
        <v/>
      </c>
      <c r="G585" s="18" t="str">
        <f aca="false">IF(A585="","",COUNTIF('Metric to Product'!$A:$A,A585))</f>
        <v/>
      </c>
      <c r="H585" s="20"/>
      <c r="I585" s="20"/>
      <c r="J585" s="20"/>
      <c r="K585" s="20"/>
    </row>
    <row r="586" customFormat="false" ht="15" hidden="false" customHeight="false" outlineLevel="0" collapsed="false">
      <c r="A586" s="18" t="str">
        <f aca="false">IF(C586="","",IFERROR(INDEX(Metrics!$A:$A,MATCH(C586,Metrics!$C:$C,0)),"Not found"))</f>
        <v/>
      </c>
      <c r="B586" s="18" t="str">
        <f aca="false">IF(D586="","",IFERROR(INDEX(Fields!$A:$A,MATCH(D586,Fields!$B:$B,0)),"Not found"))</f>
        <v/>
      </c>
      <c r="C586" s="20"/>
      <c r="D586" s="20"/>
      <c r="E586" s="20"/>
      <c r="F586" s="21" t="str">
        <f aca="false">IF(B586="","",IFERROR(INDEX(Fields!$C:$C,MATCH(B586,Fields!$A:$A,0)),""))</f>
        <v/>
      </c>
      <c r="G586" s="18" t="str">
        <f aca="false">IF(A586="","",COUNTIF('Metric to Product'!$A:$A,A586))</f>
        <v/>
      </c>
      <c r="H586" s="20"/>
      <c r="I586" s="20"/>
      <c r="J586" s="20"/>
      <c r="K586" s="20"/>
    </row>
    <row r="587" customFormat="false" ht="15" hidden="false" customHeight="false" outlineLevel="0" collapsed="false">
      <c r="A587" s="18" t="str">
        <f aca="false">IF(C587="","",IFERROR(INDEX(Metrics!$A:$A,MATCH(C587,Metrics!$C:$C,0)),"Not found"))</f>
        <v/>
      </c>
      <c r="B587" s="18" t="str">
        <f aca="false">IF(D587="","",IFERROR(INDEX(Fields!$A:$A,MATCH(D587,Fields!$B:$B,0)),"Not found"))</f>
        <v/>
      </c>
      <c r="C587" s="20"/>
      <c r="D587" s="20"/>
      <c r="E587" s="20"/>
      <c r="F587" s="21" t="str">
        <f aca="false">IF(B587="","",IFERROR(INDEX(Fields!$C:$C,MATCH(B587,Fields!$A:$A,0)),""))</f>
        <v/>
      </c>
      <c r="G587" s="18" t="str">
        <f aca="false">IF(A587="","",COUNTIF('Metric to Product'!$A:$A,A587))</f>
        <v/>
      </c>
      <c r="H587" s="20"/>
      <c r="I587" s="20"/>
      <c r="J587" s="20"/>
      <c r="K587" s="20"/>
    </row>
    <row r="588" customFormat="false" ht="15" hidden="false" customHeight="false" outlineLevel="0" collapsed="false">
      <c r="A588" s="18" t="str">
        <f aca="false">IF(C588="","",IFERROR(INDEX(Metrics!$A:$A,MATCH(C588,Metrics!$C:$C,0)),"Not found"))</f>
        <v/>
      </c>
      <c r="B588" s="18" t="str">
        <f aca="false">IF(D588="","",IFERROR(INDEX(Fields!$A:$A,MATCH(D588,Fields!$B:$B,0)),"Not found"))</f>
        <v/>
      </c>
      <c r="C588" s="20"/>
      <c r="D588" s="20"/>
      <c r="E588" s="20"/>
      <c r="F588" s="21" t="str">
        <f aca="false">IF(B588="","",IFERROR(INDEX(Fields!$C:$C,MATCH(B588,Fields!$A:$A,0)),""))</f>
        <v/>
      </c>
      <c r="G588" s="18" t="str">
        <f aca="false">IF(A588="","",COUNTIF('Metric to Product'!$A:$A,A588))</f>
        <v/>
      </c>
      <c r="H588" s="20"/>
      <c r="I588" s="20"/>
      <c r="J588" s="20"/>
      <c r="K588" s="20"/>
    </row>
    <row r="589" customFormat="false" ht="15" hidden="false" customHeight="false" outlineLevel="0" collapsed="false">
      <c r="A589" s="18" t="str">
        <f aca="false">IF(C589="","",IFERROR(INDEX(Metrics!$A:$A,MATCH(C589,Metrics!$C:$C,0)),"Not found"))</f>
        <v/>
      </c>
      <c r="B589" s="18" t="str">
        <f aca="false">IF(D589="","",IFERROR(INDEX(Fields!$A:$A,MATCH(D589,Fields!$B:$B,0)),"Not found"))</f>
        <v/>
      </c>
      <c r="C589" s="20"/>
      <c r="D589" s="20"/>
      <c r="E589" s="20"/>
      <c r="F589" s="21" t="str">
        <f aca="false">IF(B589="","",IFERROR(INDEX(Fields!$C:$C,MATCH(B589,Fields!$A:$A,0)),""))</f>
        <v/>
      </c>
      <c r="G589" s="18" t="str">
        <f aca="false">IF(A589="","",COUNTIF('Metric to Product'!$A:$A,A589))</f>
        <v/>
      </c>
      <c r="H589" s="20"/>
      <c r="I589" s="20"/>
      <c r="J589" s="20"/>
      <c r="K589" s="20"/>
    </row>
    <row r="590" customFormat="false" ht="15" hidden="false" customHeight="false" outlineLevel="0" collapsed="false">
      <c r="A590" s="18" t="str">
        <f aca="false">IF(C590="","",IFERROR(INDEX(Metrics!$A:$A,MATCH(C590,Metrics!$C:$C,0)),"Not found"))</f>
        <v/>
      </c>
      <c r="B590" s="18" t="str">
        <f aca="false">IF(D590="","",IFERROR(INDEX(Fields!$A:$A,MATCH(D590,Fields!$B:$B,0)),"Not found"))</f>
        <v/>
      </c>
      <c r="C590" s="20"/>
      <c r="D590" s="20"/>
      <c r="E590" s="20"/>
      <c r="F590" s="21" t="str">
        <f aca="false">IF(B590="","",IFERROR(INDEX(Fields!$C:$C,MATCH(B590,Fields!$A:$A,0)),""))</f>
        <v/>
      </c>
      <c r="G590" s="18" t="str">
        <f aca="false">IF(A590="","",COUNTIF('Metric to Product'!$A:$A,A590))</f>
        <v/>
      </c>
      <c r="H590" s="20"/>
      <c r="I590" s="20"/>
      <c r="J590" s="20"/>
      <c r="K590" s="20"/>
    </row>
    <row r="591" customFormat="false" ht="15" hidden="false" customHeight="false" outlineLevel="0" collapsed="false">
      <c r="A591" s="18" t="str">
        <f aca="false">IF(C591="","",IFERROR(INDEX(Metrics!$A:$A,MATCH(C591,Metrics!$C:$C,0)),"Not found"))</f>
        <v/>
      </c>
      <c r="B591" s="18" t="str">
        <f aca="false">IF(D591="","",IFERROR(INDEX(Fields!$A:$A,MATCH(D591,Fields!$B:$B,0)),"Not found"))</f>
        <v/>
      </c>
      <c r="C591" s="20"/>
      <c r="D591" s="20"/>
      <c r="E591" s="20"/>
      <c r="F591" s="21" t="str">
        <f aca="false">IF(B591="","",IFERROR(INDEX(Fields!$C:$C,MATCH(B591,Fields!$A:$A,0)),""))</f>
        <v/>
      </c>
      <c r="G591" s="18" t="str">
        <f aca="false">IF(A591="","",COUNTIF('Metric to Product'!$A:$A,A591))</f>
        <v/>
      </c>
      <c r="H591" s="20"/>
      <c r="I591" s="20"/>
      <c r="J591" s="20"/>
      <c r="K591" s="20"/>
    </row>
    <row r="592" customFormat="false" ht="15" hidden="false" customHeight="false" outlineLevel="0" collapsed="false">
      <c r="A592" s="18" t="str">
        <f aca="false">IF(C592="","",IFERROR(INDEX(Metrics!$A:$A,MATCH(C592,Metrics!$C:$C,0)),"Not found"))</f>
        <v/>
      </c>
      <c r="B592" s="18" t="str">
        <f aca="false">IF(D592="","",IFERROR(INDEX(Fields!$A:$A,MATCH(D592,Fields!$B:$B,0)),"Not found"))</f>
        <v/>
      </c>
      <c r="C592" s="20"/>
      <c r="D592" s="20"/>
      <c r="E592" s="20"/>
      <c r="F592" s="21" t="str">
        <f aca="false">IF(B592="","",IFERROR(INDEX(Fields!$C:$C,MATCH(B592,Fields!$A:$A,0)),""))</f>
        <v/>
      </c>
      <c r="G592" s="18" t="str">
        <f aca="false">IF(A592="","",COUNTIF('Metric to Product'!$A:$A,A592))</f>
        <v/>
      </c>
      <c r="H592" s="20"/>
      <c r="I592" s="20"/>
      <c r="J592" s="20"/>
      <c r="K592" s="20"/>
    </row>
    <row r="593" customFormat="false" ht="15" hidden="false" customHeight="false" outlineLevel="0" collapsed="false">
      <c r="A593" s="18" t="str">
        <f aca="false">IF(C593="","",IFERROR(INDEX(Metrics!$A:$A,MATCH(C593,Metrics!$C:$C,0)),"Not found"))</f>
        <v/>
      </c>
      <c r="B593" s="18" t="str">
        <f aca="false">IF(D593="","",IFERROR(INDEX(Fields!$A:$A,MATCH(D593,Fields!$B:$B,0)),"Not found"))</f>
        <v/>
      </c>
      <c r="C593" s="20"/>
      <c r="D593" s="20"/>
      <c r="E593" s="20"/>
      <c r="F593" s="21" t="str">
        <f aca="false">IF(B593="","",IFERROR(INDEX(Fields!$C:$C,MATCH(B593,Fields!$A:$A,0)),""))</f>
        <v/>
      </c>
      <c r="G593" s="18" t="str">
        <f aca="false">IF(A593="","",COUNTIF('Metric to Product'!$A:$A,A593))</f>
        <v/>
      </c>
      <c r="H593" s="20"/>
      <c r="I593" s="20"/>
      <c r="J593" s="20"/>
      <c r="K593" s="20"/>
    </row>
    <row r="594" customFormat="false" ht="15" hidden="false" customHeight="false" outlineLevel="0" collapsed="false">
      <c r="A594" s="18" t="str">
        <f aca="false">IF(C594="","",IFERROR(INDEX(Metrics!$A:$A,MATCH(C594,Metrics!$C:$C,0)),"Not found"))</f>
        <v/>
      </c>
      <c r="B594" s="18" t="str">
        <f aca="false">IF(D594="","",IFERROR(INDEX(Fields!$A:$A,MATCH(D594,Fields!$B:$B,0)),"Not found"))</f>
        <v/>
      </c>
      <c r="C594" s="20"/>
      <c r="D594" s="20"/>
      <c r="E594" s="20"/>
      <c r="F594" s="21" t="str">
        <f aca="false">IF(B594="","",IFERROR(INDEX(Fields!$C:$C,MATCH(B594,Fields!$A:$A,0)),""))</f>
        <v/>
      </c>
      <c r="G594" s="18" t="str">
        <f aca="false">IF(A594="","",COUNTIF('Metric to Product'!$A:$A,A594))</f>
        <v/>
      </c>
      <c r="H594" s="20"/>
      <c r="I594" s="20"/>
      <c r="J594" s="20"/>
      <c r="K594" s="20"/>
    </row>
    <row r="595" customFormat="false" ht="15" hidden="false" customHeight="false" outlineLevel="0" collapsed="false">
      <c r="A595" s="18" t="str">
        <f aca="false">IF(C595="","",IFERROR(INDEX(Metrics!$A:$A,MATCH(C595,Metrics!$C:$C,0)),"Not found"))</f>
        <v/>
      </c>
      <c r="B595" s="18" t="str">
        <f aca="false">IF(D595="","",IFERROR(INDEX(Fields!$A:$A,MATCH(D595,Fields!$B:$B,0)),"Not found"))</f>
        <v/>
      </c>
      <c r="C595" s="20"/>
      <c r="D595" s="20"/>
      <c r="E595" s="20"/>
      <c r="F595" s="21" t="str">
        <f aca="false">IF(B595="","",IFERROR(INDEX(Fields!$C:$C,MATCH(B595,Fields!$A:$A,0)),""))</f>
        <v/>
      </c>
      <c r="G595" s="18" t="str">
        <f aca="false">IF(A595="","",COUNTIF('Metric to Product'!$A:$A,A595))</f>
        <v/>
      </c>
      <c r="H595" s="20"/>
      <c r="I595" s="20"/>
      <c r="J595" s="20"/>
      <c r="K595" s="20"/>
    </row>
    <row r="596" customFormat="false" ht="15" hidden="false" customHeight="false" outlineLevel="0" collapsed="false">
      <c r="A596" s="18" t="str">
        <f aca="false">IF(C596="","",IFERROR(INDEX(Metrics!$A:$A,MATCH(C596,Metrics!$C:$C,0)),"Not found"))</f>
        <v/>
      </c>
      <c r="B596" s="18" t="str">
        <f aca="false">IF(D596="","",IFERROR(INDEX(Fields!$A:$A,MATCH(D596,Fields!$B:$B,0)),"Not found"))</f>
        <v/>
      </c>
      <c r="C596" s="20"/>
      <c r="D596" s="20"/>
      <c r="E596" s="20"/>
      <c r="F596" s="21" t="str">
        <f aca="false">IF(B596="","",IFERROR(INDEX(Fields!$C:$C,MATCH(B596,Fields!$A:$A,0)),""))</f>
        <v/>
      </c>
      <c r="G596" s="18" t="str">
        <f aca="false">IF(A596="","",COUNTIF('Metric to Product'!$A:$A,A596))</f>
        <v/>
      </c>
      <c r="H596" s="20"/>
      <c r="I596" s="20"/>
      <c r="J596" s="20"/>
      <c r="K596" s="20"/>
    </row>
    <row r="597" customFormat="false" ht="15" hidden="false" customHeight="false" outlineLevel="0" collapsed="false">
      <c r="A597" s="18" t="str">
        <f aca="false">IF(C597="","",IFERROR(INDEX(Metrics!$A:$A,MATCH(C597,Metrics!$C:$C,0)),"Not found"))</f>
        <v/>
      </c>
      <c r="B597" s="18" t="str">
        <f aca="false">IF(D597="","",IFERROR(INDEX(Fields!$A:$A,MATCH(D597,Fields!$B:$B,0)),"Not found"))</f>
        <v/>
      </c>
      <c r="C597" s="20"/>
      <c r="D597" s="20"/>
      <c r="E597" s="20"/>
      <c r="F597" s="21" t="str">
        <f aca="false">IF(B597="","",IFERROR(INDEX(Fields!$C:$C,MATCH(B597,Fields!$A:$A,0)),""))</f>
        <v/>
      </c>
      <c r="G597" s="18" t="str">
        <f aca="false">IF(A597="","",COUNTIF('Metric to Product'!$A:$A,A597))</f>
        <v/>
      </c>
      <c r="H597" s="20"/>
      <c r="I597" s="20"/>
      <c r="J597" s="20"/>
      <c r="K597" s="20"/>
    </row>
    <row r="598" customFormat="false" ht="15" hidden="false" customHeight="false" outlineLevel="0" collapsed="false">
      <c r="A598" s="18" t="str">
        <f aca="false">IF(C598="","",IFERROR(INDEX(Metrics!$A:$A,MATCH(C598,Metrics!$C:$C,0)),"Not found"))</f>
        <v/>
      </c>
      <c r="B598" s="18" t="str">
        <f aca="false">IF(D598="","",IFERROR(INDEX(Fields!$A:$A,MATCH(D598,Fields!$B:$B,0)),"Not found"))</f>
        <v/>
      </c>
      <c r="C598" s="20"/>
      <c r="D598" s="20"/>
      <c r="E598" s="20"/>
      <c r="F598" s="21" t="str">
        <f aca="false">IF(B598="","",IFERROR(INDEX(Fields!$C:$C,MATCH(B598,Fields!$A:$A,0)),""))</f>
        <v/>
      </c>
      <c r="G598" s="18" t="str">
        <f aca="false">IF(A598="","",COUNTIF('Metric to Product'!$A:$A,A598))</f>
        <v/>
      </c>
      <c r="H598" s="20"/>
      <c r="I598" s="20"/>
      <c r="J598" s="20"/>
      <c r="K598" s="20"/>
    </row>
    <row r="599" customFormat="false" ht="15" hidden="false" customHeight="false" outlineLevel="0" collapsed="false">
      <c r="A599" s="18" t="str">
        <f aca="false">IF(C599="","",IFERROR(INDEX(Metrics!$A:$A,MATCH(C599,Metrics!$C:$C,0)),"Not found"))</f>
        <v/>
      </c>
      <c r="B599" s="18" t="str">
        <f aca="false">IF(D599="","",IFERROR(INDEX(Fields!$A:$A,MATCH(D599,Fields!$B:$B,0)),"Not found"))</f>
        <v/>
      </c>
      <c r="C599" s="20"/>
      <c r="D599" s="20"/>
      <c r="E599" s="20"/>
      <c r="F599" s="21" t="str">
        <f aca="false">IF(B599="","",IFERROR(INDEX(Fields!$C:$C,MATCH(B599,Fields!$A:$A,0)),""))</f>
        <v/>
      </c>
      <c r="G599" s="18" t="str">
        <f aca="false">IF(A599="","",COUNTIF('Metric to Product'!$A:$A,A599))</f>
        <v/>
      </c>
      <c r="H599" s="20"/>
      <c r="I599" s="20"/>
      <c r="J599" s="20"/>
      <c r="K599" s="20"/>
    </row>
    <row r="600" customFormat="false" ht="15" hidden="false" customHeight="false" outlineLevel="0" collapsed="false">
      <c r="A600" s="18" t="str">
        <f aca="false">IF(C600="","",IFERROR(INDEX(Metrics!$A:$A,MATCH(C600,Metrics!$C:$C,0)),"Not found"))</f>
        <v/>
      </c>
      <c r="B600" s="18" t="str">
        <f aca="false">IF(D600="","",IFERROR(INDEX(Fields!$A:$A,MATCH(D600,Fields!$B:$B,0)),"Not found"))</f>
        <v/>
      </c>
      <c r="C600" s="20"/>
      <c r="D600" s="20"/>
      <c r="E600" s="20"/>
      <c r="F600" s="21" t="str">
        <f aca="false">IF(B600="","",IFERROR(INDEX(Fields!$C:$C,MATCH(B600,Fields!$A:$A,0)),""))</f>
        <v/>
      </c>
      <c r="G600" s="18" t="str">
        <f aca="false">IF(A600="","",COUNTIF('Metric to Product'!$A:$A,A600))</f>
        <v/>
      </c>
      <c r="H600" s="20"/>
      <c r="I600" s="20"/>
      <c r="J600" s="20"/>
      <c r="K600" s="20"/>
    </row>
    <row r="601" customFormat="false" ht="15" hidden="false" customHeight="false" outlineLevel="0" collapsed="false">
      <c r="A601" s="18" t="str">
        <f aca="false">IF(C601="","",IFERROR(INDEX(Metrics!$A:$A,MATCH(C601,Metrics!$C:$C,0)),"Not found"))</f>
        <v/>
      </c>
      <c r="B601" s="18" t="str">
        <f aca="false">IF(D601="","",IFERROR(INDEX(Fields!$A:$A,MATCH(D601,Fields!$B:$B,0)),"Not found"))</f>
        <v/>
      </c>
      <c r="C601" s="20"/>
      <c r="D601" s="20"/>
      <c r="E601" s="20"/>
      <c r="F601" s="21" t="str">
        <f aca="false">IF(B601="","",IFERROR(INDEX(Fields!$C:$C,MATCH(B601,Fields!$A:$A,0)),""))</f>
        <v/>
      </c>
      <c r="G601" s="18" t="str">
        <f aca="false">IF(A601="","",COUNTIF('Metric to Product'!$A:$A,A601))</f>
        <v/>
      </c>
      <c r="H601" s="20"/>
      <c r="I601" s="20"/>
      <c r="J601" s="20"/>
      <c r="K601" s="20"/>
    </row>
    <row r="602" customFormat="false" ht="15" hidden="false" customHeight="false" outlineLevel="0" collapsed="false">
      <c r="A602" s="18" t="str">
        <f aca="false">IF(C602="","",IFERROR(INDEX(Metrics!$A:$A,MATCH(C602,Metrics!$C:$C,0)),"Not found"))</f>
        <v/>
      </c>
      <c r="B602" s="18" t="str">
        <f aca="false">IF(D602="","",IFERROR(INDEX(Fields!$A:$A,MATCH(D602,Fields!$B:$B,0)),"Not found"))</f>
        <v/>
      </c>
      <c r="C602" s="20"/>
      <c r="D602" s="20"/>
      <c r="E602" s="20"/>
      <c r="F602" s="21" t="str">
        <f aca="false">IF(B602="","",IFERROR(INDEX(Fields!$C:$C,MATCH(B602,Fields!$A:$A,0)),""))</f>
        <v/>
      </c>
      <c r="G602" s="18" t="str">
        <f aca="false">IF(A602="","",COUNTIF('Metric to Product'!$A:$A,A602))</f>
        <v/>
      </c>
      <c r="H602" s="20"/>
      <c r="I602" s="20"/>
      <c r="J602" s="20"/>
      <c r="K602" s="20"/>
    </row>
    <row r="603" customFormat="false" ht="15" hidden="false" customHeight="false" outlineLevel="0" collapsed="false">
      <c r="A603" s="18" t="str">
        <f aca="false">IF(C603="","",IFERROR(INDEX(Metrics!$A:$A,MATCH(C603,Metrics!$C:$C,0)),"Not found"))</f>
        <v/>
      </c>
      <c r="B603" s="18" t="str">
        <f aca="false">IF(D603="","",IFERROR(INDEX(Fields!$A:$A,MATCH(D603,Fields!$B:$B,0)),"Not found"))</f>
        <v/>
      </c>
      <c r="C603" s="20"/>
      <c r="D603" s="20"/>
      <c r="E603" s="20"/>
      <c r="F603" s="21" t="str">
        <f aca="false">IF(B603="","",IFERROR(INDEX(Fields!$C:$C,MATCH(B603,Fields!$A:$A,0)),""))</f>
        <v/>
      </c>
      <c r="G603" s="18" t="str">
        <f aca="false">IF(A603="","",COUNTIF('Metric to Product'!$A:$A,A603))</f>
        <v/>
      </c>
      <c r="H603" s="20"/>
      <c r="I603" s="20"/>
      <c r="J603" s="20"/>
      <c r="K603" s="20"/>
    </row>
    <row r="604" customFormat="false" ht="15" hidden="false" customHeight="false" outlineLevel="0" collapsed="false">
      <c r="A604" s="18" t="str">
        <f aca="false">IF(C604="","",IFERROR(INDEX(Metrics!$A:$A,MATCH(C604,Metrics!$C:$C,0)),"Not found"))</f>
        <v/>
      </c>
      <c r="B604" s="18" t="str">
        <f aca="false">IF(D604="","",IFERROR(INDEX(Fields!$A:$A,MATCH(D604,Fields!$B:$B,0)),"Not found"))</f>
        <v/>
      </c>
      <c r="C604" s="20"/>
      <c r="D604" s="20"/>
      <c r="E604" s="20"/>
      <c r="F604" s="21" t="str">
        <f aca="false">IF(B604="","",IFERROR(INDEX(Fields!$C:$C,MATCH(B604,Fields!$A:$A,0)),""))</f>
        <v/>
      </c>
      <c r="G604" s="18" t="str">
        <f aca="false">IF(A604="","",COUNTIF('Metric to Product'!$A:$A,A604))</f>
        <v/>
      </c>
      <c r="H604" s="20"/>
      <c r="I604" s="20"/>
      <c r="J604" s="20"/>
      <c r="K604" s="20"/>
    </row>
    <row r="605" customFormat="false" ht="15" hidden="false" customHeight="false" outlineLevel="0" collapsed="false">
      <c r="A605" s="18" t="str">
        <f aca="false">IF(C605="","",IFERROR(INDEX(Metrics!$A:$A,MATCH(C605,Metrics!$C:$C,0)),"Not found"))</f>
        <v/>
      </c>
      <c r="B605" s="18" t="str">
        <f aca="false">IF(D605="","",IFERROR(INDEX(Fields!$A:$A,MATCH(D605,Fields!$B:$B,0)),"Not found"))</f>
        <v/>
      </c>
      <c r="C605" s="20"/>
      <c r="D605" s="20"/>
      <c r="E605" s="20"/>
      <c r="F605" s="21" t="str">
        <f aca="false">IF(B605="","",IFERROR(INDEX(Fields!$C:$C,MATCH(B605,Fields!$A:$A,0)),""))</f>
        <v/>
      </c>
      <c r="G605" s="18" t="str">
        <f aca="false">IF(A605="","",COUNTIF('Metric to Product'!$A:$A,A605))</f>
        <v/>
      </c>
      <c r="H605" s="20"/>
      <c r="I605" s="20"/>
      <c r="J605" s="20"/>
      <c r="K605" s="20"/>
    </row>
    <row r="606" customFormat="false" ht="15" hidden="false" customHeight="false" outlineLevel="0" collapsed="false">
      <c r="A606" s="18" t="str">
        <f aca="false">IF(C606="","",IFERROR(INDEX(Metrics!$A:$A,MATCH(C606,Metrics!$C:$C,0)),"Not found"))</f>
        <v/>
      </c>
      <c r="B606" s="18" t="str">
        <f aca="false">IF(D606="","",IFERROR(INDEX(Fields!$A:$A,MATCH(D606,Fields!$B:$B,0)),"Not found"))</f>
        <v/>
      </c>
      <c r="C606" s="20"/>
      <c r="D606" s="20"/>
      <c r="E606" s="20"/>
      <c r="F606" s="21" t="str">
        <f aca="false">IF(B606="","",IFERROR(INDEX(Fields!$C:$C,MATCH(B606,Fields!$A:$A,0)),""))</f>
        <v/>
      </c>
      <c r="G606" s="18" t="str">
        <f aca="false">IF(A606="","",COUNTIF('Metric to Product'!$A:$A,A606))</f>
        <v/>
      </c>
      <c r="H606" s="20"/>
      <c r="I606" s="20"/>
      <c r="J606" s="20"/>
      <c r="K606" s="20"/>
    </row>
    <row r="607" customFormat="false" ht="15" hidden="false" customHeight="false" outlineLevel="0" collapsed="false">
      <c r="A607" s="18" t="str">
        <f aca="false">IF(C607="","",IFERROR(INDEX(Metrics!$A:$A,MATCH(C607,Metrics!$C:$C,0)),"Not found"))</f>
        <v/>
      </c>
      <c r="B607" s="18" t="str">
        <f aca="false">IF(D607="","",IFERROR(INDEX(Fields!$A:$A,MATCH(D607,Fields!$B:$B,0)),"Not found"))</f>
        <v/>
      </c>
      <c r="C607" s="20"/>
      <c r="D607" s="20"/>
      <c r="E607" s="20"/>
      <c r="F607" s="21" t="str">
        <f aca="false">IF(B607="","",IFERROR(INDEX(Fields!$C:$C,MATCH(B607,Fields!$A:$A,0)),""))</f>
        <v/>
      </c>
      <c r="G607" s="18" t="str">
        <f aca="false">IF(A607="","",COUNTIF('Metric to Product'!$A:$A,A607))</f>
        <v/>
      </c>
      <c r="H607" s="20"/>
      <c r="I607" s="20"/>
      <c r="J607" s="20"/>
      <c r="K607" s="20"/>
    </row>
    <row r="608" customFormat="false" ht="15" hidden="false" customHeight="false" outlineLevel="0" collapsed="false">
      <c r="A608" s="18" t="str">
        <f aca="false">IF(C608="","",IFERROR(INDEX(Metrics!$A:$A,MATCH(C608,Metrics!$C:$C,0)),"Not found"))</f>
        <v/>
      </c>
      <c r="B608" s="18" t="str">
        <f aca="false">IF(D608="","",IFERROR(INDEX(Fields!$A:$A,MATCH(D608,Fields!$B:$B,0)),"Not found"))</f>
        <v/>
      </c>
      <c r="C608" s="20"/>
      <c r="D608" s="20"/>
      <c r="E608" s="20"/>
      <c r="F608" s="21" t="str">
        <f aca="false">IF(B608="","",IFERROR(INDEX(Fields!$C:$C,MATCH(B608,Fields!$A:$A,0)),""))</f>
        <v/>
      </c>
      <c r="G608" s="18" t="str">
        <f aca="false">IF(A608="","",COUNTIF('Metric to Product'!$A:$A,A608))</f>
        <v/>
      </c>
      <c r="H608" s="20"/>
      <c r="I608" s="20"/>
      <c r="J608" s="20"/>
      <c r="K608" s="20"/>
    </row>
    <row r="609" customFormat="false" ht="15" hidden="false" customHeight="false" outlineLevel="0" collapsed="false">
      <c r="A609" s="18" t="str">
        <f aca="false">IF(C609="","",IFERROR(INDEX(Metrics!$A:$A,MATCH(C609,Metrics!$C:$C,0)),"Not found"))</f>
        <v/>
      </c>
      <c r="B609" s="18" t="str">
        <f aca="false">IF(D609="","",IFERROR(INDEX(Fields!$A:$A,MATCH(D609,Fields!$B:$B,0)),"Not found"))</f>
        <v/>
      </c>
      <c r="C609" s="20"/>
      <c r="D609" s="20"/>
      <c r="E609" s="20"/>
      <c r="F609" s="21" t="str">
        <f aca="false">IF(B609="","",IFERROR(INDEX(Fields!$C:$C,MATCH(B609,Fields!$A:$A,0)),""))</f>
        <v/>
      </c>
      <c r="G609" s="18" t="str">
        <f aca="false">IF(A609="","",COUNTIF('Metric to Product'!$A:$A,A609))</f>
        <v/>
      </c>
      <c r="H609" s="20"/>
      <c r="I609" s="20"/>
      <c r="J609" s="20"/>
      <c r="K609" s="20"/>
    </row>
    <row r="610" customFormat="false" ht="15" hidden="false" customHeight="false" outlineLevel="0" collapsed="false">
      <c r="A610" s="18" t="str">
        <f aca="false">IF(C610="","",IFERROR(INDEX(Metrics!$A:$A,MATCH(C610,Metrics!$C:$C,0)),"Not found"))</f>
        <v/>
      </c>
      <c r="B610" s="18" t="str">
        <f aca="false">IF(D610="","",IFERROR(INDEX(Fields!$A:$A,MATCH(D610,Fields!$B:$B,0)),"Not found"))</f>
        <v/>
      </c>
      <c r="C610" s="20"/>
      <c r="D610" s="20"/>
      <c r="E610" s="20"/>
      <c r="F610" s="21" t="str">
        <f aca="false">IF(B610="","",IFERROR(INDEX(Fields!$C:$C,MATCH(B610,Fields!$A:$A,0)),""))</f>
        <v/>
      </c>
      <c r="G610" s="18" t="str">
        <f aca="false">IF(A610="","",COUNTIF('Metric to Product'!$A:$A,A610))</f>
        <v/>
      </c>
      <c r="H610" s="20"/>
      <c r="I610" s="20"/>
      <c r="J610" s="20"/>
      <c r="K610" s="20"/>
    </row>
    <row r="611" customFormat="false" ht="15" hidden="false" customHeight="false" outlineLevel="0" collapsed="false">
      <c r="A611" s="18" t="str">
        <f aca="false">IF(C611="","",IFERROR(INDEX(Metrics!$A:$A,MATCH(C611,Metrics!$C:$C,0)),"Not found"))</f>
        <v/>
      </c>
      <c r="B611" s="18" t="str">
        <f aca="false">IF(D611="","",IFERROR(INDEX(Fields!$A:$A,MATCH(D611,Fields!$B:$B,0)),"Not found"))</f>
        <v/>
      </c>
      <c r="C611" s="20"/>
      <c r="D611" s="20"/>
      <c r="E611" s="20"/>
      <c r="F611" s="21" t="str">
        <f aca="false">IF(B611="","",IFERROR(INDEX(Fields!$C:$C,MATCH(B611,Fields!$A:$A,0)),""))</f>
        <v/>
      </c>
      <c r="G611" s="18" t="str">
        <f aca="false">IF(A611="","",COUNTIF('Metric to Product'!$A:$A,A611))</f>
        <v/>
      </c>
      <c r="H611" s="20"/>
      <c r="I611" s="20"/>
      <c r="J611" s="20"/>
      <c r="K611" s="20"/>
    </row>
    <row r="612" customFormat="false" ht="15" hidden="false" customHeight="false" outlineLevel="0" collapsed="false">
      <c r="A612" s="18" t="str">
        <f aca="false">IF(C612="","",IFERROR(INDEX(Metrics!$A:$A,MATCH(C612,Metrics!$C:$C,0)),"Not found"))</f>
        <v/>
      </c>
      <c r="B612" s="18" t="str">
        <f aca="false">IF(D612="","",IFERROR(INDEX(Fields!$A:$A,MATCH(D612,Fields!$B:$B,0)),"Not found"))</f>
        <v/>
      </c>
      <c r="C612" s="20"/>
      <c r="D612" s="20"/>
      <c r="E612" s="20"/>
      <c r="F612" s="21" t="str">
        <f aca="false">IF(B612="","",IFERROR(INDEX(Fields!$C:$C,MATCH(B612,Fields!$A:$A,0)),""))</f>
        <v/>
      </c>
      <c r="G612" s="18" t="str">
        <f aca="false">IF(A612="","",COUNTIF('Metric to Product'!$A:$A,A612))</f>
        <v/>
      </c>
      <c r="H612" s="20"/>
      <c r="I612" s="20"/>
      <c r="J612" s="20"/>
      <c r="K612" s="20"/>
    </row>
    <row r="613" customFormat="false" ht="15" hidden="false" customHeight="false" outlineLevel="0" collapsed="false">
      <c r="A613" s="18" t="str">
        <f aca="false">IF(C613="","",IFERROR(INDEX(Metrics!$A:$A,MATCH(C613,Metrics!$C:$C,0)),"Not found"))</f>
        <v/>
      </c>
      <c r="B613" s="18" t="str">
        <f aca="false">IF(D613="","",IFERROR(INDEX(Fields!$A:$A,MATCH(D613,Fields!$B:$B,0)),"Not found"))</f>
        <v/>
      </c>
      <c r="C613" s="20"/>
      <c r="D613" s="20"/>
      <c r="E613" s="20"/>
      <c r="F613" s="21" t="str">
        <f aca="false">IF(B613="","",IFERROR(INDEX(Fields!$C:$C,MATCH(B613,Fields!$A:$A,0)),""))</f>
        <v/>
      </c>
      <c r="G613" s="18" t="str">
        <f aca="false">IF(A613="","",COUNTIF('Metric to Product'!$A:$A,A613))</f>
        <v/>
      </c>
      <c r="H613" s="20"/>
      <c r="I613" s="20"/>
      <c r="J613" s="20"/>
      <c r="K613" s="20"/>
    </row>
    <row r="614" customFormat="false" ht="15" hidden="false" customHeight="false" outlineLevel="0" collapsed="false">
      <c r="A614" s="18" t="str">
        <f aca="false">IF(C614="","",IFERROR(INDEX(Metrics!$A:$A,MATCH(C614,Metrics!$C:$C,0)),"Not found"))</f>
        <v/>
      </c>
      <c r="B614" s="18" t="str">
        <f aca="false">IF(D614="","",IFERROR(INDEX(Fields!$A:$A,MATCH(D614,Fields!$B:$B,0)),"Not found"))</f>
        <v/>
      </c>
      <c r="C614" s="20"/>
      <c r="D614" s="20"/>
      <c r="E614" s="20"/>
      <c r="F614" s="21" t="str">
        <f aca="false">IF(B614="","",IFERROR(INDEX(Fields!$C:$C,MATCH(B614,Fields!$A:$A,0)),""))</f>
        <v/>
      </c>
      <c r="G614" s="18" t="str">
        <f aca="false">IF(A614="","",COUNTIF('Metric to Product'!$A:$A,A614))</f>
        <v/>
      </c>
      <c r="H614" s="20"/>
      <c r="I614" s="20"/>
      <c r="J614" s="20"/>
      <c r="K614" s="20"/>
    </row>
    <row r="615" customFormat="false" ht="15" hidden="false" customHeight="false" outlineLevel="0" collapsed="false">
      <c r="A615" s="18" t="str">
        <f aca="false">IF(C615="","",IFERROR(INDEX(Metrics!$A:$A,MATCH(C615,Metrics!$C:$C,0)),"Not found"))</f>
        <v/>
      </c>
      <c r="B615" s="18" t="str">
        <f aca="false">IF(D615="","",IFERROR(INDEX(Fields!$A:$A,MATCH(D615,Fields!$B:$B,0)),"Not found"))</f>
        <v/>
      </c>
      <c r="C615" s="20"/>
      <c r="D615" s="20"/>
      <c r="E615" s="20"/>
      <c r="F615" s="21" t="str">
        <f aca="false">IF(B615="","",IFERROR(INDEX(Fields!$C:$C,MATCH(B615,Fields!$A:$A,0)),""))</f>
        <v/>
      </c>
      <c r="G615" s="18" t="str">
        <f aca="false">IF(A615="","",COUNTIF('Metric to Product'!$A:$A,A615))</f>
        <v/>
      </c>
      <c r="H615" s="20"/>
      <c r="I615" s="20"/>
      <c r="J615" s="20"/>
      <c r="K615" s="20"/>
    </row>
    <row r="616" customFormat="false" ht="15" hidden="false" customHeight="false" outlineLevel="0" collapsed="false">
      <c r="A616" s="18" t="str">
        <f aca="false">IF(C616="","",IFERROR(INDEX(Metrics!$A:$A,MATCH(C616,Metrics!$C:$C,0)),"Not found"))</f>
        <v/>
      </c>
      <c r="B616" s="18" t="str">
        <f aca="false">IF(D616="","",IFERROR(INDEX(Fields!$A:$A,MATCH(D616,Fields!$B:$B,0)),"Not found"))</f>
        <v/>
      </c>
      <c r="C616" s="20"/>
      <c r="D616" s="20"/>
      <c r="E616" s="20"/>
      <c r="F616" s="21" t="str">
        <f aca="false">IF(B616="","",IFERROR(INDEX(Fields!$C:$C,MATCH(B616,Fields!$A:$A,0)),""))</f>
        <v/>
      </c>
      <c r="G616" s="18" t="str">
        <f aca="false">IF(A616="","",COUNTIF('Metric to Product'!$A:$A,A616))</f>
        <v/>
      </c>
      <c r="H616" s="20"/>
      <c r="I616" s="20"/>
      <c r="J616" s="20"/>
      <c r="K616" s="20"/>
    </row>
    <row r="617" customFormat="false" ht="15" hidden="false" customHeight="false" outlineLevel="0" collapsed="false">
      <c r="A617" s="18" t="str">
        <f aca="false">IF(C617="","",IFERROR(INDEX(Metrics!$A:$A,MATCH(C617,Metrics!$C:$C,0)),"Not found"))</f>
        <v/>
      </c>
      <c r="B617" s="18" t="str">
        <f aca="false">IF(D617="","",IFERROR(INDEX(Fields!$A:$A,MATCH(D617,Fields!$B:$B,0)),"Not found"))</f>
        <v/>
      </c>
      <c r="C617" s="20"/>
      <c r="D617" s="20"/>
      <c r="E617" s="20"/>
      <c r="F617" s="21" t="str">
        <f aca="false">IF(B617="","",IFERROR(INDEX(Fields!$C:$C,MATCH(B617,Fields!$A:$A,0)),""))</f>
        <v/>
      </c>
      <c r="G617" s="18" t="str">
        <f aca="false">IF(A617="","",COUNTIF('Metric to Product'!$A:$A,A617))</f>
        <v/>
      </c>
      <c r="H617" s="20"/>
      <c r="I617" s="20"/>
      <c r="J617" s="20"/>
      <c r="K617" s="20"/>
    </row>
    <row r="618" customFormat="false" ht="15" hidden="false" customHeight="false" outlineLevel="0" collapsed="false">
      <c r="A618" s="18" t="str">
        <f aca="false">IF(C618="","",IFERROR(INDEX(Metrics!$A:$A,MATCH(C618,Metrics!$C:$C,0)),"Not found"))</f>
        <v/>
      </c>
      <c r="B618" s="18" t="str">
        <f aca="false">IF(D618="","",IFERROR(INDEX(Fields!$A:$A,MATCH(D618,Fields!$B:$B,0)),"Not found"))</f>
        <v/>
      </c>
      <c r="C618" s="20"/>
      <c r="D618" s="20"/>
      <c r="E618" s="20"/>
      <c r="F618" s="21" t="str">
        <f aca="false">IF(B618="","",IFERROR(INDEX(Fields!$C:$C,MATCH(B618,Fields!$A:$A,0)),""))</f>
        <v/>
      </c>
      <c r="G618" s="18" t="str">
        <f aca="false">IF(A618="","",COUNTIF('Metric to Product'!$A:$A,A618))</f>
        <v/>
      </c>
      <c r="H618" s="20"/>
      <c r="I618" s="20"/>
      <c r="J618" s="20"/>
      <c r="K618" s="20"/>
    </row>
    <row r="619" customFormat="false" ht="15" hidden="false" customHeight="false" outlineLevel="0" collapsed="false">
      <c r="A619" s="18" t="str">
        <f aca="false">IF(C619="","",IFERROR(INDEX(Metrics!$A:$A,MATCH(C619,Metrics!$C:$C,0)),"Not found"))</f>
        <v/>
      </c>
      <c r="B619" s="18" t="str">
        <f aca="false">IF(D619="","",IFERROR(INDEX(Fields!$A:$A,MATCH(D619,Fields!$B:$B,0)),"Not found"))</f>
        <v/>
      </c>
      <c r="C619" s="20"/>
      <c r="D619" s="20"/>
      <c r="E619" s="20"/>
      <c r="F619" s="21" t="str">
        <f aca="false">IF(B619="","",IFERROR(INDEX(Fields!$C:$C,MATCH(B619,Fields!$A:$A,0)),""))</f>
        <v/>
      </c>
      <c r="G619" s="18" t="str">
        <f aca="false">IF(A619="","",COUNTIF('Metric to Product'!$A:$A,A619))</f>
        <v/>
      </c>
      <c r="H619" s="20"/>
      <c r="I619" s="20"/>
      <c r="J619" s="20"/>
      <c r="K619" s="20"/>
    </row>
    <row r="620" customFormat="false" ht="15" hidden="false" customHeight="false" outlineLevel="0" collapsed="false">
      <c r="A620" s="18" t="str">
        <f aca="false">IF(C620="","",IFERROR(INDEX(Metrics!$A:$A,MATCH(C620,Metrics!$C:$C,0)),"Not found"))</f>
        <v/>
      </c>
      <c r="B620" s="18" t="str">
        <f aca="false">IF(D620="","",IFERROR(INDEX(Fields!$A:$A,MATCH(D620,Fields!$B:$B,0)),"Not found"))</f>
        <v/>
      </c>
      <c r="C620" s="20"/>
      <c r="D620" s="20"/>
      <c r="E620" s="20"/>
      <c r="F620" s="21" t="str">
        <f aca="false">IF(B620="","",IFERROR(INDEX(Fields!$C:$C,MATCH(B620,Fields!$A:$A,0)),""))</f>
        <v/>
      </c>
      <c r="G620" s="18" t="str">
        <f aca="false">IF(A620="","",COUNTIF('Metric to Product'!$A:$A,A620))</f>
        <v/>
      </c>
      <c r="H620" s="20"/>
      <c r="I620" s="20"/>
      <c r="J620" s="20"/>
      <c r="K620" s="20"/>
    </row>
    <row r="621" customFormat="false" ht="15" hidden="false" customHeight="false" outlineLevel="0" collapsed="false">
      <c r="A621" s="18" t="str">
        <f aca="false">IF(C621="","",IFERROR(INDEX(Metrics!$A:$A,MATCH(C621,Metrics!$C:$C,0)),"Not found"))</f>
        <v/>
      </c>
      <c r="B621" s="18" t="str">
        <f aca="false">IF(D621="","",IFERROR(INDEX(Fields!$A:$A,MATCH(D621,Fields!$B:$B,0)),"Not found"))</f>
        <v/>
      </c>
      <c r="C621" s="20"/>
      <c r="D621" s="20"/>
      <c r="E621" s="20"/>
      <c r="F621" s="21" t="str">
        <f aca="false">IF(B621="","",IFERROR(INDEX(Fields!$C:$C,MATCH(B621,Fields!$A:$A,0)),""))</f>
        <v/>
      </c>
      <c r="G621" s="18" t="str">
        <f aca="false">IF(A621="","",COUNTIF('Metric to Product'!$A:$A,A621))</f>
        <v/>
      </c>
      <c r="H621" s="20"/>
      <c r="I621" s="20"/>
      <c r="J621" s="20"/>
      <c r="K621" s="20"/>
    </row>
    <row r="622" customFormat="false" ht="15" hidden="false" customHeight="false" outlineLevel="0" collapsed="false">
      <c r="A622" s="18" t="str">
        <f aca="false">IF(C622="","",IFERROR(INDEX(Metrics!$A:$A,MATCH(C622,Metrics!$C:$C,0)),"Not found"))</f>
        <v/>
      </c>
      <c r="B622" s="18" t="str">
        <f aca="false">IF(D622="","",IFERROR(INDEX(Fields!$A:$A,MATCH(D622,Fields!$B:$B,0)),"Not found"))</f>
        <v/>
      </c>
      <c r="C622" s="20"/>
      <c r="D622" s="20"/>
      <c r="E622" s="20"/>
      <c r="F622" s="21" t="str">
        <f aca="false">IF(B622="","",IFERROR(INDEX(Fields!$C:$C,MATCH(B622,Fields!$A:$A,0)),""))</f>
        <v/>
      </c>
      <c r="G622" s="18" t="str">
        <f aca="false">IF(A622="","",COUNTIF('Metric to Product'!$A:$A,A622))</f>
        <v/>
      </c>
      <c r="H622" s="20"/>
      <c r="I622" s="20"/>
      <c r="J622" s="20"/>
      <c r="K622" s="20"/>
    </row>
    <row r="623" customFormat="false" ht="15" hidden="false" customHeight="false" outlineLevel="0" collapsed="false">
      <c r="A623" s="18" t="str">
        <f aca="false">IF(C623="","",IFERROR(INDEX(Metrics!$A:$A,MATCH(C623,Metrics!$C:$C,0)),"Not found"))</f>
        <v/>
      </c>
      <c r="B623" s="18" t="str">
        <f aca="false">IF(D623="","",IFERROR(INDEX(Fields!$A:$A,MATCH(D623,Fields!$B:$B,0)),"Not found"))</f>
        <v/>
      </c>
      <c r="C623" s="20"/>
      <c r="D623" s="20"/>
      <c r="E623" s="20"/>
      <c r="F623" s="21" t="str">
        <f aca="false">IF(B623="","",IFERROR(INDEX(Fields!$C:$C,MATCH(B623,Fields!$A:$A,0)),""))</f>
        <v/>
      </c>
      <c r="G623" s="18" t="str">
        <f aca="false">IF(A623="","",COUNTIF('Metric to Product'!$A:$A,A623))</f>
        <v/>
      </c>
      <c r="H623" s="20"/>
      <c r="I623" s="20"/>
      <c r="J623" s="20"/>
      <c r="K623" s="20"/>
    </row>
    <row r="624" customFormat="false" ht="15" hidden="false" customHeight="false" outlineLevel="0" collapsed="false">
      <c r="A624" s="18" t="str">
        <f aca="false">IF(C624="","",IFERROR(INDEX(Metrics!$A:$A,MATCH(C624,Metrics!$C:$C,0)),"Not found"))</f>
        <v/>
      </c>
      <c r="B624" s="18" t="str">
        <f aca="false">IF(D624="","",IFERROR(INDEX(Fields!$A:$A,MATCH(D624,Fields!$B:$B,0)),"Not found"))</f>
        <v/>
      </c>
      <c r="C624" s="20"/>
      <c r="D624" s="20"/>
      <c r="E624" s="20"/>
      <c r="F624" s="21" t="str">
        <f aca="false">IF(B624="","",IFERROR(INDEX(Fields!$C:$C,MATCH(B624,Fields!$A:$A,0)),""))</f>
        <v/>
      </c>
      <c r="G624" s="18" t="str">
        <f aca="false">IF(A624="","",COUNTIF('Metric to Product'!$A:$A,A624))</f>
        <v/>
      </c>
      <c r="H624" s="20"/>
      <c r="I624" s="20"/>
      <c r="J624" s="20"/>
      <c r="K624" s="20"/>
    </row>
    <row r="625" customFormat="false" ht="15" hidden="false" customHeight="false" outlineLevel="0" collapsed="false">
      <c r="A625" s="18" t="str">
        <f aca="false">IF(C625="","",IFERROR(INDEX(Metrics!$A:$A,MATCH(C625,Metrics!$C:$C,0)),"Not found"))</f>
        <v/>
      </c>
      <c r="B625" s="18" t="str">
        <f aca="false">IF(D625="","",IFERROR(INDEX(Fields!$A:$A,MATCH(D625,Fields!$B:$B,0)),"Not found"))</f>
        <v/>
      </c>
      <c r="C625" s="20"/>
      <c r="D625" s="20"/>
      <c r="E625" s="20"/>
      <c r="F625" s="21" t="str">
        <f aca="false">IF(B625="","",IFERROR(INDEX(Fields!$C:$C,MATCH(B625,Fields!$A:$A,0)),""))</f>
        <v/>
      </c>
      <c r="G625" s="18" t="str">
        <f aca="false">IF(A625="","",COUNTIF('Metric to Product'!$A:$A,A625))</f>
        <v/>
      </c>
      <c r="H625" s="20"/>
      <c r="I625" s="20"/>
      <c r="J625" s="20"/>
      <c r="K625" s="20"/>
    </row>
    <row r="626" customFormat="false" ht="15" hidden="false" customHeight="false" outlineLevel="0" collapsed="false">
      <c r="A626" s="18" t="str">
        <f aca="false">IF(C626="","",IFERROR(INDEX(Metrics!$A:$A,MATCH(C626,Metrics!$C:$C,0)),"Not found"))</f>
        <v/>
      </c>
      <c r="B626" s="18" t="str">
        <f aca="false">IF(D626="","",IFERROR(INDEX(Fields!$A:$A,MATCH(D626,Fields!$B:$B,0)),"Not found"))</f>
        <v/>
      </c>
      <c r="C626" s="20"/>
      <c r="D626" s="20"/>
      <c r="E626" s="20"/>
      <c r="F626" s="21" t="str">
        <f aca="false">IF(B626="","",IFERROR(INDEX(Fields!$C:$C,MATCH(B626,Fields!$A:$A,0)),""))</f>
        <v/>
      </c>
      <c r="G626" s="18" t="str">
        <f aca="false">IF(A626="","",COUNTIF('Metric to Product'!$A:$A,A626))</f>
        <v/>
      </c>
      <c r="H626" s="20"/>
      <c r="I626" s="20"/>
      <c r="J626" s="20"/>
      <c r="K626" s="20"/>
    </row>
    <row r="627" customFormat="false" ht="15" hidden="false" customHeight="false" outlineLevel="0" collapsed="false">
      <c r="A627" s="18" t="str">
        <f aca="false">IF(C627="","",IFERROR(INDEX(Metrics!$A:$A,MATCH(C627,Metrics!$C:$C,0)),"Not found"))</f>
        <v/>
      </c>
      <c r="B627" s="18" t="str">
        <f aca="false">IF(D627="","",IFERROR(INDEX(Fields!$A:$A,MATCH(D627,Fields!$B:$B,0)),"Not found"))</f>
        <v/>
      </c>
      <c r="C627" s="20"/>
      <c r="D627" s="20"/>
      <c r="E627" s="20"/>
      <c r="F627" s="21" t="str">
        <f aca="false">IF(B627="","",IFERROR(INDEX(Fields!$C:$C,MATCH(B627,Fields!$A:$A,0)),""))</f>
        <v/>
      </c>
      <c r="G627" s="18" t="str">
        <f aca="false">IF(A627="","",COUNTIF('Metric to Product'!$A:$A,A627))</f>
        <v/>
      </c>
      <c r="H627" s="20"/>
      <c r="I627" s="20"/>
      <c r="J627" s="20"/>
      <c r="K627" s="20"/>
    </row>
    <row r="628" customFormat="false" ht="15" hidden="false" customHeight="false" outlineLevel="0" collapsed="false">
      <c r="A628" s="18" t="str">
        <f aca="false">IF(C628="","",IFERROR(INDEX(Metrics!$A:$A,MATCH(C628,Metrics!$C:$C,0)),"Not found"))</f>
        <v/>
      </c>
      <c r="B628" s="18" t="str">
        <f aca="false">IF(D628="","",IFERROR(INDEX(Fields!$A:$A,MATCH(D628,Fields!$B:$B,0)),"Not found"))</f>
        <v/>
      </c>
      <c r="C628" s="20"/>
      <c r="D628" s="20"/>
      <c r="E628" s="20"/>
      <c r="F628" s="21" t="str">
        <f aca="false">IF(B628="","",IFERROR(INDEX(Fields!$C:$C,MATCH(B628,Fields!$A:$A,0)),""))</f>
        <v/>
      </c>
      <c r="G628" s="18" t="str">
        <f aca="false">IF(A628="","",COUNTIF('Metric to Product'!$A:$A,A628))</f>
        <v/>
      </c>
      <c r="H628" s="20"/>
      <c r="I628" s="20"/>
      <c r="J628" s="20"/>
      <c r="K628" s="20"/>
    </row>
    <row r="629" customFormat="false" ht="15" hidden="false" customHeight="false" outlineLevel="0" collapsed="false">
      <c r="A629" s="18" t="str">
        <f aca="false">IF(C629="","",IFERROR(INDEX(Metrics!$A:$A,MATCH(C629,Metrics!$C:$C,0)),"Not found"))</f>
        <v/>
      </c>
      <c r="B629" s="18" t="str">
        <f aca="false">IF(D629="","",IFERROR(INDEX(Fields!$A:$A,MATCH(D629,Fields!$B:$B,0)),"Not found"))</f>
        <v/>
      </c>
      <c r="C629" s="20"/>
      <c r="D629" s="20"/>
      <c r="E629" s="20"/>
      <c r="F629" s="21" t="str">
        <f aca="false">IF(B629="","",IFERROR(INDEX(Fields!$C:$C,MATCH(B629,Fields!$A:$A,0)),""))</f>
        <v/>
      </c>
      <c r="G629" s="18" t="str">
        <f aca="false">IF(A629="","",COUNTIF('Metric to Product'!$A:$A,A629))</f>
        <v/>
      </c>
      <c r="H629" s="20"/>
      <c r="I629" s="20"/>
      <c r="J629" s="20"/>
      <c r="K629" s="20"/>
    </row>
    <row r="630" customFormat="false" ht="15" hidden="false" customHeight="false" outlineLevel="0" collapsed="false">
      <c r="A630" s="18" t="str">
        <f aca="false">IF(C630="","",IFERROR(INDEX(Metrics!$A:$A,MATCH(C630,Metrics!$C:$C,0)),"Not found"))</f>
        <v/>
      </c>
      <c r="B630" s="18" t="str">
        <f aca="false">IF(D630="","",IFERROR(INDEX(Fields!$A:$A,MATCH(D630,Fields!$B:$B,0)),"Not found"))</f>
        <v/>
      </c>
      <c r="C630" s="20"/>
      <c r="D630" s="20"/>
      <c r="E630" s="20"/>
      <c r="F630" s="21" t="str">
        <f aca="false">IF(B630="","",IFERROR(INDEX(Fields!$C:$C,MATCH(B630,Fields!$A:$A,0)),""))</f>
        <v/>
      </c>
      <c r="G630" s="18" t="str">
        <f aca="false">IF(A630="","",COUNTIF('Metric to Product'!$A:$A,A630))</f>
        <v/>
      </c>
      <c r="H630" s="20"/>
      <c r="I630" s="20"/>
      <c r="J630" s="20"/>
      <c r="K630" s="20"/>
    </row>
    <row r="631" customFormat="false" ht="15" hidden="false" customHeight="false" outlineLevel="0" collapsed="false">
      <c r="A631" s="18" t="str">
        <f aca="false">IF(C631="","",IFERROR(INDEX(Metrics!$A:$A,MATCH(C631,Metrics!$C:$C,0)),"Not found"))</f>
        <v/>
      </c>
      <c r="B631" s="18" t="str">
        <f aca="false">IF(D631="","",IFERROR(INDEX(Fields!$A:$A,MATCH(D631,Fields!$B:$B,0)),"Not found"))</f>
        <v/>
      </c>
      <c r="C631" s="20"/>
      <c r="D631" s="20"/>
      <c r="E631" s="20"/>
      <c r="F631" s="21" t="str">
        <f aca="false">IF(B631="","",IFERROR(INDEX(Fields!$C:$C,MATCH(B631,Fields!$A:$A,0)),""))</f>
        <v/>
      </c>
      <c r="G631" s="18" t="str">
        <f aca="false">IF(A631="","",COUNTIF('Metric to Product'!$A:$A,A631))</f>
        <v/>
      </c>
      <c r="H631" s="20"/>
      <c r="I631" s="20"/>
      <c r="J631" s="20"/>
      <c r="K631" s="20"/>
    </row>
    <row r="632" customFormat="false" ht="15" hidden="false" customHeight="false" outlineLevel="0" collapsed="false">
      <c r="A632" s="18" t="str">
        <f aca="false">IF(C632="","",IFERROR(INDEX(Metrics!$A:$A,MATCH(C632,Metrics!$C:$C,0)),"Not found"))</f>
        <v/>
      </c>
      <c r="B632" s="18" t="str">
        <f aca="false">IF(D632="","",IFERROR(INDEX(Fields!$A:$A,MATCH(D632,Fields!$B:$B,0)),"Not found"))</f>
        <v/>
      </c>
      <c r="C632" s="20"/>
      <c r="D632" s="20"/>
      <c r="E632" s="20"/>
      <c r="F632" s="21" t="str">
        <f aca="false">IF(B632="","",IFERROR(INDEX(Fields!$C:$C,MATCH(B632,Fields!$A:$A,0)),""))</f>
        <v/>
      </c>
      <c r="G632" s="18" t="str">
        <f aca="false">IF(A632="","",COUNTIF('Metric to Product'!$A:$A,A632))</f>
        <v/>
      </c>
      <c r="H632" s="20"/>
      <c r="I632" s="20"/>
      <c r="J632" s="20"/>
      <c r="K632" s="20"/>
    </row>
    <row r="633" customFormat="false" ht="15" hidden="false" customHeight="false" outlineLevel="0" collapsed="false">
      <c r="A633" s="18" t="str">
        <f aca="false">IF(C633="","",IFERROR(INDEX(Metrics!$A:$A,MATCH(C633,Metrics!$C:$C,0)),"Not found"))</f>
        <v/>
      </c>
      <c r="B633" s="18" t="str">
        <f aca="false">IF(D633="","",IFERROR(INDEX(Fields!$A:$A,MATCH(D633,Fields!$B:$B,0)),"Not found"))</f>
        <v/>
      </c>
      <c r="C633" s="20"/>
      <c r="D633" s="20"/>
      <c r="E633" s="20"/>
      <c r="F633" s="21" t="str">
        <f aca="false">IF(B633="","",IFERROR(INDEX(Fields!$C:$C,MATCH(B633,Fields!$A:$A,0)),""))</f>
        <v/>
      </c>
      <c r="G633" s="18" t="str">
        <f aca="false">IF(A633="","",COUNTIF('Metric to Product'!$A:$A,A633))</f>
        <v/>
      </c>
      <c r="H633" s="20"/>
      <c r="I633" s="20"/>
      <c r="J633" s="20"/>
      <c r="K633" s="20"/>
    </row>
    <row r="634" customFormat="false" ht="15" hidden="false" customHeight="false" outlineLevel="0" collapsed="false">
      <c r="A634" s="18" t="str">
        <f aca="false">IF(C634="","",IFERROR(INDEX(Metrics!$A:$A,MATCH(C634,Metrics!$C:$C,0)),"Not found"))</f>
        <v/>
      </c>
      <c r="B634" s="18" t="str">
        <f aca="false">IF(D634="","",IFERROR(INDEX(Fields!$A:$A,MATCH(D634,Fields!$B:$B,0)),"Not found"))</f>
        <v/>
      </c>
      <c r="C634" s="20"/>
      <c r="D634" s="20"/>
      <c r="E634" s="20"/>
      <c r="F634" s="21" t="str">
        <f aca="false">IF(B634="","",IFERROR(INDEX(Fields!$C:$C,MATCH(B634,Fields!$A:$A,0)),""))</f>
        <v/>
      </c>
      <c r="G634" s="18" t="str">
        <f aca="false">IF(A634="","",COUNTIF('Metric to Product'!$A:$A,A634))</f>
        <v/>
      </c>
      <c r="H634" s="20"/>
      <c r="I634" s="20"/>
      <c r="J634" s="20"/>
      <c r="K634" s="20"/>
    </row>
    <row r="635" customFormat="false" ht="15" hidden="false" customHeight="false" outlineLevel="0" collapsed="false">
      <c r="A635" s="18" t="str">
        <f aca="false">IF(C635="","",IFERROR(INDEX(Metrics!$A:$A,MATCH(C635,Metrics!$C:$C,0)),"Not found"))</f>
        <v/>
      </c>
      <c r="B635" s="18" t="str">
        <f aca="false">IF(D635="","",IFERROR(INDEX(Fields!$A:$A,MATCH(D635,Fields!$B:$B,0)),"Not found"))</f>
        <v/>
      </c>
      <c r="C635" s="20"/>
      <c r="D635" s="20"/>
      <c r="E635" s="20"/>
      <c r="F635" s="21" t="str">
        <f aca="false">IF(B635="","",IFERROR(INDEX(Fields!$C:$C,MATCH(B635,Fields!$A:$A,0)),""))</f>
        <v/>
      </c>
      <c r="G635" s="18" t="str">
        <f aca="false">IF(A635="","",COUNTIF('Metric to Product'!$A:$A,A635))</f>
        <v/>
      </c>
      <c r="H635" s="20"/>
      <c r="I635" s="20"/>
      <c r="J635" s="20"/>
      <c r="K635" s="20"/>
    </row>
    <row r="636" customFormat="false" ht="15" hidden="false" customHeight="false" outlineLevel="0" collapsed="false">
      <c r="A636" s="18" t="str">
        <f aca="false">IF(C636="","",IFERROR(INDEX(Metrics!$A:$A,MATCH(C636,Metrics!$C:$C,0)),"Not found"))</f>
        <v/>
      </c>
      <c r="B636" s="18" t="str">
        <f aca="false">IF(D636="","",IFERROR(INDEX(Fields!$A:$A,MATCH(D636,Fields!$B:$B,0)),"Not found"))</f>
        <v/>
      </c>
      <c r="C636" s="20"/>
      <c r="D636" s="20"/>
      <c r="E636" s="20"/>
      <c r="F636" s="21" t="str">
        <f aca="false">IF(B636="","",IFERROR(INDEX(Fields!$C:$C,MATCH(B636,Fields!$A:$A,0)),""))</f>
        <v/>
      </c>
      <c r="G636" s="18" t="str">
        <f aca="false">IF(A636="","",COUNTIF('Metric to Product'!$A:$A,A636))</f>
        <v/>
      </c>
      <c r="H636" s="20"/>
      <c r="I636" s="20"/>
      <c r="J636" s="20"/>
      <c r="K636" s="20"/>
    </row>
    <row r="637" customFormat="false" ht="15" hidden="false" customHeight="false" outlineLevel="0" collapsed="false">
      <c r="A637" s="18" t="str">
        <f aca="false">IF(C637="","",IFERROR(INDEX(Metrics!$A:$A,MATCH(C637,Metrics!$C:$C,0)),"Not found"))</f>
        <v/>
      </c>
      <c r="B637" s="18" t="str">
        <f aca="false">IF(D637="","",IFERROR(INDEX(Fields!$A:$A,MATCH(D637,Fields!$B:$B,0)),"Not found"))</f>
        <v/>
      </c>
      <c r="C637" s="20"/>
      <c r="D637" s="20"/>
      <c r="E637" s="20"/>
      <c r="F637" s="21" t="str">
        <f aca="false">IF(B637="","",IFERROR(INDEX(Fields!$C:$C,MATCH(B637,Fields!$A:$A,0)),""))</f>
        <v/>
      </c>
      <c r="G637" s="18" t="str">
        <f aca="false">IF(A637="","",COUNTIF('Metric to Product'!$A:$A,A637))</f>
        <v/>
      </c>
      <c r="H637" s="20"/>
      <c r="I637" s="20"/>
      <c r="J637" s="20"/>
      <c r="K637" s="20"/>
    </row>
    <row r="638" customFormat="false" ht="15" hidden="false" customHeight="false" outlineLevel="0" collapsed="false">
      <c r="A638" s="18" t="str">
        <f aca="false">IF(C638="","",IFERROR(INDEX(Metrics!$A:$A,MATCH(C638,Metrics!$C:$C,0)),"Not found"))</f>
        <v/>
      </c>
      <c r="B638" s="18" t="str">
        <f aca="false">IF(D638="","",IFERROR(INDEX(Fields!$A:$A,MATCH(D638,Fields!$B:$B,0)),"Not found"))</f>
        <v/>
      </c>
      <c r="C638" s="20"/>
      <c r="D638" s="20"/>
      <c r="E638" s="20"/>
      <c r="F638" s="21" t="str">
        <f aca="false">IF(B638="","",IFERROR(INDEX(Fields!$C:$C,MATCH(B638,Fields!$A:$A,0)),""))</f>
        <v/>
      </c>
      <c r="G638" s="18" t="str">
        <f aca="false">IF(A638="","",COUNTIF('Metric to Product'!$A:$A,A638))</f>
        <v/>
      </c>
      <c r="H638" s="20"/>
      <c r="I638" s="20"/>
      <c r="J638" s="20"/>
      <c r="K638" s="20"/>
    </row>
    <row r="639" customFormat="false" ht="15" hidden="false" customHeight="false" outlineLevel="0" collapsed="false">
      <c r="A639" s="18" t="str">
        <f aca="false">IF(C639="","",IFERROR(INDEX(Metrics!$A:$A,MATCH(C639,Metrics!$C:$C,0)),"Not found"))</f>
        <v/>
      </c>
      <c r="B639" s="18" t="str">
        <f aca="false">IF(D639="","",IFERROR(INDEX(Fields!$A:$A,MATCH(D639,Fields!$B:$B,0)),"Not found"))</f>
        <v/>
      </c>
      <c r="C639" s="20"/>
      <c r="D639" s="20"/>
      <c r="E639" s="20"/>
      <c r="F639" s="21" t="str">
        <f aca="false">IF(B639="","",IFERROR(INDEX(Fields!$C:$C,MATCH(B639,Fields!$A:$A,0)),""))</f>
        <v/>
      </c>
      <c r="G639" s="18" t="str">
        <f aca="false">IF(A639="","",COUNTIF('Metric to Product'!$A:$A,A639))</f>
        <v/>
      </c>
      <c r="H639" s="20"/>
      <c r="I639" s="20"/>
      <c r="J639" s="20"/>
      <c r="K639" s="20"/>
    </row>
    <row r="640" customFormat="false" ht="15" hidden="false" customHeight="false" outlineLevel="0" collapsed="false">
      <c r="A640" s="18" t="str">
        <f aca="false">IF(C640="","",IFERROR(INDEX(Metrics!$A:$A,MATCH(C640,Metrics!$C:$C,0)),"Not found"))</f>
        <v/>
      </c>
      <c r="B640" s="18" t="str">
        <f aca="false">IF(D640="","",IFERROR(INDEX(Fields!$A:$A,MATCH(D640,Fields!$B:$B,0)),"Not found"))</f>
        <v/>
      </c>
      <c r="C640" s="20"/>
      <c r="D640" s="20"/>
      <c r="E640" s="20"/>
      <c r="F640" s="21" t="str">
        <f aca="false">IF(B640="","",IFERROR(INDEX(Fields!$C:$C,MATCH(B640,Fields!$A:$A,0)),""))</f>
        <v/>
      </c>
      <c r="G640" s="18" t="str">
        <f aca="false">IF(A640="","",COUNTIF('Metric to Product'!$A:$A,A640))</f>
        <v/>
      </c>
      <c r="H640" s="20"/>
      <c r="I640" s="20"/>
      <c r="J640" s="20"/>
      <c r="K640" s="20"/>
    </row>
    <row r="641" customFormat="false" ht="15" hidden="false" customHeight="false" outlineLevel="0" collapsed="false">
      <c r="A641" s="18" t="str">
        <f aca="false">IF(C641="","",IFERROR(INDEX(Metrics!$A:$A,MATCH(C641,Metrics!$C:$C,0)),"Not found"))</f>
        <v/>
      </c>
      <c r="B641" s="18" t="str">
        <f aca="false">IF(D641="","",IFERROR(INDEX(Fields!$A:$A,MATCH(D641,Fields!$B:$B,0)),"Not found"))</f>
        <v/>
      </c>
      <c r="C641" s="20"/>
      <c r="D641" s="20"/>
      <c r="E641" s="20"/>
      <c r="F641" s="21" t="str">
        <f aca="false">IF(B641="","",IFERROR(INDEX(Fields!$C:$C,MATCH(B641,Fields!$A:$A,0)),""))</f>
        <v/>
      </c>
      <c r="G641" s="18" t="str">
        <f aca="false">IF(A641="","",COUNTIF('Metric to Product'!$A:$A,A641))</f>
        <v/>
      </c>
      <c r="H641" s="20"/>
      <c r="I641" s="20"/>
      <c r="J641" s="20"/>
      <c r="K641" s="20"/>
    </row>
    <row r="642" customFormat="false" ht="15" hidden="false" customHeight="false" outlineLevel="0" collapsed="false">
      <c r="A642" s="18" t="str">
        <f aca="false">IF(C642="","",IFERROR(INDEX(Metrics!$A:$A,MATCH(C642,Metrics!$C:$C,0)),"Not found"))</f>
        <v/>
      </c>
      <c r="B642" s="18" t="str">
        <f aca="false">IF(D642="","",IFERROR(INDEX(Fields!$A:$A,MATCH(D642,Fields!$B:$B,0)),"Not found"))</f>
        <v/>
      </c>
      <c r="C642" s="20"/>
      <c r="D642" s="20"/>
      <c r="E642" s="20"/>
      <c r="F642" s="21" t="str">
        <f aca="false">IF(B642="","",IFERROR(INDEX(Fields!$C:$C,MATCH(B642,Fields!$A:$A,0)),""))</f>
        <v/>
      </c>
      <c r="G642" s="18" t="str">
        <f aca="false">IF(A642="","",COUNTIF('Metric to Product'!$A:$A,A642))</f>
        <v/>
      </c>
      <c r="H642" s="20"/>
      <c r="I642" s="20"/>
      <c r="J642" s="20"/>
      <c r="K642" s="20"/>
    </row>
    <row r="643" customFormat="false" ht="15" hidden="false" customHeight="false" outlineLevel="0" collapsed="false">
      <c r="A643" s="18" t="str">
        <f aca="false">IF(C643="","",IFERROR(INDEX(Metrics!$A:$A,MATCH(C643,Metrics!$C:$C,0)),"Not found"))</f>
        <v/>
      </c>
      <c r="B643" s="18" t="str">
        <f aca="false">IF(D643="","",IFERROR(INDEX(Fields!$A:$A,MATCH(D643,Fields!$B:$B,0)),"Not found"))</f>
        <v/>
      </c>
      <c r="C643" s="20"/>
      <c r="D643" s="20"/>
      <c r="E643" s="20"/>
      <c r="F643" s="21" t="str">
        <f aca="false">IF(B643="","",IFERROR(INDEX(Fields!$C:$C,MATCH(B643,Fields!$A:$A,0)),""))</f>
        <v/>
      </c>
      <c r="G643" s="18" t="str">
        <f aca="false">IF(A643="","",COUNTIF('Metric to Product'!$A:$A,A643))</f>
        <v/>
      </c>
      <c r="H643" s="20"/>
      <c r="I643" s="20"/>
      <c r="J643" s="20"/>
      <c r="K643" s="20"/>
    </row>
    <row r="644" customFormat="false" ht="15" hidden="false" customHeight="false" outlineLevel="0" collapsed="false">
      <c r="A644" s="18" t="str">
        <f aca="false">IF(C644="","",IFERROR(INDEX(Metrics!$A:$A,MATCH(C644,Metrics!$C:$C,0)),"Not found"))</f>
        <v/>
      </c>
      <c r="B644" s="18" t="str">
        <f aca="false">IF(D644="","",IFERROR(INDEX(Fields!$A:$A,MATCH(D644,Fields!$B:$B,0)),"Not found"))</f>
        <v/>
      </c>
      <c r="C644" s="20"/>
      <c r="D644" s="20"/>
      <c r="E644" s="20"/>
      <c r="F644" s="21" t="str">
        <f aca="false">IF(B644="","",IFERROR(INDEX(Fields!$C:$C,MATCH(B644,Fields!$A:$A,0)),""))</f>
        <v/>
      </c>
      <c r="G644" s="18" t="str">
        <f aca="false">IF(A644="","",COUNTIF('Metric to Product'!$A:$A,A644))</f>
        <v/>
      </c>
      <c r="H644" s="20"/>
      <c r="I644" s="20"/>
      <c r="J644" s="20"/>
      <c r="K644" s="20"/>
    </row>
    <row r="645" customFormat="false" ht="15" hidden="false" customHeight="false" outlineLevel="0" collapsed="false">
      <c r="A645" s="18" t="str">
        <f aca="false">IF(C645="","",IFERROR(INDEX(Metrics!$A:$A,MATCH(C645,Metrics!$C:$C,0)),"Not found"))</f>
        <v/>
      </c>
      <c r="B645" s="18" t="str">
        <f aca="false">IF(D645="","",IFERROR(INDEX(Fields!$A:$A,MATCH(D645,Fields!$B:$B,0)),"Not found"))</f>
        <v/>
      </c>
      <c r="C645" s="20"/>
      <c r="D645" s="20"/>
      <c r="E645" s="20"/>
      <c r="F645" s="21" t="str">
        <f aca="false">IF(B645="","",IFERROR(INDEX(Fields!$C:$C,MATCH(B645,Fields!$A:$A,0)),""))</f>
        <v/>
      </c>
      <c r="G645" s="18" t="str">
        <f aca="false">IF(A645="","",COUNTIF('Metric to Product'!$A:$A,A645))</f>
        <v/>
      </c>
      <c r="H645" s="20"/>
      <c r="I645" s="20"/>
      <c r="J645" s="20"/>
      <c r="K645" s="20"/>
    </row>
    <row r="646" customFormat="false" ht="15" hidden="false" customHeight="false" outlineLevel="0" collapsed="false">
      <c r="A646" s="18" t="str">
        <f aca="false">IF(C646="","",IFERROR(INDEX(Metrics!$A:$A,MATCH(C646,Metrics!$C:$C,0)),"Not found"))</f>
        <v/>
      </c>
      <c r="B646" s="18" t="str">
        <f aca="false">IF(D646="","",IFERROR(INDEX(Fields!$A:$A,MATCH(D646,Fields!$B:$B,0)),"Not found"))</f>
        <v/>
      </c>
      <c r="C646" s="20"/>
      <c r="D646" s="20"/>
      <c r="E646" s="20"/>
      <c r="F646" s="21" t="str">
        <f aca="false">IF(B646="","",IFERROR(INDEX(Fields!$C:$C,MATCH(B646,Fields!$A:$A,0)),""))</f>
        <v/>
      </c>
      <c r="G646" s="18" t="str">
        <f aca="false">IF(A646="","",COUNTIF('Metric to Product'!$A:$A,A646))</f>
        <v/>
      </c>
      <c r="H646" s="20"/>
      <c r="I646" s="20"/>
      <c r="J646" s="20"/>
      <c r="K646" s="20"/>
    </row>
    <row r="647" customFormat="false" ht="15" hidden="false" customHeight="false" outlineLevel="0" collapsed="false">
      <c r="A647" s="18" t="str">
        <f aca="false">IF(C647="","",IFERROR(INDEX(Metrics!$A:$A,MATCH(C647,Metrics!$C:$C,0)),"Not found"))</f>
        <v/>
      </c>
      <c r="B647" s="18" t="str">
        <f aca="false">IF(D647="","",IFERROR(INDEX(Fields!$A:$A,MATCH(D647,Fields!$B:$B,0)),"Not found"))</f>
        <v/>
      </c>
      <c r="C647" s="20"/>
      <c r="D647" s="20"/>
      <c r="E647" s="20"/>
      <c r="F647" s="21" t="str">
        <f aca="false">IF(B647="","",IFERROR(INDEX(Fields!$C:$C,MATCH(B647,Fields!$A:$A,0)),""))</f>
        <v/>
      </c>
      <c r="G647" s="18" t="str">
        <f aca="false">IF(A647="","",COUNTIF('Metric to Product'!$A:$A,A647))</f>
        <v/>
      </c>
      <c r="H647" s="20"/>
      <c r="I647" s="20"/>
      <c r="J647" s="20"/>
      <c r="K647" s="20"/>
    </row>
    <row r="648" customFormat="false" ht="15" hidden="false" customHeight="false" outlineLevel="0" collapsed="false">
      <c r="A648" s="18" t="str">
        <f aca="false">IF(C648="","",IFERROR(INDEX(Metrics!$A:$A,MATCH(C648,Metrics!$C:$C,0)),"Not found"))</f>
        <v/>
      </c>
      <c r="B648" s="18" t="str">
        <f aca="false">IF(D648="","",IFERROR(INDEX(Fields!$A:$A,MATCH(D648,Fields!$B:$B,0)),"Not found"))</f>
        <v/>
      </c>
      <c r="C648" s="20"/>
      <c r="D648" s="20"/>
      <c r="E648" s="20"/>
      <c r="F648" s="21" t="str">
        <f aca="false">IF(B648="","",IFERROR(INDEX(Fields!$C:$C,MATCH(B648,Fields!$A:$A,0)),""))</f>
        <v/>
      </c>
      <c r="G648" s="18" t="str">
        <f aca="false">IF(A648="","",COUNTIF('Metric to Product'!$A:$A,A648))</f>
        <v/>
      </c>
      <c r="H648" s="20"/>
      <c r="I648" s="20"/>
      <c r="J648" s="20"/>
      <c r="K648" s="20"/>
    </row>
    <row r="649" customFormat="false" ht="15" hidden="false" customHeight="false" outlineLevel="0" collapsed="false">
      <c r="A649" s="18" t="str">
        <f aca="false">IF(C649="","",IFERROR(INDEX(Metrics!$A:$A,MATCH(C649,Metrics!$C:$C,0)),"Not found"))</f>
        <v/>
      </c>
      <c r="B649" s="18" t="str">
        <f aca="false">IF(D649="","",IFERROR(INDEX(Fields!$A:$A,MATCH(D649,Fields!$B:$B,0)),"Not found"))</f>
        <v/>
      </c>
      <c r="C649" s="20"/>
      <c r="D649" s="20"/>
      <c r="E649" s="20"/>
      <c r="F649" s="21" t="str">
        <f aca="false">IF(B649="","",IFERROR(INDEX(Fields!$C:$C,MATCH(B649,Fields!$A:$A,0)),""))</f>
        <v/>
      </c>
      <c r="G649" s="18" t="str">
        <f aca="false">IF(A649="","",COUNTIF('Metric to Product'!$A:$A,A649))</f>
        <v/>
      </c>
      <c r="H649" s="20"/>
      <c r="I649" s="20"/>
      <c r="J649" s="20"/>
      <c r="K649" s="20"/>
    </row>
    <row r="650" customFormat="false" ht="15" hidden="false" customHeight="false" outlineLevel="0" collapsed="false">
      <c r="A650" s="18" t="str">
        <f aca="false">IF(C650="","",IFERROR(INDEX(Metrics!$A:$A,MATCH(C650,Metrics!$C:$C,0)),"Not found"))</f>
        <v/>
      </c>
      <c r="B650" s="18" t="str">
        <f aca="false">IF(D650="","",IFERROR(INDEX(Fields!$A:$A,MATCH(D650,Fields!$B:$B,0)),"Not found"))</f>
        <v/>
      </c>
      <c r="C650" s="20"/>
      <c r="D650" s="20"/>
      <c r="E650" s="20"/>
      <c r="F650" s="21" t="str">
        <f aca="false">IF(B650="","",IFERROR(INDEX(Fields!$C:$C,MATCH(B650,Fields!$A:$A,0)),""))</f>
        <v/>
      </c>
      <c r="G650" s="18" t="str">
        <f aca="false">IF(A650="","",COUNTIF('Metric to Product'!$A:$A,A650))</f>
        <v/>
      </c>
      <c r="H650" s="20"/>
      <c r="I650" s="20"/>
      <c r="J650" s="20"/>
      <c r="K650" s="20"/>
    </row>
    <row r="651" customFormat="false" ht="15" hidden="false" customHeight="false" outlineLevel="0" collapsed="false">
      <c r="A651" s="18" t="str">
        <f aca="false">IF(C651="","",IFERROR(INDEX(Metrics!$A:$A,MATCH(C651,Metrics!$C:$C,0)),"Not found"))</f>
        <v/>
      </c>
      <c r="B651" s="18" t="str">
        <f aca="false">IF(D651="","",IFERROR(INDEX(Fields!$A:$A,MATCH(D651,Fields!$B:$B,0)),"Not found"))</f>
        <v/>
      </c>
      <c r="C651" s="20"/>
      <c r="D651" s="20"/>
      <c r="E651" s="20"/>
      <c r="F651" s="21" t="str">
        <f aca="false">IF(B651="","",IFERROR(INDEX(Fields!$C:$C,MATCH(B651,Fields!$A:$A,0)),""))</f>
        <v/>
      </c>
      <c r="G651" s="18" t="str">
        <f aca="false">IF(A651="","",COUNTIF('Metric to Product'!$A:$A,A651))</f>
        <v/>
      </c>
      <c r="H651" s="20"/>
      <c r="I651" s="20"/>
      <c r="J651" s="20"/>
      <c r="K651" s="20"/>
    </row>
    <row r="652" customFormat="false" ht="15" hidden="false" customHeight="false" outlineLevel="0" collapsed="false">
      <c r="A652" s="18" t="str">
        <f aca="false">IF(C652="","",IFERROR(INDEX(Metrics!$A:$A,MATCH(C652,Metrics!$C:$C,0)),"Not found"))</f>
        <v/>
      </c>
      <c r="B652" s="18" t="str">
        <f aca="false">IF(D652="","",IFERROR(INDEX(Fields!$A:$A,MATCH(D652,Fields!$B:$B,0)),"Not found"))</f>
        <v/>
      </c>
      <c r="C652" s="20"/>
      <c r="D652" s="20"/>
      <c r="E652" s="20"/>
      <c r="F652" s="21" t="str">
        <f aca="false">IF(B652="","",IFERROR(INDEX(Fields!$C:$C,MATCH(B652,Fields!$A:$A,0)),""))</f>
        <v/>
      </c>
      <c r="G652" s="18" t="str">
        <f aca="false">IF(A652="","",COUNTIF('Metric to Product'!$A:$A,A652))</f>
        <v/>
      </c>
      <c r="H652" s="20"/>
      <c r="I652" s="20"/>
      <c r="J652" s="20"/>
      <c r="K652" s="20"/>
    </row>
    <row r="653" customFormat="false" ht="15" hidden="false" customHeight="false" outlineLevel="0" collapsed="false">
      <c r="A653" s="18" t="str">
        <f aca="false">IF(C653="","",IFERROR(INDEX(Metrics!$A:$A,MATCH(C653,Metrics!$C:$C,0)),"Not found"))</f>
        <v/>
      </c>
      <c r="B653" s="18" t="str">
        <f aca="false">IF(D653="","",IFERROR(INDEX(Fields!$A:$A,MATCH(D653,Fields!$B:$B,0)),"Not found"))</f>
        <v/>
      </c>
      <c r="C653" s="20"/>
      <c r="D653" s="20"/>
      <c r="E653" s="20"/>
      <c r="F653" s="21" t="str">
        <f aca="false">IF(B653="","",IFERROR(INDEX(Fields!$C:$C,MATCH(B653,Fields!$A:$A,0)),""))</f>
        <v/>
      </c>
      <c r="G653" s="18" t="str">
        <f aca="false">IF(A653="","",COUNTIF('Metric to Product'!$A:$A,A653))</f>
        <v/>
      </c>
      <c r="H653" s="20"/>
      <c r="I653" s="20"/>
      <c r="J653" s="20"/>
      <c r="K653" s="20"/>
    </row>
    <row r="654" customFormat="false" ht="15" hidden="false" customHeight="false" outlineLevel="0" collapsed="false">
      <c r="A654" s="18" t="str">
        <f aca="false">IF(C654="","",IFERROR(INDEX(Metrics!$A:$A,MATCH(C654,Metrics!$C:$C,0)),"Not found"))</f>
        <v/>
      </c>
      <c r="B654" s="18" t="str">
        <f aca="false">IF(D654="","",IFERROR(INDEX(Fields!$A:$A,MATCH(D654,Fields!$B:$B,0)),"Not found"))</f>
        <v/>
      </c>
      <c r="C654" s="20"/>
      <c r="D654" s="20"/>
      <c r="E654" s="20"/>
      <c r="F654" s="21" t="str">
        <f aca="false">IF(B654="","",IFERROR(INDEX(Fields!$C:$C,MATCH(B654,Fields!$A:$A,0)),""))</f>
        <v/>
      </c>
      <c r="G654" s="18" t="str">
        <f aca="false">IF(A654="","",COUNTIF('Metric to Product'!$A:$A,A654))</f>
        <v/>
      </c>
      <c r="H654" s="20"/>
      <c r="I654" s="20"/>
      <c r="J654" s="20"/>
      <c r="K654" s="20"/>
    </row>
    <row r="655" customFormat="false" ht="15" hidden="false" customHeight="false" outlineLevel="0" collapsed="false">
      <c r="A655" s="18" t="str">
        <f aca="false">IF(C655="","",IFERROR(INDEX(Metrics!$A:$A,MATCH(C655,Metrics!$C:$C,0)),"Not found"))</f>
        <v/>
      </c>
      <c r="B655" s="18" t="str">
        <f aca="false">IF(D655="","",IFERROR(INDEX(Fields!$A:$A,MATCH(D655,Fields!$B:$B,0)),"Not found"))</f>
        <v/>
      </c>
      <c r="C655" s="20"/>
      <c r="D655" s="20"/>
      <c r="E655" s="20"/>
      <c r="F655" s="21" t="str">
        <f aca="false">IF(B655="","",IFERROR(INDEX(Fields!$C:$C,MATCH(B655,Fields!$A:$A,0)),""))</f>
        <v/>
      </c>
      <c r="G655" s="18" t="str">
        <f aca="false">IF(A655="","",COUNTIF('Metric to Product'!$A:$A,A655))</f>
        <v/>
      </c>
      <c r="H655" s="20"/>
      <c r="I655" s="20"/>
      <c r="J655" s="20"/>
      <c r="K655" s="20"/>
    </row>
    <row r="656" customFormat="false" ht="15" hidden="false" customHeight="false" outlineLevel="0" collapsed="false">
      <c r="A656" s="18" t="str">
        <f aca="false">IF(C656="","",IFERROR(INDEX(Metrics!$A:$A,MATCH(C656,Metrics!$C:$C,0)),"Not found"))</f>
        <v/>
      </c>
      <c r="B656" s="18" t="str">
        <f aca="false">IF(D656="","",IFERROR(INDEX(Fields!$A:$A,MATCH(D656,Fields!$B:$B,0)),"Not found"))</f>
        <v/>
      </c>
      <c r="C656" s="20"/>
      <c r="D656" s="20"/>
      <c r="E656" s="20"/>
      <c r="F656" s="21" t="str">
        <f aca="false">IF(B656="","",IFERROR(INDEX(Fields!$C:$C,MATCH(B656,Fields!$A:$A,0)),""))</f>
        <v/>
      </c>
      <c r="G656" s="18" t="str">
        <f aca="false">IF(A656="","",COUNTIF('Metric to Product'!$A:$A,A656))</f>
        <v/>
      </c>
      <c r="H656" s="20"/>
      <c r="I656" s="20"/>
      <c r="J656" s="20"/>
      <c r="K656" s="20"/>
    </row>
    <row r="657" customFormat="false" ht="15" hidden="false" customHeight="false" outlineLevel="0" collapsed="false">
      <c r="A657" s="18" t="str">
        <f aca="false">IF(C657="","",IFERROR(INDEX(Metrics!$A:$A,MATCH(C657,Metrics!$C:$C,0)),"Not found"))</f>
        <v/>
      </c>
      <c r="B657" s="18" t="str">
        <f aca="false">IF(D657="","",IFERROR(INDEX(Fields!$A:$A,MATCH(D657,Fields!$B:$B,0)),"Not found"))</f>
        <v/>
      </c>
      <c r="C657" s="20"/>
      <c r="D657" s="20"/>
      <c r="E657" s="20"/>
      <c r="F657" s="21" t="str">
        <f aca="false">IF(B657="","",IFERROR(INDEX(Fields!$C:$C,MATCH(B657,Fields!$A:$A,0)),""))</f>
        <v/>
      </c>
      <c r="G657" s="18" t="str">
        <f aca="false">IF(A657="","",COUNTIF('Metric to Product'!$A:$A,A657))</f>
        <v/>
      </c>
      <c r="H657" s="20"/>
      <c r="I657" s="20"/>
      <c r="J657" s="20"/>
      <c r="K657" s="20"/>
    </row>
    <row r="658" customFormat="false" ht="15" hidden="false" customHeight="false" outlineLevel="0" collapsed="false">
      <c r="A658" s="18" t="str">
        <f aca="false">IF(C658="","",IFERROR(INDEX(Metrics!$A:$A,MATCH(C658,Metrics!$C:$C,0)),"Not found"))</f>
        <v/>
      </c>
      <c r="B658" s="18" t="str">
        <f aca="false">IF(D658="","",IFERROR(INDEX(Fields!$A:$A,MATCH(D658,Fields!$B:$B,0)),"Not found"))</f>
        <v/>
      </c>
      <c r="C658" s="20"/>
      <c r="D658" s="20"/>
      <c r="E658" s="20"/>
      <c r="F658" s="21" t="str">
        <f aca="false">IF(B658="","",IFERROR(INDEX(Fields!$C:$C,MATCH(B658,Fields!$A:$A,0)),""))</f>
        <v/>
      </c>
      <c r="G658" s="18" t="str">
        <f aca="false">IF(A658="","",COUNTIF('Metric to Product'!$A:$A,A658))</f>
        <v/>
      </c>
      <c r="H658" s="20"/>
      <c r="I658" s="20"/>
      <c r="J658" s="20"/>
      <c r="K658" s="20"/>
    </row>
    <row r="659" customFormat="false" ht="15" hidden="false" customHeight="false" outlineLevel="0" collapsed="false">
      <c r="A659" s="18" t="str">
        <f aca="false">IF(C659="","",IFERROR(INDEX(Metrics!$A:$A,MATCH(C659,Metrics!$C:$C,0)),"Not found"))</f>
        <v/>
      </c>
      <c r="B659" s="18" t="str">
        <f aca="false">IF(D659="","",IFERROR(INDEX(Fields!$A:$A,MATCH(D659,Fields!$B:$B,0)),"Not found"))</f>
        <v/>
      </c>
      <c r="C659" s="20"/>
      <c r="D659" s="20"/>
      <c r="E659" s="20"/>
      <c r="F659" s="21" t="str">
        <f aca="false">IF(B659="","",IFERROR(INDEX(Fields!$C:$C,MATCH(B659,Fields!$A:$A,0)),""))</f>
        <v/>
      </c>
      <c r="G659" s="18" t="str">
        <f aca="false">IF(A659="","",COUNTIF('Metric to Product'!$A:$A,A659))</f>
        <v/>
      </c>
      <c r="H659" s="20"/>
      <c r="I659" s="20"/>
      <c r="J659" s="20"/>
      <c r="K659" s="20"/>
    </row>
    <row r="660" customFormat="false" ht="15" hidden="false" customHeight="false" outlineLevel="0" collapsed="false">
      <c r="A660" s="18" t="str">
        <f aca="false">IF(C660="","",IFERROR(INDEX(Metrics!$A:$A,MATCH(C660,Metrics!$C:$C,0)),"Not found"))</f>
        <v/>
      </c>
      <c r="B660" s="18" t="str">
        <f aca="false">IF(D660="","",IFERROR(INDEX(Fields!$A:$A,MATCH(D660,Fields!$B:$B,0)),"Not found"))</f>
        <v/>
      </c>
      <c r="C660" s="20"/>
      <c r="D660" s="20"/>
      <c r="E660" s="20"/>
      <c r="F660" s="21" t="str">
        <f aca="false">IF(B660="","",IFERROR(INDEX(Fields!$C:$C,MATCH(B660,Fields!$A:$A,0)),""))</f>
        <v/>
      </c>
      <c r="G660" s="18" t="str">
        <f aca="false">IF(A660="","",COUNTIF('Metric to Product'!$A:$A,A660))</f>
        <v/>
      </c>
      <c r="H660" s="20"/>
      <c r="I660" s="20"/>
      <c r="J660" s="20"/>
      <c r="K660" s="20"/>
    </row>
    <row r="661" customFormat="false" ht="15" hidden="false" customHeight="false" outlineLevel="0" collapsed="false">
      <c r="A661" s="18" t="str">
        <f aca="false">IF(C661="","",IFERROR(INDEX(Metrics!$A:$A,MATCH(C661,Metrics!$C:$C,0)),"Not found"))</f>
        <v/>
      </c>
      <c r="B661" s="18" t="str">
        <f aca="false">IF(D661="","",IFERROR(INDEX(Fields!$A:$A,MATCH(D661,Fields!$B:$B,0)),"Not found"))</f>
        <v/>
      </c>
      <c r="C661" s="20"/>
      <c r="D661" s="20"/>
      <c r="E661" s="20"/>
      <c r="F661" s="21" t="str">
        <f aca="false">IF(B661="","",IFERROR(INDEX(Fields!$C:$C,MATCH(B661,Fields!$A:$A,0)),""))</f>
        <v/>
      </c>
      <c r="G661" s="18" t="str">
        <f aca="false">IF(A661="","",COUNTIF('Metric to Product'!$A:$A,A661))</f>
        <v/>
      </c>
      <c r="H661" s="20"/>
      <c r="I661" s="20"/>
      <c r="J661" s="20"/>
      <c r="K661" s="20"/>
    </row>
    <row r="662" customFormat="false" ht="15" hidden="false" customHeight="false" outlineLevel="0" collapsed="false">
      <c r="A662" s="18" t="str">
        <f aca="false">IF(C662="","",IFERROR(INDEX(Metrics!$A:$A,MATCH(C662,Metrics!$C:$C,0)),"Not found"))</f>
        <v/>
      </c>
      <c r="B662" s="18" t="str">
        <f aca="false">IF(D662="","",IFERROR(INDEX(Fields!$A:$A,MATCH(D662,Fields!$B:$B,0)),"Not found"))</f>
        <v/>
      </c>
      <c r="C662" s="20"/>
      <c r="D662" s="20"/>
      <c r="E662" s="20"/>
      <c r="F662" s="21" t="str">
        <f aca="false">IF(B662="","",IFERROR(INDEX(Fields!$C:$C,MATCH(B662,Fields!$A:$A,0)),""))</f>
        <v/>
      </c>
      <c r="G662" s="18" t="str">
        <f aca="false">IF(A662="","",COUNTIF('Metric to Product'!$A:$A,A662))</f>
        <v/>
      </c>
      <c r="H662" s="20"/>
      <c r="I662" s="20"/>
      <c r="J662" s="20"/>
      <c r="K662" s="20"/>
    </row>
    <row r="663" customFormat="false" ht="15" hidden="false" customHeight="false" outlineLevel="0" collapsed="false">
      <c r="A663" s="18" t="str">
        <f aca="false">IF(C663="","",IFERROR(INDEX(Metrics!$A:$A,MATCH(C663,Metrics!$C:$C,0)),"Not found"))</f>
        <v/>
      </c>
      <c r="B663" s="18" t="str">
        <f aca="false">IF(D663="","",IFERROR(INDEX(Fields!$A:$A,MATCH(D663,Fields!$B:$B,0)),"Not found"))</f>
        <v/>
      </c>
      <c r="C663" s="20"/>
      <c r="D663" s="20"/>
      <c r="E663" s="20"/>
      <c r="F663" s="21" t="str">
        <f aca="false">IF(B663="","",IFERROR(INDEX(Fields!$C:$C,MATCH(B663,Fields!$A:$A,0)),""))</f>
        <v/>
      </c>
      <c r="G663" s="18" t="str">
        <f aca="false">IF(A663="","",COUNTIF('Metric to Product'!$A:$A,A663))</f>
        <v/>
      </c>
      <c r="H663" s="20"/>
      <c r="I663" s="20"/>
      <c r="J663" s="20"/>
      <c r="K663" s="20"/>
    </row>
    <row r="664" customFormat="false" ht="15" hidden="false" customHeight="false" outlineLevel="0" collapsed="false">
      <c r="A664" s="18" t="str">
        <f aca="false">IF(C664="","",IFERROR(INDEX(Metrics!$A:$A,MATCH(C664,Metrics!$C:$C,0)),"Not found"))</f>
        <v/>
      </c>
      <c r="B664" s="18" t="str">
        <f aca="false">IF(D664="","",IFERROR(INDEX(Fields!$A:$A,MATCH(D664,Fields!$B:$B,0)),"Not found"))</f>
        <v/>
      </c>
      <c r="C664" s="20"/>
      <c r="D664" s="20"/>
      <c r="E664" s="20"/>
      <c r="F664" s="21" t="str">
        <f aca="false">IF(B664="","",IFERROR(INDEX(Fields!$C:$C,MATCH(B664,Fields!$A:$A,0)),""))</f>
        <v/>
      </c>
      <c r="G664" s="18" t="str">
        <f aca="false">IF(A664="","",COUNTIF('Metric to Product'!$A:$A,A664))</f>
        <v/>
      </c>
      <c r="H664" s="20"/>
      <c r="I664" s="20"/>
      <c r="J664" s="20"/>
      <c r="K664" s="20"/>
    </row>
    <row r="665" customFormat="false" ht="15" hidden="false" customHeight="false" outlineLevel="0" collapsed="false">
      <c r="A665" s="18" t="str">
        <f aca="false">IF(C665="","",IFERROR(INDEX(Metrics!$A:$A,MATCH(C665,Metrics!$C:$C,0)),"Not found"))</f>
        <v/>
      </c>
      <c r="B665" s="18" t="str">
        <f aca="false">IF(D665="","",IFERROR(INDEX(Fields!$A:$A,MATCH(D665,Fields!$B:$B,0)),"Not found"))</f>
        <v/>
      </c>
      <c r="C665" s="20"/>
      <c r="D665" s="20"/>
      <c r="E665" s="20"/>
      <c r="F665" s="21" t="str">
        <f aca="false">IF(B665="","",IFERROR(INDEX(Fields!$C:$C,MATCH(B665,Fields!$A:$A,0)),""))</f>
        <v/>
      </c>
      <c r="G665" s="18" t="str">
        <f aca="false">IF(A665="","",COUNTIF('Metric to Product'!$A:$A,A665))</f>
        <v/>
      </c>
      <c r="H665" s="20"/>
      <c r="I665" s="20"/>
      <c r="J665" s="20"/>
      <c r="K665" s="20"/>
    </row>
    <row r="666" customFormat="false" ht="15" hidden="false" customHeight="false" outlineLevel="0" collapsed="false">
      <c r="A666" s="18" t="str">
        <f aca="false">IF(C666="","",IFERROR(INDEX(Metrics!$A:$A,MATCH(C666,Metrics!$C:$C,0)),"Not found"))</f>
        <v/>
      </c>
      <c r="B666" s="18" t="str">
        <f aca="false">IF(D666="","",IFERROR(INDEX(Fields!$A:$A,MATCH(D666,Fields!$B:$B,0)),"Not found"))</f>
        <v/>
      </c>
      <c r="C666" s="20"/>
      <c r="D666" s="20"/>
      <c r="E666" s="20"/>
      <c r="F666" s="21" t="str">
        <f aca="false">IF(B666="","",IFERROR(INDEX(Fields!$C:$C,MATCH(B666,Fields!$A:$A,0)),""))</f>
        <v/>
      </c>
      <c r="G666" s="18" t="str">
        <f aca="false">IF(A666="","",COUNTIF('Metric to Product'!$A:$A,A666))</f>
        <v/>
      </c>
      <c r="H666" s="20"/>
      <c r="I666" s="20"/>
      <c r="J666" s="20"/>
      <c r="K666" s="20"/>
    </row>
    <row r="667" customFormat="false" ht="15" hidden="false" customHeight="false" outlineLevel="0" collapsed="false">
      <c r="A667" s="18" t="str">
        <f aca="false">IF(C667="","",IFERROR(INDEX(Metrics!$A:$A,MATCH(C667,Metrics!$C:$C,0)),"Not found"))</f>
        <v/>
      </c>
      <c r="B667" s="18" t="str">
        <f aca="false">IF(D667="","",IFERROR(INDEX(Fields!$A:$A,MATCH(D667,Fields!$B:$B,0)),"Not found"))</f>
        <v/>
      </c>
      <c r="C667" s="20"/>
      <c r="D667" s="20"/>
      <c r="E667" s="20"/>
      <c r="F667" s="21" t="str">
        <f aca="false">IF(B667="","",IFERROR(INDEX(Fields!$C:$C,MATCH(B667,Fields!$A:$A,0)),""))</f>
        <v/>
      </c>
      <c r="G667" s="18" t="str">
        <f aca="false">IF(A667="","",COUNTIF('Metric to Product'!$A:$A,A667))</f>
        <v/>
      </c>
      <c r="H667" s="20"/>
      <c r="I667" s="20"/>
      <c r="J667" s="20"/>
      <c r="K667" s="20"/>
    </row>
    <row r="668" customFormat="false" ht="15" hidden="false" customHeight="false" outlineLevel="0" collapsed="false">
      <c r="A668" s="18" t="str">
        <f aca="false">IF(C668="","",IFERROR(INDEX(Metrics!$A:$A,MATCH(C668,Metrics!$C:$C,0)),"Not found"))</f>
        <v/>
      </c>
      <c r="B668" s="18" t="str">
        <f aca="false">IF(D668="","",IFERROR(INDEX(Fields!$A:$A,MATCH(D668,Fields!$B:$B,0)),"Not found"))</f>
        <v/>
      </c>
      <c r="C668" s="20"/>
      <c r="D668" s="20"/>
      <c r="E668" s="20"/>
      <c r="F668" s="21" t="str">
        <f aca="false">IF(B668="","",IFERROR(INDEX(Fields!$C:$C,MATCH(B668,Fields!$A:$A,0)),""))</f>
        <v/>
      </c>
      <c r="G668" s="18" t="str">
        <f aca="false">IF(A668="","",COUNTIF('Metric to Product'!$A:$A,A668))</f>
        <v/>
      </c>
      <c r="H668" s="20"/>
      <c r="I668" s="20"/>
      <c r="J668" s="20"/>
      <c r="K668" s="20"/>
    </row>
    <row r="669" customFormat="false" ht="15" hidden="false" customHeight="false" outlineLevel="0" collapsed="false">
      <c r="A669" s="18" t="str">
        <f aca="false">IF(C669="","",IFERROR(INDEX(Metrics!$A:$A,MATCH(C669,Metrics!$C:$C,0)),"Not found"))</f>
        <v/>
      </c>
      <c r="B669" s="18" t="str">
        <f aca="false">IF(D669="","",IFERROR(INDEX(Fields!$A:$A,MATCH(D669,Fields!$B:$B,0)),"Not found"))</f>
        <v/>
      </c>
      <c r="C669" s="20"/>
      <c r="D669" s="20"/>
      <c r="E669" s="20"/>
      <c r="F669" s="21" t="str">
        <f aca="false">IF(B669="","",IFERROR(INDEX(Fields!$C:$C,MATCH(B669,Fields!$A:$A,0)),""))</f>
        <v/>
      </c>
      <c r="G669" s="18" t="str">
        <f aca="false">IF(A669="","",COUNTIF('Metric to Product'!$A:$A,A669))</f>
        <v/>
      </c>
      <c r="H669" s="20"/>
      <c r="I669" s="20"/>
      <c r="J669" s="20"/>
      <c r="K669" s="20"/>
    </row>
    <row r="670" customFormat="false" ht="15" hidden="false" customHeight="false" outlineLevel="0" collapsed="false">
      <c r="A670" s="18" t="str">
        <f aca="false">IF(C670="","",IFERROR(INDEX(Metrics!$A:$A,MATCH(C670,Metrics!$C:$C,0)),"Not found"))</f>
        <v/>
      </c>
      <c r="B670" s="18" t="str">
        <f aca="false">IF(D670="","",IFERROR(INDEX(Fields!$A:$A,MATCH(D670,Fields!$B:$B,0)),"Not found"))</f>
        <v/>
      </c>
      <c r="C670" s="20"/>
      <c r="D670" s="20"/>
      <c r="E670" s="20"/>
      <c r="F670" s="21" t="str">
        <f aca="false">IF(B670="","",IFERROR(INDEX(Fields!$C:$C,MATCH(B670,Fields!$A:$A,0)),""))</f>
        <v/>
      </c>
      <c r="G670" s="18" t="str">
        <f aca="false">IF(A670="","",COUNTIF('Metric to Product'!$A:$A,A670))</f>
        <v/>
      </c>
      <c r="H670" s="20"/>
      <c r="I670" s="20"/>
      <c r="J670" s="20"/>
      <c r="K670" s="20"/>
    </row>
    <row r="671" customFormat="false" ht="15" hidden="false" customHeight="false" outlineLevel="0" collapsed="false">
      <c r="A671" s="18" t="str">
        <f aca="false">IF(C671="","",IFERROR(INDEX(Metrics!$A:$A,MATCH(C671,Metrics!$C:$C,0)),"Not found"))</f>
        <v/>
      </c>
      <c r="B671" s="18" t="str">
        <f aca="false">IF(D671="","",IFERROR(INDEX(Fields!$A:$A,MATCH(D671,Fields!$B:$B,0)),"Not found"))</f>
        <v/>
      </c>
      <c r="C671" s="20"/>
      <c r="D671" s="20"/>
      <c r="E671" s="20"/>
      <c r="F671" s="21" t="str">
        <f aca="false">IF(B671="","",IFERROR(INDEX(Fields!$C:$C,MATCH(B671,Fields!$A:$A,0)),""))</f>
        <v/>
      </c>
      <c r="G671" s="18" t="str">
        <f aca="false">IF(A671="","",COUNTIF('Metric to Product'!$A:$A,A671))</f>
        <v/>
      </c>
      <c r="H671" s="20"/>
      <c r="I671" s="20"/>
      <c r="J671" s="20"/>
      <c r="K671" s="20"/>
    </row>
    <row r="672" customFormat="false" ht="15" hidden="false" customHeight="false" outlineLevel="0" collapsed="false">
      <c r="A672" s="18" t="str">
        <f aca="false">IF(C672="","",IFERROR(INDEX(Metrics!$A:$A,MATCH(C672,Metrics!$C:$C,0)),"Not found"))</f>
        <v/>
      </c>
      <c r="B672" s="18" t="str">
        <f aca="false">IF(D672="","",IFERROR(INDEX(Fields!$A:$A,MATCH(D672,Fields!$B:$B,0)),"Not found"))</f>
        <v/>
      </c>
      <c r="C672" s="20"/>
      <c r="D672" s="20"/>
      <c r="E672" s="20"/>
      <c r="F672" s="21" t="str">
        <f aca="false">IF(B672="","",IFERROR(INDEX(Fields!$C:$C,MATCH(B672,Fields!$A:$A,0)),""))</f>
        <v/>
      </c>
      <c r="G672" s="18" t="str">
        <f aca="false">IF(A672="","",COUNTIF('Metric to Product'!$A:$A,A672))</f>
        <v/>
      </c>
      <c r="H672" s="20"/>
      <c r="I672" s="20"/>
      <c r="J672" s="20"/>
      <c r="K672" s="20"/>
    </row>
    <row r="673" customFormat="false" ht="15" hidden="false" customHeight="false" outlineLevel="0" collapsed="false">
      <c r="A673" s="18" t="str">
        <f aca="false">IF(C673="","",IFERROR(INDEX(Metrics!$A:$A,MATCH(C673,Metrics!$C:$C,0)),"Not found"))</f>
        <v/>
      </c>
      <c r="B673" s="18" t="str">
        <f aca="false">IF(D673="","",IFERROR(INDEX(Fields!$A:$A,MATCH(D673,Fields!$B:$B,0)),"Not found"))</f>
        <v/>
      </c>
      <c r="C673" s="20"/>
      <c r="D673" s="20"/>
      <c r="E673" s="20"/>
      <c r="F673" s="21" t="str">
        <f aca="false">IF(B673="","",IFERROR(INDEX(Fields!$C:$C,MATCH(B673,Fields!$A:$A,0)),""))</f>
        <v/>
      </c>
      <c r="G673" s="18" t="str">
        <f aca="false">IF(A673="","",COUNTIF('Metric to Product'!$A:$A,A673))</f>
        <v/>
      </c>
      <c r="H673" s="20"/>
      <c r="I673" s="20"/>
      <c r="J673" s="20"/>
      <c r="K673" s="20"/>
    </row>
    <row r="674" customFormat="false" ht="15" hidden="false" customHeight="false" outlineLevel="0" collapsed="false">
      <c r="A674" s="18" t="str">
        <f aca="false">IF(C674="","",IFERROR(INDEX(Metrics!$A:$A,MATCH(C674,Metrics!$C:$C,0)),"Not found"))</f>
        <v/>
      </c>
      <c r="B674" s="18" t="str">
        <f aca="false">IF(D674="","",IFERROR(INDEX(Fields!$A:$A,MATCH(D674,Fields!$B:$B,0)),"Not found"))</f>
        <v/>
      </c>
      <c r="C674" s="20"/>
      <c r="D674" s="20"/>
      <c r="E674" s="20"/>
      <c r="F674" s="21" t="str">
        <f aca="false">IF(B674="","",IFERROR(INDEX(Fields!$C:$C,MATCH(B674,Fields!$A:$A,0)),""))</f>
        <v/>
      </c>
      <c r="G674" s="18" t="str">
        <f aca="false">IF(A674="","",COUNTIF('Metric to Product'!$A:$A,A674))</f>
        <v/>
      </c>
      <c r="H674" s="20"/>
      <c r="I674" s="20"/>
      <c r="J674" s="20"/>
      <c r="K674" s="20"/>
    </row>
    <row r="675" customFormat="false" ht="15" hidden="false" customHeight="false" outlineLevel="0" collapsed="false">
      <c r="A675" s="18" t="str">
        <f aca="false">IF(C675="","",IFERROR(INDEX(Metrics!$A:$A,MATCH(C675,Metrics!$C:$C,0)),"Not found"))</f>
        <v/>
      </c>
      <c r="B675" s="18" t="str">
        <f aca="false">IF(D675="","",IFERROR(INDEX(Fields!$A:$A,MATCH(D675,Fields!$B:$B,0)),"Not found"))</f>
        <v/>
      </c>
      <c r="C675" s="20"/>
      <c r="D675" s="20"/>
      <c r="E675" s="20"/>
      <c r="F675" s="21" t="str">
        <f aca="false">IF(B675="","",IFERROR(INDEX(Fields!$C:$C,MATCH(B675,Fields!$A:$A,0)),""))</f>
        <v/>
      </c>
      <c r="G675" s="18" t="str">
        <f aca="false">IF(A675="","",COUNTIF('Metric to Product'!$A:$A,A675))</f>
        <v/>
      </c>
      <c r="H675" s="20"/>
      <c r="I675" s="20"/>
      <c r="J675" s="20"/>
      <c r="K675" s="20"/>
    </row>
    <row r="676" customFormat="false" ht="15" hidden="false" customHeight="false" outlineLevel="0" collapsed="false">
      <c r="A676" s="18" t="str">
        <f aca="false">IF(C676="","",IFERROR(INDEX(Metrics!$A:$A,MATCH(C676,Metrics!$C:$C,0)),"Not found"))</f>
        <v/>
      </c>
      <c r="B676" s="18" t="str">
        <f aca="false">IF(D676="","",IFERROR(INDEX(Fields!$A:$A,MATCH(D676,Fields!$B:$B,0)),"Not found"))</f>
        <v/>
      </c>
      <c r="C676" s="20"/>
      <c r="D676" s="20"/>
      <c r="E676" s="20"/>
      <c r="F676" s="21" t="str">
        <f aca="false">IF(B676="","",IFERROR(INDEX(Fields!$C:$C,MATCH(B676,Fields!$A:$A,0)),""))</f>
        <v/>
      </c>
      <c r="G676" s="18" t="str">
        <f aca="false">IF(A676="","",COUNTIF('Metric to Product'!$A:$A,A676))</f>
        <v/>
      </c>
      <c r="H676" s="20"/>
      <c r="I676" s="20"/>
      <c r="J676" s="20"/>
      <c r="K676" s="20"/>
    </row>
    <row r="677" customFormat="false" ht="15" hidden="false" customHeight="false" outlineLevel="0" collapsed="false">
      <c r="A677" s="18" t="str">
        <f aca="false">IF(C677="","",IFERROR(INDEX(Metrics!$A:$A,MATCH(C677,Metrics!$C:$C,0)),"Not found"))</f>
        <v/>
      </c>
      <c r="B677" s="18" t="str">
        <f aca="false">IF(D677="","",IFERROR(INDEX(Fields!$A:$A,MATCH(D677,Fields!$B:$B,0)),"Not found"))</f>
        <v/>
      </c>
      <c r="C677" s="20"/>
      <c r="D677" s="20"/>
      <c r="E677" s="20"/>
      <c r="F677" s="21" t="str">
        <f aca="false">IF(B677="","",IFERROR(INDEX(Fields!$C:$C,MATCH(B677,Fields!$A:$A,0)),""))</f>
        <v/>
      </c>
      <c r="G677" s="18" t="str">
        <f aca="false">IF(A677="","",COUNTIF('Metric to Product'!$A:$A,A677))</f>
        <v/>
      </c>
      <c r="H677" s="20"/>
      <c r="I677" s="20"/>
      <c r="J677" s="20"/>
      <c r="K677" s="20"/>
    </row>
    <row r="678" customFormat="false" ht="15" hidden="false" customHeight="false" outlineLevel="0" collapsed="false">
      <c r="A678" s="18" t="str">
        <f aca="false">IF(C678="","",IFERROR(INDEX(Metrics!$A:$A,MATCH(C678,Metrics!$C:$C,0)),"Not found"))</f>
        <v/>
      </c>
      <c r="B678" s="18" t="str">
        <f aca="false">IF(D678="","",IFERROR(INDEX(Fields!$A:$A,MATCH(D678,Fields!$B:$B,0)),"Not found"))</f>
        <v/>
      </c>
      <c r="C678" s="20"/>
      <c r="D678" s="20"/>
      <c r="E678" s="20"/>
      <c r="F678" s="21" t="str">
        <f aca="false">IF(B678="","",IFERROR(INDEX(Fields!$C:$C,MATCH(B678,Fields!$A:$A,0)),""))</f>
        <v/>
      </c>
      <c r="G678" s="18" t="str">
        <f aca="false">IF(A678="","",COUNTIF('Metric to Product'!$A:$A,A678))</f>
        <v/>
      </c>
      <c r="H678" s="20"/>
      <c r="I678" s="20"/>
      <c r="J678" s="20"/>
      <c r="K678" s="20"/>
    </row>
    <row r="679" customFormat="false" ht="15" hidden="false" customHeight="false" outlineLevel="0" collapsed="false">
      <c r="A679" s="18" t="str">
        <f aca="false">IF(C679="","",IFERROR(INDEX(Metrics!$A:$A,MATCH(C679,Metrics!$C:$C,0)),"Not found"))</f>
        <v/>
      </c>
      <c r="B679" s="18" t="str">
        <f aca="false">IF(D679="","",IFERROR(INDEX(Fields!$A:$A,MATCH(D679,Fields!$B:$B,0)),"Not found"))</f>
        <v/>
      </c>
      <c r="C679" s="20"/>
      <c r="D679" s="20"/>
      <c r="E679" s="20"/>
      <c r="F679" s="21" t="str">
        <f aca="false">IF(B679="","",IFERROR(INDEX(Fields!$C:$C,MATCH(B679,Fields!$A:$A,0)),""))</f>
        <v/>
      </c>
      <c r="G679" s="18" t="str">
        <f aca="false">IF(A679="","",COUNTIF('Metric to Product'!$A:$A,A679))</f>
        <v/>
      </c>
      <c r="H679" s="20"/>
      <c r="I679" s="20"/>
      <c r="J679" s="20"/>
      <c r="K679" s="20"/>
    </row>
    <row r="680" customFormat="false" ht="15" hidden="false" customHeight="false" outlineLevel="0" collapsed="false">
      <c r="A680" s="18" t="str">
        <f aca="false">IF(C680="","",IFERROR(INDEX(Metrics!$A:$A,MATCH(C680,Metrics!$C:$C,0)),"Not found"))</f>
        <v/>
      </c>
      <c r="B680" s="18" t="str">
        <f aca="false">IF(D680="","",IFERROR(INDEX(Fields!$A:$A,MATCH(D680,Fields!$B:$B,0)),"Not found"))</f>
        <v/>
      </c>
      <c r="C680" s="20"/>
      <c r="D680" s="20"/>
      <c r="E680" s="20"/>
      <c r="F680" s="21" t="str">
        <f aca="false">IF(B680="","",IFERROR(INDEX(Fields!$C:$C,MATCH(B680,Fields!$A:$A,0)),""))</f>
        <v/>
      </c>
      <c r="G680" s="18" t="str">
        <f aca="false">IF(A680="","",COUNTIF('Metric to Product'!$A:$A,A680))</f>
        <v/>
      </c>
      <c r="H680" s="20"/>
      <c r="I680" s="20"/>
      <c r="J680" s="20"/>
      <c r="K680" s="20"/>
    </row>
    <row r="681" customFormat="false" ht="15" hidden="false" customHeight="false" outlineLevel="0" collapsed="false">
      <c r="A681" s="18" t="str">
        <f aca="false">IF(C681="","",IFERROR(INDEX(Metrics!$A:$A,MATCH(C681,Metrics!$C:$C,0)),"Not found"))</f>
        <v/>
      </c>
      <c r="B681" s="18" t="str">
        <f aca="false">IF(D681="","",IFERROR(INDEX(Fields!$A:$A,MATCH(D681,Fields!$B:$B,0)),"Not found"))</f>
        <v/>
      </c>
      <c r="C681" s="20"/>
      <c r="D681" s="20"/>
      <c r="E681" s="20"/>
      <c r="F681" s="21" t="str">
        <f aca="false">IF(B681="","",IFERROR(INDEX(Fields!$C:$C,MATCH(B681,Fields!$A:$A,0)),""))</f>
        <v/>
      </c>
      <c r="G681" s="18" t="str">
        <f aca="false">IF(A681="","",COUNTIF('Metric to Product'!$A:$A,A681))</f>
        <v/>
      </c>
      <c r="H681" s="20"/>
      <c r="I681" s="20"/>
      <c r="J681" s="20"/>
      <c r="K681" s="20"/>
    </row>
    <row r="682" customFormat="false" ht="15" hidden="false" customHeight="false" outlineLevel="0" collapsed="false">
      <c r="A682" s="18" t="str">
        <f aca="false">IF(C682="","",IFERROR(INDEX(Metrics!$A:$A,MATCH(C682,Metrics!$C:$C,0)),"Not found"))</f>
        <v/>
      </c>
      <c r="B682" s="18" t="str">
        <f aca="false">IF(D682="","",IFERROR(INDEX(Fields!$A:$A,MATCH(D682,Fields!$B:$B,0)),"Not found"))</f>
        <v/>
      </c>
      <c r="C682" s="20"/>
      <c r="D682" s="20"/>
      <c r="E682" s="20"/>
      <c r="F682" s="21" t="str">
        <f aca="false">IF(B682="","",IFERROR(INDEX(Fields!$C:$C,MATCH(B682,Fields!$A:$A,0)),""))</f>
        <v/>
      </c>
      <c r="G682" s="18" t="str">
        <f aca="false">IF(A682="","",COUNTIF('Metric to Product'!$A:$A,A682))</f>
        <v/>
      </c>
      <c r="H682" s="20"/>
      <c r="I682" s="20"/>
      <c r="J682" s="20"/>
      <c r="K682" s="20"/>
    </row>
    <row r="683" customFormat="false" ht="15" hidden="false" customHeight="false" outlineLevel="0" collapsed="false">
      <c r="A683" s="18" t="str">
        <f aca="false">IF(C683="","",IFERROR(INDEX(Metrics!$A:$A,MATCH(C683,Metrics!$C:$C,0)),"Not found"))</f>
        <v/>
      </c>
      <c r="B683" s="18" t="str">
        <f aca="false">IF(D683="","",IFERROR(INDEX(Fields!$A:$A,MATCH(D683,Fields!$B:$B,0)),"Not found"))</f>
        <v/>
      </c>
      <c r="C683" s="20"/>
      <c r="D683" s="20"/>
      <c r="E683" s="20"/>
      <c r="F683" s="21" t="str">
        <f aca="false">IF(B683="","",IFERROR(INDEX(Fields!$C:$C,MATCH(B683,Fields!$A:$A,0)),""))</f>
        <v/>
      </c>
      <c r="G683" s="18" t="str">
        <f aca="false">IF(A683="","",COUNTIF('Metric to Product'!$A:$A,A683))</f>
        <v/>
      </c>
      <c r="H683" s="20"/>
      <c r="I683" s="20"/>
      <c r="J683" s="20"/>
      <c r="K683" s="20"/>
    </row>
    <row r="684" customFormat="false" ht="15" hidden="false" customHeight="false" outlineLevel="0" collapsed="false">
      <c r="A684" s="18" t="str">
        <f aca="false">IF(C684="","",IFERROR(INDEX(Metrics!$A:$A,MATCH(C684,Metrics!$C:$C,0)),"Not found"))</f>
        <v/>
      </c>
      <c r="B684" s="18" t="str">
        <f aca="false">IF(D684="","",IFERROR(INDEX(Fields!$A:$A,MATCH(D684,Fields!$B:$B,0)),"Not found"))</f>
        <v/>
      </c>
      <c r="C684" s="20"/>
      <c r="D684" s="20"/>
      <c r="E684" s="20"/>
      <c r="F684" s="21" t="str">
        <f aca="false">IF(B684="","",IFERROR(INDEX(Fields!$C:$C,MATCH(B684,Fields!$A:$A,0)),""))</f>
        <v/>
      </c>
      <c r="G684" s="18" t="str">
        <f aca="false">IF(A684="","",COUNTIF('Metric to Product'!$A:$A,A684))</f>
        <v/>
      </c>
      <c r="H684" s="20"/>
      <c r="I684" s="20"/>
      <c r="J684" s="20"/>
      <c r="K684" s="20"/>
    </row>
    <row r="685" customFormat="false" ht="15" hidden="false" customHeight="false" outlineLevel="0" collapsed="false">
      <c r="A685" s="18" t="str">
        <f aca="false">IF(C685="","",IFERROR(INDEX(Metrics!$A:$A,MATCH(C685,Metrics!$C:$C,0)),"Not found"))</f>
        <v/>
      </c>
      <c r="B685" s="18" t="str">
        <f aca="false">IF(D685="","",IFERROR(INDEX(Fields!$A:$A,MATCH(D685,Fields!$B:$B,0)),"Not found"))</f>
        <v/>
      </c>
      <c r="C685" s="20"/>
      <c r="D685" s="20"/>
      <c r="E685" s="20"/>
      <c r="F685" s="21" t="str">
        <f aca="false">IF(B685="","",IFERROR(INDEX(Fields!$C:$C,MATCH(B685,Fields!$A:$A,0)),""))</f>
        <v/>
      </c>
      <c r="G685" s="18" t="str">
        <f aca="false">IF(A685="","",COUNTIF('Metric to Product'!$A:$A,A685))</f>
        <v/>
      </c>
      <c r="H685" s="20"/>
      <c r="I685" s="20"/>
      <c r="J685" s="20"/>
      <c r="K685" s="20"/>
    </row>
    <row r="686" customFormat="false" ht="15" hidden="false" customHeight="false" outlineLevel="0" collapsed="false">
      <c r="A686" s="18" t="str">
        <f aca="false">IF(C686="","",IFERROR(INDEX(Metrics!$A:$A,MATCH(C686,Metrics!$C:$C,0)),"Not found"))</f>
        <v/>
      </c>
      <c r="B686" s="18" t="str">
        <f aca="false">IF(D686="","",IFERROR(INDEX(Fields!$A:$A,MATCH(D686,Fields!$B:$B,0)),"Not found"))</f>
        <v/>
      </c>
      <c r="C686" s="20"/>
      <c r="D686" s="20"/>
      <c r="E686" s="20"/>
      <c r="F686" s="21" t="str">
        <f aca="false">IF(B686="","",IFERROR(INDEX(Fields!$C:$C,MATCH(B686,Fields!$A:$A,0)),""))</f>
        <v/>
      </c>
      <c r="G686" s="18" t="str">
        <f aca="false">IF(A686="","",COUNTIF('Metric to Product'!$A:$A,A686))</f>
        <v/>
      </c>
      <c r="H686" s="20"/>
      <c r="I686" s="20"/>
      <c r="J686" s="20"/>
      <c r="K686" s="20"/>
    </row>
    <row r="687" customFormat="false" ht="15" hidden="false" customHeight="false" outlineLevel="0" collapsed="false">
      <c r="A687" s="18" t="str">
        <f aca="false">IF(C687="","",IFERROR(INDEX(Metrics!$A:$A,MATCH(C687,Metrics!$C:$C,0)),"Not found"))</f>
        <v/>
      </c>
      <c r="B687" s="18" t="str">
        <f aca="false">IF(D687="","",IFERROR(INDEX(Fields!$A:$A,MATCH(D687,Fields!$B:$B,0)),"Not found"))</f>
        <v/>
      </c>
      <c r="C687" s="20"/>
      <c r="D687" s="20"/>
      <c r="E687" s="20"/>
      <c r="F687" s="21" t="str">
        <f aca="false">IF(B687="","",IFERROR(INDEX(Fields!$C:$C,MATCH(B687,Fields!$A:$A,0)),""))</f>
        <v/>
      </c>
      <c r="G687" s="18" t="str">
        <f aca="false">IF(A687="","",COUNTIF('Metric to Product'!$A:$A,A687))</f>
        <v/>
      </c>
      <c r="H687" s="20"/>
      <c r="I687" s="20"/>
      <c r="J687" s="20"/>
      <c r="K687" s="20"/>
    </row>
    <row r="688" customFormat="false" ht="15" hidden="false" customHeight="false" outlineLevel="0" collapsed="false">
      <c r="A688" s="18" t="str">
        <f aca="false">IF(C688="","",IFERROR(INDEX(Metrics!$A:$A,MATCH(C688,Metrics!$C:$C,0)),"Not found"))</f>
        <v/>
      </c>
      <c r="B688" s="18" t="str">
        <f aca="false">IF(D688="","",IFERROR(INDEX(Fields!$A:$A,MATCH(D688,Fields!$B:$B,0)),"Not found"))</f>
        <v/>
      </c>
      <c r="C688" s="20"/>
      <c r="D688" s="20"/>
      <c r="E688" s="20"/>
      <c r="F688" s="21" t="str">
        <f aca="false">IF(B688="","",IFERROR(INDEX(Fields!$C:$C,MATCH(B688,Fields!$A:$A,0)),""))</f>
        <v/>
      </c>
      <c r="G688" s="18" t="str">
        <f aca="false">IF(A688="","",COUNTIF('Metric to Product'!$A:$A,A688))</f>
        <v/>
      </c>
      <c r="H688" s="20"/>
      <c r="I688" s="20"/>
      <c r="J688" s="20"/>
      <c r="K688" s="20"/>
    </row>
    <row r="689" customFormat="false" ht="15" hidden="false" customHeight="false" outlineLevel="0" collapsed="false">
      <c r="A689" s="18" t="str">
        <f aca="false">IF(C689="","",IFERROR(INDEX(Metrics!$A:$A,MATCH(C689,Metrics!$C:$C,0)),"Not found"))</f>
        <v/>
      </c>
      <c r="B689" s="18" t="str">
        <f aca="false">IF(D689="","",IFERROR(INDEX(Fields!$A:$A,MATCH(D689,Fields!$B:$B,0)),"Not found"))</f>
        <v/>
      </c>
      <c r="C689" s="20"/>
      <c r="D689" s="20"/>
      <c r="E689" s="20"/>
      <c r="F689" s="21" t="str">
        <f aca="false">IF(B689="","",IFERROR(INDEX(Fields!$C:$C,MATCH(B689,Fields!$A:$A,0)),""))</f>
        <v/>
      </c>
      <c r="G689" s="18" t="str">
        <f aca="false">IF(A689="","",COUNTIF('Metric to Product'!$A:$A,A689))</f>
        <v/>
      </c>
      <c r="H689" s="20"/>
      <c r="I689" s="20"/>
      <c r="J689" s="20"/>
      <c r="K689" s="20"/>
    </row>
    <row r="690" customFormat="false" ht="15" hidden="false" customHeight="false" outlineLevel="0" collapsed="false">
      <c r="A690" s="18" t="str">
        <f aca="false">IF(C690="","",IFERROR(INDEX(Metrics!$A:$A,MATCH(C690,Metrics!$C:$C,0)),"Not found"))</f>
        <v/>
      </c>
      <c r="B690" s="18" t="str">
        <f aca="false">IF(D690="","",IFERROR(INDEX(Fields!$A:$A,MATCH(D690,Fields!$B:$B,0)),"Not found"))</f>
        <v/>
      </c>
      <c r="C690" s="20"/>
      <c r="D690" s="20"/>
      <c r="E690" s="20"/>
      <c r="F690" s="21" t="str">
        <f aca="false">IF(B690="","",IFERROR(INDEX(Fields!$C:$C,MATCH(B690,Fields!$A:$A,0)),""))</f>
        <v/>
      </c>
      <c r="G690" s="18" t="str">
        <f aca="false">IF(A690="","",COUNTIF('Metric to Product'!$A:$A,A690))</f>
        <v/>
      </c>
      <c r="H690" s="20"/>
      <c r="I690" s="20"/>
      <c r="J690" s="20"/>
      <c r="K690" s="20"/>
    </row>
    <row r="691" customFormat="false" ht="15" hidden="false" customHeight="false" outlineLevel="0" collapsed="false">
      <c r="A691" s="18" t="str">
        <f aca="false">IF(C691="","",IFERROR(INDEX(Metrics!$A:$A,MATCH(C691,Metrics!$C:$C,0)),"Not found"))</f>
        <v/>
      </c>
      <c r="B691" s="18" t="str">
        <f aca="false">IF(D691="","",IFERROR(INDEX(Fields!$A:$A,MATCH(D691,Fields!$B:$B,0)),"Not found"))</f>
        <v/>
      </c>
      <c r="C691" s="20"/>
      <c r="D691" s="20"/>
      <c r="E691" s="20"/>
      <c r="F691" s="21" t="str">
        <f aca="false">IF(B691="","",IFERROR(INDEX(Fields!$C:$C,MATCH(B691,Fields!$A:$A,0)),""))</f>
        <v/>
      </c>
      <c r="G691" s="18" t="str">
        <f aca="false">IF(A691="","",COUNTIF('Metric to Product'!$A:$A,A691))</f>
        <v/>
      </c>
      <c r="H691" s="20"/>
      <c r="I691" s="20"/>
      <c r="J691" s="20"/>
      <c r="K691" s="20"/>
    </row>
    <row r="692" customFormat="false" ht="15" hidden="false" customHeight="false" outlineLevel="0" collapsed="false">
      <c r="A692" s="18" t="str">
        <f aca="false">IF(C692="","",IFERROR(INDEX(Metrics!$A:$A,MATCH(C692,Metrics!$C:$C,0)),"Not found"))</f>
        <v/>
      </c>
      <c r="B692" s="18" t="str">
        <f aca="false">IF(D692="","",IFERROR(INDEX(Fields!$A:$A,MATCH(D692,Fields!$B:$B,0)),"Not found"))</f>
        <v/>
      </c>
      <c r="C692" s="20"/>
      <c r="D692" s="20"/>
      <c r="E692" s="20"/>
      <c r="F692" s="21" t="str">
        <f aca="false">IF(B692="","",IFERROR(INDEX(Fields!$C:$C,MATCH(B692,Fields!$A:$A,0)),""))</f>
        <v/>
      </c>
      <c r="G692" s="18" t="str">
        <f aca="false">IF(A692="","",COUNTIF('Metric to Product'!$A:$A,A692))</f>
        <v/>
      </c>
      <c r="H692" s="20"/>
      <c r="I692" s="20"/>
      <c r="J692" s="20"/>
      <c r="K692" s="20"/>
    </row>
    <row r="693" customFormat="false" ht="15" hidden="false" customHeight="false" outlineLevel="0" collapsed="false">
      <c r="A693" s="18" t="str">
        <f aca="false">IF(C693="","",IFERROR(INDEX(Metrics!$A:$A,MATCH(C693,Metrics!$C:$C,0)),"Not found"))</f>
        <v/>
      </c>
      <c r="B693" s="18" t="str">
        <f aca="false">IF(D693="","",IFERROR(INDEX(Fields!$A:$A,MATCH(D693,Fields!$B:$B,0)),"Not found"))</f>
        <v/>
      </c>
      <c r="C693" s="20"/>
      <c r="D693" s="20"/>
      <c r="E693" s="20"/>
      <c r="F693" s="21" t="str">
        <f aca="false">IF(B693="","",IFERROR(INDEX(Fields!$C:$C,MATCH(B693,Fields!$A:$A,0)),""))</f>
        <v/>
      </c>
      <c r="G693" s="18" t="str">
        <f aca="false">IF(A693="","",COUNTIF('Metric to Product'!$A:$A,A693))</f>
        <v/>
      </c>
      <c r="H693" s="20"/>
      <c r="I693" s="20"/>
      <c r="J693" s="20"/>
      <c r="K693" s="20"/>
    </row>
    <row r="694" customFormat="false" ht="15" hidden="false" customHeight="false" outlineLevel="0" collapsed="false">
      <c r="A694" s="18" t="str">
        <f aca="false">IF(C694="","",IFERROR(INDEX(Metrics!$A:$A,MATCH(C694,Metrics!$C:$C,0)),"Not found"))</f>
        <v/>
      </c>
      <c r="B694" s="18" t="str">
        <f aca="false">IF(D694="","",IFERROR(INDEX(Fields!$A:$A,MATCH(D694,Fields!$B:$B,0)),"Not found"))</f>
        <v/>
      </c>
      <c r="C694" s="20"/>
      <c r="D694" s="20"/>
      <c r="E694" s="20"/>
      <c r="F694" s="21" t="str">
        <f aca="false">IF(B694="","",IFERROR(INDEX(Fields!$C:$C,MATCH(B694,Fields!$A:$A,0)),""))</f>
        <v/>
      </c>
      <c r="G694" s="18" t="str">
        <f aca="false">IF(A694="","",COUNTIF('Metric to Product'!$A:$A,A694))</f>
        <v/>
      </c>
      <c r="H694" s="20"/>
      <c r="I694" s="20"/>
      <c r="J694" s="20"/>
      <c r="K694" s="20"/>
    </row>
    <row r="695" customFormat="false" ht="15" hidden="false" customHeight="false" outlineLevel="0" collapsed="false">
      <c r="A695" s="18" t="str">
        <f aca="false">IF(C695="","",IFERROR(INDEX(Metrics!$A:$A,MATCH(C695,Metrics!$C:$C,0)),"Not found"))</f>
        <v/>
      </c>
      <c r="B695" s="18" t="str">
        <f aca="false">IF(D695="","",IFERROR(INDEX(Fields!$A:$A,MATCH(D695,Fields!$B:$B,0)),"Not found"))</f>
        <v/>
      </c>
      <c r="C695" s="20"/>
      <c r="D695" s="20"/>
      <c r="E695" s="20"/>
      <c r="F695" s="21" t="str">
        <f aca="false">IF(B695="","",IFERROR(INDEX(Fields!$C:$C,MATCH(B695,Fields!$A:$A,0)),""))</f>
        <v/>
      </c>
      <c r="G695" s="18" t="str">
        <f aca="false">IF(A695="","",COUNTIF('Metric to Product'!$A:$A,A695))</f>
        <v/>
      </c>
      <c r="H695" s="20"/>
      <c r="I695" s="20"/>
      <c r="J695" s="20"/>
      <c r="K695" s="20"/>
    </row>
    <row r="696" customFormat="false" ht="15" hidden="false" customHeight="false" outlineLevel="0" collapsed="false">
      <c r="A696" s="18" t="str">
        <f aca="false">IF(C696="","",IFERROR(INDEX(Metrics!$A:$A,MATCH(C696,Metrics!$C:$C,0)),"Not found"))</f>
        <v/>
      </c>
      <c r="B696" s="18" t="str">
        <f aca="false">IF(D696="","",IFERROR(INDEX(Fields!$A:$A,MATCH(D696,Fields!$B:$B,0)),"Not found"))</f>
        <v/>
      </c>
      <c r="C696" s="20"/>
      <c r="D696" s="20"/>
      <c r="E696" s="20"/>
      <c r="F696" s="21" t="str">
        <f aca="false">IF(B696="","",IFERROR(INDEX(Fields!$C:$C,MATCH(B696,Fields!$A:$A,0)),""))</f>
        <v/>
      </c>
      <c r="G696" s="18" t="str">
        <f aca="false">IF(A696="","",COUNTIF('Metric to Product'!$A:$A,A696))</f>
        <v/>
      </c>
      <c r="H696" s="20"/>
      <c r="I696" s="20"/>
      <c r="J696" s="20"/>
      <c r="K696" s="20"/>
    </row>
    <row r="697" customFormat="false" ht="15" hidden="false" customHeight="false" outlineLevel="0" collapsed="false">
      <c r="A697" s="18" t="str">
        <f aca="false">IF(C697="","",IFERROR(INDEX(Metrics!$A:$A,MATCH(C697,Metrics!$C:$C,0)),"Not found"))</f>
        <v/>
      </c>
      <c r="B697" s="18" t="str">
        <f aca="false">IF(D697="","",IFERROR(INDEX(Fields!$A:$A,MATCH(D697,Fields!$B:$B,0)),"Not found"))</f>
        <v/>
      </c>
      <c r="C697" s="20"/>
      <c r="D697" s="20"/>
      <c r="E697" s="20"/>
      <c r="F697" s="21" t="str">
        <f aca="false">IF(B697="","",IFERROR(INDEX(Fields!$C:$C,MATCH(B697,Fields!$A:$A,0)),""))</f>
        <v/>
      </c>
      <c r="G697" s="18" t="str">
        <f aca="false">IF(A697="","",COUNTIF('Metric to Product'!$A:$A,A697))</f>
        <v/>
      </c>
      <c r="H697" s="20"/>
      <c r="I697" s="20"/>
      <c r="J697" s="20"/>
      <c r="K697" s="20"/>
    </row>
    <row r="698" customFormat="false" ht="15" hidden="false" customHeight="false" outlineLevel="0" collapsed="false">
      <c r="A698" s="18" t="str">
        <f aca="false">IF(C698="","",IFERROR(INDEX(Metrics!$A:$A,MATCH(C698,Metrics!$C:$C,0)),"Not found"))</f>
        <v/>
      </c>
      <c r="B698" s="18" t="str">
        <f aca="false">IF(D698="","",IFERROR(INDEX(Fields!$A:$A,MATCH(D698,Fields!$B:$B,0)),"Not found"))</f>
        <v/>
      </c>
      <c r="C698" s="20"/>
      <c r="D698" s="20"/>
      <c r="E698" s="20"/>
      <c r="F698" s="21" t="str">
        <f aca="false">IF(B698="","",IFERROR(INDEX(Fields!$C:$C,MATCH(B698,Fields!$A:$A,0)),""))</f>
        <v/>
      </c>
      <c r="G698" s="18" t="str">
        <f aca="false">IF(A698="","",COUNTIF('Metric to Product'!$A:$A,A698))</f>
        <v/>
      </c>
      <c r="H698" s="20"/>
      <c r="I698" s="20"/>
      <c r="J698" s="20"/>
      <c r="K698" s="20"/>
    </row>
    <row r="699" customFormat="false" ht="15" hidden="false" customHeight="false" outlineLevel="0" collapsed="false">
      <c r="A699" s="18" t="str">
        <f aca="false">IF(C699="","",IFERROR(INDEX(Metrics!$A:$A,MATCH(C699,Metrics!$C:$C,0)),"Not found"))</f>
        <v/>
      </c>
      <c r="B699" s="18" t="str">
        <f aca="false">IF(D699="","",IFERROR(INDEX(Fields!$A:$A,MATCH(D699,Fields!$B:$B,0)),"Not found"))</f>
        <v/>
      </c>
      <c r="C699" s="20"/>
      <c r="D699" s="20"/>
      <c r="E699" s="20"/>
      <c r="F699" s="21" t="str">
        <f aca="false">IF(B699="","",IFERROR(INDEX(Fields!$C:$C,MATCH(B699,Fields!$A:$A,0)),""))</f>
        <v/>
      </c>
      <c r="G699" s="18" t="str">
        <f aca="false">IF(A699="","",COUNTIF('Metric to Product'!$A:$A,A699))</f>
        <v/>
      </c>
      <c r="H699" s="20"/>
      <c r="I699" s="20"/>
      <c r="J699" s="20"/>
      <c r="K699" s="20"/>
    </row>
    <row r="700" customFormat="false" ht="15" hidden="false" customHeight="false" outlineLevel="0" collapsed="false">
      <c r="A700" s="18" t="str">
        <f aca="false">IF(C700="","",IFERROR(INDEX(Metrics!$A:$A,MATCH(C700,Metrics!$C:$C,0)),"Not found"))</f>
        <v/>
      </c>
      <c r="B700" s="18" t="str">
        <f aca="false">IF(D700="","",IFERROR(INDEX(Fields!$A:$A,MATCH(D700,Fields!$B:$B,0)),"Not found"))</f>
        <v/>
      </c>
      <c r="C700" s="20"/>
      <c r="D700" s="20"/>
      <c r="E700" s="20"/>
      <c r="F700" s="21" t="str">
        <f aca="false">IF(B700="","",IFERROR(INDEX(Fields!$C:$C,MATCH(B700,Fields!$A:$A,0)),""))</f>
        <v/>
      </c>
      <c r="G700" s="18" t="str">
        <f aca="false">IF(A700="","",COUNTIF('Metric to Product'!$A:$A,A700))</f>
        <v/>
      </c>
      <c r="H700" s="20"/>
      <c r="I700" s="20"/>
      <c r="J700" s="20"/>
      <c r="K700" s="20"/>
    </row>
    <row r="701" customFormat="false" ht="15" hidden="false" customHeight="false" outlineLevel="0" collapsed="false">
      <c r="A701" s="18" t="str">
        <f aca="false">IF(C701="","",IFERROR(INDEX(Metrics!$A:$A,MATCH(C701,Metrics!$C:$C,0)),"Not found"))</f>
        <v/>
      </c>
      <c r="B701" s="18" t="str">
        <f aca="false">IF(D701="","",IFERROR(INDEX(Fields!$A:$A,MATCH(D701,Fields!$B:$B,0)),"Not found"))</f>
        <v/>
      </c>
      <c r="C701" s="20"/>
      <c r="D701" s="20"/>
      <c r="E701" s="20"/>
      <c r="F701" s="21" t="str">
        <f aca="false">IF(B701="","",IFERROR(INDEX(Fields!$C:$C,MATCH(B701,Fields!$A:$A,0)),""))</f>
        <v/>
      </c>
      <c r="G701" s="18" t="str">
        <f aca="false">IF(A701="","",COUNTIF('Metric to Product'!$A:$A,A701))</f>
        <v/>
      </c>
      <c r="H701" s="20"/>
      <c r="I701" s="20"/>
      <c r="J701" s="20"/>
      <c r="K701" s="20"/>
    </row>
    <row r="702" customFormat="false" ht="15" hidden="false" customHeight="false" outlineLevel="0" collapsed="false">
      <c r="A702" s="18" t="str">
        <f aca="false">IF(C702="","",IFERROR(INDEX(Metrics!$A:$A,MATCH(C702,Metrics!$C:$C,0)),"Not found"))</f>
        <v/>
      </c>
      <c r="B702" s="18" t="str">
        <f aca="false">IF(D702="","",IFERROR(INDEX(Fields!$A:$A,MATCH(D702,Fields!$B:$B,0)),"Not found"))</f>
        <v/>
      </c>
      <c r="C702" s="20"/>
      <c r="D702" s="20"/>
      <c r="E702" s="20"/>
      <c r="F702" s="21" t="str">
        <f aca="false">IF(B702="","",IFERROR(INDEX(Fields!$C:$C,MATCH(B702,Fields!$A:$A,0)),""))</f>
        <v/>
      </c>
      <c r="G702" s="18" t="str">
        <f aca="false">IF(A702="","",COUNTIF('Metric to Product'!$A:$A,A702))</f>
        <v/>
      </c>
      <c r="H702" s="20"/>
      <c r="I702" s="20"/>
      <c r="J702" s="20"/>
      <c r="K702" s="20"/>
    </row>
    <row r="703" customFormat="false" ht="15" hidden="false" customHeight="false" outlineLevel="0" collapsed="false">
      <c r="A703" s="18" t="str">
        <f aca="false">IF(C703="","",IFERROR(INDEX(Metrics!$A:$A,MATCH(C703,Metrics!$C:$C,0)),"Not found"))</f>
        <v/>
      </c>
      <c r="B703" s="18" t="str">
        <f aca="false">IF(D703="","",IFERROR(INDEX(Fields!$A:$A,MATCH(D703,Fields!$B:$B,0)),"Not found"))</f>
        <v/>
      </c>
      <c r="C703" s="20"/>
      <c r="D703" s="20"/>
      <c r="E703" s="20"/>
      <c r="F703" s="21" t="str">
        <f aca="false">IF(B703="","",IFERROR(INDEX(Fields!$C:$C,MATCH(B703,Fields!$A:$A,0)),""))</f>
        <v/>
      </c>
      <c r="G703" s="18" t="str">
        <f aca="false">IF(A703="","",COUNTIF('Metric to Product'!$A:$A,A703))</f>
        <v/>
      </c>
      <c r="H703" s="20"/>
      <c r="I703" s="20"/>
      <c r="J703" s="20"/>
      <c r="K703" s="20"/>
    </row>
    <row r="704" customFormat="false" ht="15" hidden="false" customHeight="false" outlineLevel="0" collapsed="false">
      <c r="A704" s="18" t="str">
        <f aca="false">IF(C704="","",IFERROR(INDEX(Metrics!$A:$A,MATCH(C704,Metrics!$C:$C,0)),"Not found"))</f>
        <v/>
      </c>
      <c r="B704" s="18" t="str">
        <f aca="false">IF(D704="","",IFERROR(INDEX(Fields!$A:$A,MATCH(D704,Fields!$B:$B,0)),"Not found"))</f>
        <v/>
      </c>
      <c r="C704" s="20"/>
      <c r="D704" s="20"/>
      <c r="E704" s="20"/>
      <c r="F704" s="21" t="str">
        <f aca="false">IF(B704="","",IFERROR(INDEX(Fields!$C:$C,MATCH(B704,Fields!$A:$A,0)),""))</f>
        <v/>
      </c>
      <c r="G704" s="18" t="str">
        <f aca="false">IF(A704="","",COUNTIF('Metric to Product'!$A:$A,A704))</f>
        <v/>
      </c>
      <c r="H704" s="20"/>
      <c r="I704" s="20"/>
      <c r="J704" s="20"/>
      <c r="K704" s="20"/>
    </row>
    <row r="705" customFormat="false" ht="15" hidden="false" customHeight="false" outlineLevel="0" collapsed="false">
      <c r="A705" s="18" t="str">
        <f aca="false">IF(C705="","",IFERROR(INDEX(Metrics!$A:$A,MATCH(C705,Metrics!$C:$C,0)),"Not found"))</f>
        <v/>
      </c>
      <c r="B705" s="18" t="str">
        <f aca="false">IF(D705="","",IFERROR(INDEX(Fields!$A:$A,MATCH(D705,Fields!$B:$B,0)),"Not found"))</f>
        <v/>
      </c>
      <c r="C705" s="20"/>
      <c r="D705" s="20"/>
      <c r="E705" s="20"/>
      <c r="F705" s="21" t="str">
        <f aca="false">IF(B705="","",IFERROR(INDEX(Fields!$C:$C,MATCH(B705,Fields!$A:$A,0)),""))</f>
        <v/>
      </c>
      <c r="G705" s="18" t="str">
        <f aca="false">IF(A705="","",COUNTIF('Metric to Product'!$A:$A,A705))</f>
        <v/>
      </c>
      <c r="H705" s="20"/>
      <c r="I705" s="20"/>
      <c r="J705" s="20"/>
      <c r="K705" s="20"/>
    </row>
    <row r="706" customFormat="false" ht="15" hidden="false" customHeight="false" outlineLevel="0" collapsed="false">
      <c r="A706" s="18" t="str">
        <f aca="false">IF(C706="","",IFERROR(INDEX(Metrics!$A:$A,MATCH(C706,Metrics!$C:$C,0)),"Not found"))</f>
        <v/>
      </c>
      <c r="B706" s="18" t="str">
        <f aca="false">IF(D706="","",IFERROR(INDEX(Fields!$A:$A,MATCH(D706,Fields!$B:$B,0)),"Not found"))</f>
        <v/>
      </c>
      <c r="C706" s="20"/>
      <c r="D706" s="20"/>
      <c r="E706" s="20"/>
      <c r="F706" s="21" t="str">
        <f aca="false">IF(B706="","",IFERROR(INDEX(Fields!$C:$C,MATCH(B706,Fields!$A:$A,0)),""))</f>
        <v/>
      </c>
      <c r="G706" s="18" t="str">
        <f aca="false">IF(A706="","",COUNTIF('Metric to Product'!$A:$A,A706))</f>
        <v/>
      </c>
      <c r="H706" s="20"/>
      <c r="I706" s="20"/>
      <c r="J706" s="20"/>
      <c r="K706" s="20"/>
    </row>
    <row r="707" customFormat="false" ht="15" hidden="false" customHeight="false" outlineLevel="0" collapsed="false">
      <c r="A707" s="18" t="str">
        <f aca="false">IF(C707="","",IFERROR(INDEX(Metrics!$A:$A,MATCH(C707,Metrics!$C:$C,0)),"Not found"))</f>
        <v/>
      </c>
      <c r="B707" s="18" t="str">
        <f aca="false">IF(D707="","",IFERROR(INDEX(Fields!$A:$A,MATCH(D707,Fields!$B:$B,0)),"Not found"))</f>
        <v/>
      </c>
      <c r="C707" s="20"/>
      <c r="D707" s="20"/>
      <c r="E707" s="20"/>
      <c r="F707" s="21" t="str">
        <f aca="false">IF(B707="","",IFERROR(INDEX(Fields!$C:$C,MATCH(B707,Fields!$A:$A,0)),""))</f>
        <v/>
      </c>
      <c r="G707" s="18" t="str">
        <f aca="false">IF(A707="","",COUNTIF('Metric to Product'!$A:$A,A707))</f>
        <v/>
      </c>
      <c r="H707" s="20"/>
      <c r="I707" s="20"/>
      <c r="J707" s="20"/>
      <c r="K707" s="20"/>
    </row>
    <row r="708" customFormat="false" ht="15" hidden="false" customHeight="false" outlineLevel="0" collapsed="false">
      <c r="A708" s="18" t="str">
        <f aca="false">IF(C708="","",IFERROR(INDEX(Metrics!$A:$A,MATCH(C708,Metrics!$C:$C,0)),"Not found"))</f>
        <v/>
      </c>
      <c r="B708" s="18" t="str">
        <f aca="false">IF(D708="","",IFERROR(INDEX(Fields!$A:$A,MATCH(D708,Fields!$B:$B,0)),"Not found"))</f>
        <v/>
      </c>
      <c r="C708" s="20"/>
      <c r="D708" s="20"/>
      <c r="E708" s="20"/>
      <c r="F708" s="21" t="str">
        <f aca="false">IF(B708="","",IFERROR(INDEX(Fields!$C:$C,MATCH(B708,Fields!$A:$A,0)),""))</f>
        <v/>
      </c>
      <c r="G708" s="18" t="str">
        <f aca="false">IF(A708="","",COUNTIF('Metric to Product'!$A:$A,A708))</f>
        <v/>
      </c>
      <c r="H708" s="20"/>
      <c r="I708" s="20"/>
      <c r="J708" s="20"/>
      <c r="K708" s="20"/>
    </row>
    <row r="709" customFormat="false" ht="15" hidden="false" customHeight="false" outlineLevel="0" collapsed="false">
      <c r="A709" s="18" t="str">
        <f aca="false">IF(C709="","",IFERROR(INDEX(Metrics!$A:$A,MATCH(C709,Metrics!$C:$C,0)),"Not found"))</f>
        <v/>
      </c>
      <c r="B709" s="18" t="str">
        <f aca="false">IF(D709="","",IFERROR(INDEX(Fields!$A:$A,MATCH(D709,Fields!$B:$B,0)),"Not found"))</f>
        <v/>
      </c>
      <c r="C709" s="20"/>
      <c r="D709" s="20"/>
      <c r="E709" s="20"/>
      <c r="F709" s="21" t="str">
        <f aca="false">IF(B709="","",IFERROR(INDEX(Fields!$C:$C,MATCH(B709,Fields!$A:$A,0)),""))</f>
        <v/>
      </c>
      <c r="G709" s="18" t="str">
        <f aca="false">IF(A709="","",COUNTIF('Metric to Product'!$A:$A,A709))</f>
        <v/>
      </c>
      <c r="H709" s="20"/>
      <c r="I709" s="20"/>
      <c r="J709" s="20"/>
      <c r="K709" s="20"/>
    </row>
    <row r="710" customFormat="false" ht="15" hidden="false" customHeight="false" outlineLevel="0" collapsed="false">
      <c r="A710" s="18" t="str">
        <f aca="false">IF(C710="","",IFERROR(INDEX(Metrics!$A:$A,MATCH(C710,Metrics!$C:$C,0)),"Not found"))</f>
        <v/>
      </c>
      <c r="B710" s="18" t="str">
        <f aca="false">IF(D710="","",IFERROR(INDEX(Fields!$A:$A,MATCH(D710,Fields!$B:$B,0)),"Not found"))</f>
        <v/>
      </c>
      <c r="C710" s="20"/>
      <c r="D710" s="20"/>
      <c r="E710" s="20"/>
      <c r="F710" s="21" t="str">
        <f aca="false">IF(B710="","",IFERROR(INDEX(Fields!$C:$C,MATCH(B710,Fields!$A:$A,0)),""))</f>
        <v/>
      </c>
      <c r="G710" s="18" t="str">
        <f aca="false">IF(A710="","",COUNTIF('Metric to Product'!$A:$A,A710))</f>
        <v/>
      </c>
      <c r="H710" s="20"/>
      <c r="I710" s="20"/>
      <c r="J710" s="20"/>
      <c r="K710" s="20"/>
    </row>
    <row r="711" customFormat="false" ht="15" hidden="false" customHeight="false" outlineLevel="0" collapsed="false">
      <c r="A711" s="18" t="str">
        <f aca="false">IF(C711="","",IFERROR(INDEX(Metrics!$A:$A,MATCH(C711,Metrics!$C:$C,0)),"Not found"))</f>
        <v/>
      </c>
      <c r="B711" s="18" t="str">
        <f aca="false">IF(D711="","",IFERROR(INDEX(Fields!$A:$A,MATCH(D711,Fields!$B:$B,0)),"Not found"))</f>
        <v/>
      </c>
      <c r="C711" s="20"/>
      <c r="D711" s="20"/>
      <c r="E711" s="20"/>
      <c r="F711" s="21" t="str">
        <f aca="false">IF(B711="","",IFERROR(INDEX(Fields!$C:$C,MATCH(B711,Fields!$A:$A,0)),""))</f>
        <v/>
      </c>
      <c r="G711" s="18" t="str">
        <f aca="false">IF(A711="","",COUNTIF('Metric to Product'!$A:$A,A711))</f>
        <v/>
      </c>
      <c r="H711" s="20"/>
      <c r="I711" s="20"/>
      <c r="J711" s="20"/>
      <c r="K711" s="20"/>
    </row>
    <row r="712" customFormat="false" ht="15" hidden="false" customHeight="false" outlineLevel="0" collapsed="false">
      <c r="A712" s="18" t="str">
        <f aca="false">IF(C712="","",IFERROR(INDEX(Metrics!$A:$A,MATCH(C712,Metrics!$C:$C,0)),"Not found"))</f>
        <v/>
      </c>
      <c r="B712" s="18" t="str">
        <f aca="false">IF(D712="","",IFERROR(INDEX(Fields!$A:$A,MATCH(D712,Fields!$B:$B,0)),"Not found"))</f>
        <v/>
      </c>
      <c r="C712" s="20"/>
      <c r="D712" s="20"/>
      <c r="E712" s="20"/>
      <c r="F712" s="21" t="str">
        <f aca="false">IF(B712="","",IFERROR(INDEX(Fields!$C:$C,MATCH(B712,Fields!$A:$A,0)),""))</f>
        <v/>
      </c>
      <c r="G712" s="18" t="str">
        <f aca="false">IF(A712="","",COUNTIF('Metric to Product'!$A:$A,A712))</f>
        <v/>
      </c>
      <c r="H712" s="20"/>
      <c r="I712" s="20"/>
      <c r="J712" s="20"/>
      <c r="K712" s="20"/>
    </row>
    <row r="713" customFormat="false" ht="15" hidden="false" customHeight="false" outlineLevel="0" collapsed="false">
      <c r="A713" s="18" t="str">
        <f aca="false">IF(C713="","",IFERROR(INDEX(Metrics!$A:$A,MATCH(C713,Metrics!$C:$C,0)),"Not found"))</f>
        <v/>
      </c>
      <c r="B713" s="18" t="str">
        <f aca="false">IF(D713="","",IFERROR(INDEX(Fields!$A:$A,MATCH(D713,Fields!$B:$B,0)),"Not found"))</f>
        <v/>
      </c>
      <c r="C713" s="20"/>
      <c r="D713" s="20"/>
      <c r="E713" s="20"/>
      <c r="F713" s="21" t="str">
        <f aca="false">IF(B713="","",IFERROR(INDEX(Fields!$C:$C,MATCH(B713,Fields!$A:$A,0)),""))</f>
        <v/>
      </c>
      <c r="G713" s="18" t="str">
        <f aca="false">IF(A713="","",COUNTIF('Metric to Product'!$A:$A,A713))</f>
        <v/>
      </c>
      <c r="H713" s="20"/>
      <c r="I713" s="20"/>
      <c r="J713" s="20"/>
      <c r="K713" s="20"/>
    </row>
    <row r="714" customFormat="false" ht="15" hidden="false" customHeight="false" outlineLevel="0" collapsed="false">
      <c r="A714" s="18" t="str">
        <f aca="false">IF(C714="","",IFERROR(INDEX(Metrics!$A:$A,MATCH(C714,Metrics!$C:$C,0)),"Not found"))</f>
        <v/>
      </c>
      <c r="B714" s="18" t="str">
        <f aca="false">IF(D714="","",IFERROR(INDEX(Fields!$A:$A,MATCH(D714,Fields!$B:$B,0)),"Not found"))</f>
        <v/>
      </c>
      <c r="C714" s="20"/>
      <c r="D714" s="20"/>
      <c r="E714" s="20"/>
      <c r="F714" s="21" t="str">
        <f aca="false">IF(B714="","",IFERROR(INDEX(Fields!$C:$C,MATCH(B714,Fields!$A:$A,0)),""))</f>
        <v/>
      </c>
      <c r="G714" s="18" t="str">
        <f aca="false">IF(A714="","",COUNTIF('Metric to Product'!$A:$A,A714))</f>
        <v/>
      </c>
      <c r="H714" s="20"/>
      <c r="I714" s="20"/>
      <c r="J714" s="20"/>
      <c r="K714" s="20"/>
    </row>
    <row r="715" customFormat="false" ht="15" hidden="false" customHeight="false" outlineLevel="0" collapsed="false">
      <c r="A715" s="18" t="str">
        <f aca="false">IF(C715="","",IFERROR(INDEX(Metrics!$A:$A,MATCH(C715,Metrics!$C:$C,0)),"Not found"))</f>
        <v/>
      </c>
      <c r="B715" s="18" t="str">
        <f aca="false">IF(D715="","",IFERROR(INDEX(Fields!$A:$A,MATCH(D715,Fields!$B:$B,0)),"Not found"))</f>
        <v/>
      </c>
      <c r="C715" s="20"/>
      <c r="D715" s="20"/>
      <c r="E715" s="20"/>
      <c r="F715" s="21" t="str">
        <f aca="false">IF(B715="","",IFERROR(INDEX(Fields!$C:$C,MATCH(B715,Fields!$A:$A,0)),""))</f>
        <v/>
      </c>
      <c r="G715" s="18" t="str">
        <f aca="false">IF(A715="","",COUNTIF('Metric to Product'!$A:$A,A715))</f>
        <v/>
      </c>
      <c r="H715" s="20"/>
      <c r="I715" s="20"/>
      <c r="J715" s="20"/>
      <c r="K715" s="20"/>
    </row>
    <row r="716" customFormat="false" ht="15" hidden="false" customHeight="false" outlineLevel="0" collapsed="false">
      <c r="A716" s="18" t="str">
        <f aca="false">IF(C716="","",IFERROR(INDEX(Metrics!$A:$A,MATCH(C716,Metrics!$C:$C,0)),"Not found"))</f>
        <v/>
      </c>
      <c r="B716" s="18" t="str">
        <f aca="false">IF(D716="","",IFERROR(INDEX(Fields!$A:$A,MATCH(D716,Fields!$B:$B,0)),"Not found"))</f>
        <v/>
      </c>
      <c r="C716" s="20"/>
      <c r="D716" s="20"/>
      <c r="E716" s="20"/>
      <c r="F716" s="21" t="str">
        <f aca="false">IF(B716="","",IFERROR(INDEX(Fields!$C:$C,MATCH(B716,Fields!$A:$A,0)),""))</f>
        <v/>
      </c>
      <c r="G716" s="18" t="str">
        <f aca="false">IF(A716="","",COUNTIF('Metric to Product'!$A:$A,A716))</f>
        <v/>
      </c>
      <c r="H716" s="20"/>
      <c r="I716" s="20"/>
      <c r="J716" s="20"/>
      <c r="K716" s="20"/>
    </row>
    <row r="717" customFormat="false" ht="15" hidden="false" customHeight="false" outlineLevel="0" collapsed="false">
      <c r="A717" s="18" t="str">
        <f aca="false">IF(C717="","",IFERROR(INDEX(Metrics!$A:$A,MATCH(C717,Metrics!$C:$C,0)),"Not found"))</f>
        <v/>
      </c>
      <c r="B717" s="18" t="str">
        <f aca="false">IF(D717="","",IFERROR(INDEX(Fields!$A:$A,MATCH(D717,Fields!$B:$B,0)),"Not found"))</f>
        <v/>
      </c>
      <c r="C717" s="20"/>
      <c r="D717" s="20"/>
      <c r="E717" s="20"/>
      <c r="F717" s="21" t="str">
        <f aca="false">IF(B717="","",IFERROR(INDEX(Fields!$C:$C,MATCH(B717,Fields!$A:$A,0)),""))</f>
        <v/>
      </c>
      <c r="G717" s="18" t="str">
        <f aca="false">IF(A717="","",COUNTIF('Metric to Product'!$A:$A,A717))</f>
        <v/>
      </c>
      <c r="H717" s="20"/>
      <c r="I717" s="20"/>
      <c r="J717" s="20"/>
      <c r="K717" s="20"/>
    </row>
    <row r="718" customFormat="false" ht="15" hidden="false" customHeight="false" outlineLevel="0" collapsed="false">
      <c r="A718" s="18" t="str">
        <f aca="false">IF(C718="","",IFERROR(INDEX(Metrics!$A:$A,MATCH(C718,Metrics!$C:$C,0)),"Not found"))</f>
        <v/>
      </c>
      <c r="B718" s="18" t="str">
        <f aca="false">IF(D718="","",IFERROR(INDEX(Fields!$A:$A,MATCH(D718,Fields!$B:$B,0)),"Not found"))</f>
        <v/>
      </c>
      <c r="C718" s="20"/>
      <c r="D718" s="20"/>
      <c r="E718" s="20"/>
      <c r="F718" s="21" t="str">
        <f aca="false">IF(B718="","",IFERROR(INDEX(Fields!$C:$C,MATCH(B718,Fields!$A:$A,0)),""))</f>
        <v/>
      </c>
      <c r="G718" s="18" t="str">
        <f aca="false">IF(A718="","",COUNTIF('Metric to Product'!$A:$A,A718))</f>
        <v/>
      </c>
      <c r="H718" s="20"/>
      <c r="I718" s="20"/>
      <c r="J718" s="20"/>
      <c r="K718" s="20"/>
    </row>
    <row r="719" customFormat="false" ht="15" hidden="false" customHeight="false" outlineLevel="0" collapsed="false">
      <c r="A719" s="18" t="str">
        <f aca="false">IF(C719="","",IFERROR(INDEX(Metrics!$A:$A,MATCH(C719,Metrics!$C:$C,0)),"Not found"))</f>
        <v/>
      </c>
      <c r="B719" s="18" t="str">
        <f aca="false">IF(D719="","",IFERROR(INDEX(Fields!$A:$A,MATCH(D719,Fields!$B:$B,0)),"Not found"))</f>
        <v/>
      </c>
      <c r="C719" s="20"/>
      <c r="D719" s="20"/>
      <c r="E719" s="20"/>
      <c r="F719" s="21" t="str">
        <f aca="false">IF(B719="","",IFERROR(INDEX(Fields!$C:$C,MATCH(B719,Fields!$A:$A,0)),""))</f>
        <v/>
      </c>
      <c r="G719" s="18" t="str">
        <f aca="false">IF(A719="","",COUNTIF('Metric to Product'!$A:$A,A719))</f>
        <v/>
      </c>
      <c r="H719" s="20"/>
      <c r="I719" s="20"/>
      <c r="J719" s="20"/>
      <c r="K719" s="20"/>
    </row>
    <row r="720" customFormat="false" ht="15" hidden="false" customHeight="false" outlineLevel="0" collapsed="false">
      <c r="A720" s="18" t="str">
        <f aca="false">IF(C720="","",IFERROR(INDEX(Metrics!$A:$A,MATCH(C720,Metrics!$C:$C,0)),"Not found"))</f>
        <v/>
      </c>
      <c r="B720" s="18" t="str">
        <f aca="false">IF(D720="","",IFERROR(INDEX(Fields!$A:$A,MATCH(D720,Fields!$B:$B,0)),"Not found"))</f>
        <v/>
      </c>
      <c r="C720" s="20"/>
      <c r="D720" s="20"/>
      <c r="E720" s="20"/>
      <c r="F720" s="21" t="str">
        <f aca="false">IF(B720="","",IFERROR(INDEX(Fields!$C:$C,MATCH(B720,Fields!$A:$A,0)),""))</f>
        <v/>
      </c>
      <c r="G720" s="18" t="str">
        <f aca="false">IF(A720="","",COUNTIF('Metric to Product'!$A:$A,A720))</f>
        <v/>
      </c>
      <c r="H720" s="20"/>
      <c r="I720" s="20"/>
      <c r="J720" s="20"/>
      <c r="K720" s="20"/>
    </row>
    <row r="721" customFormat="false" ht="15" hidden="false" customHeight="false" outlineLevel="0" collapsed="false">
      <c r="A721" s="18" t="str">
        <f aca="false">IF(C721="","",IFERROR(INDEX(Metrics!$A:$A,MATCH(C721,Metrics!$C:$C,0)),"Not found"))</f>
        <v/>
      </c>
      <c r="B721" s="18" t="str">
        <f aca="false">IF(D721="","",IFERROR(INDEX(Fields!$A:$A,MATCH(D721,Fields!$B:$B,0)),"Not found"))</f>
        <v/>
      </c>
      <c r="C721" s="20"/>
      <c r="D721" s="20"/>
      <c r="E721" s="20"/>
      <c r="F721" s="21" t="str">
        <f aca="false">IF(B721="","",IFERROR(INDEX(Fields!$C:$C,MATCH(B721,Fields!$A:$A,0)),""))</f>
        <v/>
      </c>
      <c r="G721" s="18" t="str">
        <f aca="false">IF(A721="","",COUNTIF('Metric to Product'!$A:$A,A721))</f>
        <v/>
      </c>
      <c r="H721" s="20"/>
      <c r="I721" s="20"/>
      <c r="J721" s="20"/>
      <c r="K721" s="20"/>
    </row>
    <row r="722" customFormat="false" ht="15" hidden="false" customHeight="false" outlineLevel="0" collapsed="false">
      <c r="A722" s="18" t="str">
        <f aca="false">IF(C722="","",IFERROR(INDEX(Metrics!$A:$A,MATCH(C722,Metrics!$C:$C,0)),"Not found"))</f>
        <v/>
      </c>
      <c r="B722" s="18" t="str">
        <f aca="false">IF(D722="","",IFERROR(INDEX(Fields!$A:$A,MATCH(D722,Fields!$B:$B,0)),"Not found"))</f>
        <v/>
      </c>
      <c r="C722" s="20"/>
      <c r="D722" s="20"/>
      <c r="E722" s="20"/>
      <c r="F722" s="21" t="str">
        <f aca="false">IF(B722="","",IFERROR(INDEX(Fields!$C:$C,MATCH(B722,Fields!$A:$A,0)),""))</f>
        <v/>
      </c>
      <c r="G722" s="18" t="str">
        <f aca="false">IF(A722="","",COUNTIF('Metric to Product'!$A:$A,A722))</f>
        <v/>
      </c>
      <c r="H722" s="20"/>
      <c r="I722" s="20"/>
      <c r="J722" s="20"/>
      <c r="K722" s="20"/>
    </row>
    <row r="723" customFormat="false" ht="15" hidden="false" customHeight="false" outlineLevel="0" collapsed="false">
      <c r="A723" s="18" t="str">
        <f aca="false">IF(C723="","",IFERROR(INDEX(Metrics!$A:$A,MATCH(C723,Metrics!$C:$C,0)),"Not found"))</f>
        <v/>
      </c>
      <c r="B723" s="18" t="str">
        <f aca="false">IF(D723="","",IFERROR(INDEX(Fields!$A:$A,MATCH(D723,Fields!$B:$B,0)),"Not found"))</f>
        <v/>
      </c>
      <c r="C723" s="20"/>
      <c r="D723" s="20"/>
      <c r="E723" s="20"/>
      <c r="F723" s="21" t="str">
        <f aca="false">IF(B723="","",IFERROR(INDEX(Fields!$C:$C,MATCH(B723,Fields!$A:$A,0)),""))</f>
        <v/>
      </c>
      <c r="G723" s="18" t="str">
        <f aca="false">IF(A723="","",COUNTIF('Metric to Product'!$A:$A,A723))</f>
        <v/>
      </c>
      <c r="H723" s="20"/>
      <c r="I723" s="20"/>
      <c r="J723" s="20"/>
      <c r="K723" s="20"/>
    </row>
    <row r="724" customFormat="false" ht="15" hidden="false" customHeight="false" outlineLevel="0" collapsed="false">
      <c r="A724" s="18" t="str">
        <f aca="false">IF(C724="","",IFERROR(INDEX(Metrics!$A:$A,MATCH(C724,Metrics!$C:$C,0)),"Not found"))</f>
        <v/>
      </c>
      <c r="B724" s="18" t="str">
        <f aca="false">IF(D724="","",IFERROR(INDEX(Fields!$A:$A,MATCH(D724,Fields!$B:$B,0)),"Not found"))</f>
        <v/>
      </c>
      <c r="C724" s="20"/>
      <c r="D724" s="20"/>
      <c r="E724" s="20"/>
      <c r="F724" s="21" t="str">
        <f aca="false">IF(B724="","",IFERROR(INDEX(Fields!$C:$C,MATCH(B724,Fields!$A:$A,0)),""))</f>
        <v/>
      </c>
      <c r="G724" s="18" t="str">
        <f aca="false">IF(A724="","",COUNTIF('Metric to Product'!$A:$A,A724))</f>
        <v/>
      </c>
      <c r="H724" s="20"/>
      <c r="I724" s="20"/>
      <c r="J724" s="20"/>
      <c r="K724" s="20"/>
    </row>
    <row r="725" customFormat="false" ht="15" hidden="false" customHeight="false" outlineLevel="0" collapsed="false">
      <c r="A725" s="18" t="str">
        <f aca="false">IF(C725="","",IFERROR(INDEX(Metrics!$A:$A,MATCH(C725,Metrics!$C:$C,0)),"Not found"))</f>
        <v/>
      </c>
      <c r="B725" s="18" t="str">
        <f aca="false">IF(D725="","",IFERROR(INDEX(Fields!$A:$A,MATCH(D725,Fields!$B:$B,0)),"Not found"))</f>
        <v/>
      </c>
      <c r="C725" s="20"/>
      <c r="D725" s="20"/>
      <c r="E725" s="20"/>
      <c r="F725" s="21" t="str">
        <f aca="false">IF(B725="","",IFERROR(INDEX(Fields!$C:$C,MATCH(B725,Fields!$A:$A,0)),""))</f>
        <v/>
      </c>
      <c r="G725" s="18" t="str">
        <f aca="false">IF(A725="","",COUNTIF('Metric to Product'!$A:$A,A725))</f>
        <v/>
      </c>
      <c r="H725" s="20"/>
      <c r="I725" s="20"/>
      <c r="J725" s="20"/>
      <c r="K725" s="20"/>
    </row>
    <row r="726" customFormat="false" ht="15" hidden="false" customHeight="false" outlineLevel="0" collapsed="false">
      <c r="A726" s="18" t="str">
        <f aca="false">IF(C726="","",IFERROR(INDEX(Metrics!$A:$A,MATCH(C726,Metrics!$C:$C,0)),"Not found"))</f>
        <v/>
      </c>
      <c r="B726" s="18" t="str">
        <f aca="false">IF(D726="","",IFERROR(INDEX(Fields!$A:$A,MATCH(D726,Fields!$B:$B,0)),"Not found"))</f>
        <v/>
      </c>
      <c r="C726" s="20"/>
      <c r="D726" s="20"/>
      <c r="E726" s="20"/>
      <c r="F726" s="21" t="str">
        <f aca="false">IF(B726="","",IFERROR(INDEX(Fields!$C:$C,MATCH(B726,Fields!$A:$A,0)),""))</f>
        <v/>
      </c>
      <c r="G726" s="18" t="str">
        <f aca="false">IF(A726="","",COUNTIF('Metric to Product'!$A:$A,A726))</f>
        <v/>
      </c>
      <c r="H726" s="20"/>
      <c r="I726" s="20"/>
      <c r="J726" s="20"/>
      <c r="K726" s="20"/>
    </row>
    <row r="727" customFormat="false" ht="15" hidden="false" customHeight="false" outlineLevel="0" collapsed="false">
      <c r="A727" s="18" t="str">
        <f aca="false">IF(C727="","",IFERROR(INDEX(Metrics!$A:$A,MATCH(C727,Metrics!$C:$C,0)),"Not found"))</f>
        <v/>
      </c>
      <c r="B727" s="18" t="str">
        <f aca="false">IF(D727="","",IFERROR(INDEX(Fields!$A:$A,MATCH(D727,Fields!$B:$B,0)),"Not found"))</f>
        <v/>
      </c>
      <c r="C727" s="20"/>
      <c r="D727" s="20"/>
      <c r="E727" s="20"/>
      <c r="F727" s="21" t="str">
        <f aca="false">IF(B727="","",IFERROR(INDEX(Fields!$C:$C,MATCH(B727,Fields!$A:$A,0)),""))</f>
        <v/>
      </c>
      <c r="G727" s="18" t="str">
        <f aca="false">IF(A727="","",COUNTIF('Metric to Product'!$A:$A,A727))</f>
        <v/>
      </c>
      <c r="H727" s="20"/>
      <c r="I727" s="20"/>
      <c r="J727" s="20"/>
      <c r="K727" s="20"/>
    </row>
    <row r="728" customFormat="false" ht="15" hidden="false" customHeight="false" outlineLevel="0" collapsed="false">
      <c r="A728" s="18" t="str">
        <f aca="false">IF(C728="","",IFERROR(INDEX(Metrics!$A:$A,MATCH(C728,Metrics!$C:$C,0)),"Not found"))</f>
        <v/>
      </c>
      <c r="B728" s="18" t="str">
        <f aca="false">IF(D728="","",IFERROR(INDEX(Fields!$A:$A,MATCH(D728,Fields!$B:$B,0)),"Not found"))</f>
        <v/>
      </c>
      <c r="C728" s="20"/>
      <c r="D728" s="20"/>
      <c r="E728" s="20"/>
      <c r="F728" s="21" t="str">
        <f aca="false">IF(B728="","",IFERROR(INDEX(Fields!$C:$C,MATCH(B728,Fields!$A:$A,0)),""))</f>
        <v/>
      </c>
      <c r="G728" s="18" t="str">
        <f aca="false">IF(A728="","",COUNTIF('Metric to Product'!$A:$A,A728))</f>
        <v/>
      </c>
      <c r="H728" s="20"/>
      <c r="I728" s="20"/>
      <c r="J728" s="20"/>
      <c r="K728" s="20"/>
    </row>
    <row r="729" customFormat="false" ht="15" hidden="false" customHeight="false" outlineLevel="0" collapsed="false">
      <c r="A729" s="18" t="str">
        <f aca="false">IF(C729="","",IFERROR(INDEX(Metrics!$A:$A,MATCH(C729,Metrics!$C:$C,0)),"Not found"))</f>
        <v/>
      </c>
      <c r="B729" s="18" t="str">
        <f aca="false">IF(D729="","",IFERROR(INDEX(Fields!$A:$A,MATCH(D729,Fields!$B:$B,0)),"Not found"))</f>
        <v/>
      </c>
      <c r="C729" s="20"/>
      <c r="D729" s="20"/>
      <c r="E729" s="20"/>
      <c r="F729" s="21" t="str">
        <f aca="false">IF(B729="","",IFERROR(INDEX(Fields!$C:$C,MATCH(B729,Fields!$A:$A,0)),""))</f>
        <v/>
      </c>
      <c r="G729" s="18" t="str">
        <f aca="false">IF(A729="","",COUNTIF('Metric to Product'!$A:$A,A729))</f>
        <v/>
      </c>
      <c r="H729" s="20"/>
      <c r="I729" s="20"/>
      <c r="J729" s="20"/>
      <c r="K729" s="20"/>
    </row>
    <row r="730" customFormat="false" ht="15" hidden="false" customHeight="false" outlineLevel="0" collapsed="false">
      <c r="A730" s="18" t="str">
        <f aca="false">IF(C730="","",IFERROR(INDEX(Metrics!$A:$A,MATCH(C730,Metrics!$C:$C,0)),"Not found"))</f>
        <v/>
      </c>
      <c r="B730" s="18" t="str">
        <f aca="false">IF(D730="","",IFERROR(INDEX(Fields!$A:$A,MATCH(D730,Fields!$B:$B,0)),"Not found"))</f>
        <v/>
      </c>
      <c r="C730" s="20"/>
      <c r="D730" s="20"/>
      <c r="E730" s="20"/>
      <c r="F730" s="21" t="str">
        <f aca="false">IF(B730="","",IFERROR(INDEX(Fields!$C:$C,MATCH(B730,Fields!$A:$A,0)),""))</f>
        <v/>
      </c>
      <c r="G730" s="18" t="str">
        <f aca="false">IF(A730="","",COUNTIF('Metric to Product'!$A:$A,A730))</f>
        <v/>
      </c>
      <c r="H730" s="20"/>
      <c r="I730" s="20"/>
      <c r="J730" s="20"/>
      <c r="K730" s="20"/>
    </row>
    <row r="731" customFormat="false" ht="15" hidden="false" customHeight="false" outlineLevel="0" collapsed="false">
      <c r="A731" s="18" t="str">
        <f aca="false">IF(C731="","",IFERROR(INDEX(Metrics!$A:$A,MATCH(C731,Metrics!$C:$C,0)),"Not found"))</f>
        <v/>
      </c>
      <c r="B731" s="18" t="str">
        <f aca="false">IF(D731="","",IFERROR(INDEX(Fields!$A:$A,MATCH(D731,Fields!$B:$B,0)),"Not found"))</f>
        <v/>
      </c>
      <c r="C731" s="20"/>
      <c r="D731" s="20"/>
      <c r="E731" s="20"/>
      <c r="F731" s="21" t="str">
        <f aca="false">IF(B731="","",IFERROR(INDEX(Fields!$C:$C,MATCH(B731,Fields!$A:$A,0)),""))</f>
        <v/>
      </c>
      <c r="G731" s="18" t="str">
        <f aca="false">IF(A731="","",COUNTIF('Metric to Product'!$A:$A,A731))</f>
        <v/>
      </c>
      <c r="H731" s="20"/>
      <c r="I731" s="20"/>
      <c r="J731" s="20"/>
      <c r="K731" s="20"/>
    </row>
    <row r="732" customFormat="false" ht="15" hidden="false" customHeight="false" outlineLevel="0" collapsed="false">
      <c r="A732" s="18" t="str">
        <f aca="false">IF(C732="","",IFERROR(INDEX(Metrics!$A:$A,MATCH(C732,Metrics!$C:$C,0)),"Not found"))</f>
        <v/>
      </c>
      <c r="B732" s="18" t="str">
        <f aca="false">IF(D732="","",IFERROR(INDEX(Fields!$A:$A,MATCH(D732,Fields!$B:$B,0)),"Not found"))</f>
        <v/>
      </c>
      <c r="C732" s="20"/>
      <c r="D732" s="20"/>
      <c r="E732" s="20"/>
      <c r="F732" s="21" t="str">
        <f aca="false">IF(B732="","",IFERROR(INDEX(Fields!$C:$C,MATCH(B732,Fields!$A:$A,0)),""))</f>
        <v/>
      </c>
      <c r="G732" s="18" t="str">
        <f aca="false">IF(A732="","",COUNTIF('Metric to Product'!$A:$A,A732))</f>
        <v/>
      </c>
      <c r="H732" s="20"/>
      <c r="I732" s="20"/>
      <c r="J732" s="20"/>
      <c r="K732" s="20"/>
    </row>
    <row r="733" customFormat="false" ht="15" hidden="false" customHeight="false" outlineLevel="0" collapsed="false">
      <c r="A733" s="18" t="str">
        <f aca="false">IF(C733="","",IFERROR(INDEX(Metrics!$A:$A,MATCH(C733,Metrics!$C:$C,0)),"Not found"))</f>
        <v/>
      </c>
      <c r="B733" s="18" t="str">
        <f aca="false">IF(D733="","",IFERROR(INDEX(Fields!$A:$A,MATCH(D733,Fields!$B:$B,0)),"Not found"))</f>
        <v/>
      </c>
      <c r="C733" s="20"/>
      <c r="D733" s="20"/>
      <c r="E733" s="20"/>
      <c r="F733" s="21" t="str">
        <f aca="false">IF(B733="","",IFERROR(INDEX(Fields!$C:$C,MATCH(B733,Fields!$A:$A,0)),""))</f>
        <v/>
      </c>
      <c r="G733" s="18" t="str">
        <f aca="false">IF(A733="","",COUNTIF('Metric to Product'!$A:$A,A733))</f>
        <v/>
      </c>
      <c r="H733" s="20"/>
      <c r="I733" s="20"/>
      <c r="J733" s="20"/>
      <c r="K733" s="20"/>
    </row>
    <row r="734" customFormat="false" ht="15" hidden="false" customHeight="false" outlineLevel="0" collapsed="false">
      <c r="A734" s="18" t="str">
        <f aca="false">IF(C734="","",IFERROR(INDEX(Metrics!$A:$A,MATCH(C734,Metrics!$C:$C,0)),"Not found"))</f>
        <v/>
      </c>
      <c r="B734" s="18" t="str">
        <f aca="false">IF(D734="","",IFERROR(INDEX(Fields!$A:$A,MATCH(D734,Fields!$B:$B,0)),"Not found"))</f>
        <v/>
      </c>
      <c r="C734" s="20"/>
      <c r="D734" s="20"/>
      <c r="E734" s="20"/>
      <c r="F734" s="21" t="str">
        <f aca="false">IF(B734="","",IFERROR(INDEX(Fields!$C:$C,MATCH(B734,Fields!$A:$A,0)),""))</f>
        <v/>
      </c>
      <c r="G734" s="18" t="str">
        <f aca="false">IF(A734="","",COUNTIF('Metric to Product'!$A:$A,A734))</f>
        <v/>
      </c>
      <c r="H734" s="20"/>
      <c r="I734" s="20"/>
      <c r="J734" s="20"/>
      <c r="K734" s="20"/>
    </row>
    <row r="735" customFormat="false" ht="15" hidden="false" customHeight="false" outlineLevel="0" collapsed="false">
      <c r="A735" s="18" t="str">
        <f aca="false">IF(C735="","",IFERROR(INDEX(Metrics!$A:$A,MATCH(C735,Metrics!$C:$C,0)),"Not found"))</f>
        <v/>
      </c>
      <c r="B735" s="18" t="str">
        <f aca="false">IF(D735="","",IFERROR(INDEX(Fields!$A:$A,MATCH(D735,Fields!$B:$B,0)),"Not found"))</f>
        <v/>
      </c>
      <c r="C735" s="20"/>
      <c r="D735" s="20"/>
      <c r="E735" s="20"/>
      <c r="F735" s="21" t="str">
        <f aca="false">IF(B735="","",IFERROR(INDEX(Fields!$C:$C,MATCH(B735,Fields!$A:$A,0)),""))</f>
        <v/>
      </c>
      <c r="G735" s="18" t="str">
        <f aca="false">IF(A735="","",COUNTIF('Metric to Product'!$A:$A,A735))</f>
        <v/>
      </c>
      <c r="H735" s="20"/>
      <c r="I735" s="20"/>
      <c r="J735" s="20"/>
      <c r="K735" s="20"/>
    </row>
    <row r="736" customFormat="false" ht="15" hidden="false" customHeight="false" outlineLevel="0" collapsed="false">
      <c r="A736" s="18" t="str">
        <f aca="false">IF(C736="","",IFERROR(INDEX(Metrics!$A:$A,MATCH(C736,Metrics!$C:$C,0)),"Not found"))</f>
        <v/>
      </c>
      <c r="B736" s="18" t="str">
        <f aca="false">IF(D736="","",IFERROR(INDEX(Fields!$A:$A,MATCH(D736,Fields!$B:$B,0)),"Not found"))</f>
        <v/>
      </c>
      <c r="C736" s="20"/>
      <c r="D736" s="20"/>
      <c r="E736" s="20"/>
      <c r="F736" s="21" t="str">
        <f aca="false">IF(B736="","",IFERROR(INDEX(Fields!$C:$C,MATCH(B736,Fields!$A:$A,0)),""))</f>
        <v/>
      </c>
      <c r="G736" s="18" t="str">
        <f aca="false">IF(A736="","",COUNTIF('Metric to Product'!$A:$A,A736))</f>
        <v/>
      </c>
      <c r="H736" s="20"/>
      <c r="I736" s="20"/>
      <c r="J736" s="20"/>
      <c r="K736" s="20"/>
    </row>
    <row r="737" customFormat="false" ht="15" hidden="false" customHeight="false" outlineLevel="0" collapsed="false">
      <c r="A737" s="18" t="str">
        <f aca="false">IF(C737="","",IFERROR(INDEX(Metrics!$A:$A,MATCH(C737,Metrics!$C:$C,0)),"Not found"))</f>
        <v/>
      </c>
      <c r="B737" s="18" t="str">
        <f aca="false">IF(D737="","",IFERROR(INDEX(Fields!$A:$A,MATCH(D737,Fields!$B:$B,0)),"Not found"))</f>
        <v/>
      </c>
      <c r="C737" s="20"/>
      <c r="D737" s="20"/>
      <c r="E737" s="20"/>
      <c r="F737" s="21" t="str">
        <f aca="false">IF(B737="","",IFERROR(INDEX(Fields!$C:$C,MATCH(B737,Fields!$A:$A,0)),""))</f>
        <v/>
      </c>
      <c r="G737" s="18" t="str">
        <f aca="false">IF(A737="","",COUNTIF('Metric to Product'!$A:$A,A737))</f>
        <v/>
      </c>
      <c r="H737" s="20"/>
      <c r="I737" s="20"/>
      <c r="J737" s="20"/>
      <c r="K737" s="20"/>
    </row>
    <row r="738" customFormat="false" ht="15" hidden="false" customHeight="false" outlineLevel="0" collapsed="false">
      <c r="A738" s="18" t="str">
        <f aca="false">IF(C738="","",IFERROR(INDEX(Metrics!$A:$A,MATCH(C738,Metrics!$C:$C,0)),"Not found"))</f>
        <v/>
      </c>
      <c r="B738" s="18" t="str">
        <f aca="false">IF(D738="","",IFERROR(INDEX(Fields!$A:$A,MATCH(D738,Fields!$B:$B,0)),"Not found"))</f>
        <v/>
      </c>
      <c r="C738" s="20"/>
      <c r="D738" s="20"/>
      <c r="E738" s="20"/>
      <c r="F738" s="21" t="str">
        <f aca="false">IF(B738="","",IFERROR(INDEX(Fields!$C:$C,MATCH(B738,Fields!$A:$A,0)),""))</f>
        <v/>
      </c>
      <c r="G738" s="18" t="str">
        <f aca="false">IF(A738="","",COUNTIF('Metric to Product'!$A:$A,A738))</f>
        <v/>
      </c>
      <c r="H738" s="20"/>
      <c r="I738" s="20"/>
      <c r="J738" s="20"/>
      <c r="K738" s="20"/>
    </row>
    <row r="739" customFormat="false" ht="15" hidden="false" customHeight="false" outlineLevel="0" collapsed="false">
      <c r="A739" s="18" t="str">
        <f aca="false">IF(C739="","",IFERROR(INDEX(Metrics!$A:$A,MATCH(C739,Metrics!$C:$C,0)),"Not found"))</f>
        <v/>
      </c>
      <c r="B739" s="18" t="str">
        <f aca="false">IF(D739="","",IFERROR(INDEX(Fields!$A:$A,MATCH(D739,Fields!$B:$B,0)),"Not found"))</f>
        <v/>
      </c>
      <c r="C739" s="20"/>
      <c r="D739" s="20"/>
      <c r="E739" s="20"/>
      <c r="F739" s="21" t="str">
        <f aca="false">IF(B739="","",IFERROR(INDEX(Fields!$C:$C,MATCH(B739,Fields!$A:$A,0)),""))</f>
        <v/>
      </c>
      <c r="G739" s="18" t="str">
        <f aca="false">IF(A739="","",COUNTIF('Metric to Product'!$A:$A,A739))</f>
        <v/>
      </c>
      <c r="H739" s="20"/>
      <c r="I739" s="20"/>
      <c r="J739" s="20"/>
      <c r="K739" s="20"/>
    </row>
    <row r="740" customFormat="false" ht="15" hidden="false" customHeight="false" outlineLevel="0" collapsed="false">
      <c r="A740" s="18" t="str">
        <f aca="false">IF(C740="","",IFERROR(INDEX(Metrics!$A:$A,MATCH(C740,Metrics!$C:$C,0)),"Not found"))</f>
        <v/>
      </c>
      <c r="B740" s="18" t="str">
        <f aca="false">IF(D740="","",IFERROR(INDEX(Fields!$A:$A,MATCH(D740,Fields!$B:$B,0)),"Not found"))</f>
        <v/>
      </c>
      <c r="C740" s="20"/>
      <c r="D740" s="20"/>
      <c r="E740" s="20"/>
      <c r="F740" s="21" t="str">
        <f aca="false">IF(B740="","",IFERROR(INDEX(Fields!$C:$C,MATCH(B740,Fields!$A:$A,0)),""))</f>
        <v/>
      </c>
      <c r="G740" s="18" t="str">
        <f aca="false">IF(A740="","",COUNTIF('Metric to Product'!$A:$A,A740))</f>
        <v/>
      </c>
      <c r="H740" s="20"/>
      <c r="I740" s="20"/>
      <c r="J740" s="20"/>
      <c r="K740" s="20"/>
    </row>
    <row r="741" customFormat="false" ht="15" hidden="false" customHeight="false" outlineLevel="0" collapsed="false">
      <c r="A741" s="18" t="str">
        <f aca="false">IF(C741="","",IFERROR(INDEX(Metrics!$A:$A,MATCH(C741,Metrics!$C:$C,0)),"Not found"))</f>
        <v/>
      </c>
      <c r="B741" s="18" t="str">
        <f aca="false">IF(D741="","",IFERROR(INDEX(Fields!$A:$A,MATCH(D741,Fields!$B:$B,0)),"Not found"))</f>
        <v/>
      </c>
      <c r="C741" s="20"/>
      <c r="D741" s="20"/>
      <c r="E741" s="20"/>
      <c r="F741" s="21" t="str">
        <f aca="false">IF(B741="","",IFERROR(INDEX(Fields!$C:$C,MATCH(B741,Fields!$A:$A,0)),""))</f>
        <v/>
      </c>
      <c r="G741" s="18" t="str">
        <f aca="false">IF(A741="","",COUNTIF('Metric to Product'!$A:$A,A741))</f>
        <v/>
      </c>
      <c r="H741" s="20"/>
      <c r="I741" s="20"/>
      <c r="J741" s="20"/>
      <c r="K741" s="20"/>
    </row>
    <row r="742" customFormat="false" ht="15" hidden="false" customHeight="false" outlineLevel="0" collapsed="false">
      <c r="A742" s="18" t="str">
        <f aca="false">IF(C742="","",IFERROR(INDEX(Metrics!$A:$A,MATCH(C742,Metrics!$C:$C,0)),"Not found"))</f>
        <v/>
      </c>
      <c r="B742" s="18" t="str">
        <f aca="false">IF(D742="","",IFERROR(INDEX(Fields!$A:$A,MATCH(D742,Fields!$B:$B,0)),"Not found"))</f>
        <v/>
      </c>
      <c r="C742" s="20"/>
      <c r="D742" s="20"/>
      <c r="E742" s="20"/>
      <c r="F742" s="21" t="str">
        <f aca="false">IF(B742="","",IFERROR(INDEX(Fields!$C:$C,MATCH(B742,Fields!$A:$A,0)),""))</f>
        <v/>
      </c>
      <c r="G742" s="18" t="str">
        <f aca="false">IF(A742="","",COUNTIF('Metric to Product'!$A:$A,A742))</f>
        <v/>
      </c>
      <c r="H742" s="20"/>
      <c r="I742" s="20"/>
      <c r="J742" s="20"/>
      <c r="K742" s="20"/>
    </row>
    <row r="743" customFormat="false" ht="15" hidden="false" customHeight="false" outlineLevel="0" collapsed="false">
      <c r="A743" s="18" t="str">
        <f aca="false">IF(C743="","",IFERROR(INDEX(Metrics!$A:$A,MATCH(C743,Metrics!$C:$C,0)),"Not found"))</f>
        <v/>
      </c>
      <c r="B743" s="18" t="str">
        <f aca="false">IF(D743="","",IFERROR(INDEX(Fields!$A:$A,MATCH(D743,Fields!$B:$B,0)),"Not found"))</f>
        <v/>
      </c>
      <c r="C743" s="20"/>
      <c r="D743" s="20"/>
      <c r="E743" s="20"/>
      <c r="F743" s="21" t="str">
        <f aca="false">IF(B743="","",IFERROR(INDEX(Fields!$C:$C,MATCH(B743,Fields!$A:$A,0)),""))</f>
        <v/>
      </c>
      <c r="G743" s="18" t="str">
        <f aca="false">IF(A743="","",COUNTIF('Metric to Product'!$A:$A,A743))</f>
        <v/>
      </c>
      <c r="H743" s="20"/>
      <c r="I743" s="20"/>
      <c r="J743" s="20"/>
      <c r="K743" s="20"/>
    </row>
    <row r="744" customFormat="false" ht="15" hidden="false" customHeight="false" outlineLevel="0" collapsed="false">
      <c r="A744" s="18" t="str">
        <f aca="false">IF(C744="","",IFERROR(INDEX(Metrics!$A:$A,MATCH(C744,Metrics!$C:$C,0)),"Not found"))</f>
        <v/>
      </c>
      <c r="B744" s="18" t="str">
        <f aca="false">IF(D744="","",IFERROR(INDEX(Fields!$A:$A,MATCH(D744,Fields!$B:$B,0)),"Not found"))</f>
        <v/>
      </c>
      <c r="C744" s="20"/>
      <c r="D744" s="20"/>
      <c r="E744" s="20"/>
      <c r="F744" s="21" t="str">
        <f aca="false">IF(B744="","",IFERROR(INDEX(Fields!$C:$C,MATCH(B744,Fields!$A:$A,0)),""))</f>
        <v/>
      </c>
      <c r="G744" s="18" t="str">
        <f aca="false">IF(A744="","",COUNTIF('Metric to Product'!$A:$A,A744))</f>
        <v/>
      </c>
      <c r="H744" s="20"/>
      <c r="I744" s="20"/>
      <c r="J744" s="20"/>
      <c r="K744" s="20"/>
    </row>
    <row r="745" customFormat="false" ht="15" hidden="false" customHeight="false" outlineLevel="0" collapsed="false">
      <c r="A745" s="18" t="str">
        <f aca="false">IF(C745="","",IFERROR(INDEX(Metrics!$A:$A,MATCH(C745,Metrics!$C:$C,0)),"Not found"))</f>
        <v/>
      </c>
      <c r="B745" s="18" t="str">
        <f aca="false">IF(D745="","",IFERROR(INDEX(Fields!$A:$A,MATCH(D745,Fields!$B:$B,0)),"Not found"))</f>
        <v/>
      </c>
      <c r="C745" s="20"/>
      <c r="D745" s="20"/>
      <c r="E745" s="20"/>
      <c r="F745" s="21" t="str">
        <f aca="false">IF(B745="","",IFERROR(INDEX(Fields!$C:$C,MATCH(B745,Fields!$A:$A,0)),""))</f>
        <v/>
      </c>
      <c r="G745" s="18" t="str">
        <f aca="false">IF(A745="","",COUNTIF('Metric to Product'!$A:$A,A745))</f>
        <v/>
      </c>
      <c r="H745" s="20"/>
      <c r="I745" s="20"/>
      <c r="J745" s="20"/>
      <c r="K745" s="20"/>
    </row>
    <row r="746" customFormat="false" ht="15" hidden="false" customHeight="false" outlineLevel="0" collapsed="false">
      <c r="A746" s="18" t="str">
        <f aca="false">IF(C746="","",IFERROR(INDEX(Metrics!$A:$A,MATCH(C746,Metrics!$C:$C,0)),"Not found"))</f>
        <v/>
      </c>
      <c r="B746" s="18" t="str">
        <f aca="false">IF(D746="","",IFERROR(INDEX(Fields!$A:$A,MATCH(D746,Fields!$B:$B,0)),"Not found"))</f>
        <v/>
      </c>
      <c r="C746" s="20"/>
      <c r="D746" s="20"/>
      <c r="E746" s="20"/>
      <c r="F746" s="21" t="str">
        <f aca="false">IF(B746="","",IFERROR(INDEX(Fields!$C:$C,MATCH(B746,Fields!$A:$A,0)),""))</f>
        <v/>
      </c>
      <c r="G746" s="18" t="str">
        <f aca="false">IF(A746="","",COUNTIF('Metric to Product'!$A:$A,A746))</f>
        <v/>
      </c>
      <c r="H746" s="20"/>
      <c r="I746" s="20"/>
      <c r="J746" s="20"/>
      <c r="K746" s="20"/>
    </row>
    <row r="747" customFormat="false" ht="15" hidden="false" customHeight="false" outlineLevel="0" collapsed="false">
      <c r="A747" s="18" t="str">
        <f aca="false">IF(C747="","",IFERROR(INDEX(Metrics!$A:$A,MATCH(C747,Metrics!$C:$C,0)),"Not found"))</f>
        <v/>
      </c>
      <c r="B747" s="18" t="str">
        <f aca="false">IF(D747="","",IFERROR(INDEX(Fields!$A:$A,MATCH(D747,Fields!$B:$B,0)),"Not found"))</f>
        <v/>
      </c>
      <c r="C747" s="20"/>
      <c r="D747" s="20"/>
      <c r="E747" s="20"/>
      <c r="F747" s="21" t="str">
        <f aca="false">IF(B747="","",IFERROR(INDEX(Fields!$C:$C,MATCH(B747,Fields!$A:$A,0)),""))</f>
        <v/>
      </c>
      <c r="G747" s="18" t="str">
        <f aca="false">IF(A747="","",COUNTIF('Metric to Product'!$A:$A,A747))</f>
        <v/>
      </c>
      <c r="H747" s="20"/>
      <c r="I747" s="20"/>
      <c r="J747" s="20"/>
      <c r="K747" s="20"/>
    </row>
    <row r="748" customFormat="false" ht="15" hidden="false" customHeight="false" outlineLevel="0" collapsed="false">
      <c r="A748" s="18" t="str">
        <f aca="false">IF(C748="","",IFERROR(INDEX(Metrics!$A:$A,MATCH(C748,Metrics!$C:$C,0)),"Not found"))</f>
        <v/>
      </c>
      <c r="B748" s="18" t="str">
        <f aca="false">IF(D748="","",IFERROR(INDEX(Fields!$A:$A,MATCH(D748,Fields!$B:$B,0)),"Not found"))</f>
        <v/>
      </c>
      <c r="C748" s="20"/>
      <c r="D748" s="20"/>
      <c r="E748" s="20"/>
      <c r="F748" s="21" t="str">
        <f aca="false">IF(B748="","",IFERROR(INDEX(Fields!$C:$C,MATCH(B748,Fields!$A:$A,0)),""))</f>
        <v/>
      </c>
      <c r="G748" s="18" t="str">
        <f aca="false">IF(A748="","",COUNTIF('Metric to Product'!$A:$A,A748))</f>
        <v/>
      </c>
      <c r="H748" s="20"/>
      <c r="I748" s="20"/>
      <c r="J748" s="20"/>
      <c r="K748" s="20"/>
    </row>
    <row r="749" customFormat="false" ht="15" hidden="false" customHeight="false" outlineLevel="0" collapsed="false">
      <c r="A749" s="18" t="str">
        <f aca="false">IF(C749="","",IFERROR(INDEX(Metrics!$A:$A,MATCH(C749,Metrics!$C:$C,0)),"Not found"))</f>
        <v/>
      </c>
      <c r="B749" s="18" t="str">
        <f aca="false">IF(D749="","",IFERROR(INDEX(Fields!$A:$A,MATCH(D749,Fields!$B:$B,0)),"Not found"))</f>
        <v/>
      </c>
      <c r="C749" s="20"/>
      <c r="D749" s="20"/>
      <c r="E749" s="20"/>
      <c r="F749" s="21" t="str">
        <f aca="false">IF(B749="","",IFERROR(INDEX(Fields!$C:$C,MATCH(B749,Fields!$A:$A,0)),""))</f>
        <v/>
      </c>
      <c r="G749" s="18" t="str">
        <f aca="false">IF(A749="","",COUNTIF('Metric to Product'!$A:$A,A749))</f>
        <v/>
      </c>
      <c r="H749" s="20"/>
      <c r="I749" s="20"/>
      <c r="J749" s="20"/>
      <c r="K749" s="20"/>
    </row>
    <row r="750" customFormat="false" ht="15" hidden="false" customHeight="false" outlineLevel="0" collapsed="false">
      <c r="A750" s="18" t="str">
        <f aca="false">IF(C750="","",IFERROR(INDEX(Metrics!$A:$A,MATCH(C750,Metrics!$C:$C,0)),"Not found"))</f>
        <v/>
      </c>
      <c r="B750" s="18" t="str">
        <f aca="false">IF(D750="","",IFERROR(INDEX(Fields!$A:$A,MATCH(D750,Fields!$B:$B,0)),"Not found"))</f>
        <v/>
      </c>
      <c r="C750" s="20"/>
      <c r="D750" s="20"/>
      <c r="E750" s="20"/>
      <c r="F750" s="21" t="str">
        <f aca="false">IF(B750="","",IFERROR(INDEX(Fields!$C:$C,MATCH(B750,Fields!$A:$A,0)),""))</f>
        <v/>
      </c>
      <c r="G750" s="18" t="str">
        <f aca="false">IF(A750="","",COUNTIF('Metric to Product'!$A:$A,A750))</f>
        <v/>
      </c>
      <c r="H750" s="20"/>
      <c r="I750" s="20"/>
      <c r="J750" s="20"/>
      <c r="K750" s="20"/>
    </row>
    <row r="751" customFormat="false" ht="15" hidden="false" customHeight="false" outlineLevel="0" collapsed="false">
      <c r="A751" s="18" t="str">
        <f aca="false">IF(C751="","",IFERROR(INDEX(Metrics!$A:$A,MATCH(C751,Metrics!$C:$C,0)),"Not found"))</f>
        <v/>
      </c>
      <c r="B751" s="18" t="str">
        <f aca="false">IF(D751="","",IFERROR(INDEX(Fields!$A:$A,MATCH(D751,Fields!$B:$B,0)),"Not found"))</f>
        <v/>
      </c>
      <c r="C751" s="20"/>
      <c r="D751" s="20"/>
      <c r="E751" s="20"/>
      <c r="F751" s="21" t="str">
        <f aca="false">IF(B751="","",IFERROR(INDEX(Fields!$C:$C,MATCH(B751,Fields!$A:$A,0)),""))</f>
        <v/>
      </c>
      <c r="G751" s="18" t="str">
        <f aca="false">IF(A751="","",COUNTIF('Metric to Product'!$A:$A,A751))</f>
        <v/>
      </c>
      <c r="H751" s="20"/>
      <c r="I751" s="20"/>
      <c r="J751" s="20"/>
      <c r="K751" s="20"/>
    </row>
    <row r="752" customFormat="false" ht="15" hidden="false" customHeight="false" outlineLevel="0" collapsed="false">
      <c r="A752" s="18" t="str">
        <f aca="false">IF(C752="","",IFERROR(INDEX(Metrics!$A:$A,MATCH(C752,Metrics!$C:$C,0)),"Not found"))</f>
        <v/>
      </c>
      <c r="B752" s="18" t="str">
        <f aca="false">IF(D752="","",IFERROR(INDEX(Fields!$A:$A,MATCH(D752,Fields!$B:$B,0)),"Not found"))</f>
        <v/>
      </c>
      <c r="C752" s="20"/>
      <c r="D752" s="20"/>
      <c r="E752" s="20"/>
      <c r="F752" s="21" t="str">
        <f aca="false">IF(B752="","",IFERROR(INDEX(Fields!$C:$C,MATCH(B752,Fields!$A:$A,0)),""))</f>
        <v/>
      </c>
      <c r="G752" s="18" t="str">
        <f aca="false">IF(A752="","",COUNTIF('Metric to Product'!$A:$A,A752))</f>
        <v/>
      </c>
      <c r="H752" s="20"/>
      <c r="I752" s="20"/>
      <c r="J752" s="20"/>
      <c r="K752" s="20"/>
    </row>
    <row r="753" customFormat="false" ht="15" hidden="false" customHeight="false" outlineLevel="0" collapsed="false">
      <c r="A753" s="18" t="str">
        <f aca="false">IF(C753="","",IFERROR(INDEX(Metrics!$A:$A,MATCH(C753,Metrics!$C:$C,0)),"Not found"))</f>
        <v/>
      </c>
      <c r="B753" s="18" t="str">
        <f aca="false">IF(D753="","",IFERROR(INDEX(Fields!$A:$A,MATCH(D753,Fields!$B:$B,0)),"Not found"))</f>
        <v/>
      </c>
      <c r="C753" s="20"/>
      <c r="D753" s="20"/>
      <c r="E753" s="20"/>
      <c r="F753" s="21" t="str">
        <f aca="false">IF(B753="","",IFERROR(INDEX(Fields!$C:$C,MATCH(B753,Fields!$A:$A,0)),""))</f>
        <v/>
      </c>
      <c r="G753" s="18" t="str">
        <f aca="false">IF(A753="","",COUNTIF('Metric to Product'!$A:$A,A753))</f>
        <v/>
      </c>
      <c r="H753" s="20"/>
      <c r="I753" s="20"/>
      <c r="J753" s="20"/>
      <c r="K753" s="20"/>
    </row>
    <row r="754" customFormat="false" ht="15" hidden="false" customHeight="false" outlineLevel="0" collapsed="false">
      <c r="A754" s="18" t="str">
        <f aca="false">IF(C754="","",IFERROR(INDEX(Metrics!$A:$A,MATCH(C754,Metrics!$C:$C,0)),"Not found"))</f>
        <v/>
      </c>
      <c r="B754" s="18" t="str">
        <f aca="false">IF(D754="","",IFERROR(INDEX(Fields!$A:$A,MATCH(D754,Fields!$B:$B,0)),"Not found"))</f>
        <v/>
      </c>
      <c r="C754" s="20"/>
      <c r="D754" s="20"/>
      <c r="E754" s="20"/>
      <c r="F754" s="21" t="str">
        <f aca="false">IF(B754="","",IFERROR(INDEX(Fields!$C:$C,MATCH(B754,Fields!$A:$A,0)),""))</f>
        <v/>
      </c>
      <c r="G754" s="18" t="str">
        <f aca="false">IF(A754="","",COUNTIF('Metric to Product'!$A:$A,A754))</f>
        <v/>
      </c>
      <c r="H754" s="20"/>
      <c r="I754" s="20"/>
      <c r="J754" s="20"/>
      <c r="K754" s="20"/>
    </row>
    <row r="755" customFormat="false" ht="15" hidden="false" customHeight="false" outlineLevel="0" collapsed="false">
      <c r="A755" s="18" t="str">
        <f aca="false">IF(C755="","",IFERROR(INDEX(Metrics!$A:$A,MATCH(C755,Metrics!$C:$C,0)),"Not found"))</f>
        <v/>
      </c>
      <c r="B755" s="18" t="str">
        <f aca="false">IF(D755="","",IFERROR(INDEX(Fields!$A:$A,MATCH(D755,Fields!$B:$B,0)),"Not found"))</f>
        <v/>
      </c>
      <c r="C755" s="20"/>
      <c r="D755" s="20"/>
      <c r="E755" s="20"/>
      <c r="F755" s="21" t="str">
        <f aca="false">IF(B755="","",IFERROR(INDEX(Fields!$C:$C,MATCH(B755,Fields!$A:$A,0)),""))</f>
        <v/>
      </c>
      <c r="G755" s="18" t="str">
        <f aca="false">IF(A755="","",COUNTIF('Metric to Product'!$A:$A,A755))</f>
        <v/>
      </c>
      <c r="H755" s="20"/>
      <c r="I755" s="20"/>
      <c r="J755" s="20"/>
      <c r="K755" s="20"/>
    </row>
    <row r="756" customFormat="false" ht="15" hidden="false" customHeight="false" outlineLevel="0" collapsed="false">
      <c r="A756" s="18" t="str">
        <f aca="false">IF(C756="","",IFERROR(INDEX(Metrics!$A:$A,MATCH(C756,Metrics!$C:$C,0)),"Not found"))</f>
        <v/>
      </c>
      <c r="B756" s="18" t="str">
        <f aca="false">IF(D756="","",IFERROR(INDEX(Fields!$A:$A,MATCH(D756,Fields!$B:$B,0)),"Not found"))</f>
        <v/>
      </c>
      <c r="C756" s="20"/>
      <c r="D756" s="20"/>
      <c r="E756" s="20"/>
      <c r="F756" s="21" t="str">
        <f aca="false">IF(B756="","",IFERROR(INDEX(Fields!$C:$C,MATCH(B756,Fields!$A:$A,0)),""))</f>
        <v/>
      </c>
      <c r="G756" s="18" t="str">
        <f aca="false">IF(A756="","",COUNTIF('Metric to Product'!$A:$A,A756))</f>
        <v/>
      </c>
      <c r="H756" s="20"/>
      <c r="I756" s="20"/>
      <c r="J756" s="20"/>
      <c r="K756" s="20"/>
    </row>
    <row r="757" customFormat="false" ht="15" hidden="false" customHeight="false" outlineLevel="0" collapsed="false">
      <c r="A757" s="18" t="str">
        <f aca="false">IF(C757="","",IFERROR(INDEX(Metrics!$A:$A,MATCH(C757,Metrics!$C:$C,0)),"Not found"))</f>
        <v/>
      </c>
      <c r="B757" s="18" t="str">
        <f aca="false">IF(D757="","",IFERROR(INDEX(Fields!$A:$A,MATCH(D757,Fields!$B:$B,0)),"Not found"))</f>
        <v/>
      </c>
      <c r="C757" s="20"/>
      <c r="D757" s="20"/>
      <c r="E757" s="20"/>
      <c r="F757" s="21" t="str">
        <f aca="false">IF(B757="","",IFERROR(INDEX(Fields!$C:$C,MATCH(B757,Fields!$A:$A,0)),""))</f>
        <v/>
      </c>
      <c r="G757" s="18" t="str">
        <f aca="false">IF(A757="","",COUNTIF('Metric to Product'!$A:$A,A757))</f>
        <v/>
      </c>
      <c r="H757" s="20"/>
      <c r="I757" s="20"/>
      <c r="J757" s="20"/>
      <c r="K757" s="20"/>
    </row>
    <row r="758" customFormat="false" ht="15" hidden="false" customHeight="false" outlineLevel="0" collapsed="false">
      <c r="A758" s="18" t="str">
        <f aca="false">IF(C758="","",IFERROR(INDEX(Metrics!$A:$A,MATCH(C758,Metrics!$C:$C,0)),"Not found"))</f>
        <v/>
      </c>
      <c r="B758" s="18" t="str">
        <f aca="false">IF(D758="","",IFERROR(INDEX(Fields!$A:$A,MATCH(D758,Fields!$B:$B,0)),"Not found"))</f>
        <v/>
      </c>
      <c r="C758" s="20"/>
      <c r="D758" s="20"/>
      <c r="E758" s="20"/>
      <c r="F758" s="21" t="str">
        <f aca="false">IF(B758="","",IFERROR(INDEX(Fields!$C:$C,MATCH(B758,Fields!$A:$A,0)),""))</f>
        <v/>
      </c>
      <c r="G758" s="18" t="str">
        <f aca="false">IF(A758="","",COUNTIF('Metric to Product'!$A:$A,A758))</f>
        <v/>
      </c>
      <c r="H758" s="20"/>
      <c r="I758" s="20"/>
      <c r="J758" s="20"/>
      <c r="K758" s="20"/>
    </row>
    <row r="759" customFormat="false" ht="15" hidden="false" customHeight="false" outlineLevel="0" collapsed="false">
      <c r="A759" s="18" t="str">
        <f aca="false">IF(C759="","",IFERROR(INDEX(Metrics!$A:$A,MATCH(C759,Metrics!$C:$C,0)),"Not found"))</f>
        <v/>
      </c>
      <c r="B759" s="18" t="str">
        <f aca="false">IF(D759="","",IFERROR(INDEX(Fields!$A:$A,MATCH(D759,Fields!$B:$B,0)),"Not found"))</f>
        <v/>
      </c>
      <c r="C759" s="20"/>
      <c r="D759" s="20"/>
      <c r="E759" s="20"/>
      <c r="F759" s="21" t="str">
        <f aca="false">IF(B759="","",IFERROR(INDEX(Fields!$C:$C,MATCH(B759,Fields!$A:$A,0)),""))</f>
        <v/>
      </c>
      <c r="G759" s="18" t="str">
        <f aca="false">IF(A759="","",COUNTIF('Metric to Product'!$A:$A,A759))</f>
        <v/>
      </c>
      <c r="H759" s="20"/>
      <c r="I759" s="20"/>
      <c r="J759" s="20"/>
      <c r="K759" s="20"/>
    </row>
    <row r="760" customFormat="false" ht="15" hidden="false" customHeight="false" outlineLevel="0" collapsed="false">
      <c r="A760" s="18" t="str">
        <f aca="false">IF(C760="","",IFERROR(INDEX(Metrics!$A:$A,MATCH(C760,Metrics!$C:$C,0)),"Not found"))</f>
        <v/>
      </c>
      <c r="B760" s="18" t="str">
        <f aca="false">IF(D760="","",IFERROR(INDEX(Fields!$A:$A,MATCH(D760,Fields!$B:$B,0)),"Not found"))</f>
        <v/>
      </c>
      <c r="C760" s="20"/>
      <c r="D760" s="20"/>
      <c r="E760" s="20"/>
      <c r="F760" s="21" t="str">
        <f aca="false">IF(B760="","",IFERROR(INDEX(Fields!$C:$C,MATCH(B760,Fields!$A:$A,0)),""))</f>
        <v/>
      </c>
      <c r="G760" s="18" t="str">
        <f aca="false">IF(A760="","",COUNTIF('Metric to Product'!$A:$A,A760))</f>
        <v/>
      </c>
      <c r="H760" s="20"/>
      <c r="I760" s="20"/>
      <c r="J760" s="20"/>
      <c r="K760" s="20"/>
    </row>
    <row r="761" customFormat="false" ht="15" hidden="false" customHeight="false" outlineLevel="0" collapsed="false">
      <c r="A761" s="18" t="str">
        <f aca="false">IF(C761="","",IFERROR(INDEX(Metrics!$A:$A,MATCH(C761,Metrics!$C:$C,0)),"Not found"))</f>
        <v/>
      </c>
      <c r="B761" s="18" t="str">
        <f aca="false">IF(D761="","",IFERROR(INDEX(Fields!$A:$A,MATCH(D761,Fields!$B:$B,0)),"Not found"))</f>
        <v/>
      </c>
      <c r="C761" s="20"/>
      <c r="D761" s="20"/>
      <c r="E761" s="20"/>
      <c r="F761" s="21" t="str">
        <f aca="false">IF(B761="","",IFERROR(INDEX(Fields!$C:$C,MATCH(B761,Fields!$A:$A,0)),""))</f>
        <v/>
      </c>
      <c r="G761" s="18" t="str">
        <f aca="false">IF(A761="","",COUNTIF('Metric to Product'!$A:$A,A761))</f>
        <v/>
      </c>
      <c r="H761" s="20"/>
      <c r="I761" s="20"/>
      <c r="J761" s="20"/>
      <c r="K761" s="20"/>
    </row>
    <row r="762" customFormat="false" ht="15" hidden="false" customHeight="false" outlineLevel="0" collapsed="false">
      <c r="A762" s="18" t="str">
        <f aca="false">IF(C762="","",IFERROR(INDEX(Metrics!$A:$A,MATCH(C762,Metrics!$C:$C,0)),"Not found"))</f>
        <v/>
      </c>
      <c r="B762" s="18" t="str">
        <f aca="false">IF(D762="","",IFERROR(INDEX(Fields!$A:$A,MATCH(D762,Fields!$B:$B,0)),"Not found"))</f>
        <v/>
      </c>
      <c r="C762" s="20"/>
      <c r="D762" s="20"/>
      <c r="E762" s="20"/>
      <c r="F762" s="21" t="str">
        <f aca="false">IF(B762="","",IFERROR(INDEX(Fields!$C:$C,MATCH(B762,Fields!$A:$A,0)),""))</f>
        <v/>
      </c>
      <c r="G762" s="18" t="str">
        <f aca="false">IF(A762="","",COUNTIF('Metric to Product'!$A:$A,A762))</f>
        <v/>
      </c>
      <c r="H762" s="20"/>
      <c r="I762" s="20"/>
      <c r="J762" s="20"/>
      <c r="K762" s="20"/>
    </row>
    <row r="763" customFormat="false" ht="15" hidden="false" customHeight="false" outlineLevel="0" collapsed="false">
      <c r="A763" s="18" t="str">
        <f aca="false">IF(C763="","",IFERROR(INDEX(Metrics!$A:$A,MATCH(C763,Metrics!$C:$C,0)),"Not found"))</f>
        <v/>
      </c>
      <c r="B763" s="18" t="str">
        <f aca="false">IF(D763="","",IFERROR(INDEX(Fields!$A:$A,MATCH(D763,Fields!$B:$B,0)),"Not found"))</f>
        <v/>
      </c>
      <c r="C763" s="20"/>
      <c r="D763" s="20"/>
      <c r="E763" s="20"/>
      <c r="F763" s="21" t="str">
        <f aca="false">IF(B763="","",IFERROR(INDEX(Fields!$C:$C,MATCH(B763,Fields!$A:$A,0)),""))</f>
        <v/>
      </c>
      <c r="G763" s="18" t="str">
        <f aca="false">IF(A763="","",COUNTIF('Metric to Product'!$A:$A,A763))</f>
        <v/>
      </c>
      <c r="H763" s="20"/>
      <c r="I763" s="20"/>
      <c r="J763" s="20"/>
      <c r="K763" s="20"/>
    </row>
    <row r="764" customFormat="false" ht="15" hidden="false" customHeight="false" outlineLevel="0" collapsed="false">
      <c r="A764" s="18" t="str">
        <f aca="false">IF(C764="","",IFERROR(INDEX(Metrics!$A:$A,MATCH(C764,Metrics!$C:$C,0)),"Not found"))</f>
        <v/>
      </c>
      <c r="B764" s="18" t="str">
        <f aca="false">IF(D764="","",IFERROR(INDEX(Fields!$A:$A,MATCH(D764,Fields!$B:$B,0)),"Not found"))</f>
        <v/>
      </c>
      <c r="C764" s="20"/>
      <c r="D764" s="20"/>
      <c r="E764" s="20"/>
      <c r="F764" s="21" t="str">
        <f aca="false">IF(B764="","",IFERROR(INDEX(Fields!$C:$C,MATCH(B764,Fields!$A:$A,0)),""))</f>
        <v/>
      </c>
      <c r="G764" s="18" t="str">
        <f aca="false">IF(A764="","",COUNTIF('Metric to Product'!$A:$A,A764))</f>
        <v/>
      </c>
      <c r="H764" s="20"/>
      <c r="I764" s="20"/>
      <c r="J764" s="20"/>
      <c r="K764" s="20"/>
    </row>
    <row r="765" customFormat="false" ht="15" hidden="false" customHeight="false" outlineLevel="0" collapsed="false">
      <c r="A765" s="18" t="str">
        <f aca="false">IF(C765="","",IFERROR(INDEX(Metrics!$A:$A,MATCH(C765,Metrics!$C:$C,0)),"Not found"))</f>
        <v/>
      </c>
      <c r="B765" s="18" t="str">
        <f aca="false">IF(D765="","",IFERROR(INDEX(Fields!$A:$A,MATCH(D765,Fields!$B:$B,0)),"Not found"))</f>
        <v/>
      </c>
      <c r="C765" s="20"/>
      <c r="D765" s="20"/>
      <c r="E765" s="20"/>
      <c r="F765" s="21" t="str">
        <f aca="false">IF(B765="","",IFERROR(INDEX(Fields!$C:$C,MATCH(B765,Fields!$A:$A,0)),""))</f>
        <v/>
      </c>
      <c r="G765" s="18" t="str">
        <f aca="false">IF(A765="","",COUNTIF('Metric to Product'!$A:$A,A765))</f>
        <v/>
      </c>
      <c r="H765" s="20"/>
      <c r="I765" s="20"/>
      <c r="J765" s="20"/>
      <c r="K765" s="20"/>
    </row>
    <row r="766" customFormat="false" ht="15" hidden="false" customHeight="false" outlineLevel="0" collapsed="false">
      <c r="A766" s="18" t="str">
        <f aca="false">IF(C766="","",IFERROR(INDEX(Metrics!$A:$A,MATCH(C766,Metrics!$C:$C,0)),"Not found"))</f>
        <v/>
      </c>
      <c r="B766" s="18" t="str">
        <f aca="false">IF(D766="","",IFERROR(INDEX(Fields!$A:$A,MATCH(D766,Fields!$B:$B,0)),"Not found"))</f>
        <v/>
      </c>
      <c r="C766" s="20"/>
      <c r="D766" s="20"/>
      <c r="E766" s="20"/>
      <c r="F766" s="21" t="str">
        <f aca="false">IF(B766="","",IFERROR(INDEX(Fields!$C:$C,MATCH(B766,Fields!$A:$A,0)),""))</f>
        <v/>
      </c>
      <c r="G766" s="18" t="str">
        <f aca="false">IF(A766="","",COUNTIF('Metric to Product'!$A:$A,A766))</f>
        <v/>
      </c>
      <c r="H766" s="20"/>
      <c r="I766" s="20"/>
      <c r="J766" s="20"/>
      <c r="K766" s="20"/>
    </row>
    <row r="767" customFormat="false" ht="15" hidden="false" customHeight="false" outlineLevel="0" collapsed="false">
      <c r="A767" s="18" t="str">
        <f aca="false">IF(C767="","",IFERROR(INDEX(Metrics!$A:$A,MATCH(C767,Metrics!$C:$C,0)),"Not found"))</f>
        <v/>
      </c>
      <c r="B767" s="18" t="str">
        <f aca="false">IF(D767="","",IFERROR(INDEX(Fields!$A:$A,MATCH(D767,Fields!$B:$B,0)),"Not found"))</f>
        <v/>
      </c>
      <c r="C767" s="20"/>
      <c r="D767" s="20"/>
      <c r="E767" s="20"/>
      <c r="F767" s="21" t="str">
        <f aca="false">IF(B767="","",IFERROR(INDEX(Fields!$C:$C,MATCH(B767,Fields!$A:$A,0)),""))</f>
        <v/>
      </c>
      <c r="G767" s="18" t="str">
        <f aca="false">IF(A767="","",COUNTIF('Metric to Product'!$A:$A,A767))</f>
        <v/>
      </c>
      <c r="H767" s="20"/>
      <c r="I767" s="20"/>
      <c r="J767" s="20"/>
      <c r="K767" s="20"/>
    </row>
    <row r="768" customFormat="false" ht="15" hidden="false" customHeight="false" outlineLevel="0" collapsed="false">
      <c r="A768" s="18" t="str">
        <f aca="false">IF(C768="","",IFERROR(INDEX(Metrics!$A:$A,MATCH(C768,Metrics!$C:$C,0)),"Not found"))</f>
        <v/>
      </c>
      <c r="B768" s="18" t="str">
        <f aca="false">IF(D768="","",IFERROR(INDEX(Fields!$A:$A,MATCH(D768,Fields!$B:$B,0)),"Not found"))</f>
        <v/>
      </c>
      <c r="C768" s="20"/>
      <c r="D768" s="20"/>
      <c r="E768" s="20"/>
      <c r="F768" s="21" t="str">
        <f aca="false">IF(B768="","",IFERROR(INDEX(Fields!$C:$C,MATCH(B768,Fields!$A:$A,0)),""))</f>
        <v/>
      </c>
      <c r="G768" s="18" t="str">
        <f aca="false">IF(A768="","",COUNTIF('Metric to Product'!$A:$A,A768))</f>
        <v/>
      </c>
      <c r="H768" s="20"/>
      <c r="I768" s="20"/>
      <c r="J768" s="20"/>
      <c r="K768" s="20"/>
    </row>
    <row r="769" customFormat="false" ht="15" hidden="false" customHeight="false" outlineLevel="0" collapsed="false">
      <c r="A769" s="18" t="str">
        <f aca="false">IF(C769="","",IFERROR(INDEX(Metrics!$A:$A,MATCH(C769,Metrics!$C:$C,0)),"Not found"))</f>
        <v/>
      </c>
      <c r="B769" s="18" t="str">
        <f aca="false">IF(D769="","",IFERROR(INDEX(Fields!$A:$A,MATCH(D769,Fields!$B:$B,0)),"Not found"))</f>
        <v/>
      </c>
      <c r="C769" s="20"/>
      <c r="D769" s="20"/>
      <c r="E769" s="20"/>
      <c r="F769" s="21" t="str">
        <f aca="false">IF(B769="","",IFERROR(INDEX(Fields!$C:$C,MATCH(B769,Fields!$A:$A,0)),""))</f>
        <v/>
      </c>
      <c r="G769" s="18" t="str">
        <f aca="false">IF(A769="","",COUNTIF('Metric to Product'!$A:$A,A769))</f>
        <v/>
      </c>
      <c r="H769" s="20"/>
      <c r="I769" s="20"/>
      <c r="J769" s="20"/>
      <c r="K769" s="20"/>
    </row>
    <row r="770" customFormat="false" ht="15" hidden="false" customHeight="false" outlineLevel="0" collapsed="false">
      <c r="A770" s="18" t="str">
        <f aca="false">IF(C770="","",IFERROR(INDEX(Metrics!$A:$A,MATCH(C770,Metrics!$C:$C,0)),"Not found"))</f>
        <v/>
      </c>
      <c r="B770" s="18" t="str">
        <f aca="false">IF(D770="","",IFERROR(INDEX(Fields!$A:$A,MATCH(D770,Fields!$B:$B,0)),"Not found"))</f>
        <v/>
      </c>
      <c r="C770" s="20"/>
      <c r="D770" s="20"/>
      <c r="E770" s="20"/>
      <c r="F770" s="21" t="str">
        <f aca="false">IF(B770="","",IFERROR(INDEX(Fields!$C:$C,MATCH(B770,Fields!$A:$A,0)),""))</f>
        <v/>
      </c>
      <c r="G770" s="18" t="str">
        <f aca="false">IF(A770="","",COUNTIF('Metric to Product'!$A:$A,A770))</f>
        <v/>
      </c>
      <c r="H770" s="20"/>
      <c r="I770" s="20"/>
      <c r="J770" s="20"/>
      <c r="K770" s="20"/>
    </row>
    <row r="771" customFormat="false" ht="15" hidden="false" customHeight="false" outlineLevel="0" collapsed="false">
      <c r="A771" s="18" t="str">
        <f aca="false">IF(C771="","",IFERROR(INDEX(Metrics!$A:$A,MATCH(C771,Metrics!$C:$C,0)),"Not found"))</f>
        <v/>
      </c>
      <c r="B771" s="18" t="str">
        <f aca="false">IF(D771="","",IFERROR(INDEX(Fields!$A:$A,MATCH(D771,Fields!$B:$B,0)),"Not found"))</f>
        <v/>
      </c>
      <c r="C771" s="20"/>
      <c r="D771" s="20"/>
      <c r="E771" s="20"/>
      <c r="F771" s="21" t="str">
        <f aca="false">IF(B771="","",IFERROR(INDEX(Fields!$C:$C,MATCH(B771,Fields!$A:$A,0)),""))</f>
        <v/>
      </c>
      <c r="G771" s="18" t="str">
        <f aca="false">IF(A771="","",COUNTIF('Metric to Product'!$A:$A,A771))</f>
        <v/>
      </c>
      <c r="H771" s="20"/>
      <c r="I771" s="20"/>
      <c r="J771" s="20"/>
      <c r="K771" s="20"/>
    </row>
    <row r="772" customFormat="false" ht="15" hidden="false" customHeight="false" outlineLevel="0" collapsed="false">
      <c r="A772" s="18" t="str">
        <f aca="false">IF(C772="","",IFERROR(INDEX(Metrics!$A:$A,MATCH(C772,Metrics!$C:$C,0)),"Not found"))</f>
        <v/>
      </c>
      <c r="B772" s="18" t="str">
        <f aca="false">IF(D772="","",IFERROR(INDEX(Fields!$A:$A,MATCH(D772,Fields!$B:$B,0)),"Not found"))</f>
        <v/>
      </c>
      <c r="C772" s="20"/>
      <c r="D772" s="20"/>
      <c r="E772" s="20"/>
      <c r="F772" s="21" t="str">
        <f aca="false">IF(B772="","",IFERROR(INDEX(Fields!$C:$C,MATCH(B772,Fields!$A:$A,0)),""))</f>
        <v/>
      </c>
      <c r="G772" s="18" t="str">
        <f aca="false">IF(A772="","",COUNTIF('Metric to Product'!$A:$A,A772))</f>
        <v/>
      </c>
      <c r="H772" s="20"/>
      <c r="I772" s="20"/>
      <c r="J772" s="20"/>
      <c r="K772" s="20"/>
    </row>
    <row r="773" customFormat="false" ht="15" hidden="false" customHeight="false" outlineLevel="0" collapsed="false">
      <c r="A773" s="18" t="str">
        <f aca="false">IF(C773="","",IFERROR(INDEX(Metrics!$A:$A,MATCH(C773,Metrics!$C:$C,0)),"Not found"))</f>
        <v/>
      </c>
      <c r="B773" s="18" t="str">
        <f aca="false">IF(D773="","",IFERROR(INDEX(Fields!$A:$A,MATCH(D773,Fields!$B:$B,0)),"Not found"))</f>
        <v/>
      </c>
      <c r="C773" s="20"/>
      <c r="D773" s="20"/>
      <c r="E773" s="20"/>
      <c r="F773" s="21" t="str">
        <f aca="false">IF(B773="","",IFERROR(INDEX(Fields!$C:$C,MATCH(B773,Fields!$A:$A,0)),""))</f>
        <v/>
      </c>
      <c r="G773" s="18" t="str">
        <f aca="false">IF(A773="","",COUNTIF('Metric to Product'!$A:$A,A773))</f>
        <v/>
      </c>
      <c r="H773" s="20"/>
      <c r="I773" s="20"/>
      <c r="J773" s="20"/>
      <c r="K773" s="20"/>
    </row>
    <row r="774" customFormat="false" ht="15" hidden="false" customHeight="false" outlineLevel="0" collapsed="false">
      <c r="A774" s="18" t="str">
        <f aca="false">IF(C774="","",IFERROR(INDEX(Metrics!$A:$A,MATCH(C774,Metrics!$C:$C,0)),"Not found"))</f>
        <v/>
      </c>
      <c r="B774" s="18" t="str">
        <f aca="false">IF(D774="","",IFERROR(INDEX(Fields!$A:$A,MATCH(D774,Fields!$B:$B,0)),"Not found"))</f>
        <v/>
      </c>
      <c r="C774" s="20"/>
      <c r="D774" s="20"/>
      <c r="E774" s="20"/>
      <c r="F774" s="21" t="str">
        <f aca="false">IF(B774="","",IFERROR(INDEX(Fields!$C:$C,MATCH(B774,Fields!$A:$A,0)),""))</f>
        <v/>
      </c>
      <c r="G774" s="18" t="str">
        <f aca="false">IF(A774="","",COUNTIF('Metric to Product'!$A:$A,A774))</f>
        <v/>
      </c>
      <c r="H774" s="20"/>
      <c r="I774" s="20"/>
      <c r="J774" s="20"/>
      <c r="K774" s="20"/>
    </row>
    <row r="775" customFormat="false" ht="15" hidden="false" customHeight="false" outlineLevel="0" collapsed="false">
      <c r="A775" s="18" t="str">
        <f aca="false">IF(C775="","",IFERROR(INDEX(Metrics!$A:$A,MATCH(C775,Metrics!$C:$C,0)),"Not found"))</f>
        <v/>
      </c>
      <c r="B775" s="18" t="str">
        <f aca="false">IF(D775="","",IFERROR(INDEX(Fields!$A:$A,MATCH(D775,Fields!$B:$B,0)),"Not found"))</f>
        <v/>
      </c>
      <c r="C775" s="20"/>
      <c r="D775" s="20"/>
      <c r="E775" s="20"/>
      <c r="F775" s="21" t="str">
        <f aca="false">IF(B775="","",IFERROR(INDEX(Fields!$C:$C,MATCH(B775,Fields!$A:$A,0)),""))</f>
        <v/>
      </c>
      <c r="G775" s="18" t="str">
        <f aca="false">IF(A775="","",COUNTIF('Metric to Product'!$A:$A,A775))</f>
        <v/>
      </c>
      <c r="H775" s="20"/>
      <c r="I775" s="20"/>
      <c r="J775" s="20"/>
      <c r="K775" s="20"/>
    </row>
    <row r="776" customFormat="false" ht="15" hidden="false" customHeight="false" outlineLevel="0" collapsed="false">
      <c r="A776" s="18" t="str">
        <f aca="false">IF(C776="","",IFERROR(INDEX(Metrics!$A:$A,MATCH(C776,Metrics!$C:$C,0)),"Not found"))</f>
        <v/>
      </c>
      <c r="B776" s="18" t="str">
        <f aca="false">IF(D776="","",IFERROR(INDEX(Fields!$A:$A,MATCH(D776,Fields!$B:$B,0)),"Not found"))</f>
        <v/>
      </c>
      <c r="C776" s="20"/>
      <c r="D776" s="20"/>
      <c r="E776" s="20"/>
      <c r="F776" s="21" t="str">
        <f aca="false">IF(B776="","",IFERROR(INDEX(Fields!$C:$C,MATCH(B776,Fields!$A:$A,0)),""))</f>
        <v/>
      </c>
      <c r="G776" s="18" t="str">
        <f aca="false">IF(A776="","",COUNTIF('Metric to Product'!$A:$A,A776))</f>
        <v/>
      </c>
      <c r="H776" s="20"/>
      <c r="I776" s="20"/>
      <c r="J776" s="20"/>
      <c r="K776" s="20"/>
    </row>
    <row r="777" customFormat="false" ht="15" hidden="false" customHeight="false" outlineLevel="0" collapsed="false">
      <c r="A777" s="18" t="str">
        <f aca="false">IF(C777="","",IFERROR(INDEX(Metrics!$A:$A,MATCH(C777,Metrics!$C:$C,0)),"Not found"))</f>
        <v/>
      </c>
      <c r="B777" s="18" t="str">
        <f aca="false">IF(D777="","",IFERROR(INDEX(Fields!$A:$A,MATCH(D777,Fields!$B:$B,0)),"Not found"))</f>
        <v/>
      </c>
      <c r="C777" s="20"/>
      <c r="D777" s="20"/>
      <c r="E777" s="20"/>
      <c r="F777" s="21" t="str">
        <f aca="false">IF(B777="","",IFERROR(INDEX(Fields!$C:$C,MATCH(B777,Fields!$A:$A,0)),""))</f>
        <v/>
      </c>
      <c r="G777" s="18" t="str">
        <f aca="false">IF(A777="","",COUNTIF('Metric to Product'!$A:$A,A777))</f>
        <v/>
      </c>
      <c r="H777" s="20"/>
      <c r="I777" s="20"/>
      <c r="J777" s="20"/>
      <c r="K777" s="20"/>
    </row>
    <row r="778" customFormat="false" ht="15" hidden="false" customHeight="false" outlineLevel="0" collapsed="false">
      <c r="A778" s="18" t="str">
        <f aca="false">IF(C778="","",IFERROR(INDEX(Metrics!$A:$A,MATCH(C778,Metrics!$C:$C,0)),"Not found"))</f>
        <v/>
      </c>
      <c r="B778" s="18" t="str">
        <f aca="false">IF(D778="","",IFERROR(INDEX(Fields!$A:$A,MATCH(D778,Fields!$B:$B,0)),"Not found"))</f>
        <v/>
      </c>
      <c r="C778" s="20"/>
      <c r="D778" s="20"/>
      <c r="E778" s="20"/>
      <c r="F778" s="21" t="str">
        <f aca="false">IF(B778="","",IFERROR(INDEX(Fields!$C:$C,MATCH(B778,Fields!$A:$A,0)),""))</f>
        <v/>
      </c>
      <c r="G778" s="18" t="str">
        <f aca="false">IF(A778="","",COUNTIF('Metric to Product'!$A:$A,A778))</f>
        <v/>
      </c>
      <c r="H778" s="20"/>
      <c r="I778" s="20"/>
      <c r="J778" s="20"/>
      <c r="K778" s="20"/>
    </row>
    <row r="779" customFormat="false" ht="15" hidden="false" customHeight="false" outlineLevel="0" collapsed="false">
      <c r="A779" s="18" t="str">
        <f aca="false">IF(C779="","",IFERROR(INDEX(Metrics!$A:$A,MATCH(C779,Metrics!$C:$C,0)),"Not found"))</f>
        <v/>
      </c>
      <c r="B779" s="18" t="str">
        <f aca="false">IF(D779="","",IFERROR(INDEX(Fields!$A:$A,MATCH(D779,Fields!$B:$B,0)),"Not found"))</f>
        <v/>
      </c>
      <c r="C779" s="20"/>
      <c r="D779" s="20"/>
      <c r="E779" s="20"/>
      <c r="F779" s="21" t="str">
        <f aca="false">IF(B779="","",IFERROR(INDEX(Fields!$C:$C,MATCH(B779,Fields!$A:$A,0)),""))</f>
        <v/>
      </c>
      <c r="G779" s="18" t="str">
        <f aca="false">IF(A779="","",COUNTIF('Metric to Product'!$A:$A,A779))</f>
        <v/>
      </c>
      <c r="H779" s="20"/>
      <c r="I779" s="20"/>
      <c r="J779" s="20"/>
      <c r="K779" s="20"/>
    </row>
    <row r="780" customFormat="false" ht="15" hidden="false" customHeight="false" outlineLevel="0" collapsed="false">
      <c r="A780" s="18" t="str">
        <f aca="false">IF(C780="","",IFERROR(INDEX(Metrics!$A:$A,MATCH(C780,Metrics!$C:$C,0)),"Not found"))</f>
        <v/>
      </c>
      <c r="B780" s="18" t="str">
        <f aca="false">IF(D780="","",IFERROR(INDEX(Fields!$A:$A,MATCH(D780,Fields!$B:$B,0)),"Not found"))</f>
        <v/>
      </c>
      <c r="C780" s="20"/>
      <c r="D780" s="20"/>
      <c r="E780" s="20"/>
      <c r="F780" s="21" t="str">
        <f aca="false">IF(B780="","",IFERROR(INDEX(Fields!$C:$C,MATCH(B780,Fields!$A:$A,0)),""))</f>
        <v/>
      </c>
      <c r="G780" s="18" t="str">
        <f aca="false">IF(A780="","",COUNTIF('Metric to Product'!$A:$A,A780))</f>
        <v/>
      </c>
      <c r="H780" s="20"/>
      <c r="I780" s="20"/>
      <c r="J780" s="20"/>
      <c r="K780" s="20"/>
    </row>
    <row r="781" customFormat="false" ht="15" hidden="false" customHeight="false" outlineLevel="0" collapsed="false">
      <c r="A781" s="18" t="str">
        <f aca="false">IF(C781="","",IFERROR(INDEX(Metrics!$A:$A,MATCH(C781,Metrics!$C:$C,0)),"Not found"))</f>
        <v/>
      </c>
      <c r="B781" s="18" t="str">
        <f aca="false">IF(D781="","",IFERROR(INDEX(Fields!$A:$A,MATCH(D781,Fields!$B:$B,0)),"Not found"))</f>
        <v/>
      </c>
      <c r="C781" s="20"/>
      <c r="D781" s="20"/>
      <c r="E781" s="20"/>
      <c r="F781" s="21" t="str">
        <f aca="false">IF(B781="","",IFERROR(INDEX(Fields!$C:$C,MATCH(B781,Fields!$A:$A,0)),""))</f>
        <v/>
      </c>
      <c r="G781" s="18" t="str">
        <f aca="false">IF(A781="","",COUNTIF('Metric to Product'!$A:$A,A781))</f>
        <v/>
      </c>
      <c r="H781" s="20"/>
      <c r="I781" s="20"/>
      <c r="J781" s="20"/>
      <c r="K781" s="20"/>
    </row>
    <row r="782" customFormat="false" ht="15" hidden="false" customHeight="false" outlineLevel="0" collapsed="false">
      <c r="A782" s="18" t="str">
        <f aca="false">IF(C782="","",IFERROR(INDEX(Metrics!$A:$A,MATCH(C782,Metrics!$C:$C,0)),"Not found"))</f>
        <v/>
      </c>
      <c r="B782" s="18" t="str">
        <f aca="false">IF(D782="","",IFERROR(INDEX(Fields!$A:$A,MATCH(D782,Fields!$B:$B,0)),"Not found"))</f>
        <v/>
      </c>
      <c r="C782" s="20"/>
      <c r="D782" s="20"/>
      <c r="E782" s="20"/>
      <c r="F782" s="21" t="str">
        <f aca="false">IF(B782="","",IFERROR(INDEX(Fields!$C:$C,MATCH(B782,Fields!$A:$A,0)),""))</f>
        <v/>
      </c>
      <c r="G782" s="18" t="str">
        <f aca="false">IF(A782="","",COUNTIF('Metric to Product'!$A:$A,A782))</f>
        <v/>
      </c>
      <c r="H782" s="20"/>
      <c r="I782" s="20"/>
      <c r="J782" s="20"/>
      <c r="K782" s="20"/>
    </row>
    <row r="783" customFormat="false" ht="15" hidden="false" customHeight="false" outlineLevel="0" collapsed="false">
      <c r="A783" s="18" t="str">
        <f aca="false">IF(C783="","",IFERROR(INDEX(Metrics!$A:$A,MATCH(C783,Metrics!$C:$C,0)),"Not found"))</f>
        <v/>
      </c>
      <c r="B783" s="18" t="str">
        <f aca="false">IF(D783="","",IFERROR(INDEX(Fields!$A:$A,MATCH(D783,Fields!$B:$B,0)),"Not found"))</f>
        <v/>
      </c>
      <c r="C783" s="20"/>
      <c r="D783" s="20"/>
      <c r="E783" s="20"/>
      <c r="F783" s="21" t="str">
        <f aca="false">IF(B783="","",IFERROR(INDEX(Fields!$C:$C,MATCH(B783,Fields!$A:$A,0)),""))</f>
        <v/>
      </c>
      <c r="G783" s="18" t="str">
        <f aca="false">IF(A783="","",COUNTIF('Metric to Product'!$A:$A,A783))</f>
        <v/>
      </c>
      <c r="H783" s="20"/>
      <c r="I783" s="20"/>
      <c r="J783" s="20"/>
      <c r="K783" s="20"/>
    </row>
    <row r="784" customFormat="false" ht="15" hidden="false" customHeight="false" outlineLevel="0" collapsed="false">
      <c r="A784" s="18" t="str">
        <f aca="false">IF(C784="","",IFERROR(INDEX(Metrics!$A:$A,MATCH(C784,Metrics!$C:$C,0)),"Not found"))</f>
        <v/>
      </c>
      <c r="B784" s="18" t="str">
        <f aca="false">IF(D784="","",IFERROR(INDEX(Fields!$A:$A,MATCH(D784,Fields!$B:$B,0)),"Not found"))</f>
        <v/>
      </c>
      <c r="C784" s="20"/>
      <c r="D784" s="20"/>
      <c r="E784" s="20"/>
      <c r="F784" s="21" t="str">
        <f aca="false">IF(B784="","",IFERROR(INDEX(Fields!$C:$C,MATCH(B784,Fields!$A:$A,0)),""))</f>
        <v/>
      </c>
      <c r="G784" s="18" t="str">
        <f aca="false">IF(A784="","",COUNTIF('Metric to Product'!$A:$A,A784))</f>
        <v/>
      </c>
      <c r="H784" s="20"/>
      <c r="I784" s="20"/>
      <c r="J784" s="20"/>
      <c r="K784" s="20"/>
    </row>
    <row r="785" customFormat="false" ht="15" hidden="false" customHeight="false" outlineLevel="0" collapsed="false">
      <c r="A785" s="18" t="str">
        <f aca="false">IF(C785="","",IFERROR(INDEX(Metrics!$A:$A,MATCH(C785,Metrics!$C:$C,0)),"Not found"))</f>
        <v/>
      </c>
      <c r="B785" s="18" t="str">
        <f aca="false">IF(D785="","",IFERROR(INDEX(Fields!$A:$A,MATCH(D785,Fields!$B:$B,0)),"Not found"))</f>
        <v/>
      </c>
      <c r="C785" s="20"/>
      <c r="D785" s="20"/>
      <c r="E785" s="20"/>
      <c r="F785" s="21" t="str">
        <f aca="false">IF(B785="","",IFERROR(INDEX(Fields!$C:$C,MATCH(B785,Fields!$A:$A,0)),""))</f>
        <v/>
      </c>
      <c r="G785" s="18" t="str">
        <f aca="false">IF(A785="","",COUNTIF('Metric to Product'!$A:$A,A785))</f>
        <v/>
      </c>
      <c r="H785" s="20"/>
      <c r="I785" s="20"/>
      <c r="J785" s="20"/>
      <c r="K785" s="20"/>
    </row>
    <row r="786" customFormat="false" ht="15" hidden="false" customHeight="false" outlineLevel="0" collapsed="false">
      <c r="A786" s="18" t="str">
        <f aca="false">IF(C786="","",IFERROR(INDEX(Metrics!$A:$A,MATCH(C786,Metrics!$C:$C,0)),"Not found"))</f>
        <v/>
      </c>
      <c r="B786" s="18" t="str">
        <f aca="false">IF(D786="","",IFERROR(INDEX(Fields!$A:$A,MATCH(D786,Fields!$B:$B,0)),"Not found"))</f>
        <v/>
      </c>
      <c r="C786" s="20"/>
      <c r="D786" s="20"/>
      <c r="E786" s="20"/>
      <c r="F786" s="21" t="str">
        <f aca="false">IF(B786="","",IFERROR(INDEX(Fields!$C:$C,MATCH(B786,Fields!$A:$A,0)),""))</f>
        <v/>
      </c>
      <c r="G786" s="18" t="str">
        <f aca="false">IF(A786="","",COUNTIF('Metric to Product'!$A:$A,A786))</f>
        <v/>
      </c>
      <c r="H786" s="20"/>
      <c r="I786" s="20"/>
      <c r="J786" s="20"/>
      <c r="K786" s="20"/>
    </row>
    <row r="787" customFormat="false" ht="15" hidden="false" customHeight="false" outlineLevel="0" collapsed="false">
      <c r="A787" s="18" t="str">
        <f aca="false">IF(C787="","",IFERROR(INDEX(Metrics!$A:$A,MATCH(C787,Metrics!$C:$C,0)),"Not found"))</f>
        <v/>
      </c>
      <c r="B787" s="18" t="str">
        <f aca="false">IF(D787="","",IFERROR(INDEX(Fields!$A:$A,MATCH(D787,Fields!$B:$B,0)),"Not found"))</f>
        <v/>
      </c>
      <c r="C787" s="20"/>
      <c r="D787" s="20"/>
      <c r="E787" s="20"/>
      <c r="F787" s="21" t="str">
        <f aca="false">IF(B787="","",IFERROR(INDEX(Fields!$C:$C,MATCH(B787,Fields!$A:$A,0)),""))</f>
        <v/>
      </c>
      <c r="G787" s="18" t="str">
        <f aca="false">IF(A787="","",COUNTIF('Metric to Product'!$A:$A,A787))</f>
        <v/>
      </c>
      <c r="H787" s="20"/>
      <c r="I787" s="20"/>
      <c r="J787" s="20"/>
      <c r="K787" s="20"/>
    </row>
    <row r="788" customFormat="false" ht="15" hidden="false" customHeight="false" outlineLevel="0" collapsed="false">
      <c r="A788" s="18" t="str">
        <f aca="false">IF(C788="","",IFERROR(INDEX(Metrics!$A:$A,MATCH(C788,Metrics!$C:$C,0)),"Not found"))</f>
        <v/>
      </c>
      <c r="B788" s="18" t="str">
        <f aca="false">IF(D788="","",IFERROR(INDEX(Fields!$A:$A,MATCH(D788,Fields!$B:$B,0)),"Not found"))</f>
        <v/>
      </c>
      <c r="C788" s="20"/>
      <c r="D788" s="20"/>
      <c r="E788" s="20"/>
      <c r="F788" s="21" t="str">
        <f aca="false">IF(B788="","",IFERROR(INDEX(Fields!$C:$C,MATCH(B788,Fields!$A:$A,0)),""))</f>
        <v/>
      </c>
      <c r="G788" s="18" t="str">
        <f aca="false">IF(A788="","",COUNTIF('Metric to Product'!$A:$A,A788))</f>
        <v/>
      </c>
      <c r="H788" s="20"/>
      <c r="I788" s="20"/>
      <c r="J788" s="20"/>
      <c r="K788" s="20"/>
    </row>
    <row r="789" customFormat="false" ht="15" hidden="false" customHeight="false" outlineLevel="0" collapsed="false">
      <c r="A789" s="18" t="str">
        <f aca="false">IF(C789="","",IFERROR(INDEX(Metrics!$A:$A,MATCH(C789,Metrics!$C:$C,0)),"Not found"))</f>
        <v/>
      </c>
      <c r="B789" s="18" t="str">
        <f aca="false">IF(D789="","",IFERROR(INDEX(Fields!$A:$A,MATCH(D789,Fields!$B:$B,0)),"Not found"))</f>
        <v/>
      </c>
      <c r="C789" s="20"/>
      <c r="D789" s="20"/>
      <c r="E789" s="20"/>
      <c r="F789" s="21" t="str">
        <f aca="false">IF(B789="","",IFERROR(INDEX(Fields!$C:$C,MATCH(B789,Fields!$A:$A,0)),""))</f>
        <v/>
      </c>
      <c r="G789" s="18" t="str">
        <f aca="false">IF(A789="","",COUNTIF('Metric to Product'!$A:$A,A789))</f>
        <v/>
      </c>
      <c r="H789" s="20"/>
      <c r="I789" s="20"/>
      <c r="J789" s="20"/>
      <c r="K789" s="20"/>
    </row>
    <row r="790" customFormat="false" ht="15" hidden="false" customHeight="false" outlineLevel="0" collapsed="false">
      <c r="A790" s="18" t="str">
        <f aca="false">IF(C790="","",IFERROR(INDEX(Metrics!$A:$A,MATCH(C790,Metrics!$C:$C,0)),"Not found"))</f>
        <v/>
      </c>
      <c r="B790" s="18" t="str">
        <f aca="false">IF(D790="","",IFERROR(INDEX(Fields!$A:$A,MATCH(D790,Fields!$B:$B,0)),"Not found"))</f>
        <v/>
      </c>
      <c r="C790" s="20"/>
      <c r="D790" s="20"/>
      <c r="E790" s="20"/>
      <c r="F790" s="21" t="str">
        <f aca="false">IF(B790="","",IFERROR(INDEX(Fields!$C:$C,MATCH(B790,Fields!$A:$A,0)),""))</f>
        <v/>
      </c>
      <c r="G790" s="18" t="str">
        <f aca="false">IF(A790="","",COUNTIF('Metric to Product'!$A:$A,A790))</f>
        <v/>
      </c>
      <c r="H790" s="20"/>
      <c r="I790" s="20"/>
      <c r="J790" s="20"/>
      <c r="K790" s="20"/>
    </row>
    <row r="791" customFormat="false" ht="15" hidden="false" customHeight="false" outlineLevel="0" collapsed="false">
      <c r="A791" s="18" t="str">
        <f aca="false">IF(C791="","",IFERROR(INDEX(Metrics!$A:$A,MATCH(C791,Metrics!$C:$C,0)),"Not found"))</f>
        <v/>
      </c>
      <c r="B791" s="18" t="str">
        <f aca="false">IF(D791="","",IFERROR(INDEX(Fields!$A:$A,MATCH(D791,Fields!$B:$B,0)),"Not found"))</f>
        <v/>
      </c>
      <c r="C791" s="20"/>
      <c r="D791" s="20"/>
      <c r="E791" s="20"/>
      <c r="F791" s="21" t="str">
        <f aca="false">IF(B791="","",IFERROR(INDEX(Fields!$C:$C,MATCH(B791,Fields!$A:$A,0)),""))</f>
        <v/>
      </c>
      <c r="G791" s="18" t="str">
        <f aca="false">IF(A791="","",COUNTIF('Metric to Product'!$A:$A,A791))</f>
        <v/>
      </c>
      <c r="H791" s="20"/>
      <c r="I791" s="20"/>
      <c r="J791" s="20"/>
      <c r="K791" s="20"/>
    </row>
    <row r="792" customFormat="false" ht="15" hidden="false" customHeight="false" outlineLevel="0" collapsed="false">
      <c r="A792" s="18" t="str">
        <f aca="false">IF(C792="","",IFERROR(INDEX(Metrics!$A:$A,MATCH(C792,Metrics!$C:$C,0)),"Not found"))</f>
        <v/>
      </c>
      <c r="B792" s="18" t="str">
        <f aca="false">IF(D792="","",IFERROR(INDEX(Fields!$A:$A,MATCH(D792,Fields!$B:$B,0)),"Not found"))</f>
        <v/>
      </c>
      <c r="C792" s="20"/>
      <c r="D792" s="20"/>
      <c r="E792" s="20"/>
      <c r="F792" s="21" t="str">
        <f aca="false">IF(B792="","",IFERROR(INDEX(Fields!$C:$C,MATCH(B792,Fields!$A:$A,0)),""))</f>
        <v/>
      </c>
      <c r="G792" s="18" t="str">
        <f aca="false">IF(A792="","",COUNTIF('Metric to Product'!$A:$A,A792))</f>
        <v/>
      </c>
      <c r="H792" s="20"/>
      <c r="I792" s="20"/>
      <c r="J792" s="20"/>
      <c r="K792" s="20"/>
    </row>
    <row r="793" customFormat="false" ht="15" hidden="false" customHeight="false" outlineLevel="0" collapsed="false">
      <c r="A793" s="18" t="str">
        <f aca="false">IF(C793="","",IFERROR(INDEX(Metrics!$A:$A,MATCH(C793,Metrics!$C:$C,0)),"Not found"))</f>
        <v/>
      </c>
      <c r="B793" s="18" t="str">
        <f aca="false">IF(D793="","",IFERROR(INDEX(Fields!$A:$A,MATCH(D793,Fields!$B:$B,0)),"Not found"))</f>
        <v/>
      </c>
      <c r="C793" s="20"/>
      <c r="D793" s="20"/>
      <c r="E793" s="20"/>
      <c r="F793" s="21" t="str">
        <f aca="false">IF(B793="","",IFERROR(INDEX(Fields!$C:$C,MATCH(B793,Fields!$A:$A,0)),""))</f>
        <v/>
      </c>
      <c r="G793" s="18" t="str">
        <f aca="false">IF(A793="","",COUNTIF('Metric to Product'!$A:$A,A793))</f>
        <v/>
      </c>
      <c r="H793" s="20"/>
      <c r="I793" s="20"/>
      <c r="J793" s="20"/>
      <c r="K793" s="20"/>
    </row>
    <row r="794" customFormat="false" ht="15" hidden="false" customHeight="false" outlineLevel="0" collapsed="false">
      <c r="A794" s="18" t="str">
        <f aca="false">IF(C794="","",IFERROR(INDEX(Metrics!$A:$A,MATCH(C794,Metrics!$C:$C,0)),"Not found"))</f>
        <v/>
      </c>
      <c r="B794" s="18" t="str">
        <f aca="false">IF(D794="","",IFERROR(INDEX(Fields!$A:$A,MATCH(D794,Fields!$B:$B,0)),"Not found"))</f>
        <v/>
      </c>
      <c r="C794" s="20"/>
      <c r="D794" s="20"/>
      <c r="E794" s="20"/>
      <c r="F794" s="21" t="str">
        <f aca="false">IF(B794="","",IFERROR(INDEX(Fields!$C:$C,MATCH(B794,Fields!$A:$A,0)),""))</f>
        <v/>
      </c>
      <c r="G794" s="18" t="str">
        <f aca="false">IF(A794="","",COUNTIF('Metric to Product'!$A:$A,A794))</f>
        <v/>
      </c>
      <c r="H794" s="20"/>
      <c r="I794" s="20"/>
      <c r="J794" s="20"/>
      <c r="K794" s="20"/>
    </row>
    <row r="795" customFormat="false" ht="15" hidden="false" customHeight="false" outlineLevel="0" collapsed="false">
      <c r="A795" s="18" t="str">
        <f aca="false">IF(C795="","",IFERROR(INDEX(Metrics!$A:$A,MATCH(C795,Metrics!$C:$C,0)),"Not found"))</f>
        <v/>
      </c>
      <c r="B795" s="18" t="str">
        <f aca="false">IF(D795="","",IFERROR(INDEX(Fields!$A:$A,MATCH(D795,Fields!$B:$B,0)),"Not found"))</f>
        <v/>
      </c>
      <c r="C795" s="20"/>
      <c r="D795" s="20"/>
      <c r="E795" s="20"/>
      <c r="F795" s="21" t="str">
        <f aca="false">IF(B795="","",IFERROR(INDEX(Fields!$C:$C,MATCH(B795,Fields!$A:$A,0)),""))</f>
        <v/>
      </c>
      <c r="G795" s="18" t="str">
        <f aca="false">IF(A795="","",COUNTIF('Metric to Product'!$A:$A,A795))</f>
        <v/>
      </c>
      <c r="H795" s="20"/>
      <c r="I795" s="20"/>
      <c r="J795" s="20"/>
      <c r="K795" s="20"/>
    </row>
    <row r="796" customFormat="false" ht="15" hidden="false" customHeight="false" outlineLevel="0" collapsed="false">
      <c r="A796" s="18" t="str">
        <f aca="false">IF(C796="","",IFERROR(INDEX(Metrics!$A:$A,MATCH(C796,Metrics!$C:$C,0)),"Not found"))</f>
        <v/>
      </c>
      <c r="B796" s="18" t="str">
        <f aca="false">IF(D796="","",IFERROR(INDEX(Fields!$A:$A,MATCH(D796,Fields!$B:$B,0)),"Not found"))</f>
        <v/>
      </c>
      <c r="C796" s="20"/>
      <c r="D796" s="20"/>
      <c r="E796" s="20"/>
      <c r="F796" s="21" t="str">
        <f aca="false">IF(B796="","",IFERROR(INDEX(Fields!$C:$C,MATCH(B796,Fields!$A:$A,0)),""))</f>
        <v/>
      </c>
      <c r="G796" s="18" t="str">
        <f aca="false">IF(A796="","",COUNTIF('Metric to Product'!$A:$A,A796))</f>
        <v/>
      </c>
      <c r="H796" s="20"/>
      <c r="I796" s="20"/>
      <c r="J796" s="20"/>
      <c r="K796" s="20"/>
    </row>
    <row r="797" customFormat="false" ht="15" hidden="false" customHeight="false" outlineLevel="0" collapsed="false">
      <c r="A797" s="18" t="str">
        <f aca="false">IF(C797="","",IFERROR(INDEX(Metrics!$A:$A,MATCH(C797,Metrics!$C:$C,0)),"Not found"))</f>
        <v/>
      </c>
      <c r="B797" s="18" t="str">
        <f aca="false">IF(D797="","",IFERROR(INDEX(Fields!$A:$A,MATCH(D797,Fields!$B:$B,0)),"Not found"))</f>
        <v/>
      </c>
      <c r="C797" s="20"/>
      <c r="D797" s="20"/>
      <c r="E797" s="20"/>
      <c r="F797" s="21" t="str">
        <f aca="false">IF(B797="","",IFERROR(INDEX(Fields!$C:$C,MATCH(B797,Fields!$A:$A,0)),""))</f>
        <v/>
      </c>
      <c r="G797" s="18" t="str">
        <f aca="false">IF(A797="","",COUNTIF('Metric to Product'!$A:$A,A797))</f>
        <v/>
      </c>
      <c r="H797" s="20"/>
      <c r="I797" s="20"/>
      <c r="J797" s="20"/>
      <c r="K797" s="20"/>
    </row>
    <row r="798" customFormat="false" ht="15" hidden="false" customHeight="false" outlineLevel="0" collapsed="false">
      <c r="A798" s="18" t="str">
        <f aca="false">IF(C798="","",IFERROR(INDEX(Metrics!$A:$A,MATCH(C798,Metrics!$C:$C,0)),"Not found"))</f>
        <v/>
      </c>
      <c r="B798" s="18" t="str">
        <f aca="false">IF(D798="","",IFERROR(INDEX(Fields!$A:$A,MATCH(D798,Fields!$B:$B,0)),"Not found"))</f>
        <v/>
      </c>
      <c r="C798" s="20"/>
      <c r="D798" s="20"/>
      <c r="E798" s="20"/>
      <c r="F798" s="21" t="str">
        <f aca="false">IF(B798="","",IFERROR(INDEX(Fields!$C:$C,MATCH(B798,Fields!$A:$A,0)),""))</f>
        <v/>
      </c>
      <c r="G798" s="18" t="str">
        <f aca="false">IF(A798="","",COUNTIF('Metric to Product'!$A:$A,A798))</f>
        <v/>
      </c>
      <c r="H798" s="20"/>
      <c r="I798" s="20"/>
      <c r="J798" s="20"/>
      <c r="K798" s="20"/>
    </row>
    <row r="799" customFormat="false" ht="15" hidden="false" customHeight="false" outlineLevel="0" collapsed="false">
      <c r="A799" s="18" t="str">
        <f aca="false">IF(C799="","",IFERROR(INDEX(Metrics!$A:$A,MATCH(C799,Metrics!$C:$C,0)),"Not found"))</f>
        <v/>
      </c>
      <c r="B799" s="18" t="str">
        <f aca="false">IF(D799="","",IFERROR(INDEX(Fields!$A:$A,MATCH(D799,Fields!$B:$B,0)),"Not found"))</f>
        <v/>
      </c>
      <c r="C799" s="20"/>
      <c r="D799" s="20"/>
      <c r="E799" s="20"/>
      <c r="F799" s="21" t="str">
        <f aca="false">IF(B799="","",IFERROR(INDEX(Fields!$C:$C,MATCH(B799,Fields!$A:$A,0)),""))</f>
        <v/>
      </c>
      <c r="G799" s="18" t="str">
        <f aca="false">IF(A799="","",COUNTIF('Metric to Product'!$A:$A,A799))</f>
        <v/>
      </c>
      <c r="H799" s="20"/>
      <c r="I799" s="20"/>
      <c r="J799" s="20"/>
      <c r="K799" s="20"/>
    </row>
    <row r="800" customFormat="false" ht="15" hidden="false" customHeight="false" outlineLevel="0" collapsed="false">
      <c r="A800" s="18" t="str">
        <f aca="false">IF(C800="","",IFERROR(INDEX(Metrics!$A:$A,MATCH(C800,Metrics!$C:$C,0)),"Not found"))</f>
        <v/>
      </c>
      <c r="B800" s="18" t="str">
        <f aca="false">IF(D800="","",IFERROR(INDEX(Fields!$A:$A,MATCH(D800,Fields!$B:$B,0)),"Not found"))</f>
        <v/>
      </c>
      <c r="C800" s="20"/>
      <c r="D800" s="20"/>
      <c r="E800" s="20"/>
      <c r="F800" s="21" t="str">
        <f aca="false">IF(B800="","",IFERROR(INDEX(Fields!$C:$C,MATCH(B800,Fields!$A:$A,0)),""))</f>
        <v/>
      </c>
      <c r="G800" s="18" t="str">
        <f aca="false">IF(A800="","",COUNTIF('Metric to Product'!$A:$A,A800))</f>
        <v/>
      </c>
      <c r="H800" s="20"/>
      <c r="I800" s="20"/>
      <c r="J800" s="20"/>
      <c r="K800" s="20"/>
    </row>
    <row r="801" customFormat="false" ht="15" hidden="false" customHeight="false" outlineLevel="0" collapsed="false">
      <c r="A801" s="18" t="str">
        <f aca="false">IF(C801="","",IFERROR(INDEX(Metrics!$A:$A,MATCH(C801,Metrics!$C:$C,0)),"Not found"))</f>
        <v/>
      </c>
      <c r="B801" s="18" t="str">
        <f aca="false">IF(D801="","",IFERROR(INDEX(Fields!$A:$A,MATCH(D801,Fields!$B:$B,0)),"Not found"))</f>
        <v/>
      </c>
      <c r="C801" s="20"/>
      <c r="D801" s="20"/>
      <c r="E801" s="20"/>
      <c r="F801" s="21" t="str">
        <f aca="false">IF(B801="","",IFERROR(INDEX(Fields!$C:$C,MATCH(B801,Fields!$A:$A,0)),""))</f>
        <v/>
      </c>
      <c r="G801" s="18" t="str">
        <f aca="false">IF(A801="","",COUNTIF('Metric to Product'!$A:$A,A801))</f>
        <v/>
      </c>
      <c r="H801" s="20"/>
      <c r="I801" s="20"/>
      <c r="J801" s="20"/>
      <c r="K801" s="20"/>
    </row>
    <row r="802" customFormat="false" ht="15" hidden="false" customHeight="false" outlineLevel="0" collapsed="false">
      <c r="A802" s="18" t="str">
        <f aca="false">IF(C802="","",IFERROR(INDEX(Metrics!$A:$A,MATCH(C802,Metrics!$C:$C,0)),"Not found"))</f>
        <v/>
      </c>
      <c r="B802" s="18" t="str">
        <f aca="false">IF(D802="","",IFERROR(INDEX(Fields!$A:$A,MATCH(D802,Fields!$B:$B,0)),"Not found"))</f>
        <v/>
      </c>
      <c r="C802" s="20"/>
      <c r="D802" s="20"/>
      <c r="E802" s="20"/>
      <c r="F802" s="21" t="str">
        <f aca="false">IF(B802="","",IFERROR(INDEX(Fields!$C:$C,MATCH(B802,Fields!$A:$A,0)),""))</f>
        <v/>
      </c>
      <c r="G802" s="18" t="str">
        <f aca="false">IF(A802="","",COUNTIF('Metric to Product'!$A:$A,A802))</f>
        <v/>
      </c>
      <c r="H802" s="20"/>
      <c r="I802" s="20"/>
      <c r="J802" s="20"/>
      <c r="K802" s="20"/>
    </row>
    <row r="803" customFormat="false" ht="15" hidden="false" customHeight="false" outlineLevel="0" collapsed="false">
      <c r="A803" s="18" t="str">
        <f aca="false">IF(C803="","",IFERROR(INDEX(Metrics!$A:$A,MATCH(C803,Metrics!$C:$C,0)),"Not found"))</f>
        <v/>
      </c>
      <c r="B803" s="18" t="str">
        <f aca="false">IF(D803="","",IFERROR(INDEX(Fields!$A:$A,MATCH(D803,Fields!$B:$B,0)),"Not found"))</f>
        <v/>
      </c>
      <c r="C803" s="20"/>
      <c r="D803" s="20"/>
      <c r="E803" s="20"/>
      <c r="F803" s="21" t="str">
        <f aca="false">IF(B803="","",IFERROR(INDEX(Fields!$C:$C,MATCH(B803,Fields!$A:$A,0)),""))</f>
        <v/>
      </c>
      <c r="G803" s="18" t="str">
        <f aca="false">IF(A803="","",COUNTIF('Metric to Product'!$A:$A,A803))</f>
        <v/>
      </c>
      <c r="H803" s="20"/>
      <c r="I803" s="20"/>
      <c r="J803" s="20"/>
      <c r="K803" s="20"/>
    </row>
    <row r="804" customFormat="false" ht="15" hidden="false" customHeight="false" outlineLevel="0" collapsed="false">
      <c r="A804" s="18" t="str">
        <f aca="false">IF(C804="","",IFERROR(INDEX(Metrics!$A:$A,MATCH(C804,Metrics!$C:$C,0)),"Not found"))</f>
        <v/>
      </c>
      <c r="B804" s="18" t="str">
        <f aca="false">IF(D804="","",IFERROR(INDEX(Fields!$A:$A,MATCH(D804,Fields!$B:$B,0)),"Not found"))</f>
        <v/>
      </c>
      <c r="C804" s="20"/>
      <c r="D804" s="20"/>
      <c r="E804" s="20"/>
      <c r="F804" s="21" t="str">
        <f aca="false">IF(B804="","",IFERROR(INDEX(Fields!$C:$C,MATCH(B804,Fields!$A:$A,0)),""))</f>
        <v/>
      </c>
      <c r="G804" s="18" t="str">
        <f aca="false">IF(A804="","",COUNTIF('Metric to Product'!$A:$A,A804))</f>
        <v/>
      </c>
      <c r="H804" s="20"/>
      <c r="I804" s="20"/>
      <c r="J804" s="20"/>
      <c r="K804" s="20"/>
    </row>
    <row r="805" customFormat="false" ht="15" hidden="false" customHeight="false" outlineLevel="0" collapsed="false">
      <c r="A805" s="18" t="str">
        <f aca="false">IF(C805="","",IFERROR(INDEX(Metrics!$A:$A,MATCH(C805,Metrics!$C:$C,0)),"Not found"))</f>
        <v/>
      </c>
      <c r="B805" s="18" t="str">
        <f aca="false">IF(D805="","",IFERROR(INDEX(Fields!$A:$A,MATCH(D805,Fields!$B:$B,0)),"Not found"))</f>
        <v/>
      </c>
      <c r="C805" s="20"/>
      <c r="D805" s="20"/>
      <c r="E805" s="20"/>
      <c r="F805" s="21" t="str">
        <f aca="false">IF(B805="","",IFERROR(INDEX(Fields!$C:$C,MATCH(B805,Fields!$A:$A,0)),""))</f>
        <v/>
      </c>
      <c r="G805" s="18" t="str">
        <f aca="false">IF(A805="","",COUNTIF('Metric to Product'!$A:$A,A805))</f>
        <v/>
      </c>
      <c r="H805" s="20"/>
      <c r="I805" s="20"/>
      <c r="J805" s="20"/>
      <c r="K805" s="20"/>
    </row>
    <row r="806" customFormat="false" ht="15" hidden="false" customHeight="false" outlineLevel="0" collapsed="false">
      <c r="A806" s="18" t="str">
        <f aca="false">IF(C806="","",IFERROR(INDEX(Metrics!$A:$A,MATCH(C806,Metrics!$C:$C,0)),"Not found"))</f>
        <v/>
      </c>
      <c r="B806" s="18" t="str">
        <f aca="false">IF(D806="","",IFERROR(INDEX(Fields!$A:$A,MATCH(D806,Fields!$B:$B,0)),"Not found"))</f>
        <v/>
      </c>
      <c r="C806" s="20"/>
      <c r="D806" s="20"/>
      <c r="E806" s="20"/>
      <c r="F806" s="21" t="str">
        <f aca="false">IF(B806="","",IFERROR(INDEX(Fields!$C:$C,MATCH(B806,Fields!$A:$A,0)),""))</f>
        <v/>
      </c>
      <c r="G806" s="18" t="str">
        <f aca="false">IF(A806="","",COUNTIF('Metric to Product'!$A:$A,A806))</f>
        <v/>
      </c>
      <c r="H806" s="20"/>
      <c r="I806" s="20"/>
      <c r="J806" s="20"/>
      <c r="K806" s="20"/>
    </row>
    <row r="807" customFormat="false" ht="15" hidden="false" customHeight="false" outlineLevel="0" collapsed="false">
      <c r="A807" s="18" t="str">
        <f aca="false">IF(C807="","",IFERROR(INDEX(Metrics!$A:$A,MATCH(C807,Metrics!$C:$C,0)),"Not found"))</f>
        <v/>
      </c>
      <c r="B807" s="18" t="str">
        <f aca="false">IF(D807="","",IFERROR(INDEX(Fields!$A:$A,MATCH(D807,Fields!$B:$B,0)),"Not found"))</f>
        <v/>
      </c>
      <c r="C807" s="20"/>
      <c r="D807" s="20"/>
      <c r="E807" s="20"/>
      <c r="F807" s="21" t="str">
        <f aca="false">IF(B807="","",IFERROR(INDEX(Fields!$C:$C,MATCH(B807,Fields!$A:$A,0)),""))</f>
        <v/>
      </c>
      <c r="G807" s="18" t="str">
        <f aca="false">IF(A807="","",COUNTIF('Metric to Product'!$A:$A,A807))</f>
        <v/>
      </c>
      <c r="H807" s="20"/>
      <c r="I807" s="20"/>
      <c r="J807" s="20"/>
      <c r="K807" s="20"/>
    </row>
    <row r="808" customFormat="false" ht="15" hidden="false" customHeight="false" outlineLevel="0" collapsed="false">
      <c r="A808" s="18" t="str">
        <f aca="false">IF(C808="","",IFERROR(INDEX(Metrics!$A:$A,MATCH(C808,Metrics!$C:$C,0)),"Not found"))</f>
        <v/>
      </c>
      <c r="B808" s="18" t="str">
        <f aca="false">IF(D808="","",IFERROR(INDEX(Fields!$A:$A,MATCH(D808,Fields!$B:$B,0)),"Not found"))</f>
        <v/>
      </c>
      <c r="C808" s="20"/>
      <c r="D808" s="20"/>
      <c r="E808" s="20"/>
      <c r="F808" s="21" t="str">
        <f aca="false">IF(B808="","",IFERROR(INDEX(Fields!$C:$C,MATCH(B808,Fields!$A:$A,0)),""))</f>
        <v/>
      </c>
      <c r="G808" s="18" t="str">
        <f aca="false">IF(A808="","",COUNTIF('Metric to Product'!$A:$A,A808))</f>
        <v/>
      </c>
      <c r="H808" s="20"/>
      <c r="I808" s="20"/>
      <c r="J808" s="20"/>
      <c r="K808" s="20"/>
    </row>
    <row r="809" customFormat="false" ht="15" hidden="false" customHeight="false" outlineLevel="0" collapsed="false">
      <c r="A809" s="18" t="str">
        <f aca="false">IF(C809="","",IFERROR(INDEX(Metrics!$A:$A,MATCH(C809,Metrics!$C:$C,0)),"Not found"))</f>
        <v/>
      </c>
      <c r="B809" s="18" t="str">
        <f aca="false">IF(D809="","",IFERROR(INDEX(Fields!$A:$A,MATCH(D809,Fields!$B:$B,0)),"Not found"))</f>
        <v/>
      </c>
      <c r="C809" s="20"/>
      <c r="D809" s="20"/>
      <c r="E809" s="20"/>
      <c r="F809" s="21" t="str">
        <f aca="false">IF(B809="","",IFERROR(INDEX(Fields!$C:$C,MATCH(B809,Fields!$A:$A,0)),""))</f>
        <v/>
      </c>
      <c r="G809" s="18" t="str">
        <f aca="false">IF(A809="","",COUNTIF('Metric to Product'!$A:$A,A809))</f>
        <v/>
      </c>
      <c r="H809" s="20"/>
      <c r="I809" s="20"/>
      <c r="J809" s="20"/>
      <c r="K809" s="20"/>
    </row>
    <row r="810" customFormat="false" ht="15" hidden="false" customHeight="false" outlineLevel="0" collapsed="false">
      <c r="A810" s="18" t="str">
        <f aca="false">IF(C810="","",IFERROR(INDEX(Metrics!$A:$A,MATCH(C810,Metrics!$C:$C,0)),"Not found"))</f>
        <v/>
      </c>
      <c r="B810" s="18" t="str">
        <f aca="false">IF(D810="","",IFERROR(INDEX(Fields!$A:$A,MATCH(D810,Fields!$B:$B,0)),"Not found"))</f>
        <v/>
      </c>
      <c r="C810" s="20"/>
      <c r="D810" s="20"/>
      <c r="E810" s="20"/>
      <c r="F810" s="21" t="str">
        <f aca="false">IF(B810="","",IFERROR(INDEX(Fields!$C:$C,MATCH(B810,Fields!$A:$A,0)),""))</f>
        <v/>
      </c>
      <c r="G810" s="18" t="str">
        <f aca="false">IF(A810="","",COUNTIF('Metric to Product'!$A:$A,A810))</f>
        <v/>
      </c>
      <c r="H810" s="20"/>
      <c r="I810" s="20"/>
      <c r="J810" s="20"/>
      <c r="K810" s="20"/>
    </row>
    <row r="811" customFormat="false" ht="15" hidden="false" customHeight="false" outlineLevel="0" collapsed="false">
      <c r="A811" s="18" t="str">
        <f aca="false">IF(C811="","",IFERROR(INDEX(Metrics!$A:$A,MATCH(C811,Metrics!$C:$C,0)),"Not found"))</f>
        <v/>
      </c>
      <c r="B811" s="18" t="str">
        <f aca="false">IF(D811="","",IFERROR(INDEX(Fields!$A:$A,MATCH(D811,Fields!$B:$B,0)),"Not found"))</f>
        <v/>
      </c>
      <c r="C811" s="20"/>
      <c r="D811" s="20"/>
      <c r="E811" s="20"/>
      <c r="F811" s="21" t="str">
        <f aca="false">IF(B811="","",IFERROR(INDEX(Fields!$C:$C,MATCH(B811,Fields!$A:$A,0)),""))</f>
        <v/>
      </c>
      <c r="G811" s="18" t="str">
        <f aca="false">IF(A811="","",COUNTIF('Metric to Product'!$A:$A,A811))</f>
        <v/>
      </c>
      <c r="H811" s="20"/>
      <c r="I811" s="20"/>
      <c r="J811" s="20"/>
      <c r="K811" s="20"/>
    </row>
    <row r="812" customFormat="false" ht="15" hidden="false" customHeight="false" outlineLevel="0" collapsed="false">
      <c r="A812" s="18" t="str">
        <f aca="false">IF(C812="","",IFERROR(INDEX(Metrics!$A:$A,MATCH(C812,Metrics!$C:$C,0)),"Not found"))</f>
        <v/>
      </c>
      <c r="B812" s="18" t="str">
        <f aca="false">IF(D812="","",IFERROR(INDEX(Fields!$A:$A,MATCH(D812,Fields!$B:$B,0)),"Not found"))</f>
        <v/>
      </c>
      <c r="C812" s="20"/>
      <c r="D812" s="20"/>
      <c r="E812" s="20"/>
      <c r="F812" s="21" t="str">
        <f aca="false">IF(B812="","",IFERROR(INDEX(Fields!$C:$C,MATCH(B812,Fields!$A:$A,0)),""))</f>
        <v/>
      </c>
      <c r="G812" s="18" t="str">
        <f aca="false">IF(A812="","",COUNTIF('Metric to Product'!$A:$A,A812))</f>
        <v/>
      </c>
      <c r="H812" s="20"/>
      <c r="I812" s="20"/>
      <c r="J812" s="20"/>
      <c r="K812" s="20"/>
    </row>
    <row r="813" customFormat="false" ht="15" hidden="false" customHeight="false" outlineLevel="0" collapsed="false">
      <c r="A813" s="18" t="str">
        <f aca="false">IF(C813="","",IFERROR(INDEX(Metrics!$A:$A,MATCH(C813,Metrics!$C:$C,0)),"Not found"))</f>
        <v/>
      </c>
      <c r="B813" s="18" t="str">
        <f aca="false">IF(D813="","",IFERROR(INDEX(Fields!$A:$A,MATCH(D813,Fields!$B:$B,0)),"Not found"))</f>
        <v/>
      </c>
      <c r="C813" s="20"/>
      <c r="D813" s="20"/>
      <c r="E813" s="20"/>
      <c r="F813" s="21" t="str">
        <f aca="false">IF(B813="","",IFERROR(INDEX(Fields!$C:$C,MATCH(B813,Fields!$A:$A,0)),""))</f>
        <v/>
      </c>
      <c r="G813" s="18" t="str">
        <f aca="false">IF(A813="","",COUNTIF('Metric to Product'!$A:$A,A813))</f>
        <v/>
      </c>
      <c r="H813" s="20"/>
      <c r="I813" s="20"/>
      <c r="J813" s="20"/>
      <c r="K813" s="20"/>
    </row>
    <row r="814" customFormat="false" ht="15" hidden="false" customHeight="false" outlineLevel="0" collapsed="false">
      <c r="A814" s="18" t="str">
        <f aca="false">IF(C814="","",IFERROR(INDEX(Metrics!$A:$A,MATCH(C814,Metrics!$C:$C,0)),"Not found"))</f>
        <v/>
      </c>
      <c r="B814" s="18" t="str">
        <f aca="false">IF(D814="","",IFERROR(INDEX(Fields!$A:$A,MATCH(D814,Fields!$B:$B,0)),"Not found"))</f>
        <v/>
      </c>
      <c r="C814" s="20"/>
      <c r="D814" s="20"/>
      <c r="E814" s="20"/>
      <c r="F814" s="21" t="str">
        <f aca="false">IF(B814="","",IFERROR(INDEX(Fields!$C:$C,MATCH(B814,Fields!$A:$A,0)),""))</f>
        <v/>
      </c>
      <c r="G814" s="18" t="str">
        <f aca="false">IF(A814="","",COUNTIF('Metric to Product'!$A:$A,A814))</f>
        <v/>
      </c>
      <c r="H814" s="20"/>
      <c r="I814" s="20"/>
      <c r="J814" s="20"/>
      <c r="K814" s="20"/>
    </row>
    <row r="815" customFormat="false" ht="15" hidden="false" customHeight="false" outlineLevel="0" collapsed="false">
      <c r="A815" s="18" t="str">
        <f aca="false">IF(C815="","",IFERROR(INDEX(Metrics!$A:$A,MATCH(C815,Metrics!$C:$C,0)),"Not found"))</f>
        <v/>
      </c>
      <c r="B815" s="18" t="str">
        <f aca="false">IF(D815="","",IFERROR(INDEX(Fields!$A:$A,MATCH(D815,Fields!$B:$B,0)),"Not found"))</f>
        <v/>
      </c>
      <c r="C815" s="20"/>
      <c r="D815" s="20"/>
      <c r="E815" s="20"/>
      <c r="F815" s="21" t="str">
        <f aca="false">IF(B815="","",IFERROR(INDEX(Fields!$C:$C,MATCH(B815,Fields!$A:$A,0)),""))</f>
        <v/>
      </c>
      <c r="G815" s="18" t="str">
        <f aca="false">IF(A815="","",COUNTIF('Metric to Product'!$A:$A,A815))</f>
        <v/>
      </c>
      <c r="H815" s="20"/>
      <c r="I815" s="20"/>
      <c r="J815" s="20"/>
      <c r="K815" s="20"/>
    </row>
    <row r="816" customFormat="false" ht="15" hidden="false" customHeight="false" outlineLevel="0" collapsed="false">
      <c r="A816" s="18" t="str">
        <f aca="false">IF(C816="","",IFERROR(INDEX(Metrics!$A:$A,MATCH(C816,Metrics!$C:$C,0)),"Not found"))</f>
        <v/>
      </c>
      <c r="B816" s="18" t="str">
        <f aca="false">IF(D816="","",IFERROR(INDEX(Fields!$A:$A,MATCH(D816,Fields!$B:$B,0)),"Not found"))</f>
        <v/>
      </c>
      <c r="C816" s="20"/>
      <c r="D816" s="20"/>
      <c r="E816" s="20"/>
      <c r="F816" s="21" t="str">
        <f aca="false">IF(B816="","",IFERROR(INDEX(Fields!$C:$C,MATCH(B816,Fields!$A:$A,0)),""))</f>
        <v/>
      </c>
      <c r="G816" s="18" t="str">
        <f aca="false">IF(A816="","",COUNTIF('Metric to Product'!$A:$A,A816))</f>
        <v/>
      </c>
      <c r="H816" s="20"/>
      <c r="I816" s="20"/>
      <c r="J816" s="20"/>
      <c r="K816" s="20"/>
    </row>
    <row r="817" customFormat="false" ht="15" hidden="false" customHeight="false" outlineLevel="0" collapsed="false">
      <c r="A817" s="18" t="str">
        <f aca="false">IF(C817="","",IFERROR(INDEX(Metrics!$A:$A,MATCH(C817,Metrics!$C:$C,0)),"Not found"))</f>
        <v/>
      </c>
      <c r="B817" s="18" t="str">
        <f aca="false">IF(D817="","",IFERROR(INDEX(Fields!$A:$A,MATCH(D817,Fields!$B:$B,0)),"Not found"))</f>
        <v/>
      </c>
      <c r="C817" s="20"/>
      <c r="D817" s="20"/>
      <c r="E817" s="20"/>
      <c r="F817" s="21" t="str">
        <f aca="false">IF(B817="","",IFERROR(INDEX(Fields!$C:$C,MATCH(B817,Fields!$A:$A,0)),""))</f>
        <v/>
      </c>
      <c r="G817" s="18" t="str">
        <f aca="false">IF(A817="","",COUNTIF('Metric to Product'!$A:$A,A817))</f>
        <v/>
      </c>
      <c r="H817" s="20"/>
      <c r="I817" s="20"/>
      <c r="J817" s="20"/>
      <c r="K817" s="20"/>
    </row>
    <row r="818" customFormat="false" ht="15" hidden="false" customHeight="false" outlineLevel="0" collapsed="false">
      <c r="A818" s="18" t="str">
        <f aca="false">IF(C818="","",IFERROR(INDEX(Metrics!$A:$A,MATCH(C818,Metrics!$C:$C,0)),"Not found"))</f>
        <v/>
      </c>
      <c r="B818" s="18" t="str">
        <f aca="false">IF(D818="","",IFERROR(INDEX(Fields!$A:$A,MATCH(D818,Fields!$B:$B,0)),"Not found"))</f>
        <v/>
      </c>
      <c r="C818" s="20"/>
      <c r="D818" s="20"/>
      <c r="E818" s="20"/>
      <c r="F818" s="21" t="str">
        <f aca="false">IF(B818="","",IFERROR(INDEX(Fields!$C:$C,MATCH(B818,Fields!$A:$A,0)),""))</f>
        <v/>
      </c>
      <c r="G818" s="18" t="str">
        <f aca="false">IF(A818="","",COUNTIF('Metric to Product'!$A:$A,A818))</f>
        <v/>
      </c>
      <c r="H818" s="20"/>
      <c r="I818" s="20"/>
      <c r="J818" s="20"/>
      <c r="K818" s="20"/>
    </row>
    <row r="819" customFormat="false" ht="15" hidden="false" customHeight="false" outlineLevel="0" collapsed="false">
      <c r="A819" s="18" t="str">
        <f aca="false">IF(C819="","",IFERROR(INDEX(Metrics!$A:$A,MATCH(C819,Metrics!$C:$C,0)),"Not found"))</f>
        <v/>
      </c>
      <c r="B819" s="18" t="str">
        <f aca="false">IF(D819="","",IFERROR(INDEX(Fields!$A:$A,MATCH(D819,Fields!$B:$B,0)),"Not found"))</f>
        <v/>
      </c>
      <c r="C819" s="20"/>
      <c r="D819" s="20"/>
      <c r="E819" s="20"/>
      <c r="F819" s="21" t="str">
        <f aca="false">IF(B819="","",IFERROR(INDEX(Fields!$C:$C,MATCH(B819,Fields!$A:$A,0)),""))</f>
        <v/>
      </c>
      <c r="G819" s="18" t="str">
        <f aca="false">IF(A819="","",COUNTIF('Metric to Product'!$A:$A,A819))</f>
        <v/>
      </c>
      <c r="H819" s="20"/>
      <c r="I819" s="20"/>
      <c r="J819" s="20"/>
      <c r="K819" s="20"/>
    </row>
    <row r="820" customFormat="false" ht="15" hidden="false" customHeight="false" outlineLevel="0" collapsed="false">
      <c r="A820" s="18" t="str">
        <f aca="false">IF(C820="","",IFERROR(INDEX(Metrics!$A:$A,MATCH(C820,Metrics!$C:$C,0)),"Not found"))</f>
        <v/>
      </c>
      <c r="B820" s="18" t="str">
        <f aca="false">IF(D820="","",IFERROR(INDEX(Fields!$A:$A,MATCH(D820,Fields!$B:$B,0)),"Not found"))</f>
        <v/>
      </c>
      <c r="C820" s="20"/>
      <c r="D820" s="20"/>
      <c r="E820" s="20"/>
      <c r="F820" s="21" t="str">
        <f aca="false">IF(B820="","",IFERROR(INDEX(Fields!$C:$C,MATCH(B820,Fields!$A:$A,0)),""))</f>
        <v/>
      </c>
      <c r="G820" s="18" t="str">
        <f aca="false">IF(A820="","",COUNTIF('Metric to Product'!$A:$A,A820))</f>
        <v/>
      </c>
      <c r="H820" s="20"/>
      <c r="I820" s="20"/>
      <c r="J820" s="20"/>
      <c r="K820" s="20"/>
    </row>
    <row r="821" customFormat="false" ht="15" hidden="false" customHeight="false" outlineLevel="0" collapsed="false">
      <c r="A821" s="18" t="str">
        <f aca="false">IF(C821="","",IFERROR(INDEX(Metrics!$A:$A,MATCH(C821,Metrics!$C:$C,0)),"Not found"))</f>
        <v/>
      </c>
      <c r="B821" s="18" t="str">
        <f aca="false">IF(D821="","",IFERROR(INDEX(Fields!$A:$A,MATCH(D821,Fields!$B:$B,0)),"Not found"))</f>
        <v/>
      </c>
      <c r="C821" s="20"/>
      <c r="D821" s="20"/>
      <c r="E821" s="20"/>
      <c r="F821" s="21" t="str">
        <f aca="false">IF(B821="","",IFERROR(INDEX(Fields!$C:$C,MATCH(B821,Fields!$A:$A,0)),""))</f>
        <v/>
      </c>
      <c r="G821" s="18" t="str">
        <f aca="false">IF(A821="","",COUNTIF('Metric to Product'!$A:$A,A821))</f>
        <v/>
      </c>
      <c r="H821" s="20"/>
      <c r="I821" s="20"/>
      <c r="J821" s="20"/>
      <c r="K821" s="20"/>
    </row>
    <row r="822" customFormat="false" ht="15" hidden="false" customHeight="false" outlineLevel="0" collapsed="false">
      <c r="A822" s="18" t="str">
        <f aca="false">IF(C822="","",IFERROR(INDEX(Metrics!$A:$A,MATCH(C822,Metrics!$C:$C,0)),"Not found"))</f>
        <v/>
      </c>
      <c r="B822" s="18" t="str">
        <f aca="false">IF(D822="","",IFERROR(INDEX(Fields!$A:$A,MATCH(D822,Fields!$B:$B,0)),"Not found"))</f>
        <v/>
      </c>
      <c r="C822" s="20"/>
      <c r="D822" s="20"/>
      <c r="E822" s="20"/>
      <c r="F822" s="21" t="str">
        <f aca="false">IF(B822="","",IFERROR(INDEX(Fields!$C:$C,MATCH(B822,Fields!$A:$A,0)),""))</f>
        <v/>
      </c>
      <c r="G822" s="18" t="str">
        <f aca="false">IF(A822="","",COUNTIF('Metric to Product'!$A:$A,A822))</f>
        <v/>
      </c>
      <c r="H822" s="20"/>
      <c r="I822" s="20"/>
      <c r="J822" s="20"/>
      <c r="K822" s="20"/>
    </row>
    <row r="823" customFormat="false" ht="15" hidden="false" customHeight="false" outlineLevel="0" collapsed="false">
      <c r="A823" s="18" t="str">
        <f aca="false">IF(C823="","",IFERROR(INDEX(Metrics!$A:$A,MATCH(C823,Metrics!$C:$C,0)),"Not found"))</f>
        <v/>
      </c>
      <c r="B823" s="18" t="str">
        <f aca="false">IF(D823="","",IFERROR(INDEX(Fields!$A:$A,MATCH(D823,Fields!$B:$B,0)),"Not found"))</f>
        <v/>
      </c>
      <c r="C823" s="20"/>
      <c r="D823" s="20"/>
      <c r="E823" s="20"/>
      <c r="F823" s="21" t="str">
        <f aca="false">IF(B823="","",IFERROR(INDEX(Fields!$C:$C,MATCH(B823,Fields!$A:$A,0)),""))</f>
        <v/>
      </c>
      <c r="G823" s="18" t="str">
        <f aca="false">IF(A823="","",COUNTIF('Metric to Product'!$A:$A,A823))</f>
        <v/>
      </c>
      <c r="H823" s="20"/>
      <c r="I823" s="20"/>
      <c r="J823" s="20"/>
      <c r="K823" s="20"/>
    </row>
    <row r="824" customFormat="false" ht="15" hidden="false" customHeight="false" outlineLevel="0" collapsed="false">
      <c r="A824" s="18" t="str">
        <f aca="false">IF(C824="","",IFERROR(INDEX(Metrics!$A:$A,MATCH(C824,Metrics!$C:$C,0)),"Not found"))</f>
        <v/>
      </c>
      <c r="B824" s="18" t="str">
        <f aca="false">IF(D824="","",IFERROR(INDEX(Fields!$A:$A,MATCH(D824,Fields!$B:$B,0)),"Not found"))</f>
        <v/>
      </c>
      <c r="C824" s="20"/>
      <c r="D824" s="20"/>
      <c r="E824" s="20"/>
      <c r="F824" s="21" t="str">
        <f aca="false">IF(B824="","",IFERROR(INDEX(Fields!$C:$C,MATCH(B824,Fields!$A:$A,0)),""))</f>
        <v/>
      </c>
      <c r="G824" s="18" t="str">
        <f aca="false">IF(A824="","",COUNTIF('Metric to Product'!$A:$A,A824))</f>
        <v/>
      </c>
      <c r="H824" s="20"/>
      <c r="I824" s="20"/>
      <c r="J824" s="20"/>
      <c r="K824" s="20"/>
    </row>
    <row r="825" customFormat="false" ht="15" hidden="false" customHeight="false" outlineLevel="0" collapsed="false">
      <c r="A825" s="18" t="str">
        <f aca="false">IF(C825="","",IFERROR(INDEX(Metrics!$A:$A,MATCH(C825,Metrics!$C:$C,0)),"Not found"))</f>
        <v/>
      </c>
      <c r="B825" s="18" t="str">
        <f aca="false">IF(D825="","",IFERROR(INDEX(Fields!$A:$A,MATCH(D825,Fields!$B:$B,0)),"Not found"))</f>
        <v/>
      </c>
      <c r="C825" s="20"/>
      <c r="D825" s="20"/>
      <c r="E825" s="20"/>
      <c r="F825" s="21" t="str">
        <f aca="false">IF(B825="","",IFERROR(INDEX(Fields!$C:$C,MATCH(B825,Fields!$A:$A,0)),""))</f>
        <v/>
      </c>
      <c r="G825" s="18" t="str">
        <f aca="false">IF(A825="","",COUNTIF('Metric to Product'!$A:$A,A825))</f>
        <v/>
      </c>
      <c r="H825" s="20"/>
      <c r="I825" s="20"/>
      <c r="J825" s="20"/>
      <c r="K825" s="20"/>
    </row>
    <row r="826" customFormat="false" ht="15" hidden="false" customHeight="false" outlineLevel="0" collapsed="false">
      <c r="A826" s="18" t="str">
        <f aca="false">IF(C826="","",IFERROR(INDEX(Metrics!$A:$A,MATCH(C826,Metrics!$C:$C,0)),"Not found"))</f>
        <v/>
      </c>
      <c r="B826" s="18" t="str">
        <f aca="false">IF(D826="","",IFERROR(INDEX(Fields!$A:$A,MATCH(D826,Fields!$B:$B,0)),"Not found"))</f>
        <v/>
      </c>
      <c r="C826" s="20"/>
      <c r="D826" s="20"/>
      <c r="E826" s="20"/>
      <c r="F826" s="21" t="str">
        <f aca="false">IF(B826="","",IFERROR(INDEX(Fields!$C:$C,MATCH(B826,Fields!$A:$A,0)),""))</f>
        <v/>
      </c>
      <c r="G826" s="18" t="str">
        <f aca="false">IF(A826="","",COUNTIF('Metric to Product'!$A:$A,A826))</f>
        <v/>
      </c>
      <c r="H826" s="20"/>
      <c r="I826" s="20"/>
      <c r="J826" s="20"/>
      <c r="K826" s="20"/>
    </row>
    <row r="827" customFormat="false" ht="15" hidden="false" customHeight="false" outlineLevel="0" collapsed="false">
      <c r="A827" s="18" t="str">
        <f aca="false">IF(C827="","",IFERROR(INDEX(Metrics!$A:$A,MATCH(C827,Metrics!$C:$C,0)),"Not found"))</f>
        <v/>
      </c>
      <c r="B827" s="18" t="str">
        <f aca="false">IF(D827="","",IFERROR(INDEX(Fields!$A:$A,MATCH(D827,Fields!$B:$B,0)),"Not found"))</f>
        <v/>
      </c>
      <c r="C827" s="20"/>
      <c r="D827" s="20"/>
      <c r="E827" s="20"/>
      <c r="F827" s="21" t="str">
        <f aca="false">IF(B827="","",IFERROR(INDEX(Fields!$C:$C,MATCH(B827,Fields!$A:$A,0)),""))</f>
        <v/>
      </c>
      <c r="G827" s="18" t="str">
        <f aca="false">IF(A827="","",COUNTIF('Metric to Product'!$A:$A,A827))</f>
        <v/>
      </c>
      <c r="H827" s="20"/>
      <c r="I827" s="20"/>
      <c r="J827" s="20"/>
      <c r="K827" s="20"/>
    </row>
    <row r="828" customFormat="false" ht="15" hidden="false" customHeight="false" outlineLevel="0" collapsed="false">
      <c r="A828" s="18" t="str">
        <f aca="false">IF(C828="","",IFERROR(INDEX(Metrics!$A:$A,MATCH(C828,Metrics!$C:$C,0)),"Not found"))</f>
        <v/>
      </c>
      <c r="B828" s="18" t="str">
        <f aca="false">IF(D828="","",IFERROR(INDEX(Fields!$A:$A,MATCH(D828,Fields!$B:$B,0)),"Not found"))</f>
        <v/>
      </c>
      <c r="C828" s="20"/>
      <c r="D828" s="20"/>
      <c r="E828" s="20"/>
      <c r="F828" s="21" t="str">
        <f aca="false">IF(B828="","",IFERROR(INDEX(Fields!$C:$C,MATCH(B828,Fields!$A:$A,0)),""))</f>
        <v/>
      </c>
      <c r="G828" s="18" t="str">
        <f aca="false">IF(A828="","",COUNTIF('Metric to Product'!$A:$A,A828))</f>
        <v/>
      </c>
      <c r="H828" s="20"/>
      <c r="I828" s="20"/>
      <c r="J828" s="20"/>
      <c r="K828" s="20"/>
    </row>
    <row r="829" customFormat="false" ht="15" hidden="false" customHeight="false" outlineLevel="0" collapsed="false">
      <c r="A829" s="18" t="str">
        <f aca="false">IF(C829="","",IFERROR(INDEX(Metrics!$A:$A,MATCH(C829,Metrics!$C:$C,0)),"Not found"))</f>
        <v/>
      </c>
      <c r="B829" s="18" t="str">
        <f aca="false">IF(D829="","",IFERROR(INDEX(Fields!$A:$A,MATCH(D829,Fields!$B:$B,0)),"Not found"))</f>
        <v/>
      </c>
      <c r="C829" s="20"/>
      <c r="D829" s="20"/>
      <c r="E829" s="20"/>
      <c r="F829" s="21" t="str">
        <f aca="false">IF(B829="","",IFERROR(INDEX(Fields!$C:$C,MATCH(B829,Fields!$A:$A,0)),""))</f>
        <v/>
      </c>
      <c r="G829" s="18" t="str">
        <f aca="false">IF(A829="","",COUNTIF('Metric to Product'!$A:$A,A829))</f>
        <v/>
      </c>
      <c r="H829" s="20"/>
      <c r="I829" s="20"/>
      <c r="J829" s="20"/>
      <c r="K829" s="20"/>
    </row>
    <row r="830" customFormat="false" ht="15" hidden="false" customHeight="false" outlineLevel="0" collapsed="false">
      <c r="A830" s="18" t="str">
        <f aca="false">IF(C830="","",IFERROR(INDEX(Metrics!$A:$A,MATCH(C830,Metrics!$C:$C,0)),"Not found"))</f>
        <v/>
      </c>
      <c r="B830" s="18" t="str">
        <f aca="false">IF(D830="","",IFERROR(INDEX(Fields!$A:$A,MATCH(D830,Fields!$B:$B,0)),"Not found"))</f>
        <v/>
      </c>
      <c r="C830" s="20"/>
      <c r="D830" s="20"/>
      <c r="E830" s="20"/>
      <c r="F830" s="21" t="str">
        <f aca="false">IF(B830="","",IFERROR(INDEX(Fields!$C:$C,MATCH(B830,Fields!$A:$A,0)),""))</f>
        <v/>
      </c>
      <c r="G830" s="18" t="str">
        <f aca="false">IF(A830="","",COUNTIF('Metric to Product'!$A:$A,A830))</f>
        <v/>
      </c>
      <c r="H830" s="20"/>
      <c r="I830" s="20"/>
      <c r="J830" s="20"/>
      <c r="K830" s="20"/>
    </row>
    <row r="831" customFormat="false" ht="15" hidden="false" customHeight="false" outlineLevel="0" collapsed="false">
      <c r="A831" s="18" t="str">
        <f aca="false">IF(C831="","",IFERROR(INDEX(Metrics!$A:$A,MATCH(C831,Metrics!$C:$C,0)),"Not found"))</f>
        <v/>
      </c>
      <c r="B831" s="18" t="str">
        <f aca="false">IF(D831="","",IFERROR(INDEX(Fields!$A:$A,MATCH(D831,Fields!$B:$B,0)),"Not found"))</f>
        <v/>
      </c>
      <c r="C831" s="20"/>
      <c r="D831" s="20"/>
      <c r="E831" s="20"/>
      <c r="F831" s="21" t="str">
        <f aca="false">IF(B831="","",IFERROR(INDEX(Fields!$C:$C,MATCH(B831,Fields!$A:$A,0)),""))</f>
        <v/>
      </c>
      <c r="G831" s="18" t="str">
        <f aca="false">IF(A831="","",COUNTIF('Metric to Product'!$A:$A,A831))</f>
        <v/>
      </c>
      <c r="H831" s="20"/>
      <c r="I831" s="20"/>
      <c r="J831" s="20"/>
      <c r="K831" s="20"/>
    </row>
    <row r="832" customFormat="false" ht="15" hidden="false" customHeight="false" outlineLevel="0" collapsed="false">
      <c r="A832" s="18" t="str">
        <f aca="false">IF(C832="","",IFERROR(INDEX(Metrics!$A:$A,MATCH(C832,Metrics!$C:$C,0)),"Not found"))</f>
        <v/>
      </c>
      <c r="B832" s="18" t="str">
        <f aca="false">IF(D832="","",IFERROR(INDEX(Fields!$A:$A,MATCH(D832,Fields!$B:$B,0)),"Not found"))</f>
        <v/>
      </c>
      <c r="C832" s="20"/>
      <c r="D832" s="20"/>
      <c r="E832" s="20"/>
      <c r="F832" s="21" t="str">
        <f aca="false">IF(B832="","",IFERROR(INDEX(Fields!$C:$C,MATCH(B832,Fields!$A:$A,0)),""))</f>
        <v/>
      </c>
      <c r="G832" s="18" t="str">
        <f aca="false">IF(A832="","",COUNTIF('Metric to Product'!$A:$A,A832))</f>
        <v/>
      </c>
      <c r="H832" s="20"/>
      <c r="I832" s="20"/>
      <c r="J832" s="20"/>
      <c r="K832" s="20"/>
    </row>
    <row r="833" customFormat="false" ht="15" hidden="false" customHeight="false" outlineLevel="0" collapsed="false">
      <c r="A833" s="18" t="str">
        <f aca="false">IF(C833="","",IFERROR(INDEX(Metrics!$A:$A,MATCH(C833,Metrics!$C:$C,0)),"Not found"))</f>
        <v/>
      </c>
      <c r="B833" s="18" t="str">
        <f aca="false">IF(D833="","",IFERROR(INDEX(Fields!$A:$A,MATCH(D833,Fields!$B:$B,0)),"Not found"))</f>
        <v/>
      </c>
      <c r="C833" s="20"/>
      <c r="D833" s="20"/>
      <c r="E833" s="20"/>
      <c r="F833" s="21" t="str">
        <f aca="false">IF(B833="","",IFERROR(INDEX(Fields!$C:$C,MATCH(B833,Fields!$A:$A,0)),""))</f>
        <v/>
      </c>
      <c r="G833" s="18" t="str">
        <f aca="false">IF(A833="","",COUNTIF('Metric to Product'!$A:$A,A833))</f>
        <v/>
      </c>
      <c r="H833" s="20"/>
      <c r="I833" s="20"/>
      <c r="J833" s="20"/>
      <c r="K833" s="20"/>
    </row>
    <row r="834" customFormat="false" ht="15" hidden="false" customHeight="false" outlineLevel="0" collapsed="false">
      <c r="A834" s="18" t="str">
        <f aca="false">IF(C834="","",IFERROR(INDEX(Metrics!$A:$A,MATCH(C834,Metrics!$C:$C,0)),"Not found"))</f>
        <v/>
      </c>
      <c r="B834" s="18" t="str">
        <f aca="false">IF(D834="","",IFERROR(INDEX(Fields!$A:$A,MATCH(D834,Fields!$B:$B,0)),"Not found"))</f>
        <v/>
      </c>
      <c r="C834" s="20"/>
      <c r="D834" s="20"/>
      <c r="E834" s="20"/>
      <c r="F834" s="21" t="str">
        <f aca="false">IF(B834="","",IFERROR(INDEX(Fields!$C:$C,MATCH(B834,Fields!$A:$A,0)),""))</f>
        <v/>
      </c>
      <c r="G834" s="18" t="str">
        <f aca="false">IF(A834="","",COUNTIF('Metric to Product'!$A:$A,A834))</f>
        <v/>
      </c>
      <c r="H834" s="20"/>
      <c r="I834" s="20"/>
      <c r="J834" s="20"/>
      <c r="K834" s="20"/>
    </row>
    <row r="835" customFormat="false" ht="15" hidden="false" customHeight="false" outlineLevel="0" collapsed="false">
      <c r="A835" s="18" t="str">
        <f aca="false">IF(C835="","",IFERROR(INDEX(Metrics!$A:$A,MATCH(C835,Metrics!$C:$C,0)),"Not found"))</f>
        <v/>
      </c>
      <c r="B835" s="18" t="str">
        <f aca="false">IF(D835="","",IFERROR(INDEX(Fields!$A:$A,MATCH(D835,Fields!$B:$B,0)),"Not found"))</f>
        <v/>
      </c>
      <c r="C835" s="20"/>
      <c r="D835" s="20"/>
      <c r="E835" s="20"/>
      <c r="F835" s="21" t="str">
        <f aca="false">IF(B835="","",IFERROR(INDEX(Fields!$C:$C,MATCH(B835,Fields!$A:$A,0)),""))</f>
        <v/>
      </c>
      <c r="G835" s="18" t="str">
        <f aca="false">IF(A835="","",COUNTIF('Metric to Product'!$A:$A,A835))</f>
        <v/>
      </c>
      <c r="H835" s="20"/>
      <c r="I835" s="20"/>
      <c r="J835" s="20"/>
      <c r="K835" s="20"/>
    </row>
    <row r="836" customFormat="false" ht="15" hidden="false" customHeight="false" outlineLevel="0" collapsed="false">
      <c r="A836" s="18" t="str">
        <f aca="false">IF(C836="","",IFERROR(INDEX(Metrics!$A:$A,MATCH(C836,Metrics!$C:$C,0)),"Not found"))</f>
        <v/>
      </c>
      <c r="B836" s="18" t="str">
        <f aca="false">IF(D836="","",IFERROR(INDEX(Fields!$A:$A,MATCH(D836,Fields!$B:$B,0)),"Not found"))</f>
        <v/>
      </c>
      <c r="C836" s="20"/>
      <c r="D836" s="20"/>
      <c r="E836" s="20"/>
      <c r="F836" s="21" t="str">
        <f aca="false">IF(B836="","",IFERROR(INDEX(Fields!$C:$C,MATCH(B836,Fields!$A:$A,0)),""))</f>
        <v/>
      </c>
      <c r="G836" s="18" t="str">
        <f aca="false">IF(A836="","",COUNTIF('Metric to Product'!$A:$A,A836))</f>
        <v/>
      </c>
      <c r="H836" s="20"/>
      <c r="I836" s="20"/>
      <c r="J836" s="20"/>
      <c r="K836" s="20"/>
    </row>
    <row r="837" customFormat="false" ht="15" hidden="false" customHeight="false" outlineLevel="0" collapsed="false">
      <c r="A837" s="18" t="str">
        <f aca="false">IF(C837="","",IFERROR(INDEX(Metrics!$A:$A,MATCH(C837,Metrics!$C:$C,0)),"Not found"))</f>
        <v/>
      </c>
      <c r="B837" s="18" t="str">
        <f aca="false">IF(D837="","",IFERROR(INDEX(Fields!$A:$A,MATCH(D837,Fields!$B:$B,0)),"Not found"))</f>
        <v/>
      </c>
      <c r="C837" s="20"/>
      <c r="D837" s="20"/>
      <c r="E837" s="20"/>
      <c r="F837" s="21" t="str">
        <f aca="false">IF(B837="","",IFERROR(INDEX(Fields!$C:$C,MATCH(B837,Fields!$A:$A,0)),""))</f>
        <v/>
      </c>
      <c r="G837" s="18" t="str">
        <f aca="false">IF(A837="","",COUNTIF('Metric to Product'!$A:$A,A837))</f>
        <v/>
      </c>
      <c r="H837" s="20"/>
      <c r="I837" s="20"/>
      <c r="J837" s="20"/>
      <c r="K837" s="20"/>
    </row>
    <row r="838" customFormat="false" ht="15" hidden="false" customHeight="false" outlineLevel="0" collapsed="false">
      <c r="A838" s="18" t="str">
        <f aca="false">IF(C838="","",IFERROR(INDEX(Metrics!$A:$A,MATCH(C838,Metrics!$C:$C,0)),"Not found"))</f>
        <v/>
      </c>
      <c r="B838" s="18" t="str">
        <f aca="false">IF(D838="","",IFERROR(INDEX(Fields!$A:$A,MATCH(D838,Fields!$B:$B,0)),"Not found"))</f>
        <v/>
      </c>
      <c r="C838" s="20"/>
      <c r="D838" s="20"/>
      <c r="E838" s="20"/>
      <c r="F838" s="21" t="str">
        <f aca="false">IF(B838="","",IFERROR(INDEX(Fields!$C:$C,MATCH(B838,Fields!$A:$A,0)),""))</f>
        <v/>
      </c>
      <c r="G838" s="18" t="str">
        <f aca="false">IF(A838="","",COUNTIF('Metric to Product'!$A:$A,A838))</f>
        <v/>
      </c>
      <c r="H838" s="20"/>
      <c r="I838" s="20"/>
      <c r="J838" s="20"/>
      <c r="K838" s="20"/>
    </row>
    <row r="839" customFormat="false" ht="15" hidden="false" customHeight="false" outlineLevel="0" collapsed="false">
      <c r="A839" s="18" t="str">
        <f aca="false">IF(C839="","",IFERROR(INDEX(Metrics!$A:$A,MATCH(C839,Metrics!$C:$C,0)),"Not found"))</f>
        <v/>
      </c>
      <c r="B839" s="18" t="str">
        <f aca="false">IF(D839="","",IFERROR(INDEX(Fields!$A:$A,MATCH(D839,Fields!$B:$B,0)),"Not found"))</f>
        <v/>
      </c>
      <c r="C839" s="20"/>
      <c r="D839" s="20"/>
      <c r="E839" s="20"/>
      <c r="F839" s="21" t="str">
        <f aca="false">IF(B839="","",IFERROR(INDEX(Fields!$C:$C,MATCH(B839,Fields!$A:$A,0)),""))</f>
        <v/>
      </c>
      <c r="G839" s="18" t="str">
        <f aca="false">IF(A839="","",COUNTIF('Metric to Product'!$A:$A,A839))</f>
        <v/>
      </c>
      <c r="H839" s="20"/>
      <c r="I839" s="20"/>
      <c r="J839" s="20"/>
      <c r="K839" s="20"/>
    </row>
    <row r="840" customFormat="false" ht="15" hidden="false" customHeight="false" outlineLevel="0" collapsed="false">
      <c r="A840" s="18" t="str">
        <f aca="false">IF(C840="","",IFERROR(INDEX(Metrics!$A:$A,MATCH(C840,Metrics!$C:$C,0)),"Not found"))</f>
        <v/>
      </c>
      <c r="B840" s="18" t="str">
        <f aca="false">IF(D840="","",IFERROR(INDEX(Fields!$A:$A,MATCH(D840,Fields!$B:$B,0)),"Not found"))</f>
        <v/>
      </c>
      <c r="C840" s="20"/>
      <c r="D840" s="20"/>
      <c r="E840" s="20"/>
      <c r="F840" s="21" t="str">
        <f aca="false">IF(B840="","",IFERROR(INDEX(Fields!$C:$C,MATCH(B840,Fields!$A:$A,0)),""))</f>
        <v/>
      </c>
      <c r="G840" s="18" t="str">
        <f aca="false">IF(A840="","",COUNTIF('Metric to Product'!$A:$A,A840))</f>
        <v/>
      </c>
      <c r="H840" s="20"/>
      <c r="I840" s="20"/>
      <c r="J840" s="20"/>
      <c r="K840" s="20"/>
    </row>
    <row r="841" customFormat="false" ht="15" hidden="false" customHeight="false" outlineLevel="0" collapsed="false">
      <c r="A841" s="18" t="str">
        <f aca="false">IF(C841="","",IFERROR(INDEX(Metrics!$A:$A,MATCH(C841,Metrics!$C:$C,0)),"Not found"))</f>
        <v/>
      </c>
      <c r="B841" s="18" t="str">
        <f aca="false">IF(D841="","",IFERROR(INDEX(Fields!$A:$A,MATCH(D841,Fields!$B:$B,0)),"Not found"))</f>
        <v/>
      </c>
      <c r="C841" s="20"/>
      <c r="D841" s="20"/>
      <c r="E841" s="20"/>
      <c r="F841" s="21" t="str">
        <f aca="false">IF(B841="","",IFERROR(INDEX(Fields!$C:$C,MATCH(B841,Fields!$A:$A,0)),""))</f>
        <v/>
      </c>
      <c r="G841" s="18" t="str">
        <f aca="false">IF(A841="","",COUNTIF('Metric to Product'!$A:$A,A841))</f>
        <v/>
      </c>
      <c r="H841" s="20"/>
      <c r="I841" s="20"/>
      <c r="J841" s="20"/>
      <c r="K841" s="20"/>
    </row>
    <row r="842" customFormat="false" ht="15" hidden="false" customHeight="false" outlineLevel="0" collapsed="false">
      <c r="A842" s="18" t="str">
        <f aca="false">IF(C842="","",IFERROR(INDEX(Metrics!$A:$A,MATCH(C842,Metrics!$C:$C,0)),"Not found"))</f>
        <v/>
      </c>
      <c r="B842" s="18" t="str">
        <f aca="false">IF(D842="","",IFERROR(INDEX(Fields!$A:$A,MATCH(D842,Fields!$B:$B,0)),"Not found"))</f>
        <v/>
      </c>
      <c r="C842" s="20"/>
      <c r="D842" s="20"/>
      <c r="E842" s="20"/>
      <c r="F842" s="21" t="str">
        <f aca="false">IF(B842="","",IFERROR(INDEX(Fields!$C:$C,MATCH(B842,Fields!$A:$A,0)),""))</f>
        <v/>
      </c>
      <c r="G842" s="18" t="str">
        <f aca="false">IF(A842="","",COUNTIF('Metric to Product'!$A:$A,A842))</f>
        <v/>
      </c>
      <c r="H842" s="20"/>
      <c r="I842" s="20"/>
      <c r="J842" s="20"/>
      <c r="K842" s="20"/>
    </row>
    <row r="843" customFormat="false" ht="15" hidden="false" customHeight="false" outlineLevel="0" collapsed="false">
      <c r="A843" s="18" t="str">
        <f aca="false">IF(C843="","",IFERROR(INDEX(Metrics!$A:$A,MATCH(C843,Metrics!$C:$C,0)),"Not found"))</f>
        <v/>
      </c>
      <c r="B843" s="18" t="str">
        <f aca="false">IF(D843="","",IFERROR(INDEX(Fields!$A:$A,MATCH(D843,Fields!$B:$B,0)),"Not found"))</f>
        <v/>
      </c>
      <c r="C843" s="20"/>
      <c r="D843" s="20"/>
      <c r="E843" s="20"/>
      <c r="F843" s="21" t="str">
        <f aca="false">IF(B843="","",IFERROR(INDEX(Fields!$C:$C,MATCH(B843,Fields!$A:$A,0)),""))</f>
        <v/>
      </c>
      <c r="G843" s="18" t="str">
        <f aca="false">IF(A843="","",COUNTIF('Metric to Product'!$A:$A,A843))</f>
        <v/>
      </c>
      <c r="H843" s="20"/>
      <c r="I843" s="20"/>
      <c r="J843" s="20"/>
      <c r="K843" s="20"/>
    </row>
    <row r="844" customFormat="false" ht="15" hidden="false" customHeight="false" outlineLevel="0" collapsed="false">
      <c r="A844" s="18" t="str">
        <f aca="false">IF(C844="","",IFERROR(INDEX(Metrics!$A:$A,MATCH(C844,Metrics!$C:$C,0)),"Not found"))</f>
        <v/>
      </c>
      <c r="B844" s="18" t="str">
        <f aca="false">IF(D844="","",IFERROR(INDEX(Fields!$A:$A,MATCH(D844,Fields!$B:$B,0)),"Not found"))</f>
        <v/>
      </c>
      <c r="C844" s="20"/>
      <c r="D844" s="20"/>
      <c r="E844" s="20"/>
      <c r="F844" s="21" t="str">
        <f aca="false">IF(B844="","",IFERROR(INDEX(Fields!$C:$C,MATCH(B844,Fields!$A:$A,0)),""))</f>
        <v/>
      </c>
      <c r="G844" s="18" t="str">
        <f aca="false">IF(A844="","",COUNTIF('Metric to Product'!$A:$A,A844))</f>
        <v/>
      </c>
      <c r="H844" s="20"/>
      <c r="I844" s="20"/>
      <c r="J844" s="20"/>
      <c r="K844" s="20"/>
    </row>
    <row r="845" customFormat="false" ht="15" hidden="false" customHeight="false" outlineLevel="0" collapsed="false">
      <c r="A845" s="18" t="str">
        <f aca="false">IF(C845="","",IFERROR(INDEX(Metrics!$A:$A,MATCH(C845,Metrics!$C:$C,0)),"Not found"))</f>
        <v/>
      </c>
      <c r="B845" s="18" t="str">
        <f aca="false">IF(D845="","",IFERROR(INDEX(Fields!$A:$A,MATCH(D845,Fields!$B:$B,0)),"Not found"))</f>
        <v/>
      </c>
      <c r="C845" s="20"/>
      <c r="D845" s="20"/>
      <c r="E845" s="20"/>
      <c r="F845" s="21" t="str">
        <f aca="false">IF(B845="","",IFERROR(INDEX(Fields!$C:$C,MATCH(B845,Fields!$A:$A,0)),""))</f>
        <v/>
      </c>
      <c r="G845" s="18" t="str">
        <f aca="false">IF(A845="","",COUNTIF('Metric to Product'!$A:$A,A845))</f>
        <v/>
      </c>
      <c r="H845" s="20"/>
      <c r="I845" s="20"/>
      <c r="J845" s="20"/>
      <c r="K845" s="20"/>
    </row>
    <row r="846" customFormat="false" ht="15" hidden="false" customHeight="false" outlineLevel="0" collapsed="false">
      <c r="A846" s="18" t="str">
        <f aca="false">IF(C846="","",IFERROR(INDEX(Metrics!$A:$A,MATCH(C846,Metrics!$C:$C,0)),"Not found"))</f>
        <v/>
      </c>
      <c r="B846" s="18" t="str">
        <f aca="false">IF(D846="","",IFERROR(INDEX(Fields!$A:$A,MATCH(D846,Fields!$B:$B,0)),"Not found"))</f>
        <v/>
      </c>
      <c r="C846" s="20"/>
      <c r="D846" s="20"/>
      <c r="E846" s="20"/>
      <c r="F846" s="21" t="str">
        <f aca="false">IF(B846="","",IFERROR(INDEX(Fields!$C:$C,MATCH(B846,Fields!$A:$A,0)),""))</f>
        <v/>
      </c>
      <c r="G846" s="18" t="str">
        <f aca="false">IF(A846="","",COUNTIF('Metric to Product'!$A:$A,A846))</f>
        <v/>
      </c>
      <c r="H846" s="20"/>
      <c r="I846" s="20"/>
      <c r="J846" s="20"/>
      <c r="K846" s="20"/>
    </row>
    <row r="847" customFormat="false" ht="15" hidden="false" customHeight="false" outlineLevel="0" collapsed="false">
      <c r="A847" s="18" t="str">
        <f aca="false">IF(C847="","",IFERROR(INDEX(Metrics!$A:$A,MATCH(C847,Metrics!$C:$C,0)),"Not found"))</f>
        <v/>
      </c>
      <c r="B847" s="18" t="str">
        <f aca="false">IF(D847="","",IFERROR(INDEX(Fields!$A:$A,MATCH(D847,Fields!$B:$B,0)),"Not found"))</f>
        <v/>
      </c>
      <c r="C847" s="20"/>
      <c r="D847" s="20"/>
      <c r="E847" s="20"/>
      <c r="F847" s="21" t="str">
        <f aca="false">IF(B847="","",IFERROR(INDEX(Fields!$C:$C,MATCH(B847,Fields!$A:$A,0)),""))</f>
        <v/>
      </c>
      <c r="G847" s="18" t="str">
        <f aca="false">IF(A847="","",COUNTIF('Metric to Product'!$A:$A,A847))</f>
        <v/>
      </c>
      <c r="H847" s="20"/>
      <c r="I847" s="20"/>
      <c r="J847" s="20"/>
      <c r="K847" s="20"/>
    </row>
    <row r="848" customFormat="false" ht="15" hidden="false" customHeight="false" outlineLevel="0" collapsed="false">
      <c r="A848" s="18" t="str">
        <f aca="false">IF(C848="","",IFERROR(INDEX(Metrics!$A:$A,MATCH(C848,Metrics!$C:$C,0)),"Not found"))</f>
        <v/>
      </c>
      <c r="B848" s="18" t="str">
        <f aca="false">IF(D848="","",IFERROR(INDEX(Fields!$A:$A,MATCH(D848,Fields!$B:$B,0)),"Not found"))</f>
        <v/>
      </c>
      <c r="C848" s="20"/>
      <c r="D848" s="20"/>
      <c r="E848" s="20"/>
      <c r="F848" s="21" t="str">
        <f aca="false">IF(B848="","",IFERROR(INDEX(Fields!$C:$C,MATCH(B848,Fields!$A:$A,0)),""))</f>
        <v/>
      </c>
      <c r="G848" s="18" t="str">
        <f aca="false">IF(A848="","",COUNTIF('Metric to Product'!$A:$A,A848))</f>
        <v/>
      </c>
      <c r="H848" s="20"/>
      <c r="I848" s="20"/>
      <c r="J848" s="20"/>
      <c r="K848" s="20"/>
    </row>
    <row r="849" customFormat="false" ht="15" hidden="false" customHeight="false" outlineLevel="0" collapsed="false">
      <c r="A849" s="18" t="str">
        <f aca="false">IF(C849="","",IFERROR(INDEX(Metrics!$A:$A,MATCH(C849,Metrics!$C:$C,0)),"Not found"))</f>
        <v/>
      </c>
      <c r="B849" s="18" t="str">
        <f aca="false">IF(D849="","",IFERROR(INDEX(Fields!$A:$A,MATCH(D849,Fields!$B:$B,0)),"Not found"))</f>
        <v/>
      </c>
      <c r="C849" s="20"/>
      <c r="D849" s="20"/>
      <c r="E849" s="20"/>
      <c r="F849" s="21" t="str">
        <f aca="false">IF(B849="","",IFERROR(INDEX(Fields!$C:$C,MATCH(B849,Fields!$A:$A,0)),""))</f>
        <v/>
      </c>
      <c r="G849" s="18" t="str">
        <f aca="false">IF(A849="","",COUNTIF('Metric to Product'!$A:$A,A849))</f>
        <v/>
      </c>
      <c r="H849" s="20"/>
      <c r="I849" s="20"/>
      <c r="J849" s="20"/>
      <c r="K849" s="20"/>
    </row>
    <row r="850" customFormat="false" ht="15" hidden="false" customHeight="false" outlineLevel="0" collapsed="false">
      <c r="A850" s="18" t="str">
        <f aca="false">IF(C850="","",IFERROR(INDEX(Metrics!$A:$A,MATCH(C850,Metrics!$C:$C,0)),"Not found"))</f>
        <v/>
      </c>
      <c r="B850" s="18" t="str">
        <f aca="false">IF(D850="","",IFERROR(INDEX(Fields!$A:$A,MATCH(D850,Fields!$B:$B,0)),"Not found"))</f>
        <v/>
      </c>
      <c r="C850" s="20"/>
      <c r="D850" s="20"/>
      <c r="E850" s="20"/>
      <c r="F850" s="21" t="str">
        <f aca="false">IF(B850="","",IFERROR(INDEX(Fields!$C:$C,MATCH(B850,Fields!$A:$A,0)),""))</f>
        <v/>
      </c>
      <c r="G850" s="18" t="str">
        <f aca="false">IF(A850="","",COUNTIF('Metric to Product'!$A:$A,A850))</f>
        <v/>
      </c>
      <c r="H850" s="20"/>
      <c r="I850" s="20"/>
      <c r="J850" s="20"/>
      <c r="K850" s="20"/>
    </row>
    <row r="851" customFormat="false" ht="15" hidden="false" customHeight="false" outlineLevel="0" collapsed="false">
      <c r="A851" s="18" t="str">
        <f aca="false">IF(C851="","",IFERROR(INDEX(Metrics!$A:$A,MATCH(C851,Metrics!$C:$C,0)),"Not found"))</f>
        <v/>
      </c>
      <c r="B851" s="18" t="str">
        <f aca="false">IF(D851="","",IFERROR(INDEX(Fields!$A:$A,MATCH(D851,Fields!$B:$B,0)),"Not found"))</f>
        <v/>
      </c>
      <c r="C851" s="20"/>
      <c r="D851" s="20"/>
      <c r="E851" s="20"/>
      <c r="F851" s="21" t="str">
        <f aca="false">IF(B851="","",IFERROR(INDEX(Fields!$C:$C,MATCH(B851,Fields!$A:$A,0)),""))</f>
        <v/>
      </c>
      <c r="G851" s="18" t="str">
        <f aca="false">IF(A851="","",COUNTIF('Metric to Product'!$A:$A,A851))</f>
        <v/>
      </c>
      <c r="H851" s="20"/>
      <c r="I851" s="20"/>
      <c r="J851" s="20"/>
      <c r="K851" s="20"/>
    </row>
    <row r="852" customFormat="false" ht="15" hidden="false" customHeight="false" outlineLevel="0" collapsed="false">
      <c r="A852" s="18" t="str">
        <f aca="false">IF(C852="","",IFERROR(INDEX(Metrics!$A:$A,MATCH(C852,Metrics!$C:$C,0)),"Not found"))</f>
        <v/>
      </c>
      <c r="B852" s="18" t="str">
        <f aca="false">IF(D852="","",IFERROR(INDEX(Fields!$A:$A,MATCH(D852,Fields!$B:$B,0)),"Not found"))</f>
        <v/>
      </c>
      <c r="C852" s="20"/>
      <c r="D852" s="20"/>
      <c r="E852" s="20"/>
      <c r="F852" s="21" t="str">
        <f aca="false">IF(B852="","",IFERROR(INDEX(Fields!$C:$C,MATCH(B852,Fields!$A:$A,0)),""))</f>
        <v/>
      </c>
      <c r="G852" s="18" t="str">
        <f aca="false">IF(A852="","",COUNTIF('Metric to Product'!$A:$A,A852))</f>
        <v/>
      </c>
      <c r="H852" s="20"/>
      <c r="I852" s="20"/>
      <c r="J852" s="20"/>
      <c r="K852" s="20"/>
    </row>
    <row r="853" customFormat="false" ht="15" hidden="false" customHeight="false" outlineLevel="0" collapsed="false">
      <c r="A853" s="18" t="str">
        <f aca="false">IF(C853="","",IFERROR(INDEX(Metrics!$A:$A,MATCH(C853,Metrics!$C:$C,0)),"Not found"))</f>
        <v/>
      </c>
      <c r="B853" s="18" t="str">
        <f aca="false">IF(D853="","",IFERROR(INDEX(Fields!$A:$A,MATCH(D853,Fields!$B:$B,0)),"Not found"))</f>
        <v/>
      </c>
      <c r="C853" s="20"/>
      <c r="D853" s="20"/>
      <c r="E853" s="20"/>
      <c r="F853" s="21" t="str">
        <f aca="false">IF(B853="","",IFERROR(INDEX(Fields!$C:$C,MATCH(B853,Fields!$A:$A,0)),""))</f>
        <v/>
      </c>
      <c r="G853" s="18" t="str">
        <f aca="false">IF(A853="","",COUNTIF('Metric to Product'!$A:$A,A853))</f>
        <v/>
      </c>
      <c r="H853" s="20"/>
      <c r="I853" s="20"/>
      <c r="J853" s="20"/>
      <c r="K853" s="20"/>
    </row>
    <row r="854" customFormat="false" ht="15" hidden="false" customHeight="false" outlineLevel="0" collapsed="false">
      <c r="A854" s="18" t="str">
        <f aca="false">IF(C854="","",IFERROR(INDEX(Metrics!$A:$A,MATCH(C854,Metrics!$C:$C,0)),"Not found"))</f>
        <v/>
      </c>
      <c r="B854" s="18" t="str">
        <f aca="false">IF(D854="","",IFERROR(INDEX(Fields!$A:$A,MATCH(D854,Fields!$B:$B,0)),"Not found"))</f>
        <v/>
      </c>
      <c r="C854" s="20"/>
      <c r="D854" s="20"/>
      <c r="E854" s="20"/>
      <c r="F854" s="21" t="str">
        <f aca="false">IF(B854="","",IFERROR(INDEX(Fields!$C:$C,MATCH(B854,Fields!$A:$A,0)),""))</f>
        <v/>
      </c>
      <c r="G854" s="18" t="str">
        <f aca="false">IF(A854="","",COUNTIF('Metric to Product'!$A:$A,A854))</f>
        <v/>
      </c>
      <c r="H854" s="20"/>
      <c r="I854" s="20"/>
      <c r="J854" s="20"/>
      <c r="K854" s="20"/>
    </row>
    <row r="855" customFormat="false" ht="15" hidden="false" customHeight="false" outlineLevel="0" collapsed="false">
      <c r="A855" s="18" t="str">
        <f aca="false">IF(C855="","",IFERROR(INDEX(Metrics!$A:$A,MATCH(C855,Metrics!$C:$C,0)),"Not found"))</f>
        <v/>
      </c>
      <c r="B855" s="18" t="str">
        <f aca="false">IF(D855="","",IFERROR(INDEX(Fields!$A:$A,MATCH(D855,Fields!$B:$B,0)),"Not found"))</f>
        <v/>
      </c>
      <c r="C855" s="20"/>
      <c r="D855" s="20"/>
      <c r="E855" s="20"/>
      <c r="F855" s="21" t="str">
        <f aca="false">IF(B855="","",IFERROR(INDEX(Fields!$C:$C,MATCH(B855,Fields!$A:$A,0)),""))</f>
        <v/>
      </c>
      <c r="G855" s="18" t="str">
        <f aca="false">IF(A855="","",COUNTIF('Metric to Product'!$A:$A,A855))</f>
        <v/>
      </c>
      <c r="H855" s="20"/>
      <c r="I855" s="20"/>
      <c r="J855" s="20"/>
      <c r="K855" s="20"/>
    </row>
    <row r="856" customFormat="false" ht="15" hidden="false" customHeight="false" outlineLevel="0" collapsed="false">
      <c r="A856" s="18" t="str">
        <f aca="false">IF(C856="","",IFERROR(INDEX(Metrics!$A:$A,MATCH(C856,Metrics!$C:$C,0)),"Not found"))</f>
        <v/>
      </c>
      <c r="B856" s="18" t="str">
        <f aca="false">IF(D856="","",IFERROR(INDEX(Fields!$A:$A,MATCH(D856,Fields!$B:$B,0)),"Not found"))</f>
        <v/>
      </c>
      <c r="C856" s="20"/>
      <c r="D856" s="20"/>
      <c r="E856" s="20"/>
      <c r="F856" s="21" t="str">
        <f aca="false">IF(B856="","",IFERROR(INDEX(Fields!$C:$C,MATCH(B856,Fields!$A:$A,0)),""))</f>
        <v/>
      </c>
      <c r="G856" s="18" t="str">
        <f aca="false">IF(A856="","",COUNTIF('Metric to Product'!$A:$A,A856))</f>
        <v/>
      </c>
      <c r="H856" s="20"/>
      <c r="I856" s="20"/>
      <c r="J856" s="20"/>
      <c r="K856" s="20"/>
    </row>
    <row r="857" customFormat="false" ht="15" hidden="false" customHeight="false" outlineLevel="0" collapsed="false">
      <c r="A857" s="18" t="str">
        <f aca="false">IF(C857="","",IFERROR(INDEX(Metrics!$A:$A,MATCH(C857,Metrics!$C:$C,0)),"Not found"))</f>
        <v/>
      </c>
      <c r="B857" s="18" t="str">
        <f aca="false">IF(D857="","",IFERROR(INDEX(Fields!$A:$A,MATCH(D857,Fields!$B:$B,0)),"Not found"))</f>
        <v/>
      </c>
      <c r="C857" s="20"/>
      <c r="D857" s="20"/>
      <c r="E857" s="20"/>
      <c r="F857" s="21" t="str">
        <f aca="false">IF(B857="","",IFERROR(INDEX(Fields!$C:$C,MATCH(B857,Fields!$A:$A,0)),""))</f>
        <v/>
      </c>
      <c r="G857" s="18" t="str">
        <f aca="false">IF(A857="","",COUNTIF('Metric to Product'!$A:$A,A857))</f>
        <v/>
      </c>
      <c r="H857" s="20"/>
      <c r="I857" s="20"/>
      <c r="J857" s="20"/>
      <c r="K857" s="20"/>
    </row>
    <row r="858" customFormat="false" ht="15" hidden="false" customHeight="false" outlineLevel="0" collapsed="false">
      <c r="A858" s="18" t="str">
        <f aca="false">IF(C858="","",IFERROR(INDEX(Metrics!$A:$A,MATCH(C858,Metrics!$C:$C,0)),"Not found"))</f>
        <v/>
      </c>
      <c r="B858" s="18" t="str">
        <f aca="false">IF(D858="","",IFERROR(INDEX(Fields!$A:$A,MATCH(D858,Fields!$B:$B,0)),"Not found"))</f>
        <v/>
      </c>
      <c r="C858" s="20"/>
      <c r="D858" s="20"/>
      <c r="E858" s="20"/>
      <c r="F858" s="21" t="str">
        <f aca="false">IF(B858="","",IFERROR(INDEX(Fields!$C:$C,MATCH(B858,Fields!$A:$A,0)),""))</f>
        <v/>
      </c>
      <c r="G858" s="18" t="str">
        <f aca="false">IF(A858="","",COUNTIF('Metric to Product'!$A:$A,A858))</f>
        <v/>
      </c>
      <c r="H858" s="20"/>
      <c r="I858" s="20"/>
      <c r="J858" s="20"/>
      <c r="K858" s="20"/>
    </row>
    <row r="859" customFormat="false" ht="15" hidden="false" customHeight="false" outlineLevel="0" collapsed="false">
      <c r="A859" s="18" t="str">
        <f aca="false">IF(C859="","",IFERROR(INDEX(Metrics!$A:$A,MATCH(C859,Metrics!$C:$C,0)),"Not found"))</f>
        <v/>
      </c>
      <c r="B859" s="18" t="str">
        <f aca="false">IF(D859="","",IFERROR(INDEX(Fields!$A:$A,MATCH(D859,Fields!$B:$B,0)),"Not found"))</f>
        <v/>
      </c>
      <c r="C859" s="20"/>
      <c r="D859" s="20"/>
      <c r="E859" s="20"/>
      <c r="F859" s="21" t="str">
        <f aca="false">IF(B859="","",IFERROR(INDEX(Fields!$C:$C,MATCH(B859,Fields!$A:$A,0)),""))</f>
        <v/>
      </c>
      <c r="G859" s="18" t="str">
        <f aca="false">IF(A859="","",COUNTIF('Metric to Product'!$A:$A,A859))</f>
        <v/>
      </c>
      <c r="H859" s="20"/>
      <c r="I859" s="20"/>
      <c r="J859" s="20"/>
      <c r="K859" s="20"/>
    </row>
    <row r="860" customFormat="false" ht="15" hidden="false" customHeight="false" outlineLevel="0" collapsed="false">
      <c r="A860" s="18" t="str">
        <f aca="false">IF(C860="","",IFERROR(INDEX(Metrics!$A:$A,MATCH(C860,Metrics!$C:$C,0)),"Not found"))</f>
        <v/>
      </c>
      <c r="B860" s="18" t="str">
        <f aca="false">IF(D860="","",IFERROR(INDEX(Fields!$A:$A,MATCH(D860,Fields!$B:$B,0)),"Not found"))</f>
        <v/>
      </c>
      <c r="C860" s="20"/>
      <c r="D860" s="20"/>
      <c r="E860" s="20"/>
      <c r="F860" s="21" t="str">
        <f aca="false">IF(B860="","",IFERROR(INDEX(Fields!$C:$C,MATCH(B860,Fields!$A:$A,0)),""))</f>
        <v/>
      </c>
      <c r="G860" s="18" t="str">
        <f aca="false">IF(A860="","",COUNTIF('Metric to Product'!$A:$A,A860))</f>
        <v/>
      </c>
      <c r="H860" s="20"/>
      <c r="I860" s="20"/>
      <c r="J860" s="20"/>
      <c r="K860" s="20"/>
    </row>
    <row r="861" customFormat="false" ht="15" hidden="false" customHeight="false" outlineLevel="0" collapsed="false">
      <c r="A861" s="18" t="str">
        <f aca="false">IF(C861="","",IFERROR(INDEX(Metrics!$A:$A,MATCH(C861,Metrics!$C:$C,0)),"Not found"))</f>
        <v/>
      </c>
      <c r="B861" s="18" t="str">
        <f aca="false">IF(D861="","",IFERROR(INDEX(Fields!$A:$A,MATCH(D861,Fields!$B:$B,0)),"Not found"))</f>
        <v/>
      </c>
      <c r="C861" s="20"/>
      <c r="D861" s="20"/>
      <c r="E861" s="20"/>
      <c r="F861" s="21" t="str">
        <f aca="false">IF(B861="","",IFERROR(INDEX(Fields!$C:$C,MATCH(B861,Fields!$A:$A,0)),""))</f>
        <v/>
      </c>
      <c r="G861" s="18" t="str">
        <f aca="false">IF(A861="","",COUNTIF('Metric to Product'!$A:$A,A861))</f>
        <v/>
      </c>
      <c r="H861" s="20"/>
      <c r="I861" s="20"/>
      <c r="J861" s="20"/>
      <c r="K861" s="20"/>
    </row>
    <row r="862" customFormat="false" ht="15" hidden="false" customHeight="false" outlineLevel="0" collapsed="false">
      <c r="A862" s="18" t="str">
        <f aca="false">IF(C862="","",IFERROR(INDEX(Metrics!$A:$A,MATCH(C862,Metrics!$C:$C,0)),"Not found"))</f>
        <v/>
      </c>
      <c r="B862" s="18" t="str">
        <f aca="false">IF(D862="","",IFERROR(INDEX(Fields!$A:$A,MATCH(D862,Fields!$B:$B,0)),"Not found"))</f>
        <v/>
      </c>
      <c r="C862" s="20"/>
      <c r="D862" s="20"/>
      <c r="E862" s="20"/>
      <c r="F862" s="21" t="str">
        <f aca="false">IF(B862="","",IFERROR(INDEX(Fields!$C:$C,MATCH(B862,Fields!$A:$A,0)),""))</f>
        <v/>
      </c>
      <c r="G862" s="18" t="str">
        <f aca="false">IF(A862="","",COUNTIF('Metric to Product'!$A:$A,A862))</f>
        <v/>
      </c>
      <c r="H862" s="20"/>
      <c r="I862" s="20"/>
      <c r="J862" s="20"/>
      <c r="K862" s="20"/>
    </row>
    <row r="863" customFormat="false" ht="15" hidden="false" customHeight="false" outlineLevel="0" collapsed="false">
      <c r="A863" s="18" t="str">
        <f aca="false">IF(C863="","",IFERROR(INDEX(Metrics!$A:$A,MATCH(C863,Metrics!$C:$C,0)),"Not found"))</f>
        <v/>
      </c>
      <c r="B863" s="18" t="str">
        <f aca="false">IF(D863="","",IFERROR(INDEX(Fields!$A:$A,MATCH(D863,Fields!$B:$B,0)),"Not found"))</f>
        <v/>
      </c>
      <c r="C863" s="20"/>
      <c r="D863" s="20"/>
      <c r="E863" s="20"/>
      <c r="F863" s="21" t="str">
        <f aca="false">IF(B863="","",IFERROR(INDEX(Fields!$C:$C,MATCH(B863,Fields!$A:$A,0)),""))</f>
        <v/>
      </c>
      <c r="G863" s="18" t="str">
        <f aca="false">IF(A863="","",COUNTIF('Metric to Product'!$A:$A,A863))</f>
        <v/>
      </c>
      <c r="H863" s="20"/>
      <c r="I863" s="20"/>
      <c r="J863" s="20"/>
      <c r="K863" s="20"/>
    </row>
    <row r="864" customFormat="false" ht="15" hidden="false" customHeight="false" outlineLevel="0" collapsed="false">
      <c r="A864" s="18" t="str">
        <f aca="false">IF(C864="","",IFERROR(INDEX(Metrics!$A:$A,MATCH(C864,Metrics!$C:$C,0)),"Not found"))</f>
        <v/>
      </c>
      <c r="B864" s="18" t="str">
        <f aca="false">IF(D864="","",IFERROR(INDEX(Fields!$A:$A,MATCH(D864,Fields!$B:$B,0)),"Not found"))</f>
        <v/>
      </c>
      <c r="C864" s="20"/>
      <c r="D864" s="20"/>
      <c r="E864" s="20"/>
      <c r="F864" s="21" t="str">
        <f aca="false">IF(B864="","",IFERROR(INDEX(Fields!$C:$C,MATCH(B864,Fields!$A:$A,0)),""))</f>
        <v/>
      </c>
      <c r="G864" s="18" t="str">
        <f aca="false">IF(A864="","",COUNTIF('Metric to Product'!$A:$A,A864))</f>
        <v/>
      </c>
      <c r="H864" s="20"/>
      <c r="I864" s="20"/>
      <c r="J864" s="20"/>
      <c r="K864" s="20"/>
    </row>
    <row r="865" customFormat="false" ht="15" hidden="false" customHeight="false" outlineLevel="0" collapsed="false">
      <c r="A865" s="18" t="str">
        <f aca="false">IF(C865="","",IFERROR(INDEX(Metrics!$A:$A,MATCH(C865,Metrics!$C:$C,0)),"Not found"))</f>
        <v/>
      </c>
      <c r="B865" s="18" t="str">
        <f aca="false">IF(D865="","",IFERROR(INDEX(Fields!$A:$A,MATCH(D865,Fields!$B:$B,0)),"Not found"))</f>
        <v/>
      </c>
      <c r="C865" s="20"/>
      <c r="D865" s="20"/>
      <c r="E865" s="20"/>
      <c r="F865" s="21" t="str">
        <f aca="false">IF(B865="","",IFERROR(INDEX(Fields!$C:$C,MATCH(B865,Fields!$A:$A,0)),""))</f>
        <v/>
      </c>
      <c r="G865" s="18" t="str">
        <f aca="false">IF(A865="","",COUNTIF('Metric to Product'!$A:$A,A865))</f>
        <v/>
      </c>
      <c r="H865" s="20"/>
      <c r="I865" s="20"/>
      <c r="J865" s="20"/>
      <c r="K865" s="20"/>
    </row>
    <row r="866" customFormat="false" ht="15" hidden="false" customHeight="false" outlineLevel="0" collapsed="false">
      <c r="A866" s="18" t="str">
        <f aca="false">IF(C866="","",IFERROR(INDEX(Metrics!$A:$A,MATCH(C866,Metrics!$C:$C,0)),"Not found"))</f>
        <v/>
      </c>
      <c r="B866" s="18" t="str">
        <f aca="false">IF(D866="","",IFERROR(INDEX(Fields!$A:$A,MATCH(D866,Fields!$B:$B,0)),"Not found"))</f>
        <v/>
      </c>
      <c r="C866" s="20"/>
      <c r="D866" s="20"/>
      <c r="E866" s="20"/>
      <c r="F866" s="21" t="str">
        <f aca="false">IF(B866="","",IFERROR(INDEX(Fields!$C:$C,MATCH(B866,Fields!$A:$A,0)),""))</f>
        <v/>
      </c>
      <c r="G866" s="18" t="str">
        <f aca="false">IF(A866="","",COUNTIF('Metric to Product'!$A:$A,A866))</f>
        <v/>
      </c>
      <c r="H866" s="20"/>
      <c r="I866" s="20"/>
      <c r="J866" s="20"/>
      <c r="K866" s="20"/>
    </row>
    <row r="867" customFormat="false" ht="15" hidden="false" customHeight="false" outlineLevel="0" collapsed="false">
      <c r="A867" s="18" t="str">
        <f aca="false">IF(C867="","",IFERROR(INDEX(Metrics!$A:$A,MATCH(C867,Metrics!$C:$C,0)),"Not found"))</f>
        <v/>
      </c>
      <c r="B867" s="18" t="str">
        <f aca="false">IF(D867="","",IFERROR(INDEX(Fields!$A:$A,MATCH(D867,Fields!$B:$B,0)),"Not found"))</f>
        <v/>
      </c>
      <c r="C867" s="20"/>
      <c r="D867" s="20"/>
      <c r="E867" s="20"/>
      <c r="F867" s="21" t="str">
        <f aca="false">IF(B867="","",IFERROR(INDEX(Fields!$C:$C,MATCH(B867,Fields!$A:$A,0)),""))</f>
        <v/>
      </c>
      <c r="G867" s="18" t="str">
        <f aca="false">IF(A867="","",COUNTIF('Metric to Product'!$A:$A,A867))</f>
        <v/>
      </c>
      <c r="H867" s="20"/>
      <c r="I867" s="20"/>
      <c r="J867" s="20"/>
      <c r="K867" s="20"/>
    </row>
    <row r="868" customFormat="false" ht="15" hidden="false" customHeight="false" outlineLevel="0" collapsed="false">
      <c r="A868" s="18" t="str">
        <f aca="false">IF(C868="","",IFERROR(INDEX(Metrics!$A:$A,MATCH(C868,Metrics!$C:$C,0)),"Not found"))</f>
        <v/>
      </c>
      <c r="B868" s="18" t="str">
        <f aca="false">IF(D868="","",IFERROR(INDEX(Fields!$A:$A,MATCH(D868,Fields!$B:$B,0)),"Not found"))</f>
        <v/>
      </c>
      <c r="C868" s="20"/>
      <c r="D868" s="20"/>
      <c r="E868" s="20"/>
      <c r="F868" s="21" t="str">
        <f aca="false">IF(B868="","",IFERROR(INDEX(Fields!$C:$C,MATCH(B868,Fields!$A:$A,0)),""))</f>
        <v/>
      </c>
      <c r="G868" s="18" t="str">
        <f aca="false">IF(A868="","",COUNTIF('Metric to Product'!$A:$A,A868))</f>
        <v/>
      </c>
      <c r="H868" s="20"/>
      <c r="I868" s="20"/>
      <c r="J868" s="20"/>
      <c r="K868" s="20"/>
    </row>
    <row r="869" customFormat="false" ht="15" hidden="false" customHeight="false" outlineLevel="0" collapsed="false">
      <c r="A869" s="18" t="str">
        <f aca="false">IF(C869="","",IFERROR(INDEX(Metrics!$A:$A,MATCH(C869,Metrics!$C:$C,0)),"Not found"))</f>
        <v/>
      </c>
      <c r="B869" s="18" t="str">
        <f aca="false">IF(D869="","",IFERROR(INDEX(Fields!$A:$A,MATCH(D869,Fields!$B:$B,0)),"Not found"))</f>
        <v/>
      </c>
      <c r="C869" s="20"/>
      <c r="D869" s="20"/>
      <c r="E869" s="20"/>
      <c r="F869" s="21" t="str">
        <f aca="false">IF(B869="","",IFERROR(INDEX(Fields!$C:$C,MATCH(B869,Fields!$A:$A,0)),""))</f>
        <v/>
      </c>
      <c r="G869" s="18" t="str">
        <f aca="false">IF(A869="","",COUNTIF('Metric to Product'!$A:$A,A869))</f>
        <v/>
      </c>
      <c r="H869" s="20"/>
      <c r="I869" s="20"/>
      <c r="J869" s="20"/>
      <c r="K869" s="20"/>
    </row>
    <row r="870" customFormat="false" ht="15" hidden="false" customHeight="false" outlineLevel="0" collapsed="false">
      <c r="A870" s="18" t="str">
        <f aca="false">IF(C870="","",IFERROR(INDEX(Metrics!$A:$A,MATCH(C870,Metrics!$C:$C,0)),"Not found"))</f>
        <v/>
      </c>
      <c r="B870" s="18" t="str">
        <f aca="false">IF(D870="","",IFERROR(INDEX(Fields!$A:$A,MATCH(D870,Fields!$B:$B,0)),"Not found"))</f>
        <v/>
      </c>
      <c r="C870" s="20"/>
      <c r="D870" s="20"/>
      <c r="E870" s="20"/>
      <c r="F870" s="21" t="str">
        <f aca="false">IF(B870="","",IFERROR(INDEX(Fields!$C:$C,MATCH(B870,Fields!$A:$A,0)),""))</f>
        <v/>
      </c>
      <c r="G870" s="18" t="str">
        <f aca="false">IF(A870="","",COUNTIF('Metric to Product'!$A:$A,A870))</f>
        <v/>
      </c>
      <c r="H870" s="20"/>
      <c r="I870" s="20"/>
      <c r="J870" s="20"/>
      <c r="K870" s="20"/>
    </row>
    <row r="871" customFormat="false" ht="15" hidden="false" customHeight="false" outlineLevel="0" collapsed="false">
      <c r="A871" s="18" t="str">
        <f aca="false">IF(C871="","",IFERROR(INDEX(Metrics!$A:$A,MATCH(C871,Metrics!$C:$C,0)),"Not found"))</f>
        <v/>
      </c>
      <c r="B871" s="18" t="str">
        <f aca="false">IF(D871="","",IFERROR(INDEX(Fields!$A:$A,MATCH(D871,Fields!$B:$B,0)),"Not found"))</f>
        <v/>
      </c>
      <c r="C871" s="20"/>
      <c r="D871" s="20"/>
      <c r="E871" s="20"/>
      <c r="F871" s="21" t="str">
        <f aca="false">IF(B871="","",IFERROR(INDEX(Fields!$C:$C,MATCH(B871,Fields!$A:$A,0)),""))</f>
        <v/>
      </c>
      <c r="G871" s="18" t="str">
        <f aca="false">IF(A871="","",COUNTIF('Metric to Product'!$A:$A,A871))</f>
        <v/>
      </c>
      <c r="H871" s="20"/>
      <c r="I871" s="20"/>
      <c r="J871" s="20"/>
      <c r="K871" s="20"/>
    </row>
    <row r="872" customFormat="false" ht="15" hidden="false" customHeight="false" outlineLevel="0" collapsed="false">
      <c r="A872" s="18" t="str">
        <f aca="false">IF(C872="","",IFERROR(INDEX(Metrics!$A:$A,MATCH(C872,Metrics!$C:$C,0)),"Not found"))</f>
        <v/>
      </c>
      <c r="B872" s="18" t="str">
        <f aca="false">IF(D872="","",IFERROR(INDEX(Fields!$A:$A,MATCH(D872,Fields!$B:$B,0)),"Not found"))</f>
        <v/>
      </c>
      <c r="C872" s="20"/>
      <c r="D872" s="20"/>
      <c r="E872" s="20"/>
      <c r="F872" s="21" t="str">
        <f aca="false">IF(B872="","",IFERROR(INDEX(Fields!$C:$C,MATCH(B872,Fields!$A:$A,0)),""))</f>
        <v/>
      </c>
      <c r="G872" s="18" t="str">
        <f aca="false">IF(A872="","",COUNTIF('Metric to Product'!$A:$A,A872))</f>
        <v/>
      </c>
      <c r="H872" s="20"/>
      <c r="I872" s="20"/>
      <c r="J872" s="20"/>
      <c r="K872" s="20"/>
    </row>
    <row r="873" customFormat="false" ht="15" hidden="false" customHeight="false" outlineLevel="0" collapsed="false">
      <c r="A873" s="18" t="str">
        <f aca="false">IF(C873="","",IFERROR(INDEX(Metrics!$A:$A,MATCH(C873,Metrics!$C:$C,0)),"Not found"))</f>
        <v/>
      </c>
      <c r="B873" s="18" t="str">
        <f aca="false">IF(D873="","",IFERROR(INDEX(Fields!$A:$A,MATCH(D873,Fields!$B:$B,0)),"Not found"))</f>
        <v/>
      </c>
      <c r="C873" s="20"/>
      <c r="D873" s="20"/>
      <c r="E873" s="20"/>
      <c r="F873" s="21" t="str">
        <f aca="false">IF(B873="","",IFERROR(INDEX(Fields!$C:$C,MATCH(B873,Fields!$A:$A,0)),""))</f>
        <v/>
      </c>
      <c r="G873" s="18" t="str">
        <f aca="false">IF(A873="","",COUNTIF('Metric to Product'!$A:$A,A873))</f>
        <v/>
      </c>
      <c r="H873" s="20"/>
      <c r="I873" s="20"/>
      <c r="J873" s="20"/>
      <c r="K873" s="20"/>
    </row>
    <row r="874" customFormat="false" ht="15" hidden="false" customHeight="false" outlineLevel="0" collapsed="false">
      <c r="A874" s="18" t="str">
        <f aca="false">IF(C874="","",IFERROR(INDEX(Metrics!$A:$A,MATCH(C874,Metrics!$C:$C,0)),"Not found"))</f>
        <v/>
      </c>
      <c r="B874" s="18" t="str">
        <f aca="false">IF(D874="","",IFERROR(INDEX(Fields!$A:$A,MATCH(D874,Fields!$B:$B,0)),"Not found"))</f>
        <v/>
      </c>
      <c r="C874" s="20"/>
      <c r="D874" s="20"/>
      <c r="E874" s="20"/>
      <c r="F874" s="21" t="str">
        <f aca="false">IF(B874="","",IFERROR(INDEX(Fields!$C:$C,MATCH(B874,Fields!$A:$A,0)),""))</f>
        <v/>
      </c>
      <c r="G874" s="18" t="str">
        <f aca="false">IF(A874="","",COUNTIF('Metric to Product'!$A:$A,A874))</f>
        <v/>
      </c>
      <c r="H874" s="20"/>
      <c r="I874" s="20"/>
      <c r="J874" s="20"/>
      <c r="K874" s="20"/>
    </row>
    <row r="875" customFormat="false" ht="15" hidden="false" customHeight="false" outlineLevel="0" collapsed="false">
      <c r="A875" s="18" t="str">
        <f aca="false">IF(C875="","",IFERROR(INDEX(Metrics!$A:$A,MATCH(C875,Metrics!$C:$C,0)),"Not found"))</f>
        <v/>
      </c>
      <c r="B875" s="18" t="str">
        <f aca="false">IF(D875="","",IFERROR(INDEX(Fields!$A:$A,MATCH(D875,Fields!$B:$B,0)),"Not found"))</f>
        <v/>
      </c>
      <c r="C875" s="20"/>
      <c r="D875" s="20"/>
      <c r="E875" s="20"/>
      <c r="F875" s="21" t="str">
        <f aca="false">IF(B875="","",IFERROR(INDEX(Fields!$C:$C,MATCH(B875,Fields!$A:$A,0)),""))</f>
        <v/>
      </c>
      <c r="G875" s="18" t="str">
        <f aca="false">IF(A875="","",COUNTIF('Metric to Product'!$A:$A,A875))</f>
        <v/>
      </c>
      <c r="H875" s="20"/>
      <c r="I875" s="20"/>
      <c r="J875" s="20"/>
      <c r="K875" s="20"/>
    </row>
    <row r="876" customFormat="false" ht="15" hidden="false" customHeight="false" outlineLevel="0" collapsed="false">
      <c r="A876" s="18" t="str">
        <f aca="false">IF(C876="","",IFERROR(INDEX(Metrics!$A:$A,MATCH(C876,Metrics!$C:$C,0)),"Not found"))</f>
        <v/>
      </c>
      <c r="B876" s="18" t="str">
        <f aca="false">IF(D876="","",IFERROR(INDEX(Fields!$A:$A,MATCH(D876,Fields!$B:$B,0)),"Not found"))</f>
        <v/>
      </c>
      <c r="C876" s="20"/>
      <c r="D876" s="20"/>
      <c r="E876" s="20"/>
      <c r="F876" s="21" t="str">
        <f aca="false">IF(B876="","",IFERROR(INDEX(Fields!$C:$C,MATCH(B876,Fields!$A:$A,0)),""))</f>
        <v/>
      </c>
      <c r="G876" s="18" t="str">
        <f aca="false">IF(A876="","",COUNTIF('Metric to Product'!$A:$A,A876))</f>
        <v/>
      </c>
      <c r="H876" s="20"/>
      <c r="I876" s="20"/>
      <c r="J876" s="20"/>
      <c r="K876" s="20"/>
    </row>
    <row r="877" customFormat="false" ht="15" hidden="false" customHeight="false" outlineLevel="0" collapsed="false">
      <c r="A877" s="18" t="str">
        <f aca="false">IF(C877="","",IFERROR(INDEX(Metrics!$A:$A,MATCH(C877,Metrics!$C:$C,0)),"Not found"))</f>
        <v/>
      </c>
      <c r="B877" s="18" t="str">
        <f aca="false">IF(D877="","",IFERROR(INDEX(Fields!$A:$A,MATCH(D877,Fields!$B:$B,0)),"Not found"))</f>
        <v/>
      </c>
      <c r="C877" s="20"/>
      <c r="D877" s="20"/>
      <c r="E877" s="20"/>
      <c r="F877" s="21" t="str">
        <f aca="false">IF(B877="","",IFERROR(INDEX(Fields!$C:$C,MATCH(B877,Fields!$A:$A,0)),""))</f>
        <v/>
      </c>
      <c r="G877" s="18" t="str">
        <f aca="false">IF(A877="","",COUNTIF('Metric to Product'!$A:$A,A877))</f>
        <v/>
      </c>
      <c r="H877" s="20"/>
      <c r="I877" s="20"/>
      <c r="J877" s="20"/>
      <c r="K877" s="20"/>
    </row>
    <row r="878" customFormat="false" ht="15" hidden="false" customHeight="false" outlineLevel="0" collapsed="false">
      <c r="A878" s="18" t="str">
        <f aca="false">IF(C878="","",IFERROR(INDEX(Metrics!$A:$A,MATCH(C878,Metrics!$C:$C,0)),"Not found"))</f>
        <v/>
      </c>
      <c r="B878" s="18" t="str">
        <f aca="false">IF(D878="","",IFERROR(INDEX(Fields!$A:$A,MATCH(D878,Fields!$B:$B,0)),"Not found"))</f>
        <v/>
      </c>
      <c r="C878" s="20"/>
      <c r="D878" s="20"/>
      <c r="E878" s="20"/>
      <c r="F878" s="21" t="str">
        <f aca="false">IF(B878="","",IFERROR(INDEX(Fields!$C:$C,MATCH(B878,Fields!$A:$A,0)),""))</f>
        <v/>
      </c>
      <c r="G878" s="18" t="str">
        <f aca="false">IF(A878="","",COUNTIF('Metric to Product'!$A:$A,A878))</f>
        <v/>
      </c>
      <c r="H878" s="20"/>
      <c r="I878" s="20"/>
      <c r="J878" s="20"/>
      <c r="K878" s="20"/>
    </row>
    <row r="879" customFormat="false" ht="15" hidden="false" customHeight="false" outlineLevel="0" collapsed="false">
      <c r="A879" s="18" t="str">
        <f aca="false">IF(C879="","",IFERROR(INDEX(Metrics!$A:$A,MATCH(C879,Metrics!$C:$C,0)),"Not found"))</f>
        <v/>
      </c>
      <c r="B879" s="18" t="str">
        <f aca="false">IF(D879="","",IFERROR(INDEX(Fields!$A:$A,MATCH(D879,Fields!$B:$B,0)),"Not found"))</f>
        <v/>
      </c>
      <c r="C879" s="20"/>
      <c r="D879" s="20"/>
      <c r="E879" s="20"/>
      <c r="F879" s="21" t="str">
        <f aca="false">IF(B879="","",IFERROR(INDEX(Fields!$C:$C,MATCH(B879,Fields!$A:$A,0)),""))</f>
        <v/>
      </c>
      <c r="G879" s="18" t="str">
        <f aca="false">IF(A879="","",COUNTIF('Metric to Product'!$A:$A,A879))</f>
        <v/>
      </c>
      <c r="H879" s="20"/>
      <c r="I879" s="20"/>
      <c r="J879" s="20"/>
      <c r="K879" s="20"/>
    </row>
    <row r="880" customFormat="false" ht="15" hidden="false" customHeight="false" outlineLevel="0" collapsed="false">
      <c r="A880" s="18" t="str">
        <f aca="false">IF(C880="","",IFERROR(INDEX(Metrics!$A:$A,MATCH(C880,Metrics!$C:$C,0)),"Not found"))</f>
        <v/>
      </c>
      <c r="B880" s="18" t="str">
        <f aca="false">IF(D880="","",IFERROR(INDEX(Fields!$A:$A,MATCH(D880,Fields!$B:$B,0)),"Not found"))</f>
        <v/>
      </c>
      <c r="C880" s="20"/>
      <c r="D880" s="20"/>
      <c r="E880" s="20"/>
      <c r="F880" s="21" t="str">
        <f aca="false">IF(B880="","",IFERROR(INDEX(Fields!$C:$C,MATCH(B880,Fields!$A:$A,0)),""))</f>
        <v/>
      </c>
      <c r="G880" s="18" t="str">
        <f aca="false">IF(A880="","",COUNTIF('Metric to Product'!$A:$A,A880))</f>
        <v/>
      </c>
      <c r="H880" s="20"/>
      <c r="I880" s="20"/>
      <c r="J880" s="20"/>
      <c r="K880" s="20"/>
    </row>
    <row r="881" customFormat="false" ht="15" hidden="false" customHeight="false" outlineLevel="0" collapsed="false">
      <c r="A881" s="18" t="str">
        <f aca="false">IF(C881="","",IFERROR(INDEX(Metrics!$A:$A,MATCH(C881,Metrics!$C:$C,0)),"Not found"))</f>
        <v/>
      </c>
      <c r="B881" s="18" t="str">
        <f aca="false">IF(D881="","",IFERROR(INDEX(Fields!$A:$A,MATCH(D881,Fields!$B:$B,0)),"Not found"))</f>
        <v/>
      </c>
      <c r="C881" s="20"/>
      <c r="D881" s="20"/>
      <c r="E881" s="20"/>
      <c r="F881" s="21" t="str">
        <f aca="false">IF(B881="","",IFERROR(INDEX(Fields!$C:$C,MATCH(B881,Fields!$A:$A,0)),""))</f>
        <v/>
      </c>
      <c r="G881" s="18" t="str">
        <f aca="false">IF(A881="","",COUNTIF('Metric to Product'!$A:$A,A881))</f>
        <v/>
      </c>
      <c r="H881" s="20"/>
      <c r="I881" s="20"/>
      <c r="J881" s="20"/>
      <c r="K881" s="20"/>
    </row>
    <row r="882" customFormat="false" ht="15" hidden="false" customHeight="false" outlineLevel="0" collapsed="false">
      <c r="A882" s="18" t="str">
        <f aca="false">IF(C882="","",IFERROR(INDEX(Metrics!$A:$A,MATCH(C882,Metrics!$C:$C,0)),"Not found"))</f>
        <v/>
      </c>
      <c r="B882" s="18" t="str">
        <f aca="false">IF(D882="","",IFERROR(INDEX(Fields!$A:$A,MATCH(D882,Fields!$B:$B,0)),"Not found"))</f>
        <v/>
      </c>
      <c r="C882" s="20"/>
      <c r="D882" s="20"/>
      <c r="E882" s="20"/>
      <c r="F882" s="21" t="str">
        <f aca="false">IF(B882="","",IFERROR(INDEX(Fields!$C:$C,MATCH(B882,Fields!$A:$A,0)),""))</f>
        <v/>
      </c>
      <c r="G882" s="18" t="str">
        <f aca="false">IF(A882="","",COUNTIF('Metric to Product'!$A:$A,A882))</f>
        <v/>
      </c>
      <c r="H882" s="20"/>
      <c r="I882" s="20"/>
      <c r="J882" s="20"/>
      <c r="K882" s="20"/>
    </row>
    <row r="883" customFormat="false" ht="15" hidden="false" customHeight="false" outlineLevel="0" collapsed="false">
      <c r="A883" s="18" t="str">
        <f aca="false">IF(C883="","",IFERROR(INDEX(Metrics!$A:$A,MATCH(C883,Metrics!$C:$C,0)),"Not found"))</f>
        <v/>
      </c>
      <c r="B883" s="18" t="str">
        <f aca="false">IF(D883="","",IFERROR(INDEX(Fields!$A:$A,MATCH(D883,Fields!$B:$B,0)),"Not found"))</f>
        <v/>
      </c>
      <c r="C883" s="20"/>
      <c r="D883" s="20"/>
      <c r="E883" s="20"/>
      <c r="F883" s="21" t="str">
        <f aca="false">IF(B883="","",IFERROR(INDEX(Fields!$C:$C,MATCH(B883,Fields!$A:$A,0)),""))</f>
        <v/>
      </c>
      <c r="G883" s="18" t="str">
        <f aca="false">IF(A883="","",COUNTIF('Metric to Product'!$A:$A,A883))</f>
        <v/>
      </c>
      <c r="H883" s="20"/>
      <c r="I883" s="20"/>
      <c r="J883" s="20"/>
      <c r="K883" s="20"/>
    </row>
    <row r="884" customFormat="false" ht="15" hidden="false" customHeight="false" outlineLevel="0" collapsed="false">
      <c r="A884" s="18" t="str">
        <f aca="false">IF(C884="","",IFERROR(INDEX(Metrics!$A:$A,MATCH(C884,Metrics!$C:$C,0)),"Not found"))</f>
        <v/>
      </c>
      <c r="B884" s="18" t="str">
        <f aca="false">IF(D884="","",IFERROR(INDEX(Fields!$A:$A,MATCH(D884,Fields!$B:$B,0)),"Not found"))</f>
        <v/>
      </c>
      <c r="C884" s="20"/>
      <c r="D884" s="20"/>
      <c r="E884" s="20"/>
      <c r="F884" s="21" t="str">
        <f aca="false">IF(B884="","",IFERROR(INDEX(Fields!$C:$C,MATCH(B884,Fields!$A:$A,0)),""))</f>
        <v/>
      </c>
      <c r="G884" s="18" t="str">
        <f aca="false">IF(A884="","",COUNTIF('Metric to Product'!$A:$A,A884))</f>
        <v/>
      </c>
      <c r="H884" s="20"/>
      <c r="I884" s="20"/>
      <c r="J884" s="20"/>
      <c r="K884" s="20"/>
    </row>
    <row r="885" customFormat="false" ht="15" hidden="false" customHeight="false" outlineLevel="0" collapsed="false">
      <c r="A885" s="18" t="str">
        <f aca="false">IF(C885="","",IFERROR(INDEX(Metrics!$A:$A,MATCH(C885,Metrics!$C:$C,0)),"Not found"))</f>
        <v/>
      </c>
      <c r="B885" s="18" t="str">
        <f aca="false">IF(D885="","",IFERROR(INDEX(Fields!$A:$A,MATCH(D885,Fields!$B:$B,0)),"Not found"))</f>
        <v/>
      </c>
      <c r="C885" s="20"/>
      <c r="D885" s="20"/>
      <c r="E885" s="20"/>
      <c r="F885" s="21" t="str">
        <f aca="false">IF(B885="","",IFERROR(INDEX(Fields!$C:$C,MATCH(B885,Fields!$A:$A,0)),""))</f>
        <v/>
      </c>
      <c r="G885" s="18" t="str">
        <f aca="false">IF(A885="","",COUNTIF('Metric to Product'!$A:$A,A885))</f>
        <v/>
      </c>
      <c r="H885" s="20"/>
      <c r="I885" s="20"/>
      <c r="J885" s="20"/>
      <c r="K885" s="20"/>
    </row>
    <row r="886" customFormat="false" ht="15" hidden="false" customHeight="false" outlineLevel="0" collapsed="false">
      <c r="A886" s="18" t="str">
        <f aca="false">IF(C886="","",IFERROR(INDEX(Metrics!$A:$A,MATCH(C886,Metrics!$C:$C,0)),"Not found"))</f>
        <v/>
      </c>
      <c r="B886" s="18" t="str">
        <f aca="false">IF(D886="","",IFERROR(INDEX(Fields!$A:$A,MATCH(D886,Fields!$B:$B,0)),"Not found"))</f>
        <v/>
      </c>
      <c r="C886" s="20"/>
      <c r="D886" s="20"/>
      <c r="E886" s="20"/>
      <c r="F886" s="21" t="str">
        <f aca="false">IF(B886="","",IFERROR(INDEX(Fields!$C:$C,MATCH(B886,Fields!$A:$A,0)),""))</f>
        <v/>
      </c>
      <c r="G886" s="18" t="str">
        <f aca="false">IF(A886="","",COUNTIF('Metric to Product'!$A:$A,A886))</f>
        <v/>
      </c>
      <c r="H886" s="20"/>
      <c r="I886" s="20"/>
      <c r="J886" s="20"/>
      <c r="K886" s="20"/>
    </row>
    <row r="887" customFormat="false" ht="15" hidden="false" customHeight="false" outlineLevel="0" collapsed="false">
      <c r="A887" s="18" t="str">
        <f aca="false">IF(C887="","",IFERROR(INDEX(Metrics!$A:$A,MATCH(C887,Metrics!$C:$C,0)),"Not found"))</f>
        <v/>
      </c>
      <c r="B887" s="18" t="str">
        <f aca="false">IF(D887="","",IFERROR(INDEX(Fields!$A:$A,MATCH(D887,Fields!$B:$B,0)),"Not found"))</f>
        <v/>
      </c>
      <c r="C887" s="20"/>
      <c r="D887" s="20"/>
      <c r="E887" s="20"/>
      <c r="F887" s="21" t="str">
        <f aca="false">IF(B887="","",IFERROR(INDEX(Fields!$C:$C,MATCH(B887,Fields!$A:$A,0)),""))</f>
        <v/>
      </c>
      <c r="G887" s="18" t="str">
        <f aca="false">IF(A887="","",COUNTIF('Metric to Product'!$A:$A,A887))</f>
        <v/>
      </c>
      <c r="H887" s="20"/>
      <c r="I887" s="20"/>
      <c r="J887" s="20"/>
      <c r="K887" s="20"/>
    </row>
    <row r="888" customFormat="false" ht="15" hidden="false" customHeight="false" outlineLevel="0" collapsed="false">
      <c r="A888" s="18" t="str">
        <f aca="false">IF(C888="","",IFERROR(INDEX(Metrics!$A:$A,MATCH(C888,Metrics!$C:$C,0)),"Not found"))</f>
        <v/>
      </c>
      <c r="B888" s="18" t="str">
        <f aca="false">IF(D888="","",IFERROR(INDEX(Fields!$A:$A,MATCH(D888,Fields!$B:$B,0)),"Not found"))</f>
        <v/>
      </c>
      <c r="C888" s="20"/>
      <c r="D888" s="20"/>
      <c r="E888" s="20"/>
      <c r="F888" s="21" t="str">
        <f aca="false">IF(B888="","",IFERROR(INDEX(Fields!$C:$C,MATCH(B888,Fields!$A:$A,0)),""))</f>
        <v/>
      </c>
      <c r="G888" s="18" t="str">
        <f aca="false">IF(A888="","",COUNTIF('Metric to Product'!$A:$A,A888))</f>
        <v/>
      </c>
      <c r="H888" s="20"/>
      <c r="I888" s="20"/>
      <c r="J888" s="20"/>
      <c r="K888" s="20"/>
    </row>
    <row r="889" customFormat="false" ht="15" hidden="false" customHeight="false" outlineLevel="0" collapsed="false">
      <c r="A889" s="18" t="str">
        <f aca="false">IF(C889="","",IFERROR(INDEX(Metrics!$A:$A,MATCH(C889,Metrics!$C:$C,0)),"Not found"))</f>
        <v/>
      </c>
      <c r="B889" s="18" t="str">
        <f aca="false">IF(D889="","",IFERROR(INDEX(Fields!$A:$A,MATCH(D889,Fields!$B:$B,0)),"Not found"))</f>
        <v/>
      </c>
      <c r="C889" s="20"/>
      <c r="D889" s="20"/>
      <c r="E889" s="20"/>
      <c r="F889" s="21" t="str">
        <f aca="false">IF(B889="","",IFERROR(INDEX(Fields!$C:$C,MATCH(B889,Fields!$A:$A,0)),""))</f>
        <v/>
      </c>
      <c r="G889" s="18" t="str">
        <f aca="false">IF(A889="","",COUNTIF('Metric to Product'!$A:$A,A889))</f>
        <v/>
      </c>
      <c r="H889" s="20"/>
      <c r="I889" s="20"/>
      <c r="J889" s="20"/>
      <c r="K889" s="20"/>
    </row>
    <row r="890" customFormat="false" ht="15" hidden="false" customHeight="false" outlineLevel="0" collapsed="false">
      <c r="A890" s="18" t="str">
        <f aca="false">IF(C890="","",IFERROR(INDEX(Metrics!$A:$A,MATCH(C890,Metrics!$C:$C,0)),"Not found"))</f>
        <v/>
      </c>
      <c r="B890" s="18" t="str">
        <f aca="false">IF(D890="","",IFERROR(INDEX(Fields!$A:$A,MATCH(D890,Fields!$B:$B,0)),"Not found"))</f>
        <v/>
      </c>
      <c r="C890" s="20"/>
      <c r="D890" s="20"/>
      <c r="E890" s="20"/>
      <c r="F890" s="21" t="str">
        <f aca="false">IF(B890="","",IFERROR(INDEX(Fields!$C:$C,MATCH(B890,Fields!$A:$A,0)),""))</f>
        <v/>
      </c>
      <c r="G890" s="18" t="str">
        <f aca="false">IF(A890="","",COUNTIF('Metric to Product'!$A:$A,A890))</f>
        <v/>
      </c>
      <c r="H890" s="20"/>
      <c r="I890" s="20"/>
      <c r="J890" s="20"/>
      <c r="K890" s="20"/>
    </row>
    <row r="891" customFormat="false" ht="15" hidden="false" customHeight="false" outlineLevel="0" collapsed="false">
      <c r="A891" s="18" t="str">
        <f aca="false">IF(C891="","",IFERROR(INDEX(Metrics!$A:$A,MATCH(C891,Metrics!$C:$C,0)),"Not found"))</f>
        <v/>
      </c>
      <c r="B891" s="18" t="str">
        <f aca="false">IF(D891="","",IFERROR(INDEX(Fields!$A:$A,MATCH(D891,Fields!$B:$B,0)),"Not found"))</f>
        <v/>
      </c>
      <c r="C891" s="20"/>
      <c r="D891" s="20"/>
      <c r="E891" s="20"/>
      <c r="F891" s="21" t="str">
        <f aca="false">IF(B891="","",IFERROR(INDEX(Fields!$C:$C,MATCH(B891,Fields!$A:$A,0)),""))</f>
        <v/>
      </c>
      <c r="G891" s="18" t="str">
        <f aca="false">IF(A891="","",COUNTIF('Metric to Product'!$A:$A,A891))</f>
        <v/>
      </c>
      <c r="H891" s="20"/>
      <c r="I891" s="20"/>
      <c r="J891" s="20"/>
      <c r="K891" s="20"/>
    </row>
    <row r="892" customFormat="false" ht="15" hidden="false" customHeight="false" outlineLevel="0" collapsed="false">
      <c r="A892" s="18" t="str">
        <f aca="false">IF(C892="","",IFERROR(INDEX(Metrics!$A:$A,MATCH(C892,Metrics!$C:$C,0)),"Not found"))</f>
        <v/>
      </c>
      <c r="B892" s="18" t="str">
        <f aca="false">IF(D892="","",IFERROR(INDEX(Fields!$A:$A,MATCH(D892,Fields!$B:$B,0)),"Not found"))</f>
        <v/>
      </c>
      <c r="C892" s="20"/>
      <c r="D892" s="20"/>
      <c r="E892" s="20"/>
      <c r="F892" s="21" t="str">
        <f aca="false">IF(B892="","",IFERROR(INDEX(Fields!$C:$C,MATCH(B892,Fields!$A:$A,0)),""))</f>
        <v/>
      </c>
      <c r="G892" s="18" t="str">
        <f aca="false">IF(A892="","",COUNTIF('Metric to Product'!$A:$A,A892))</f>
        <v/>
      </c>
      <c r="H892" s="20"/>
      <c r="I892" s="20"/>
      <c r="J892" s="20"/>
      <c r="K892" s="20"/>
    </row>
    <row r="893" customFormat="false" ht="15" hidden="false" customHeight="false" outlineLevel="0" collapsed="false">
      <c r="A893" s="18" t="str">
        <f aca="false">IF(C893="","",IFERROR(INDEX(Metrics!$A:$A,MATCH(C893,Metrics!$C:$C,0)),"Not found"))</f>
        <v/>
      </c>
      <c r="B893" s="18" t="str">
        <f aca="false">IF(D893="","",IFERROR(INDEX(Fields!$A:$A,MATCH(D893,Fields!$B:$B,0)),"Not found"))</f>
        <v/>
      </c>
      <c r="C893" s="20"/>
      <c r="D893" s="20"/>
      <c r="E893" s="20"/>
      <c r="F893" s="21" t="str">
        <f aca="false">IF(B893="","",IFERROR(INDEX(Fields!$C:$C,MATCH(B893,Fields!$A:$A,0)),""))</f>
        <v/>
      </c>
      <c r="G893" s="18" t="str">
        <f aca="false">IF(A893="","",COUNTIF('Metric to Product'!$A:$A,A893))</f>
        <v/>
      </c>
      <c r="H893" s="20"/>
      <c r="I893" s="20"/>
      <c r="J893" s="20"/>
      <c r="K893" s="20"/>
    </row>
    <row r="894" customFormat="false" ht="15" hidden="false" customHeight="false" outlineLevel="0" collapsed="false">
      <c r="A894" s="18" t="str">
        <f aca="false">IF(C894="","",IFERROR(INDEX(Metrics!$A:$A,MATCH(C894,Metrics!$C:$C,0)),"Not found"))</f>
        <v/>
      </c>
      <c r="B894" s="18" t="str">
        <f aca="false">IF(D894="","",IFERROR(INDEX(Fields!$A:$A,MATCH(D894,Fields!$B:$B,0)),"Not found"))</f>
        <v/>
      </c>
      <c r="C894" s="20"/>
      <c r="D894" s="20"/>
      <c r="E894" s="20"/>
      <c r="F894" s="21" t="str">
        <f aca="false">IF(B894="","",IFERROR(INDEX(Fields!$C:$C,MATCH(B894,Fields!$A:$A,0)),""))</f>
        <v/>
      </c>
      <c r="G894" s="18" t="str">
        <f aca="false">IF(A894="","",COUNTIF('Metric to Product'!$A:$A,A894))</f>
        <v/>
      </c>
      <c r="H894" s="20"/>
      <c r="I894" s="20"/>
      <c r="J894" s="20"/>
      <c r="K894" s="20"/>
    </row>
    <row r="895" customFormat="false" ht="15" hidden="false" customHeight="false" outlineLevel="0" collapsed="false">
      <c r="A895" s="18" t="str">
        <f aca="false">IF(C895="","",IFERROR(INDEX(Metrics!$A:$A,MATCH(C895,Metrics!$C:$C,0)),"Not found"))</f>
        <v/>
      </c>
      <c r="B895" s="18" t="str">
        <f aca="false">IF(D895="","",IFERROR(INDEX(Fields!$A:$A,MATCH(D895,Fields!$B:$B,0)),"Not found"))</f>
        <v/>
      </c>
      <c r="C895" s="20"/>
      <c r="D895" s="20"/>
      <c r="E895" s="20"/>
      <c r="F895" s="21" t="str">
        <f aca="false">IF(B895="","",IFERROR(INDEX(Fields!$C:$C,MATCH(B895,Fields!$A:$A,0)),""))</f>
        <v/>
      </c>
      <c r="G895" s="18" t="str">
        <f aca="false">IF(A895="","",COUNTIF('Metric to Product'!$A:$A,A895))</f>
        <v/>
      </c>
      <c r="H895" s="20"/>
      <c r="I895" s="20"/>
      <c r="J895" s="20"/>
      <c r="K895" s="20"/>
    </row>
    <row r="896" customFormat="false" ht="15" hidden="false" customHeight="false" outlineLevel="0" collapsed="false">
      <c r="A896" s="18" t="str">
        <f aca="false">IF(C896="","",IFERROR(INDEX(Metrics!$A:$A,MATCH(C896,Metrics!$C:$C,0)),"Not found"))</f>
        <v/>
      </c>
      <c r="B896" s="18" t="str">
        <f aca="false">IF(D896="","",IFERROR(INDEX(Fields!$A:$A,MATCH(D896,Fields!$B:$B,0)),"Not found"))</f>
        <v/>
      </c>
      <c r="C896" s="20"/>
      <c r="D896" s="20"/>
      <c r="E896" s="20"/>
      <c r="F896" s="21" t="str">
        <f aca="false">IF(B896="","",IFERROR(INDEX(Fields!$C:$C,MATCH(B896,Fields!$A:$A,0)),""))</f>
        <v/>
      </c>
      <c r="G896" s="18" t="str">
        <f aca="false">IF(A896="","",COUNTIF('Metric to Product'!$A:$A,A896))</f>
        <v/>
      </c>
      <c r="H896" s="20"/>
      <c r="I896" s="20"/>
      <c r="J896" s="20"/>
      <c r="K896" s="20"/>
    </row>
    <row r="897" customFormat="false" ht="15" hidden="false" customHeight="false" outlineLevel="0" collapsed="false">
      <c r="A897" s="18" t="str">
        <f aca="false">IF(C897="","",IFERROR(INDEX(Metrics!$A:$A,MATCH(C897,Metrics!$C:$C,0)),"Not found"))</f>
        <v/>
      </c>
      <c r="B897" s="18" t="str">
        <f aca="false">IF(D897="","",IFERROR(INDEX(Fields!$A:$A,MATCH(D897,Fields!$B:$B,0)),"Not found"))</f>
        <v/>
      </c>
      <c r="C897" s="20"/>
      <c r="D897" s="20"/>
      <c r="E897" s="20"/>
      <c r="F897" s="21" t="str">
        <f aca="false">IF(B897="","",IFERROR(INDEX(Fields!$C:$C,MATCH(B897,Fields!$A:$A,0)),""))</f>
        <v/>
      </c>
      <c r="G897" s="18" t="str">
        <f aca="false">IF(A897="","",COUNTIF('Metric to Product'!$A:$A,A897))</f>
        <v/>
      </c>
      <c r="H897" s="20"/>
      <c r="I897" s="20"/>
      <c r="J897" s="20"/>
      <c r="K897" s="20"/>
    </row>
    <row r="898" customFormat="false" ht="15" hidden="false" customHeight="false" outlineLevel="0" collapsed="false">
      <c r="A898" s="18" t="str">
        <f aca="false">IF(C898="","",IFERROR(INDEX(Metrics!$A:$A,MATCH(C898,Metrics!$C:$C,0)),"Not found"))</f>
        <v/>
      </c>
      <c r="B898" s="18" t="str">
        <f aca="false">IF(D898="","",IFERROR(INDEX(Fields!$A:$A,MATCH(D898,Fields!$B:$B,0)),"Not found"))</f>
        <v/>
      </c>
      <c r="C898" s="20"/>
      <c r="D898" s="20"/>
      <c r="E898" s="20"/>
      <c r="F898" s="21" t="str">
        <f aca="false">IF(B898="","",IFERROR(INDEX(Fields!$C:$C,MATCH(B898,Fields!$A:$A,0)),""))</f>
        <v/>
      </c>
      <c r="G898" s="18" t="str">
        <f aca="false">IF(A898="","",COUNTIF('Metric to Product'!$A:$A,A898))</f>
        <v/>
      </c>
      <c r="H898" s="20"/>
      <c r="I898" s="20"/>
      <c r="J898" s="20"/>
      <c r="K898" s="20"/>
    </row>
    <row r="899" customFormat="false" ht="15" hidden="false" customHeight="false" outlineLevel="0" collapsed="false">
      <c r="A899" s="18" t="str">
        <f aca="false">IF(C899="","",IFERROR(INDEX(Metrics!$A:$A,MATCH(C899,Metrics!$C:$C,0)),"Not found"))</f>
        <v/>
      </c>
      <c r="B899" s="18" t="str">
        <f aca="false">IF(D899="","",IFERROR(INDEX(Fields!$A:$A,MATCH(D899,Fields!$B:$B,0)),"Not found"))</f>
        <v/>
      </c>
      <c r="C899" s="20"/>
      <c r="D899" s="20"/>
      <c r="E899" s="20"/>
      <c r="F899" s="21" t="str">
        <f aca="false">IF(B899="","",IFERROR(INDEX(Fields!$C:$C,MATCH(B899,Fields!$A:$A,0)),""))</f>
        <v/>
      </c>
      <c r="G899" s="18" t="str">
        <f aca="false">IF(A899="","",COUNTIF('Metric to Product'!$A:$A,A899))</f>
        <v/>
      </c>
      <c r="H899" s="20"/>
      <c r="I899" s="20"/>
      <c r="J899" s="20"/>
      <c r="K899" s="20"/>
    </row>
    <row r="900" customFormat="false" ht="15" hidden="false" customHeight="false" outlineLevel="0" collapsed="false">
      <c r="A900" s="18" t="str">
        <f aca="false">IF(C900="","",IFERROR(INDEX(Metrics!$A:$A,MATCH(C900,Metrics!$C:$C,0)),"Not found"))</f>
        <v/>
      </c>
      <c r="B900" s="18" t="str">
        <f aca="false">IF(D900="","",IFERROR(INDEX(Fields!$A:$A,MATCH(D900,Fields!$B:$B,0)),"Not found"))</f>
        <v/>
      </c>
      <c r="C900" s="20"/>
      <c r="D900" s="20"/>
      <c r="E900" s="20"/>
      <c r="F900" s="21" t="str">
        <f aca="false">IF(B900="","",IFERROR(INDEX(Fields!$C:$C,MATCH(B900,Fields!$A:$A,0)),""))</f>
        <v/>
      </c>
      <c r="G900" s="18" t="str">
        <f aca="false">IF(A900="","",COUNTIF('Metric to Product'!$A:$A,A900))</f>
        <v/>
      </c>
      <c r="H900" s="20"/>
      <c r="I900" s="20"/>
      <c r="J900" s="20"/>
      <c r="K900" s="20"/>
    </row>
    <row r="901" customFormat="false" ht="15" hidden="false" customHeight="false" outlineLevel="0" collapsed="false">
      <c r="A901" s="18" t="str">
        <f aca="false">IF(C901="","",IFERROR(INDEX(Metrics!$A:$A,MATCH(C901,Metrics!$C:$C,0)),"Not found"))</f>
        <v/>
      </c>
      <c r="B901" s="18" t="str">
        <f aca="false">IF(D901="","",IFERROR(INDEX(Fields!$A:$A,MATCH(D901,Fields!$B:$B,0)),"Not found"))</f>
        <v/>
      </c>
      <c r="C901" s="20"/>
      <c r="D901" s="20"/>
      <c r="E901" s="20"/>
      <c r="F901" s="21" t="str">
        <f aca="false">IF(B901="","",IFERROR(INDEX(Fields!$C:$C,MATCH(B901,Fields!$A:$A,0)),""))</f>
        <v/>
      </c>
      <c r="G901" s="18" t="str">
        <f aca="false">IF(A901="","",COUNTIF('Metric to Product'!$A:$A,A901))</f>
        <v/>
      </c>
      <c r="H901" s="20"/>
      <c r="I901" s="20"/>
      <c r="J901" s="20"/>
      <c r="K901" s="20"/>
    </row>
    <row r="902" customFormat="false" ht="15" hidden="false" customHeight="false" outlineLevel="0" collapsed="false">
      <c r="A902" s="18" t="str">
        <f aca="false">IF(C902="","",IFERROR(INDEX(Metrics!$A:$A,MATCH(C902,Metrics!$C:$C,0)),"Not found"))</f>
        <v/>
      </c>
      <c r="B902" s="18" t="str">
        <f aca="false">IF(D902="","",IFERROR(INDEX(Fields!$A:$A,MATCH(D902,Fields!$B:$B,0)),"Not found"))</f>
        <v/>
      </c>
      <c r="C902" s="20"/>
      <c r="D902" s="20"/>
      <c r="E902" s="20"/>
      <c r="F902" s="21" t="str">
        <f aca="false">IF(B902="","",IFERROR(INDEX(Fields!$C:$C,MATCH(B902,Fields!$A:$A,0)),""))</f>
        <v/>
      </c>
      <c r="G902" s="18" t="str">
        <f aca="false">IF(A902="","",COUNTIF('Metric to Product'!$A:$A,A902))</f>
        <v/>
      </c>
      <c r="H902" s="20"/>
      <c r="I902" s="20"/>
      <c r="J902" s="20"/>
      <c r="K902" s="20"/>
    </row>
    <row r="903" customFormat="false" ht="15" hidden="false" customHeight="false" outlineLevel="0" collapsed="false">
      <c r="A903" s="18" t="str">
        <f aca="false">IF(C903="","",IFERROR(INDEX(Metrics!$A:$A,MATCH(C903,Metrics!$C:$C,0)),"Not found"))</f>
        <v/>
      </c>
      <c r="B903" s="18" t="str">
        <f aca="false">IF(D903="","",IFERROR(INDEX(Fields!$A:$A,MATCH(D903,Fields!$B:$B,0)),"Not found"))</f>
        <v/>
      </c>
      <c r="C903" s="20"/>
      <c r="D903" s="20"/>
      <c r="E903" s="20"/>
      <c r="F903" s="21" t="str">
        <f aca="false">IF(B903="","",IFERROR(INDEX(Fields!$C:$C,MATCH(B903,Fields!$A:$A,0)),""))</f>
        <v/>
      </c>
      <c r="G903" s="18" t="str">
        <f aca="false">IF(A903="","",COUNTIF('Metric to Product'!$A:$A,A903))</f>
        <v/>
      </c>
      <c r="H903" s="20"/>
      <c r="I903" s="20"/>
      <c r="J903" s="20"/>
      <c r="K903" s="20"/>
    </row>
    <row r="904" customFormat="false" ht="15" hidden="false" customHeight="false" outlineLevel="0" collapsed="false">
      <c r="A904" s="18" t="str">
        <f aca="false">IF(C904="","",IFERROR(INDEX(Metrics!$A:$A,MATCH(C904,Metrics!$C:$C,0)),"Not found"))</f>
        <v/>
      </c>
      <c r="B904" s="18" t="str">
        <f aca="false">IF(D904="","",IFERROR(INDEX(Fields!$A:$A,MATCH(D904,Fields!$B:$B,0)),"Not found"))</f>
        <v/>
      </c>
      <c r="C904" s="20"/>
      <c r="D904" s="20"/>
      <c r="E904" s="20"/>
      <c r="F904" s="21" t="str">
        <f aca="false">IF(B904="","",IFERROR(INDEX(Fields!$C:$C,MATCH(B904,Fields!$A:$A,0)),""))</f>
        <v/>
      </c>
      <c r="G904" s="18" t="str">
        <f aca="false">IF(A904="","",COUNTIF('Metric to Product'!$A:$A,A904))</f>
        <v/>
      </c>
      <c r="H904" s="20"/>
      <c r="I904" s="20"/>
      <c r="J904" s="20"/>
      <c r="K904" s="20"/>
    </row>
  </sheetData>
  <autoFilter ref="A4:K904"/>
  <conditionalFormatting sqref="A5:A904">
    <cfRule type="cellIs" priority="2" operator="equal" aboveAverage="0" equalAverage="0" bottom="0" percent="0" rank="0" text="" dxfId="9">
      <formula>"Not found"</formula>
    </cfRule>
  </conditionalFormatting>
  <conditionalFormatting sqref="B5:B904">
    <cfRule type="cellIs" priority="3" operator="equal" aboveAverage="0" equalAverage="0" bottom="0" percent="0" rank="0" text="" dxfId="9">
      <formula>"Not found"</formula>
    </cfRule>
  </conditionalFormatting>
  <dataValidations count="5">
    <dataValidation allowBlank="true" errorStyle="stop" operator="between" showDropDown="false" showErrorMessage="false" showInputMessage="false" sqref="C5:C904" type="list">
      <formula1>Metrics!$C$5:$C$304</formula1>
      <formula2>0</formula2>
    </dataValidation>
    <dataValidation allowBlank="true" errorStyle="stop" operator="between" showDropDown="false" showErrorMessage="false" showInputMessage="false" sqref="D5:D904" type="list">
      <formula1>Fields!$B$5:$B$704</formula1>
      <formula2>0</formula2>
    </dataValidation>
    <dataValidation allowBlank="true" errorStyle="stop" operator="between" showDropDown="false" showErrorMessage="false" showInputMessage="false" sqref="E5:E904" type="list">
      <formula1>"Start of clock,End of clock,Event counted,Exclusion,Attribution,Linkage,Dimension,Period (as-of date),Other"</formula1>
      <formula2>0</formula2>
    </dataValidation>
    <dataValidation allowBlank="true" errorStyle="stop" operator="between" showDropDown="false" showErrorMessage="false" showInputMessage="false" sqref="I5:I904" type="list">
      <formula1>"Proposed,Accepted,Corrected,Rejected"</formula1>
      <formula2>0</formula2>
    </dataValidation>
    <dataValidation allowBlank="true" errorStyle="stop" operator="between" showDropDown="false" showErrorMessage="false" showInputMessage="false" sqref="K5:K904" type="list">
      <formula1>"Found,Inferred,Proposed,Human"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11"/>
    <col collapsed="false" customWidth="true" hidden="false" outlineLevel="0" max="11" min="11" style="0" width="26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361</v>
      </c>
    </row>
    <row r="2" customFormat="false" ht="15" hidden="false" customHeight="false" outlineLevel="0" collapsed="false">
      <c r="A2" s="2" t="s">
        <v>477</v>
      </c>
    </row>
    <row r="4" customFormat="false" ht="33.75" hidden="false" customHeight="true" outlineLevel="0" collapsed="false">
      <c r="A4" s="16" t="s">
        <v>362</v>
      </c>
      <c r="B4" s="17" t="s">
        <v>364</v>
      </c>
      <c r="C4" s="17" t="s">
        <v>367</v>
      </c>
      <c r="D4" s="16" t="s">
        <v>478</v>
      </c>
      <c r="E4" s="17" t="s">
        <v>370</v>
      </c>
      <c r="F4" s="17" t="s">
        <v>223</v>
      </c>
      <c r="G4" s="17" t="s">
        <v>213</v>
      </c>
      <c r="H4" s="17" t="s">
        <v>375</v>
      </c>
      <c r="I4" s="17" t="s">
        <v>75</v>
      </c>
      <c r="J4" s="17" t="s">
        <v>153</v>
      </c>
      <c r="K4" s="17" t="s">
        <v>156</v>
      </c>
      <c r="L4" s="17" t="s">
        <v>159</v>
      </c>
      <c r="M4" s="17" t="s">
        <v>162</v>
      </c>
      <c r="N4" s="17" t="s">
        <v>165</v>
      </c>
    </row>
    <row r="5" customFormat="false" ht="15" hidden="false" customHeight="false" outlineLevel="0" collapsed="false">
      <c r="A5" s="18"/>
      <c r="B5" s="19"/>
      <c r="C5" s="20"/>
      <c r="D5" s="18" t="str">
        <f aca="false">IF(C5="","",IFERROR(INDEX(Tables!$A:$A,MATCH(C5,Tables!$B:$B,0)),"Not found"))</f>
        <v/>
      </c>
      <c r="E5" s="20"/>
      <c r="F5" s="20"/>
      <c r="G5" s="21" t="str">
        <f aca="false">IF(A5="","",COUNTIF('Dimension usage'!$D:$D,A5))</f>
        <v/>
      </c>
      <c r="H5" s="21" t="str">
        <f aca="false">IF(A5="","",COUNTIFS('Dimension usage'!$D:$D,A5,'Dimension usage'!$G:$G,"No"))</f>
        <v/>
      </c>
      <c r="I5" s="20"/>
      <c r="J5" s="20"/>
      <c r="K5" s="20"/>
      <c r="L5" s="20"/>
      <c r="M5" s="20"/>
      <c r="N5" s="20"/>
    </row>
    <row r="6" customFormat="false" ht="15" hidden="false" customHeight="false" outlineLevel="0" collapsed="false">
      <c r="A6" s="18"/>
      <c r="B6" s="19"/>
      <c r="C6" s="20"/>
      <c r="D6" s="18" t="str">
        <f aca="false">IF(C6="","",IFERROR(INDEX(Tables!$A:$A,MATCH(C6,Tables!$B:$B,0)),"Not found"))</f>
        <v/>
      </c>
      <c r="E6" s="20"/>
      <c r="F6" s="20"/>
      <c r="G6" s="21" t="str">
        <f aca="false">IF(A6="","",COUNTIF('Dimension usage'!$D:$D,A6))</f>
        <v/>
      </c>
      <c r="H6" s="21" t="str">
        <f aca="false">IF(A6="","",COUNTIFS('Dimension usage'!$D:$D,A6,'Dimension usage'!$G:$G,"No"))</f>
        <v/>
      </c>
      <c r="I6" s="20"/>
      <c r="J6" s="20"/>
      <c r="K6" s="20"/>
      <c r="L6" s="20"/>
      <c r="M6" s="20"/>
      <c r="N6" s="20"/>
    </row>
    <row r="7" customFormat="false" ht="15" hidden="false" customHeight="false" outlineLevel="0" collapsed="false">
      <c r="A7" s="18"/>
      <c r="B7" s="19"/>
      <c r="C7" s="20"/>
      <c r="D7" s="18" t="str">
        <f aca="false">IF(C7="","",IFERROR(INDEX(Tables!$A:$A,MATCH(C7,Tables!$B:$B,0)),"Not found"))</f>
        <v/>
      </c>
      <c r="E7" s="20"/>
      <c r="F7" s="20"/>
      <c r="G7" s="21" t="str">
        <f aca="false">IF(A7="","",COUNTIF('Dimension usage'!$D:$D,A7))</f>
        <v/>
      </c>
      <c r="H7" s="21" t="str">
        <f aca="false">IF(A7="","",COUNTIFS('Dimension usage'!$D:$D,A7,'Dimension usage'!$G:$G,"No"))</f>
        <v/>
      </c>
      <c r="I7" s="20"/>
      <c r="J7" s="20"/>
      <c r="K7" s="20"/>
      <c r="L7" s="20"/>
      <c r="M7" s="20"/>
      <c r="N7" s="20"/>
    </row>
    <row r="8" customFormat="false" ht="15" hidden="false" customHeight="false" outlineLevel="0" collapsed="false">
      <c r="A8" s="18"/>
      <c r="B8" s="19"/>
      <c r="C8" s="20"/>
      <c r="D8" s="18" t="str">
        <f aca="false">IF(C8="","",IFERROR(INDEX(Tables!$A:$A,MATCH(C8,Tables!$B:$B,0)),"Not found"))</f>
        <v/>
      </c>
      <c r="E8" s="20"/>
      <c r="F8" s="20"/>
      <c r="G8" s="21" t="str">
        <f aca="false">IF(A8="","",COUNTIF('Dimension usage'!$D:$D,A8))</f>
        <v/>
      </c>
      <c r="H8" s="21" t="str">
        <f aca="false">IF(A8="","",COUNTIFS('Dimension usage'!$D:$D,A8,'Dimension usage'!$G:$G,"No"))</f>
        <v/>
      </c>
      <c r="I8" s="20"/>
      <c r="J8" s="20"/>
      <c r="K8" s="20"/>
      <c r="L8" s="20"/>
      <c r="M8" s="20"/>
      <c r="N8" s="20"/>
    </row>
    <row r="9" customFormat="false" ht="15" hidden="false" customHeight="false" outlineLevel="0" collapsed="false">
      <c r="A9" s="18"/>
      <c r="B9" s="19"/>
      <c r="C9" s="20"/>
      <c r="D9" s="18" t="str">
        <f aca="false">IF(C9="","",IFERROR(INDEX(Tables!$A:$A,MATCH(C9,Tables!$B:$B,0)),"Not found"))</f>
        <v/>
      </c>
      <c r="E9" s="20"/>
      <c r="F9" s="20"/>
      <c r="G9" s="21" t="str">
        <f aca="false">IF(A9="","",COUNTIF('Dimension usage'!$D:$D,A9))</f>
        <v/>
      </c>
      <c r="H9" s="21" t="str">
        <f aca="false">IF(A9="","",COUNTIFS('Dimension usage'!$D:$D,A9,'Dimension usage'!$G:$G,"No"))</f>
        <v/>
      </c>
      <c r="I9" s="20"/>
      <c r="J9" s="20"/>
      <c r="K9" s="20"/>
      <c r="L9" s="20"/>
      <c r="M9" s="20"/>
      <c r="N9" s="20"/>
    </row>
    <row r="10" customFormat="false" ht="15" hidden="false" customHeight="false" outlineLevel="0" collapsed="false">
      <c r="A10" s="18"/>
      <c r="B10" s="19"/>
      <c r="C10" s="20"/>
      <c r="D10" s="18" t="str">
        <f aca="false">IF(C10="","",IFERROR(INDEX(Tables!$A:$A,MATCH(C10,Tables!$B:$B,0)),"Not found"))</f>
        <v/>
      </c>
      <c r="E10" s="20"/>
      <c r="F10" s="20"/>
      <c r="G10" s="21" t="str">
        <f aca="false">IF(A10="","",COUNTIF('Dimension usage'!$D:$D,A10))</f>
        <v/>
      </c>
      <c r="H10" s="21" t="str">
        <f aca="false">IF(A10="","",COUNTIFS('Dimension usage'!$D:$D,A10,'Dimension usage'!$G:$G,"No"))</f>
        <v/>
      </c>
      <c r="I10" s="20"/>
      <c r="J10" s="20"/>
      <c r="K10" s="20"/>
      <c r="L10" s="20"/>
      <c r="M10" s="20"/>
      <c r="N10" s="20"/>
    </row>
    <row r="11" customFormat="false" ht="15" hidden="false" customHeight="false" outlineLevel="0" collapsed="false">
      <c r="A11" s="18"/>
      <c r="B11" s="19"/>
      <c r="C11" s="20"/>
      <c r="D11" s="18" t="str">
        <f aca="false">IF(C11="","",IFERROR(INDEX(Tables!$A:$A,MATCH(C11,Tables!$B:$B,0)),"Not found"))</f>
        <v/>
      </c>
      <c r="E11" s="20"/>
      <c r="F11" s="20"/>
      <c r="G11" s="21" t="str">
        <f aca="false">IF(A11="","",COUNTIF('Dimension usage'!$D:$D,A11))</f>
        <v/>
      </c>
      <c r="H11" s="21" t="str">
        <f aca="false">IF(A11="","",COUNTIFS('Dimension usage'!$D:$D,A11,'Dimension usage'!$G:$G,"No"))</f>
        <v/>
      </c>
      <c r="I11" s="20"/>
      <c r="J11" s="20"/>
      <c r="K11" s="20"/>
      <c r="L11" s="20"/>
      <c r="M11" s="20"/>
      <c r="N11" s="20"/>
    </row>
    <row r="12" customFormat="false" ht="15" hidden="false" customHeight="false" outlineLevel="0" collapsed="false">
      <c r="A12" s="18"/>
      <c r="B12" s="19"/>
      <c r="C12" s="20"/>
      <c r="D12" s="18" t="str">
        <f aca="false">IF(C12="","",IFERROR(INDEX(Tables!$A:$A,MATCH(C12,Tables!$B:$B,0)),"Not found"))</f>
        <v/>
      </c>
      <c r="E12" s="20"/>
      <c r="F12" s="20"/>
      <c r="G12" s="21" t="str">
        <f aca="false">IF(A12="","",COUNTIF('Dimension usage'!$D:$D,A12))</f>
        <v/>
      </c>
      <c r="H12" s="21" t="str">
        <f aca="false">IF(A12="","",COUNTIFS('Dimension usage'!$D:$D,A12,'Dimension usage'!$G:$G,"No"))</f>
        <v/>
      </c>
      <c r="I12" s="20"/>
      <c r="J12" s="20"/>
      <c r="K12" s="20"/>
      <c r="L12" s="20"/>
      <c r="M12" s="20"/>
      <c r="N12" s="20"/>
    </row>
    <row r="13" customFormat="false" ht="15" hidden="false" customHeight="false" outlineLevel="0" collapsed="false">
      <c r="A13" s="18"/>
      <c r="B13" s="19"/>
      <c r="C13" s="20"/>
      <c r="D13" s="18" t="str">
        <f aca="false">IF(C13="","",IFERROR(INDEX(Tables!$A:$A,MATCH(C13,Tables!$B:$B,0)),"Not found"))</f>
        <v/>
      </c>
      <c r="E13" s="20"/>
      <c r="F13" s="20"/>
      <c r="G13" s="21" t="str">
        <f aca="false">IF(A13="","",COUNTIF('Dimension usage'!$D:$D,A13))</f>
        <v/>
      </c>
      <c r="H13" s="21" t="str">
        <f aca="false">IF(A13="","",COUNTIFS('Dimension usage'!$D:$D,A13,'Dimension usage'!$G:$G,"No"))</f>
        <v/>
      </c>
      <c r="I13" s="20"/>
      <c r="J13" s="20"/>
      <c r="K13" s="20"/>
      <c r="L13" s="20"/>
      <c r="M13" s="20"/>
      <c r="N13" s="20"/>
    </row>
    <row r="14" customFormat="false" ht="15" hidden="false" customHeight="false" outlineLevel="0" collapsed="false">
      <c r="A14" s="18"/>
      <c r="B14" s="19"/>
      <c r="C14" s="20"/>
      <c r="D14" s="18" t="str">
        <f aca="false">IF(C14="","",IFERROR(INDEX(Tables!$A:$A,MATCH(C14,Tables!$B:$B,0)),"Not found"))</f>
        <v/>
      </c>
      <c r="E14" s="20"/>
      <c r="F14" s="20"/>
      <c r="G14" s="21" t="str">
        <f aca="false">IF(A14="","",COUNTIF('Dimension usage'!$D:$D,A14))</f>
        <v/>
      </c>
      <c r="H14" s="21" t="str">
        <f aca="false">IF(A14="","",COUNTIFS('Dimension usage'!$D:$D,A14,'Dimension usage'!$G:$G,"No"))</f>
        <v/>
      </c>
      <c r="I14" s="20"/>
      <c r="J14" s="20"/>
      <c r="K14" s="20"/>
      <c r="L14" s="20"/>
      <c r="M14" s="20"/>
      <c r="N14" s="20"/>
    </row>
    <row r="15" customFormat="false" ht="15" hidden="false" customHeight="false" outlineLevel="0" collapsed="false">
      <c r="A15" s="18"/>
      <c r="B15" s="19"/>
      <c r="C15" s="20"/>
      <c r="D15" s="18" t="str">
        <f aca="false">IF(C15="","",IFERROR(INDEX(Tables!$A:$A,MATCH(C15,Tables!$B:$B,0)),"Not found"))</f>
        <v/>
      </c>
      <c r="E15" s="20"/>
      <c r="F15" s="20"/>
      <c r="G15" s="21" t="str">
        <f aca="false">IF(A15="","",COUNTIF('Dimension usage'!$D:$D,A15))</f>
        <v/>
      </c>
      <c r="H15" s="21" t="str">
        <f aca="false">IF(A15="","",COUNTIFS('Dimension usage'!$D:$D,A15,'Dimension usage'!$G:$G,"No"))</f>
        <v/>
      </c>
      <c r="I15" s="20"/>
      <c r="J15" s="20"/>
      <c r="K15" s="20"/>
      <c r="L15" s="20"/>
      <c r="M15" s="20"/>
      <c r="N15" s="20"/>
    </row>
    <row r="16" customFormat="false" ht="15" hidden="false" customHeight="false" outlineLevel="0" collapsed="false">
      <c r="A16" s="18"/>
      <c r="B16" s="19"/>
      <c r="C16" s="20"/>
      <c r="D16" s="18" t="str">
        <f aca="false">IF(C16="","",IFERROR(INDEX(Tables!$A:$A,MATCH(C16,Tables!$B:$B,0)),"Not found"))</f>
        <v/>
      </c>
      <c r="E16" s="20"/>
      <c r="F16" s="20"/>
      <c r="G16" s="21" t="str">
        <f aca="false">IF(A16="","",COUNTIF('Dimension usage'!$D:$D,A16))</f>
        <v/>
      </c>
      <c r="H16" s="21" t="str">
        <f aca="false">IF(A16="","",COUNTIFS('Dimension usage'!$D:$D,A16,'Dimension usage'!$G:$G,"No"))</f>
        <v/>
      </c>
      <c r="I16" s="20"/>
      <c r="J16" s="20"/>
      <c r="K16" s="20"/>
      <c r="L16" s="20"/>
      <c r="M16" s="20"/>
      <c r="N16" s="20"/>
    </row>
    <row r="17" customFormat="false" ht="15" hidden="false" customHeight="false" outlineLevel="0" collapsed="false">
      <c r="A17" s="18"/>
      <c r="B17" s="19"/>
      <c r="C17" s="20"/>
      <c r="D17" s="18" t="str">
        <f aca="false">IF(C17="","",IFERROR(INDEX(Tables!$A:$A,MATCH(C17,Tables!$B:$B,0)),"Not found"))</f>
        <v/>
      </c>
      <c r="E17" s="20"/>
      <c r="F17" s="20"/>
      <c r="G17" s="21" t="str">
        <f aca="false">IF(A17="","",COUNTIF('Dimension usage'!$D:$D,A17))</f>
        <v/>
      </c>
      <c r="H17" s="21" t="str">
        <f aca="false">IF(A17="","",COUNTIFS('Dimension usage'!$D:$D,A17,'Dimension usage'!$G:$G,"No"))</f>
        <v/>
      </c>
      <c r="I17" s="20"/>
      <c r="J17" s="20"/>
      <c r="K17" s="20"/>
      <c r="L17" s="20"/>
      <c r="M17" s="20"/>
      <c r="N17" s="20"/>
    </row>
    <row r="18" customFormat="false" ht="15" hidden="false" customHeight="false" outlineLevel="0" collapsed="false">
      <c r="A18" s="18"/>
      <c r="B18" s="19"/>
      <c r="C18" s="20"/>
      <c r="D18" s="18" t="str">
        <f aca="false">IF(C18="","",IFERROR(INDEX(Tables!$A:$A,MATCH(C18,Tables!$B:$B,0)),"Not found"))</f>
        <v/>
      </c>
      <c r="E18" s="20"/>
      <c r="F18" s="20"/>
      <c r="G18" s="21" t="str">
        <f aca="false">IF(A18="","",COUNTIF('Dimension usage'!$D:$D,A18))</f>
        <v/>
      </c>
      <c r="H18" s="21" t="str">
        <f aca="false">IF(A18="","",COUNTIFS('Dimension usage'!$D:$D,A18,'Dimension usage'!$G:$G,"No"))</f>
        <v/>
      </c>
      <c r="I18" s="20"/>
      <c r="J18" s="20"/>
      <c r="K18" s="20"/>
      <c r="L18" s="20"/>
      <c r="M18" s="20"/>
      <c r="N18" s="20"/>
    </row>
    <row r="19" customFormat="false" ht="15" hidden="false" customHeight="false" outlineLevel="0" collapsed="false">
      <c r="A19" s="18"/>
      <c r="B19" s="19"/>
      <c r="C19" s="20"/>
      <c r="D19" s="18" t="str">
        <f aca="false">IF(C19="","",IFERROR(INDEX(Tables!$A:$A,MATCH(C19,Tables!$B:$B,0)),"Not found"))</f>
        <v/>
      </c>
      <c r="E19" s="20"/>
      <c r="F19" s="20"/>
      <c r="G19" s="21" t="str">
        <f aca="false">IF(A19="","",COUNTIF('Dimension usage'!$D:$D,A19))</f>
        <v/>
      </c>
      <c r="H19" s="21" t="str">
        <f aca="false">IF(A19="","",COUNTIFS('Dimension usage'!$D:$D,A19,'Dimension usage'!$G:$G,"No"))</f>
        <v/>
      </c>
      <c r="I19" s="20"/>
      <c r="J19" s="20"/>
      <c r="K19" s="20"/>
      <c r="L19" s="20"/>
      <c r="M19" s="20"/>
      <c r="N19" s="20"/>
    </row>
    <row r="20" customFormat="false" ht="15" hidden="false" customHeight="false" outlineLevel="0" collapsed="false">
      <c r="A20" s="18"/>
      <c r="B20" s="19"/>
      <c r="C20" s="20"/>
      <c r="D20" s="18" t="str">
        <f aca="false">IF(C20="","",IFERROR(INDEX(Tables!$A:$A,MATCH(C20,Tables!$B:$B,0)),"Not found"))</f>
        <v/>
      </c>
      <c r="E20" s="20"/>
      <c r="F20" s="20"/>
      <c r="G20" s="21" t="str">
        <f aca="false">IF(A20="","",COUNTIF('Dimension usage'!$D:$D,A20))</f>
        <v/>
      </c>
      <c r="H20" s="21" t="str">
        <f aca="false">IF(A20="","",COUNTIFS('Dimension usage'!$D:$D,A20,'Dimension usage'!$G:$G,"No"))</f>
        <v/>
      </c>
      <c r="I20" s="20"/>
      <c r="J20" s="20"/>
      <c r="K20" s="20"/>
      <c r="L20" s="20"/>
      <c r="M20" s="20"/>
      <c r="N20" s="20"/>
    </row>
    <row r="21" customFormat="false" ht="15" hidden="false" customHeight="false" outlineLevel="0" collapsed="false">
      <c r="A21" s="18"/>
      <c r="B21" s="19"/>
      <c r="C21" s="20"/>
      <c r="D21" s="18" t="str">
        <f aca="false">IF(C21="","",IFERROR(INDEX(Tables!$A:$A,MATCH(C21,Tables!$B:$B,0)),"Not found"))</f>
        <v/>
      </c>
      <c r="E21" s="20"/>
      <c r="F21" s="20"/>
      <c r="G21" s="21" t="str">
        <f aca="false">IF(A21="","",COUNTIF('Dimension usage'!$D:$D,A21))</f>
        <v/>
      </c>
      <c r="H21" s="21" t="str">
        <f aca="false">IF(A21="","",COUNTIFS('Dimension usage'!$D:$D,A21,'Dimension usage'!$G:$G,"No"))</f>
        <v/>
      </c>
      <c r="I21" s="20"/>
      <c r="J21" s="20"/>
      <c r="K21" s="20"/>
      <c r="L21" s="20"/>
      <c r="M21" s="20"/>
      <c r="N21" s="20"/>
    </row>
    <row r="22" customFormat="false" ht="15" hidden="false" customHeight="false" outlineLevel="0" collapsed="false">
      <c r="A22" s="18"/>
      <c r="B22" s="19"/>
      <c r="C22" s="20"/>
      <c r="D22" s="18" t="str">
        <f aca="false">IF(C22="","",IFERROR(INDEX(Tables!$A:$A,MATCH(C22,Tables!$B:$B,0)),"Not found"))</f>
        <v/>
      </c>
      <c r="E22" s="20"/>
      <c r="F22" s="20"/>
      <c r="G22" s="21" t="str">
        <f aca="false">IF(A22="","",COUNTIF('Dimension usage'!$D:$D,A22))</f>
        <v/>
      </c>
      <c r="H22" s="21" t="str">
        <f aca="false">IF(A22="","",COUNTIFS('Dimension usage'!$D:$D,A22,'Dimension usage'!$G:$G,"No"))</f>
        <v/>
      </c>
      <c r="I22" s="20"/>
      <c r="J22" s="20"/>
      <c r="K22" s="20"/>
      <c r="L22" s="20"/>
      <c r="M22" s="20"/>
      <c r="N22" s="20"/>
    </row>
    <row r="23" customFormat="false" ht="15" hidden="false" customHeight="false" outlineLevel="0" collapsed="false">
      <c r="A23" s="18"/>
      <c r="B23" s="19"/>
      <c r="C23" s="20"/>
      <c r="D23" s="18" t="str">
        <f aca="false">IF(C23="","",IFERROR(INDEX(Tables!$A:$A,MATCH(C23,Tables!$B:$B,0)),"Not found"))</f>
        <v/>
      </c>
      <c r="E23" s="20"/>
      <c r="F23" s="20"/>
      <c r="G23" s="21" t="str">
        <f aca="false">IF(A23="","",COUNTIF('Dimension usage'!$D:$D,A23))</f>
        <v/>
      </c>
      <c r="H23" s="21" t="str">
        <f aca="false">IF(A23="","",COUNTIFS('Dimension usage'!$D:$D,A23,'Dimension usage'!$G:$G,"No"))</f>
        <v/>
      </c>
      <c r="I23" s="20"/>
      <c r="J23" s="20"/>
      <c r="K23" s="20"/>
      <c r="L23" s="20"/>
      <c r="M23" s="20"/>
      <c r="N23" s="20"/>
    </row>
    <row r="24" customFormat="false" ht="15" hidden="false" customHeight="false" outlineLevel="0" collapsed="false">
      <c r="A24" s="18"/>
      <c r="B24" s="19"/>
      <c r="C24" s="20"/>
      <c r="D24" s="18" t="str">
        <f aca="false">IF(C24="","",IFERROR(INDEX(Tables!$A:$A,MATCH(C24,Tables!$B:$B,0)),"Not found"))</f>
        <v/>
      </c>
      <c r="E24" s="20"/>
      <c r="F24" s="20"/>
      <c r="G24" s="21" t="str">
        <f aca="false">IF(A24="","",COUNTIF('Dimension usage'!$D:$D,A24))</f>
        <v/>
      </c>
      <c r="H24" s="21" t="str">
        <f aca="false">IF(A24="","",COUNTIFS('Dimension usage'!$D:$D,A24,'Dimension usage'!$G:$G,"No"))</f>
        <v/>
      </c>
      <c r="I24" s="20"/>
      <c r="J24" s="20"/>
      <c r="K24" s="20"/>
      <c r="L24" s="20"/>
      <c r="M24" s="20"/>
      <c r="N24" s="20"/>
    </row>
    <row r="25" customFormat="false" ht="15" hidden="false" customHeight="false" outlineLevel="0" collapsed="false">
      <c r="A25" s="18"/>
      <c r="B25" s="19"/>
      <c r="C25" s="20"/>
      <c r="D25" s="18" t="str">
        <f aca="false">IF(C25="","",IFERROR(INDEX(Tables!$A:$A,MATCH(C25,Tables!$B:$B,0)),"Not found"))</f>
        <v/>
      </c>
      <c r="E25" s="20"/>
      <c r="F25" s="20"/>
      <c r="G25" s="21" t="str">
        <f aca="false">IF(A25="","",COUNTIF('Dimension usage'!$D:$D,A25))</f>
        <v/>
      </c>
      <c r="H25" s="21" t="str">
        <f aca="false">IF(A25="","",COUNTIFS('Dimension usage'!$D:$D,A25,'Dimension usage'!$G:$G,"No"))</f>
        <v/>
      </c>
      <c r="I25" s="20"/>
      <c r="J25" s="20"/>
      <c r="K25" s="20"/>
      <c r="L25" s="20"/>
      <c r="M25" s="20"/>
      <c r="N25" s="20"/>
    </row>
    <row r="26" customFormat="false" ht="15" hidden="false" customHeight="false" outlineLevel="0" collapsed="false">
      <c r="A26" s="18"/>
      <c r="B26" s="19"/>
      <c r="C26" s="20"/>
      <c r="D26" s="18" t="str">
        <f aca="false">IF(C26="","",IFERROR(INDEX(Tables!$A:$A,MATCH(C26,Tables!$B:$B,0)),"Not found"))</f>
        <v/>
      </c>
      <c r="E26" s="20"/>
      <c r="F26" s="20"/>
      <c r="G26" s="21" t="str">
        <f aca="false">IF(A26="","",COUNTIF('Dimension usage'!$D:$D,A26))</f>
        <v/>
      </c>
      <c r="H26" s="21" t="str">
        <f aca="false">IF(A26="","",COUNTIFS('Dimension usage'!$D:$D,A26,'Dimension usage'!$G:$G,"No"))</f>
        <v/>
      </c>
      <c r="I26" s="20"/>
      <c r="J26" s="20"/>
      <c r="K26" s="20"/>
      <c r="L26" s="20"/>
      <c r="M26" s="20"/>
      <c r="N26" s="20"/>
    </row>
    <row r="27" customFormat="false" ht="15" hidden="false" customHeight="false" outlineLevel="0" collapsed="false">
      <c r="A27" s="18"/>
      <c r="B27" s="19"/>
      <c r="C27" s="20"/>
      <c r="D27" s="18" t="str">
        <f aca="false">IF(C27="","",IFERROR(INDEX(Tables!$A:$A,MATCH(C27,Tables!$B:$B,0)),"Not found"))</f>
        <v/>
      </c>
      <c r="E27" s="20"/>
      <c r="F27" s="20"/>
      <c r="G27" s="21" t="str">
        <f aca="false">IF(A27="","",COUNTIF('Dimension usage'!$D:$D,A27))</f>
        <v/>
      </c>
      <c r="H27" s="21" t="str">
        <f aca="false">IF(A27="","",COUNTIFS('Dimension usage'!$D:$D,A27,'Dimension usage'!$G:$G,"No"))</f>
        <v/>
      </c>
      <c r="I27" s="20"/>
      <c r="J27" s="20"/>
      <c r="K27" s="20"/>
      <c r="L27" s="20"/>
      <c r="M27" s="20"/>
      <c r="N27" s="20"/>
    </row>
    <row r="28" customFormat="false" ht="15" hidden="false" customHeight="false" outlineLevel="0" collapsed="false">
      <c r="A28" s="18"/>
      <c r="B28" s="19"/>
      <c r="C28" s="20"/>
      <c r="D28" s="18" t="str">
        <f aca="false">IF(C28="","",IFERROR(INDEX(Tables!$A:$A,MATCH(C28,Tables!$B:$B,0)),"Not found"))</f>
        <v/>
      </c>
      <c r="E28" s="20"/>
      <c r="F28" s="20"/>
      <c r="G28" s="21" t="str">
        <f aca="false">IF(A28="","",COUNTIF('Dimension usage'!$D:$D,A28))</f>
        <v/>
      </c>
      <c r="H28" s="21" t="str">
        <f aca="false">IF(A28="","",COUNTIFS('Dimension usage'!$D:$D,A28,'Dimension usage'!$G:$G,"No"))</f>
        <v/>
      </c>
      <c r="I28" s="20"/>
      <c r="J28" s="20"/>
      <c r="K28" s="20"/>
      <c r="L28" s="20"/>
      <c r="M28" s="20"/>
      <c r="N28" s="20"/>
    </row>
    <row r="29" customFormat="false" ht="15" hidden="false" customHeight="false" outlineLevel="0" collapsed="false">
      <c r="A29" s="18"/>
      <c r="B29" s="19"/>
      <c r="C29" s="20"/>
      <c r="D29" s="18" t="str">
        <f aca="false">IF(C29="","",IFERROR(INDEX(Tables!$A:$A,MATCH(C29,Tables!$B:$B,0)),"Not found"))</f>
        <v/>
      </c>
      <c r="E29" s="20"/>
      <c r="F29" s="20"/>
      <c r="G29" s="21" t="str">
        <f aca="false">IF(A29="","",COUNTIF('Dimension usage'!$D:$D,A29))</f>
        <v/>
      </c>
      <c r="H29" s="21" t="str">
        <f aca="false">IF(A29="","",COUNTIFS('Dimension usage'!$D:$D,A29,'Dimension usage'!$G:$G,"No"))</f>
        <v/>
      </c>
      <c r="I29" s="20"/>
      <c r="J29" s="20"/>
      <c r="K29" s="20"/>
      <c r="L29" s="20"/>
      <c r="M29" s="20"/>
      <c r="N29" s="20"/>
    </row>
    <row r="30" customFormat="false" ht="15" hidden="false" customHeight="false" outlineLevel="0" collapsed="false">
      <c r="A30" s="18"/>
      <c r="B30" s="19"/>
      <c r="C30" s="20"/>
      <c r="D30" s="18" t="str">
        <f aca="false">IF(C30="","",IFERROR(INDEX(Tables!$A:$A,MATCH(C30,Tables!$B:$B,0)),"Not found"))</f>
        <v/>
      </c>
      <c r="E30" s="20"/>
      <c r="F30" s="20"/>
      <c r="G30" s="21" t="str">
        <f aca="false">IF(A30="","",COUNTIF('Dimension usage'!$D:$D,A30))</f>
        <v/>
      </c>
      <c r="H30" s="21" t="str">
        <f aca="false">IF(A30="","",COUNTIFS('Dimension usage'!$D:$D,A30,'Dimension usage'!$G:$G,"No"))</f>
        <v/>
      </c>
      <c r="I30" s="20"/>
      <c r="J30" s="20"/>
      <c r="K30" s="20"/>
      <c r="L30" s="20"/>
      <c r="M30" s="20"/>
      <c r="N30" s="20"/>
    </row>
    <row r="31" customFormat="false" ht="15" hidden="false" customHeight="false" outlineLevel="0" collapsed="false">
      <c r="A31" s="18"/>
      <c r="B31" s="19"/>
      <c r="C31" s="20"/>
      <c r="D31" s="18" t="str">
        <f aca="false">IF(C31="","",IFERROR(INDEX(Tables!$A:$A,MATCH(C31,Tables!$B:$B,0)),"Not found"))</f>
        <v/>
      </c>
      <c r="E31" s="20"/>
      <c r="F31" s="20"/>
      <c r="G31" s="21" t="str">
        <f aca="false">IF(A31="","",COUNTIF('Dimension usage'!$D:$D,A31))</f>
        <v/>
      </c>
      <c r="H31" s="21" t="str">
        <f aca="false">IF(A31="","",COUNTIFS('Dimension usage'!$D:$D,A31,'Dimension usage'!$G:$G,"No"))</f>
        <v/>
      </c>
      <c r="I31" s="20"/>
      <c r="J31" s="20"/>
      <c r="K31" s="20"/>
      <c r="L31" s="20"/>
      <c r="M31" s="20"/>
      <c r="N31" s="20"/>
    </row>
    <row r="32" customFormat="false" ht="15" hidden="false" customHeight="false" outlineLevel="0" collapsed="false">
      <c r="A32" s="18"/>
      <c r="B32" s="19"/>
      <c r="C32" s="20"/>
      <c r="D32" s="18" t="str">
        <f aca="false">IF(C32="","",IFERROR(INDEX(Tables!$A:$A,MATCH(C32,Tables!$B:$B,0)),"Not found"))</f>
        <v/>
      </c>
      <c r="E32" s="20"/>
      <c r="F32" s="20"/>
      <c r="G32" s="21" t="str">
        <f aca="false">IF(A32="","",COUNTIF('Dimension usage'!$D:$D,A32))</f>
        <v/>
      </c>
      <c r="H32" s="21" t="str">
        <f aca="false">IF(A32="","",COUNTIFS('Dimension usage'!$D:$D,A32,'Dimension usage'!$G:$G,"No"))</f>
        <v/>
      </c>
      <c r="I32" s="20"/>
      <c r="J32" s="20"/>
      <c r="K32" s="20"/>
      <c r="L32" s="20"/>
      <c r="M32" s="20"/>
      <c r="N32" s="20"/>
    </row>
    <row r="33" customFormat="false" ht="15" hidden="false" customHeight="false" outlineLevel="0" collapsed="false">
      <c r="A33" s="18"/>
      <c r="B33" s="19"/>
      <c r="C33" s="20"/>
      <c r="D33" s="18" t="str">
        <f aca="false">IF(C33="","",IFERROR(INDEX(Tables!$A:$A,MATCH(C33,Tables!$B:$B,0)),"Not found"))</f>
        <v/>
      </c>
      <c r="E33" s="20"/>
      <c r="F33" s="20"/>
      <c r="G33" s="21" t="str">
        <f aca="false">IF(A33="","",COUNTIF('Dimension usage'!$D:$D,A33))</f>
        <v/>
      </c>
      <c r="H33" s="21" t="str">
        <f aca="false">IF(A33="","",COUNTIFS('Dimension usage'!$D:$D,A33,'Dimension usage'!$G:$G,"No"))</f>
        <v/>
      </c>
      <c r="I33" s="20"/>
      <c r="J33" s="20"/>
      <c r="K33" s="20"/>
      <c r="L33" s="20"/>
      <c r="M33" s="20"/>
      <c r="N33" s="20"/>
    </row>
    <row r="34" customFormat="false" ht="15" hidden="false" customHeight="false" outlineLevel="0" collapsed="false">
      <c r="A34" s="18"/>
      <c r="B34" s="19"/>
      <c r="C34" s="20"/>
      <c r="D34" s="18" t="str">
        <f aca="false">IF(C34="","",IFERROR(INDEX(Tables!$A:$A,MATCH(C34,Tables!$B:$B,0)),"Not found"))</f>
        <v/>
      </c>
      <c r="E34" s="20"/>
      <c r="F34" s="20"/>
      <c r="G34" s="21" t="str">
        <f aca="false">IF(A34="","",COUNTIF('Dimension usage'!$D:$D,A34))</f>
        <v/>
      </c>
      <c r="H34" s="21" t="str">
        <f aca="false">IF(A34="","",COUNTIFS('Dimension usage'!$D:$D,A34,'Dimension usage'!$G:$G,"No"))</f>
        <v/>
      </c>
      <c r="I34" s="20"/>
      <c r="J34" s="20"/>
      <c r="K34" s="20"/>
      <c r="L34" s="20"/>
      <c r="M34" s="20"/>
      <c r="N34" s="20"/>
    </row>
    <row r="35" customFormat="false" ht="15" hidden="false" customHeight="false" outlineLevel="0" collapsed="false">
      <c r="A35" s="18"/>
      <c r="B35" s="19"/>
      <c r="C35" s="20"/>
      <c r="D35" s="18" t="str">
        <f aca="false">IF(C35="","",IFERROR(INDEX(Tables!$A:$A,MATCH(C35,Tables!$B:$B,0)),"Not found"))</f>
        <v/>
      </c>
      <c r="E35" s="20"/>
      <c r="F35" s="20"/>
      <c r="G35" s="21" t="str">
        <f aca="false">IF(A35="","",COUNTIF('Dimension usage'!$D:$D,A35))</f>
        <v/>
      </c>
      <c r="H35" s="21" t="str">
        <f aca="false">IF(A35="","",COUNTIFS('Dimension usage'!$D:$D,A35,'Dimension usage'!$G:$G,"No"))</f>
        <v/>
      </c>
      <c r="I35" s="20"/>
      <c r="J35" s="20"/>
      <c r="K35" s="20"/>
      <c r="L35" s="20"/>
      <c r="M35" s="20"/>
      <c r="N35" s="20"/>
    </row>
    <row r="36" customFormat="false" ht="15" hidden="false" customHeight="false" outlineLevel="0" collapsed="false">
      <c r="A36" s="18"/>
      <c r="B36" s="19"/>
      <c r="C36" s="20"/>
      <c r="D36" s="18" t="str">
        <f aca="false">IF(C36="","",IFERROR(INDEX(Tables!$A:$A,MATCH(C36,Tables!$B:$B,0)),"Not found"))</f>
        <v/>
      </c>
      <c r="E36" s="20"/>
      <c r="F36" s="20"/>
      <c r="G36" s="21" t="str">
        <f aca="false">IF(A36="","",COUNTIF('Dimension usage'!$D:$D,A36))</f>
        <v/>
      </c>
      <c r="H36" s="21" t="str">
        <f aca="false">IF(A36="","",COUNTIFS('Dimension usage'!$D:$D,A36,'Dimension usage'!$G:$G,"No"))</f>
        <v/>
      </c>
      <c r="I36" s="20"/>
      <c r="J36" s="20"/>
      <c r="K36" s="20"/>
      <c r="L36" s="20"/>
      <c r="M36" s="20"/>
      <c r="N36" s="20"/>
    </row>
    <row r="37" customFormat="false" ht="15" hidden="false" customHeight="false" outlineLevel="0" collapsed="false">
      <c r="A37" s="18"/>
      <c r="B37" s="19"/>
      <c r="C37" s="20"/>
      <c r="D37" s="18" t="str">
        <f aca="false">IF(C37="","",IFERROR(INDEX(Tables!$A:$A,MATCH(C37,Tables!$B:$B,0)),"Not found"))</f>
        <v/>
      </c>
      <c r="E37" s="20"/>
      <c r="F37" s="20"/>
      <c r="G37" s="21" t="str">
        <f aca="false">IF(A37="","",COUNTIF('Dimension usage'!$D:$D,A37))</f>
        <v/>
      </c>
      <c r="H37" s="21" t="str">
        <f aca="false">IF(A37="","",COUNTIFS('Dimension usage'!$D:$D,A37,'Dimension usage'!$G:$G,"No"))</f>
        <v/>
      </c>
      <c r="I37" s="20"/>
      <c r="J37" s="20"/>
      <c r="K37" s="20"/>
      <c r="L37" s="20"/>
      <c r="M37" s="20"/>
      <c r="N37" s="20"/>
    </row>
    <row r="38" customFormat="false" ht="15" hidden="false" customHeight="false" outlineLevel="0" collapsed="false">
      <c r="A38" s="18"/>
      <c r="B38" s="19"/>
      <c r="C38" s="20"/>
      <c r="D38" s="18" t="str">
        <f aca="false">IF(C38="","",IFERROR(INDEX(Tables!$A:$A,MATCH(C38,Tables!$B:$B,0)),"Not found"))</f>
        <v/>
      </c>
      <c r="E38" s="20"/>
      <c r="F38" s="20"/>
      <c r="G38" s="21" t="str">
        <f aca="false">IF(A38="","",COUNTIF('Dimension usage'!$D:$D,A38))</f>
        <v/>
      </c>
      <c r="H38" s="21" t="str">
        <f aca="false">IF(A38="","",COUNTIFS('Dimension usage'!$D:$D,A38,'Dimension usage'!$G:$G,"No"))</f>
        <v/>
      </c>
      <c r="I38" s="20"/>
      <c r="J38" s="20"/>
      <c r="K38" s="20"/>
      <c r="L38" s="20"/>
      <c r="M38" s="20"/>
      <c r="N38" s="20"/>
    </row>
    <row r="39" customFormat="false" ht="15" hidden="false" customHeight="false" outlineLevel="0" collapsed="false">
      <c r="A39" s="18"/>
      <c r="B39" s="19"/>
      <c r="C39" s="20"/>
      <c r="D39" s="18" t="str">
        <f aca="false">IF(C39="","",IFERROR(INDEX(Tables!$A:$A,MATCH(C39,Tables!$B:$B,0)),"Not found"))</f>
        <v/>
      </c>
      <c r="E39" s="20"/>
      <c r="F39" s="20"/>
      <c r="G39" s="21" t="str">
        <f aca="false">IF(A39="","",COUNTIF('Dimension usage'!$D:$D,A39))</f>
        <v/>
      </c>
      <c r="H39" s="21" t="str">
        <f aca="false">IF(A39="","",COUNTIFS('Dimension usage'!$D:$D,A39,'Dimension usage'!$G:$G,"No"))</f>
        <v/>
      </c>
      <c r="I39" s="20"/>
      <c r="J39" s="20"/>
      <c r="K39" s="20"/>
      <c r="L39" s="20"/>
      <c r="M39" s="20"/>
      <c r="N39" s="20"/>
    </row>
    <row r="40" customFormat="false" ht="15" hidden="false" customHeight="false" outlineLevel="0" collapsed="false">
      <c r="A40" s="18"/>
      <c r="B40" s="19"/>
      <c r="C40" s="20"/>
      <c r="D40" s="18" t="str">
        <f aca="false">IF(C40="","",IFERROR(INDEX(Tables!$A:$A,MATCH(C40,Tables!$B:$B,0)),"Not found"))</f>
        <v/>
      </c>
      <c r="E40" s="20"/>
      <c r="F40" s="20"/>
      <c r="G40" s="21" t="str">
        <f aca="false">IF(A40="","",COUNTIF('Dimension usage'!$D:$D,A40))</f>
        <v/>
      </c>
      <c r="H40" s="21" t="str">
        <f aca="false">IF(A40="","",COUNTIFS('Dimension usage'!$D:$D,A40,'Dimension usage'!$G:$G,"No"))</f>
        <v/>
      </c>
      <c r="I40" s="20"/>
      <c r="J40" s="20"/>
      <c r="K40" s="20"/>
      <c r="L40" s="20"/>
      <c r="M40" s="20"/>
      <c r="N40" s="20"/>
    </row>
    <row r="41" customFormat="false" ht="15" hidden="false" customHeight="false" outlineLevel="0" collapsed="false">
      <c r="A41" s="18"/>
      <c r="B41" s="19"/>
      <c r="C41" s="20"/>
      <c r="D41" s="18" t="str">
        <f aca="false">IF(C41="","",IFERROR(INDEX(Tables!$A:$A,MATCH(C41,Tables!$B:$B,0)),"Not found"))</f>
        <v/>
      </c>
      <c r="E41" s="20"/>
      <c r="F41" s="20"/>
      <c r="G41" s="21" t="str">
        <f aca="false">IF(A41="","",COUNTIF('Dimension usage'!$D:$D,A41))</f>
        <v/>
      </c>
      <c r="H41" s="21" t="str">
        <f aca="false">IF(A41="","",COUNTIFS('Dimension usage'!$D:$D,A41,'Dimension usage'!$G:$G,"No"))</f>
        <v/>
      </c>
      <c r="I41" s="20"/>
      <c r="J41" s="20"/>
      <c r="K41" s="20"/>
      <c r="L41" s="20"/>
      <c r="M41" s="20"/>
      <c r="N41" s="20"/>
    </row>
    <row r="42" customFormat="false" ht="15" hidden="false" customHeight="false" outlineLevel="0" collapsed="false">
      <c r="A42" s="18"/>
      <c r="B42" s="19"/>
      <c r="C42" s="20"/>
      <c r="D42" s="18" t="str">
        <f aca="false">IF(C42="","",IFERROR(INDEX(Tables!$A:$A,MATCH(C42,Tables!$B:$B,0)),"Not found"))</f>
        <v/>
      </c>
      <c r="E42" s="20"/>
      <c r="F42" s="20"/>
      <c r="G42" s="21" t="str">
        <f aca="false">IF(A42="","",COUNTIF('Dimension usage'!$D:$D,A42))</f>
        <v/>
      </c>
      <c r="H42" s="21" t="str">
        <f aca="false">IF(A42="","",COUNTIFS('Dimension usage'!$D:$D,A42,'Dimension usage'!$G:$G,"No"))</f>
        <v/>
      </c>
      <c r="I42" s="20"/>
      <c r="J42" s="20"/>
      <c r="K42" s="20"/>
      <c r="L42" s="20"/>
      <c r="M42" s="20"/>
      <c r="N42" s="20"/>
    </row>
    <row r="43" customFormat="false" ht="15" hidden="false" customHeight="false" outlineLevel="0" collapsed="false">
      <c r="A43" s="18"/>
      <c r="B43" s="19"/>
      <c r="C43" s="20"/>
      <c r="D43" s="18" t="str">
        <f aca="false">IF(C43="","",IFERROR(INDEX(Tables!$A:$A,MATCH(C43,Tables!$B:$B,0)),"Not found"))</f>
        <v/>
      </c>
      <c r="E43" s="20"/>
      <c r="F43" s="20"/>
      <c r="G43" s="21" t="str">
        <f aca="false">IF(A43="","",COUNTIF('Dimension usage'!$D:$D,A43))</f>
        <v/>
      </c>
      <c r="H43" s="21" t="str">
        <f aca="false">IF(A43="","",COUNTIFS('Dimension usage'!$D:$D,A43,'Dimension usage'!$G:$G,"No"))</f>
        <v/>
      </c>
      <c r="I43" s="20"/>
      <c r="J43" s="20"/>
      <c r="K43" s="20"/>
      <c r="L43" s="20"/>
      <c r="M43" s="20"/>
      <c r="N43" s="20"/>
    </row>
    <row r="44" customFormat="false" ht="15" hidden="false" customHeight="false" outlineLevel="0" collapsed="false">
      <c r="A44" s="18"/>
      <c r="B44" s="19"/>
      <c r="C44" s="20"/>
      <c r="D44" s="18" t="str">
        <f aca="false">IF(C44="","",IFERROR(INDEX(Tables!$A:$A,MATCH(C44,Tables!$B:$B,0)),"Not found"))</f>
        <v/>
      </c>
      <c r="E44" s="20"/>
      <c r="F44" s="20"/>
      <c r="G44" s="21" t="str">
        <f aca="false">IF(A44="","",COUNTIF('Dimension usage'!$D:$D,A44))</f>
        <v/>
      </c>
      <c r="H44" s="21" t="str">
        <f aca="false">IF(A44="","",COUNTIFS('Dimension usage'!$D:$D,A44,'Dimension usage'!$G:$G,"No"))</f>
        <v/>
      </c>
      <c r="I44" s="20"/>
      <c r="J44" s="20"/>
      <c r="K44" s="20"/>
      <c r="L44" s="20"/>
      <c r="M44" s="20"/>
      <c r="N44" s="20"/>
    </row>
    <row r="45" customFormat="false" ht="15" hidden="false" customHeight="false" outlineLevel="0" collapsed="false">
      <c r="A45" s="18"/>
      <c r="B45" s="19"/>
      <c r="C45" s="20"/>
      <c r="D45" s="18" t="str">
        <f aca="false">IF(C45="","",IFERROR(INDEX(Tables!$A:$A,MATCH(C45,Tables!$B:$B,0)),"Not found"))</f>
        <v/>
      </c>
      <c r="E45" s="20"/>
      <c r="F45" s="20"/>
      <c r="G45" s="21" t="str">
        <f aca="false">IF(A45="","",COUNTIF('Dimension usage'!$D:$D,A45))</f>
        <v/>
      </c>
      <c r="H45" s="21" t="str">
        <f aca="false">IF(A45="","",COUNTIFS('Dimension usage'!$D:$D,A45,'Dimension usage'!$G:$G,"No"))</f>
        <v/>
      </c>
      <c r="I45" s="20"/>
      <c r="J45" s="20"/>
      <c r="K45" s="20"/>
      <c r="L45" s="20"/>
      <c r="M45" s="20"/>
      <c r="N45" s="20"/>
    </row>
    <row r="46" customFormat="false" ht="15" hidden="false" customHeight="false" outlineLevel="0" collapsed="false">
      <c r="A46" s="18"/>
      <c r="B46" s="19"/>
      <c r="C46" s="20"/>
      <c r="D46" s="18" t="str">
        <f aca="false">IF(C46="","",IFERROR(INDEX(Tables!$A:$A,MATCH(C46,Tables!$B:$B,0)),"Not found"))</f>
        <v/>
      </c>
      <c r="E46" s="20"/>
      <c r="F46" s="20"/>
      <c r="G46" s="21" t="str">
        <f aca="false">IF(A46="","",COUNTIF('Dimension usage'!$D:$D,A46))</f>
        <v/>
      </c>
      <c r="H46" s="21" t="str">
        <f aca="false">IF(A46="","",COUNTIFS('Dimension usage'!$D:$D,A46,'Dimension usage'!$G:$G,"No"))</f>
        <v/>
      </c>
      <c r="I46" s="20"/>
      <c r="J46" s="20"/>
      <c r="K46" s="20"/>
      <c r="L46" s="20"/>
      <c r="M46" s="20"/>
      <c r="N46" s="20"/>
    </row>
    <row r="47" customFormat="false" ht="15" hidden="false" customHeight="false" outlineLevel="0" collapsed="false">
      <c r="A47" s="18"/>
      <c r="B47" s="19"/>
      <c r="C47" s="20"/>
      <c r="D47" s="18" t="str">
        <f aca="false">IF(C47="","",IFERROR(INDEX(Tables!$A:$A,MATCH(C47,Tables!$B:$B,0)),"Not found"))</f>
        <v/>
      </c>
      <c r="E47" s="20"/>
      <c r="F47" s="20"/>
      <c r="G47" s="21" t="str">
        <f aca="false">IF(A47="","",COUNTIF('Dimension usage'!$D:$D,A47))</f>
        <v/>
      </c>
      <c r="H47" s="21" t="str">
        <f aca="false">IF(A47="","",COUNTIFS('Dimension usage'!$D:$D,A47,'Dimension usage'!$G:$G,"No"))</f>
        <v/>
      </c>
      <c r="I47" s="20"/>
      <c r="J47" s="20"/>
      <c r="K47" s="20"/>
      <c r="L47" s="20"/>
      <c r="M47" s="20"/>
      <c r="N47" s="20"/>
    </row>
    <row r="48" customFormat="false" ht="15" hidden="false" customHeight="false" outlineLevel="0" collapsed="false">
      <c r="A48" s="18"/>
      <c r="B48" s="19"/>
      <c r="C48" s="20"/>
      <c r="D48" s="18" t="str">
        <f aca="false">IF(C48="","",IFERROR(INDEX(Tables!$A:$A,MATCH(C48,Tables!$B:$B,0)),"Not found"))</f>
        <v/>
      </c>
      <c r="E48" s="20"/>
      <c r="F48" s="20"/>
      <c r="G48" s="21" t="str">
        <f aca="false">IF(A48="","",COUNTIF('Dimension usage'!$D:$D,A48))</f>
        <v/>
      </c>
      <c r="H48" s="21" t="str">
        <f aca="false">IF(A48="","",COUNTIFS('Dimension usage'!$D:$D,A48,'Dimension usage'!$G:$G,"No"))</f>
        <v/>
      </c>
      <c r="I48" s="20"/>
      <c r="J48" s="20"/>
      <c r="K48" s="20"/>
      <c r="L48" s="20"/>
      <c r="M48" s="20"/>
      <c r="N48" s="20"/>
    </row>
    <row r="49" customFormat="false" ht="15" hidden="false" customHeight="false" outlineLevel="0" collapsed="false">
      <c r="A49" s="18"/>
      <c r="B49" s="19"/>
      <c r="C49" s="20"/>
      <c r="D49" s="18" t="str">
        <f aca="false">IF(C49="","",IFERROR(INDEX(Tables!$A:$A,MATCH(C49,Tables!$B:$B,0)),"Not found"))</f>
        <v/>
      </c>
      <c r="E49" s="20"/>
      <c r="F49" s="20"/>
      <c r="G49" s="21" t="str">
        <f aca="false">IF(A49="","",COUNTIF('Dimension usage'!$D:$D,A49))</f>
        <v/>
      </c>
      <c r="H49" s="21" t="str">
        <f aca="false">IF(A49="","",COUNTIFS('Dimension usage'!$D:$D,A49,'Dimension usage'!$G:$G,"No"))</f>
        <v/>
      </c>
      <c r="I49" s="20"/>
      <c r="J49" s="20"/>
      <c r="K49" s="20"/>
      <c r="L49" s="20"/>
      <c r="M49" s="20"/>
      <c r="N49" s="20"/>
    </row>
    <row r="50" customFormat="false" ht="15" hidden="false" customHeight="false" outlineLevel="0" collapsed="false">
      <c r="A50" s="18"/>
      <c r="B50" s="19"/>
      <c r="C50" s="20"/>
      <c r="D50" s="18" t="str">
        <f aca="false">IF(C50="","",IFERROR(INDEX(Tables!$A:$A,MATCH(C50,Tables!$B:$B,0)),"Not found"))</f>
        <v/>
      </c>
      <c r="E50" s="20"/>
      <c r="F50" s="20"/>
      <c r="G50" s="21" t="str">
        <f aca="false">IF(A50="","",COUNTIF('Dimension usage'!$D:$D,A50))</f>
        <v/>
      </c>
      <c r="H50" s="21" t="str">
        <f aca="false">IF(A50="","",COUNTIFS('Dimension usage'!$D:$D,A50,'Dimension usage'!$G:$G,"No"))</f>
        <v/>
      </c>
      <c r="I50" s="20"/>
      <c r="J50" s="20"/>
      <c r="K50" s="20"/>
      <c r="L50" s="20"/>
      <c r="M50" s="20"/>
      <c r="N50" s="20"/>
    </row>
    <row r="51" customFormat="false" ht="15" hidden="false" customHeight="false" outlineLevel="0" collapsed="false">
      <c r="A51" s="18"/>
      <c r="B51" s="19"/>
      <c r="C51" s="20"/>
      <c r="D51" s="18" t="str">
        <f aca="false">IF(C51="","",IFERROR(INDEX(Tables!$A:$A,MATCH(C51,Tables!$B:$B,0)),"Not found"))</f>
        <v/>
      </c>
      <c r="E51" s="20"/>
      <c r="F51" s="20"/>
      <c r="G51" s="21" t="str">
        <f aca="false">IF(A51="","",COUNTIF('Dimension usage'!$D:$D,A51))</f>
        <v/>
      </c>
      <c r="H51" s="21" t="str">
        <f aca="false">IF(A51="","",COUNTIFS('Dimension usage'!$D:$D,A51,'Dimension usage'!$G:$G,"No"))</f>
        <v/>
      </c>
      <c r="I51" s="20"/>
      <c r="J51" s="20"/>
      <c r="K51" s="20"/>
      <c r="L51" s="20"/>
      <c r="M51" s="20"/>
      <c r="N51" s="20"/>
    </row>
    <row r="52" customFormat="false" ht="15" hidden="false" customHeight="false" outlineLevel="0" collapsed="false">
      <c r="A52" s="18"/>
      <c r="B52" s="19"/>
      <c r="C52" s="20"/>
      <c r="D52" s="18" t="str">
        <f aca="false">IF(C52="","",IFERROR(INDEX(Tables!$A:$A,MATCH(C52,Tables!$B:$B,0)),"Not found"))</f>
        <v/>
      </c>
      <c r="E52" s="20"/>
      <c r="F52" s="20"/>
      <c r="G52" s="21" t="str">
        <f aca="false">IF(A52="","",COUNTIF('Dimension usage'!$D:$D,A52))</f>
        <v/>
      </c>
      <c r="H52" s="21" t="str">
        <f aca="false">IF(A52="","",COUNTIFS('Dimension usage'!$D:$D,A52,'Dimension usage'!$G:$G,"No"))</f>
        <v/>
      </c>
      <c r="I52" s="20"/>
      <c r="J52" s="20"/>
      <c r="K52" s="20"/>
      <c r="L52" s="20"/>
      <c r="M52" s="20"/>
      <c r="N52" s="20"/>
    </row>
    <row r="53" customFormat="false" ht="15" hidden="false" customHeight="false" outlineLevel="0" collapsed="false">
      <c r="A53" s="18"/>
      <c r="B53" s="19"/>
      <c r="C53" s="20"/>
      <c r="D53" s="18" t="str">
        <f aca="false">IF(C53="","",IFERROR(INDEX(Tables!$A:$A,MATCH(C53,Tables!$B:$B,0)),"Not found"))</f>
        <v/>
      </c>
      <c r="E53" s="20"/>
      <c r="F53" s="20"/>
      <c r="G53" s="21" t="str">
        <f aca="false">IF(A53="","",COUNTIF('Dimension usage'!$D:$D,A53))</f>
        <v/>
      </c>
      <c r="H53" s="21" t="str">
        <f aca="false">IF(A53="","",COUNTIFS('Dimension usage'!$D:$D,A53,'Dimension usage'!$G:$G,"No"))</f>
        <v/>
      </c>
      <c r="I53" s="20"/>
      <c r="J53" s="20"/>
      <c r="K53" s="20"/>
      <c r="L53" s="20"/>
      <c r="M53" s="20"/>
      <c r="N53" s="20"/>
    </row>
    <row r="54" customFormat="false" ht="15" hidden="false" customHeight="false" outlineLevel="0" collapsed="false">
      <c r="A54" s="18"/>
      <c r="B54" s="19"/>
      <c r="C54" s="20"/>
      <c r="D54" s="18" t="str">
        <f aca="false">IF(C54="","",IFERROR(INDEX(Tables!$A:$A,MATCH(C54,Tables!$B:$B,0)),"Not found"))</f>
        <v/>
      </c>
      <c r="E54" s="20"/>
      <c r="F54" s="20"/>
      <c r="G54" s="21" t="str">
        <f aca="false">IF(A54="","",COUNTIF('Dimension usage'!$D:$D,A54))</f>
        <v/>
      </c>
      <c r="H54" s="21" t="str">
        <f aca="false">IF(A54="","",COUNTIFS('Dimension usage'!$D:$D,A54,'Dimension usage'!$G:$G,"No"))</f>
        <v/>
      </c>
      <c r="I54" s="20"/>
      <c r="J54" s="20"/>
      <c r="K54" s="20"/>
      <c r="L54" s="20"/>
      <c r="M54" s="20"/>
      <c r="N54" s="20"/>
    </row>
    <row r="55" customFormat="false" ht="15" hidden="false" customHeight="false" outlineLevel="0" collapsed="false">
      <c r="A55" s="18"/>
      <c r="B55" s="19"/>
      <c r="C55" s="20"/>
      <c r="D55" s="18" t="str">
        <f aca="false">IF(C55="","",IFERROR(INDEX(Tables!$A:$A,MATCH(C55,Tables!$B:$B,0)),"Not found"))</f>
        <v/>
      </c>
      <c r="E55" s="20"/>
      <c r="F55" s="20"/>
      <c r="G55" s="21" t="str">
        <f aca="false">IF(A55="","",COUNTIF('Dimension usage'!$D:$D,A55))</f>
        <v/>
      </c>
      <c r="H55" s="21" t="str">
        <f aca="false">IF(A55="","",COUNTIFS('Dimension usage'!$D:$D,A55,'Dimension usage'!$G:$G,"No"))</f>
        <v/>
      </c>
      <c r="I55" s="20"/>
      <c r="J55" s="20"/>
      <c r="K55" s="20"/>
      <c r="L55" s="20"/>
      <c r="M55" s="20"/>
      <c r="N55" s="20"/>
    </row>
    <row r="56" customFormat="false" ht="15" hidden="false" customHeight="false" outlineLevel="0" collapsed="false">
      <c r="A56" s="18"/>
      <c r="B56" s="19"/>
      <c r="C56" s="20"/>
      <c r="D56" s="18" t="str">
        <f aca="false">IF(C56="","",IFERROR(INDEX(Tables!$A:$A,MATCH(C56,Tables!$B:$B,0)),"Not found"))</f>
        <v/>
      </c>
      <c r="E56" s="20"/>
      <c r="F56" s="20"/>
      <c r="G56" s="21" t="str">
        <f aca="false">IF(A56="","",COUNTIF('Dimension usage'!$D:$D,A56))</f>
        <v/>
      </c>
      <c r="H56" s="21" t="str">
        <f aca="false">IF(A56="","",COUNTIFS('Dimension usage'!$D:$D,A56,'Dimension usage'!$G:$G,"No"))</f>
        <v/>
      </c>
      <c r="I56" s="20"/>
      <c r="J56" s="20"/>
      <c r="K56" s="20"/>
      <c r="L56" s="20"/>
      <c r="M56" s="20"/>
      <c r="N56" s="20"/>
    </row>
    <row r="57" customFormat="false" ht="15" hidden="false" customHeight="false" outlineLevel="0" collapsed="false">
      <c r="A57" s="18"/>
      <c r="B57" s="19"/>
      <c r="C57" s="20"/>
      <c r="D57" s="18" t="str">
        <f aca="false">IF(C57="","",IFERROR(INDEX(Tables!$A:$A,MATCH(C57,Tables!$B:$B,0)),"Not found"))</f>
        <v/>
      </c>
      <c r="E57" s="20"/>
      <c r="F57" s="20"/>
      <c r="G57" s="21" t="str">
        <f aca="false">IF(A57="","",COUNTIF('Dimension usage'!$D:$D,A57))</f>
        <v/>
      </c>
      <c r="H57" s="21" t="str">
        <f aca="false">IF(A57="","",COUNTIFS('Dimension usage'!$D:$D,A57,'Dimension usage'!$G:$G,"No"))</f>
        <v/>
      </c>
      <c r="I57" s="20"/>
      <c r="J57" s="20"/>
      <c r="K57" s="20"/>
      <c r="L57" s="20"/>
      <c r="M57" s="20"/>
      <c r="N57" s="20"/>
    </row>
    <row r="58" customFormat="false" ht="15" hidden="false" customHeight="false" outlineLevel="0" collapsed="false">
      <c r="A58" s="18"/>
      <c r="B58" s="19"/>
      <c r="C58" s="20"/>
      <c r="D58" s="18" t="str">
        <f aca="false">IF(C58="","",IFERROR(INDEX(Tables!$A:$A,MATCH(C58,Tables!$B:$B,0)),"Not found"))</f>
        <v/>
      </c>
      <c r="E58" s="20"/>
      <c r="F58" s="20"/>
      <c r="G58" s="21" t="str">
        <f aca="false">IF(A58="","",COUNTIF('Dimension usage'!$D:$D,A58))</f>
        <v/>
      </c>
      <c r="H58" s="21" t="str">
        <f aca="false">IF(A58="","",COUNTIFS('Dimension usage'!$D:$D,A58,'Dimension usage'!$G:$G,"No"))</f>
        <v/>
      </c>
      <c r="I58" s="20"/>
      <c r="J58" s="20"/>
      <c r="K58" s="20"/>
      <c r="L58" s="20"/>
      <c r="M58" s="20"/>
      <c r="N58" s="20"/>
    </row>
    <row r="59" customFormat="false" ht="15" hidden="false" customHeight="false" outlineLevel="0" collapsed="false">
      <c r="A59" s="18"/>
      <c r="B59" s="19"/>
      <c r="C59" s="20"/>
      <c r="D59" s="18" t="str">
        <f aca="false">IF(C59="","",IFERROR(INDEX(Tables!$A:$A,MATCH(C59,Tables!$B:$B,0)),"Not found"))</f>
        <v/>
      </c>
      <c r="E59" s="20"/>
      <c r="F59" s="20"/>
      <c r="G59" s="21" t="str">
        <f aca="false">IF(A59="","",COUNTIF('Dimension usage'!$D:$D,A59))</f>
        <v/>
      </c>
      <c r="H59" s="21" t="str">
        <f aca="false">IF(A59="","",COUNTIFS('Dimension usage'!$D:$D,A59,'Dimension usage'!$G:$G,"No"))</f>
        <v/>
      </c>
      <c r="I59" s="20"/>
      <c r="J59" s="20"/>
      <c r="K59" s="20"/>
      <c r="L59" s="20"/>
      <c r="M59" s="20"/>
      <c r="N59" s="20"/>
    </row>
    <row r="60" customFormat="false" ht="15" hidden="false" customHeight="false" outlineLevel="0" collapsed="false">
      <c r="A60" s="18"/>
      <c r="B60" s="19"/>
      <c r="C60" s="20"/>
      <c r="D60" s="18" t="str">
        <f aca="false">IF(C60="","",IFERROR(INDEX(Tables!$A:$A,MATCH(C60,Tables!$B:$B,0)),"Not found"))</f>
        <v/>
      </c>
      <c r="E60" s="20"/>
      <c r="F60" s="20"/>
      <c r="G60" s="21" t="str">
        <f aca="false">IF(A60="","",COUNTIF('Dimension usage'!$D:$D,A60))</f>
        <v/>
      </c>
      <c r="H60" s="21" t="str">
        <f aca="false">IF(A60="","",COUNTIFS('Dimension usage'!$D:$D,A60,'Dimension usage'!$G:$G,"No"))</f>
        <v/>
      </c>
      <c r="I60" s="20"/>
      <c r="J60" s="20"/>
      <c r="K60" s="20"/>
      <c r="L60" s="20"/>
      <c r="M60" s="20"/>
      <c r="N60" s="20"/>
    </row>
    <row r="61" customFormat="false" ht="15" hidden="false" customHeight="false" outlineLevel="0" collapsed="false">
      <c r="A61" s="18"/>
      <c r="B61" s="19"/>
      <c r="C61" s="20"/>
      <c r="D61" s="18" t="str">
        <f aca="false">IF(C61="","",IFERROR(INDEX(Tables!$A:$A,MATCH(C61,Tables!$B:$B,0)),"Not found"))</f>
        <v/>
      </c>
      <c r="E61" s="20"/>
      <c r="F61" s="20"/>
      <c r="G61" s="21" t="str">
        <f aca="false">IF(A61="","",COUNTIF('Dimension usage'!$D:$D,A61))</f>
        <v/>
      </c>
      <c r="H61" s="21" t="str">
        <f aca="false">IF(A61="","",COUNTIFS('Dimension usage'!$D:$D,A61,'Dimension usage'!$G:$G,"No"))</f>
        <v/>
      </c>
      <c r="I61" s="20"/>
      <c r="J61" s="20"/>
      <c r="K61" s="20"/>
      <c r="L61" s="20"/>
      <c r="M61" s="20"/>
      <c r="N61" s="20"/>
    </row>
    <row r="62" customFormat="false" ht="15" hidden="false" customHeight="false" outlineLevel="0" collapsed="false">
      <c r="A62" s="18"/>
      <c r="B62" s="19"/>
      <c r="C62" s="20"/>
      <c r="D62" s="18" t="str">
        <f aca="false">IF(C62="","",IFERROR(INDEX(Tables!$A:$A,MATCH(C62,Tables!$B:$B,0)),"Not found"))</f>
        <v/>
      </c>
      <c r="E62" s="20"/>
      <c r="F62" s="20"/>
      <c r="G62" s="21" t="str">
        <f aca="false">IF(A62="","",COUNTIF('Dimension usage'!$D:$D,A62))</f>
        <v/>
      </c>
      <c r="H62" s="21" t="str">
        <f aca="false">IF(A62="","",COUNTIFS('Dimension usage'!$D:$D,A62,'Dimension usage'!$G:$G,"No"))</f>
        <v/>
      </c>
      <c r="I62" s="20"/>
      <c r="J62" s="20"/>
      <c r="K62" s="20"/>
      <c r="L62" s="20"/>
      <c r="M62" s="20"/>
      <c r="N62" s="20"/>
    </row>
    <row r="63" customFormat="false" ht="15" hidden="false" customHeight="false" outlineLevel="0" collapsed="false">
      <c r="A63" s="18"/>
      <c r="B63" s="19"/>
      <c r="C63" s="20"/>
      <c r="D63" s="18" t="str">
        <f aca="false">IF(C63="","",IFERROR(INDEX(Tables!$A:$A,MATCH(C63,Tables!$B:$B,0)),"Not found"))</f>
        <v/>
      </c>
      <c r="E63" s="20"/>
      <c r="F63" s="20"/>
      <c r="G63" s="21" t="str">
        <f aca="false">IF(A63="","",COUNTIF('Dimension usage'!$D:$D,A63))</f>
        <v/>
      </c>
      <c r="H63" s="21" t="str">
        <f aca="false">IF(A63="","",COUNTIFS('Dimension usage'!$D:$D,A63,'Dimension usage'!$G:$G,"No"))</f>
        <v/>
      </c>
      <c r="I63" s="20"/>
      <c r="J63" s="20"/>
      <c r="K63" s="20"/>
      <c r="L63" s="20"/>
      <c r="M63" s="20"/>
      <c r="N63" s="20"/>
    </row>
    <row r="64" customFormat="false" ht="15" hidden="false" customHeight="false" outlineLevel="0" collapsed="false">
      <c r="A64" s="18"/>
      <c r="B64" s="19"/>
      <c r="C64" s="20"/>
      <c r="D64" s="18" t="str">
        <f aca="false">IF(C64="","",IFERROR(INDEX(Tables!$A:$A,MATCH(C64,Tables!$B:$B,0)),"Not found"))</f>
        <v/>
      </c>
      <c r="E64" s="20"/>
      <c r="F64" s="20"/>
      <c r="G64" s="21" t="str">
        <f aca="false">IF(A64="","",COUNTIF('Dimension usage'!$D:$D,A64))</f>
        <v/>
      </c>
      <c r="H64" s="21" t="str">
        <f aca="false">IF(A64="","",COUNTIFS('Dimension usage'!$D:$D,A64,'Dimension usage'!$G:$G,"No"))</f>
        <v/>
      </c>
      <c r="I64" s="20"/>
      <c r="J64" s="20"/>
      <c r="K64" s="20"/>
      <c r="L64" s="20"/>
      <c r="M64" s="20"/>
      <c r="N64" s="20"/>
    </row>
    <row r="65" customFormat="false" ht="15" hidden="false" customHeight="false" outlineLevel="0" collapsed="false">
      <c r="A65" s="18"/>
      <c r="B65" s="19"/>
      <c r="C65" s="20"/>
      <c r="D65" s="18" t="str">
        <f aca="false">IF(C65="","",IFERROR(INDEX(Tables!$A:$A,MATCH(C65,Tables!$B:$B,0)),"Not found"))</f>
        <v/>
      </c>
      <c r="E65" s="20"/>
      <c r="F65" s="20"/>
      <c r="G65" s="21" t="str">
        <f aca="false">IF(A65="","",COUNTIF('Dimension usage'!$D:$D,A65))</f>
        <v/>
      </c>
      <c r="H65" s="21" t="str">
        <f aca="false">IF(A65="","",COUNTIFS('Dimension usage'!$D:$D,A65,'Dimension usage'!$G:$G,"No"))</f>
        <v/>
      </c>
      <c r="I65" s="20"/>
      <c r="J65" s="20"/>
      <c r="K65" s="20"/>
      <c r="L65" s="20"/>
      <c r="M65" s="20"/>
      <c r="N65" s="20"/>
    </row>
    <row r="66" customFormat="false" ht="15" hidden="false" customHeight="false" outlineLevel="0" collapsed="false">
      <c r="A66" s="18"/>
      <c r="B66" s="19"/>
      <c r="C66" s="20"/>
      <c r="D66" s="18" t="str">
        <f aca="false">IF(C66="","",IFERROR(INDEX(Tables!$A:$A,MATCH(C66,Tables!$B:$B,0)),"Not found"))</f>
        <v/>
      </c>
      <c r="E66" s="20"/>
      <c r="F66" s="20"/>
      <c r="G66" s="21" t="str">
        <f aca="false">IF(A66="","",COUNTIF('Dimension usage'!$D:$D,A66))</f>
        <v/>
      </c>
      <c r="H66" s="21" t="str">
        <f aca="false">IF(A66="","",COUNTIFS('Dimension usage'!$D:$D,A66,'Dimension usage'!$G:$G,"No"))</f>
        <v/>
      </c>
      <c r="I66" s="20"/>
      <c r="J66" s="20"/>
      <c r="K66" s="20"/>
      <c r="L66" s="20"/>
      <c r="M66" s="20"/>
      <c r="N66" s="20"/>
    </row>
    <row r="67" customFormat="false" ht="15" hidden="false" customHeight="false" outlineLevel="0" collapsed="false">
      <c r="A67" s="18"/>
      <c r="B67" s="19"/>
      <c r="C67" s="20"/>
      <c r="D67" s="18" t="str">
        <f aca="false">IF(C67="","",IFERROR(INDEX(Tables!$A:$A,MATCH(C67,Tables!$B:$B,0)),"Not found"))</f>
        <v/>
      </c>
      <c r="E67" s="20"/>
      <c r="F67" s="20"/>
      <c r="G67" s="21" t="str">
        <f aca="false">IF(A67="","",COUNTIF('Dimension usage'!$D:$D,A67))</f>
        <v/>
      </c>
      <c r="H67" s="21" t="str">
        <f aca="false">IF(A67="","",COUNTIFS('Dimension usage'!$D:$D,A67,'Dimension usage'!$G:$G,"No"))</f>
        <v/>
      </c>
      <c r="I67" s="20"/>
      <c r="J67" s="20"/>
      <c r="K67" s="20"/>
      <c r="L67" s="20"/>
      <c r="M67" s="20"/>
      <c r="N67" s="20"/>
    </row>
    <row r="68" customFormat="false" ht="15" hidden="false" customHeight="false" outlineLevel="0" collapsed="false">
      <c r="A68" s="18"/>
      <c r="B68" s="19"/>
      <c r="C68" s="20"/>
      <c r="D68" s="18" t="str">
        <f aca="false">IF(C68="","",IFERROR(INDEX(Tables!$A:$A,MATCH(C68,Tables!$B:$B,0)),"Not found"))</f>
        <v/>
      </c>
      <c r="E68" s="20"/>
      <c r="F68" s="20"/>
      <c r="G68" s="21" t="str">
        <f aca="false">IF(A68="","",COUNTIF('Dimension usage'!$D:$D,A68))</f>
        <v/>
      </c>
      <c r="H68" s="21" t="str">
        <f aca="false">IF(A68="","",COUNTIFS('Dimension usage'!$D:$D,A68,'Dimension usage'!$G:$G,"No"))</f>
        <v/>
      </c>
      <c r="I68" s="20"/>
      <c r="J68" s="20"/>
      <c r="K68" s="20"/>
      <c r="L68" s="20"/>
      <c r="M68" s="20"/>
      <c r="N68" s="20"/>
    </row>
    <row r="69" customFormat="false" ht="15" hidden="false" customHeight="false" outlineLevel="0" collapsed="false">
      <c r="A69" s="18"/>
      <c r="B69" s="19"/>
      <c r="C69" s="20"/>
      <c r="D69" s="18" t="str">
        <f aca="false">IF(C69="","",IFERROR(INDEX(Tables!$A:$A,MATCH(C69,Tables!$B:$B,0)),"Not found"))</f>
        <v/>
      </c>
      <c r="E69" s="20"/>
      <c r="F69" s="20"/>
      <c r="G69" s="21" t="str">
        <f aca="false">IF(A69="","",COUNTIF('Dimension usage'!$D:$D,A69))</f>
        <v/>
      </c>
      <c r="H69" s="21" t="str">
        <f aca="false">IF(A69="","",COUNTIFS('Dimension usage'!$D:$D,A69,'Dimension usage'!$G:$G,"No"))</f>
        <v/>
      </c>
      <c r="I69" s="20"/>
      <c r="J69" s="20"/>
      <c r="K69" s="20"/>
      <c r="L69" s="20"/>
      <c r="M69" s="20"/>
      <c r="N69" s="20"/>
    </row>
    <row r="70" customFormat="false" ht="15" hidden="false" customHeight="false" outlineLevel="0" collapsed="false">
      <c r="A70" s="18"/>
      <c r="B70" s="19"/>
      <c r="C70" s="20"/>
      <c r="D70" s="18" t="str">
        <f aca="false">IF(C70="","",IFERROR(INDEX(Tables!$A:$A,MATCH(C70,Tables!$B:$B,0)),"Not found"))</f>
        <v/>
      </c>
      <c r="E70" s="20"/>
      <c r="F70" s="20"/>
      <c r="G70" s="21" t="str">
        <f aca="false">IF(A70="","",COUNTIF('Dimension usage'!$D:$D,A70))</f>
        <v/>
      </c>
      <c r="H70" s="21" t="str">
        <f aca="false">IF(A70="","",COUNTIFS('Dimension usage'!$D:$D,A70,'Dimension usage'!$G:$G,"No"))</f>
        <v/>
      </c>
      <c r="I70" s="20"/>
      <c r="J70" s="20"/>
      <c r="K70" s="20"/>
      <c r="L70" s="20"/>
      <c r="M70" s="20"/>
      <c r="N70" s="20"/>
    </row>
    <row r="71" customFormat="false" ht="15" hidden="false" customHeight="false" outlineLevel="0" collapsed="false">
      <c r="A71" s="18"/>
      <c r="B71" s="19"/>
      <c r="C71" s="20"/>
      <c r="D71" s="18" t="str">
        <f aca="false">IF(C71="","",IFERROR(INDEX(Tables!$A:$A,MATCH(C71,Tables!$B:$B,0)),"Not found"))</f>
        <v/>
      </c>
      <c r="E71" s="20"/>
      <c r="F71" s="20"/>
      <c r="G71" s="21" t="str">
        <f aca="false">IF(A71="","",COUNTIF('Dimension usage'!$D:$D,A71))</f>
        <v/>
      </c>
      <c r="H71" s="21" t="str">
        <f aca="false">IF(A71="","",COUNTIFS('Dimension usage'!$D:$D,A71,'Dimension usage'!$G:$G,"No"))</f>
        <v/>
      </c>
      <c r="I71" s="20"/>
      <c r="J71" s="20"/>
      <c r="K71" s="20"/>
      <c r="L71" s="20"/>
      <c r="M71" s="20"/>
      <c r="N71" s="20"/>
    </row>
    <row r="72" customFormat="false" ht="15" hidden="false" customHeight="false" outlineLevel="0" collapsed="false">
      <c r="A72" s="18"/>
      <c r="B72" s="19"/>
      <c r="C72" s="20"/>
      <c r="D72" s="18" t="str">
        <f aca="false">IF(C72="","",IFERROR(INDEX(Tables!$A:$A,MATCH(C72,Tables!$B:$B,0)),"Not found"))</f>
        <v/>
      </c>
      <c r="E72" s="20"/>
      <c r="F72" s="20"/>
      <c r="G72" s="21" t="str">
        <f aca="false">IF(A72="","",COUNTIF('Dimension usage'!$D:$D,A72))</f>
        <v/>
      </c>
      <c r="H72" s="21" t="str">
        <f aca="false">IF(A72="","",COUNTIFS('Dimension usage'!$D:$D,A72,'Dimension usage'!$G:$G,"No"))</f>
        <v/>
      </c>
      <c r="I72" s="20"/>
      <c r="J72" s="20"/>
      <c r="K72" s="20"/>
      <c r="L72" s="20"/>
      <c r="M72" s="20"/>
      <c r="N72" s="20"/>
    </row>
    <row r="73" customFormat="false" ht="15" hidden="false" customHeight="false" outlineLevel="0" collapsed="false">
      <c r="A73" s="18"/>
      <c r="B73" s="19"/>
      <c r="C73" s="20"/>
      <c r="D73" s="18" t="str">
        <f aca="false">IF(C73="","",IFERROR(INDEX(Tables!$A:$A,MATCH(C73,Tables!$B:$B,0)),"Not found"))</f>
        <v/>
      </c>
      <c r="E73" s="20"/>
      <c r="F73" s="20"/>
      <c r="G73" s="21" t="str">
        <f aca="false">IF(A73="","",COUNTIF('Dimension usage'!$D:$D,A73))</f>
        <v/>
      </c>
      <c r="H73" s="21" t="str">
        <f aca="false">IF(A73="","",COUNTIFS('Dimension usage'!$D:$D,A73,'Dimension usage'!$G:$G,"No"))</f>
        <v/>
      </c>
      <c r="I73" s="20"/>
      <c r="J73" s="20"/>
      <c r="K73" s="20"/>
      <c r="L73" s="20"/>
      <c r="M73" s="20"/>
      <c r="N73" s="20"/>
    </row>
    <row r="74" customFormat="false" ht="15" hidden="false" customHeight="false" outlineLevel="0" collapsed="false">
      <c r="A74" s="18"/>
      <c r="B74" s="19"/>
      <c r="C74" s="20"/>
      <c r="D74" s="18" t="str">
        <f aca="false">IF(C74="","",IFERROR(INDEX(Tables!$A:$A,MATCH(C74,Tables!$B:$B,0)),"Not found"))</f>
        <v/>
      </c>
      <c r="E74" s="20"/>
      <c r="F74" s="20"/>
      <c r="G74" s="21" t="str">
        <f aca="false">IF(A74="","",COUNTIF('Dimension usage'!$D:$D,A74))</f>
        <v/>
      </c>
      <c r="H74" s="21" t="str">
        <f aca="false">IF(A74="","",COUNTIFS('Dimension usage'!$D:$D,A74,'Dimension usage'!$G:$G,"No"))</f>
        <v/>
      </c>
      <c r="I74" s="20"/>
      <c r="J74" s="20"/>
      <c r="K74" s="20"/>
      <c r="L74" s="20"/>
      <c r="M74" s="20"/>
      <c r="N74" s="20"/>
    </row>
    <row r="75" customFormat="false" ht="15" hidden="false" customHeight="false" outlineLevel="0" collapsed="false">
      <c r="A75" s="18"/>
      <c r="B75" s="19"/>
      <c r="C75" s="20"/>
      <c r="D75" s="18" t="str">
        <f aca="false">IF(C75="","",IFERROR(INDEX(Tables!$A:$A,MATCH(C75,Tables!$B:$B,0)),"Not found"))</f>
        <v/>
      </c>
      <c r="E75" s="20"/>
      <c r="F75" s="20"/>
      <c r="G75" s="21" t="str">
        <f aca="false">IF(A75="","",COUNTIF('Dimension usage'!$D:$D,A75))</f>
        <v/>
      </c>
      <c r="H75" s="21" t="str">
        <f aca="false">IF(A75="","",COUNTIFS('Dimension usage'!$D:$D,A75,'Dimension usage'!$G:$G,"No"))</f>
        <v/>
      </c>
      <c r="I75" s="20"/>
      <c r="J75" s="20"/>
      <c r="K75" s="20"/>
      <c r="L75" s="20"/>
      <c r="M75" s="20"/>
      <c r="N75" s="20"/>
    </row>
    <row r="76" customFormat="false" ht="15" hidden="false" customHeight="false" outlineLevel="0" collapsed="false">
      <c r="A76" s="18"/>
      <c r="B76" s="19"/>
      <c r="C76" s="20"/>
      <c r="D76" s="18" t="str">
        <f aca="false">IF(C76="","",IFERROR(INDEX(Tables!$A:$A,MATCH(C76,Tables!$B:$B,0)),"Not found"))</f>
        <v/>
      </c>
      <c r="E76" s="20"/>
      <c r="F76" s="20"/>
      <c r="G76" s="21" t="str">
        <f aca="false">IF(A76="","",COUNTIF('Dimension usage'!$D:$D,A76))</f>
        <v/>
      </c>
      <c r="H76" s="21" t="str">
        <f aca="false">IF(A76="","",COUNTIFS('Dimension usage'!$D:$D,A76,'Dimension usage'!$G:$G,"No"))</f>
        <v/>
      </c>
      <c r="I76" s="20"/>
      <c r="J76" s="20"/>
      <c r="K76" s="20"/>
      <c r="L76" s="20"/>
      <c r="M76" s="20"/>
      <c r="N76" s="20"/>
    </row>
    <row r="77" customFormat="false" ht="15" hidden="false" customHeight="false" outlineLevel="0" collapsed="false">
      <c r="A77" s="18"/>
      <c r="B77" s="19"/>
      <c r="C77" s="20"/>
      <c r="D77" s="18" t="str">
        <f aca="false">IF(C77="","",IFERROR(INDEX(Tables!$A:$A,MATCH(C77,Tables!$B:$B,0)),"Not found"))</f>
        <v/>
      </c>
      <c r="E77" s="20"/>
      <c r="F77" s="20"/>
      <c r="G77" s="21" t="str">
        <f aca="false">IF(A77="","",COUNTIF('Dimension usage'!$D:$D,A77))</f>
        <v/>
      </c>
      <c r="H77" s="21" t="str">
        <f aca="false">IF(A77="","",COUNTIFS('Dimension usage'!$D:$D,A77,'Dimension usage'!$G:$G,"No"))</f>
        <v/>
      </c>
      <c r="I77" s="20"/>
      <c r="J77" s="20"/>
      <c r="K77" s="20"/>
      <c r="L77" s="20"/>
      <c r="M77" s="20"/>
      <c r="N77" s="20"/>
    </row>
    <row r="78" customFormat="false" ht="15" hidden="false" customHeight="false" outlineLevel="0" collapsed="false">
      <c r="A78" s="18"/>
      <c r="B78" s="19"/>
      <c r="C78" s="20"/>
      <c r="D78" s="18" t="str">
        <f aca="false">IF(C78="","",IFERROR(INDEX(Tables!$A:$A,MATCH(C78,Tables!$B:$B,0)),"Not found"))</f>
        <v/>
      </c>
      <c r="E78" s="20"/>
      <c r="F78" s="20"/>
      <c r="G78" s="21" t="str">
        <f aca="false">IF(A78="","",COUNTIF('Dimension usage'!$D:$D,A78))</f>
        <v/>
      </c>
      <c r="H78" s="21" t="str">
        <f aca="false">IF(A78="","",COUNTIFS('Dimension usage'!$D:$D,A78,'Dimension usage'!$G:$G,"No"))</f>
        <v/>
      </c>
      <c r="I78" s="20"/>
      <c r="J78" s="20"/>
      <c r="K78" s="20"/>
      <c r="L78" s="20"/>
      <c r="M78" s="20"/>
      <c r="N78" s="20"/>
    </row>
    <row r="79" customFormat="false" ht="15" hidden="false" customHeight="false" outlineLevel="0" collapsed="false">
      <c r="A79" s="18"/>
      <c r="B79" s="19"/>
      <c r="C79" s="20"/>
      <c r="D79" s="18" t="str">
        <f aca="false">IF(C79="","",IFERROR(INDEX(Tables!$A:$A,MATCH(C79,Tables!$B:$B,0)),"Not found"))</f>
        <v/>
      </c>
      <c r="E79" s="20"/>
      <c r="F79" s="20"/>
      <c r="G79" s="21" t="str">
        <f aca="false">IF(A79="","",COUNTIF('Dimension usage'!$D:$D,A79))</f>
        <v/>
      </c>
      <c r="H79" s="21" t="str">
        <f aca="false">IF(A79="","",COUNTIFS('Dimension usage'!$D:$D,A79,'Dimension usage'!$G:$G,"No"))</f>
        <v/>
      </c>
      <c r="I79" s="20"/>
      <c r="J79" s="20"/>
      <c r="K79" s="20"/>
      <c r="L79" s="20"/>
      <c r="M79" s="20"/>
      <c r="N79" s="20"/>
    </row>
    <row r="80" customFormat="false" ht="15" hidden="false" customHeight="false" outlineLevel="0" collapsed="false">
      <c r="A80" s="18"/>
      <c r="B80" s="19"/>
      <c r="C80" s="20"/>
      <c r="D80" s="18" t="str">
        <f aca="false">IF(C80="","",IFERROR(INDEX(Tables!$A:$A,MATCH(C80,Tables!$B:$B,0)),"Not found"))</f>
        <v/>
      </c>
      <c r="E80" s="20"/>
      <c r="F80" s="20"/>
      <c r="G80" s="21" t="str">
        <f aca="false">IF(A80="","",COUNTIF('Dimension usage'!$D:$D,A80))</f>
        <v/>
      </c>
      <c r="H80" s="21" t="str">
        <f aca="false">IF(A80="","",COUNTIFS('Dimension usage'!$D:$D,A80,'Dimension usage'!$G:$G,"No"))</f>
        <v/>
      </c>
      <c r="I80" s="20"/>
      <c r="J80" s="20"/>
      <c r="K80" s="20"/>
      <c r="L80" s="20"/>
      <c r="M80" s="20"/>
      <c r="N80" s="20"/>
    </row>
    <row r="81" customFormat="false" ht="15" hidden="false" customHeight="false" outlineLevel="0" collapsed="false">
      <c r="A81" s="18"/>
      <c r="B81" s="19"/>
      <c r="C81" s="20"/>
      <c r="D81" s="18" t="str">
        <f aca="false">IF(C81="","",IFERROR(INDEX(Tables!$A:$A,MATCH(C81,Tables!$B:$B,0)),"Not found"))</f>
        <v/>
      </c>
      <c r="E81" s="20"/>
      <c r="F81" s="20"/>
      <c r="G81" s="21" t="str">
        <f aca="false">IF(A81="","",COUNTIF('Dimension usage'!$D:$D,A81))</f>
        <v/>
      </c>
      <c r="H81" s="21" t="str">
        <f aca="false">IF(A81="","",COUNTIFS('Dimension usage'!$D:$D,A81,'Dimension usage'!$G:$G,"No"))</f>
        <v/>
      </c>
      <c r="I81" s="20"/>
      <c r="J81" s="20"/>
      <c r="K81" s="20"/>
      <c r="L81" s="20"/>
      <c r="M81" s="20"/>
      <c r="N81" s="20"/>
    </row>
    <row r="82" customFormat="false" ht="15" hidden="false" customHeight="false" outlineLevel="0" collapsed="false">
      <c r="A82" s="18"/>
      <c r="B82" s="19"/>
      <c r="C82" s="20"/>
      <c r="D82" s="18" t="str">
        <f aca="false">IF(C82="","",IFERROR(INDEX(Tables!$A:$A,MATCH(C82,Tables!$B:$B,0)),"Not found"))</f>
        <v/>
      </c>
      <c r="E82" s="20"/>
      <c r="F82" s="20"/>
      <c r="G82" s="21" t="str">
        <f aca="false">IF(A82="","",COUNTIF('Dimension usage'!$D:$D,A82))</f>
        <v/>
      </c>
      <c r="H82" s="21" t="str">
        <f aca="false">IF(A82="","",COUNTIFS('Dimension usage'!$D:$D,A82,'Dimension usage'!$G:$G,"No"))</f>
        <v/>
      </c>
      <c r="I82" s="20"/>
      <c r="J82" s="20"/>
      <c r="K82" s="20"/>
      <c r="L82" s="20"/>
      <c r="M82" s="20"/>
      <c r="N82" s="20"/>
    </row>
    <row r="83" customFormat="false" ht="15" hidden="false" customHeight="false" outlineLevel="0" collapsed="false">
      <c r="A83" s="18"/>
      <c r="B83" s="19"/>
      <c r="C83" s="20"/>
      <c r="D83" s="18" t="str">
        <f aca="false">IF(C83="","",IFERROR(INDEX(Tables!$A:$A,MATCH(C83,Tables!$B:$B,0)),"Not found"))</f>
        <v/>
      </c>
      <c r="E83" s="20"/>
      <c r="F83" s="20"/>
      <c r="G83" s="21" t="str">
        <f aca="false">IF(A83="","",COUNTIF('Dimension usage'!$D:$D,A83))</f>
        <v/>
      </c>
      <c r="H83" s="21" t="str">
        <f aca="false">IF(A83="","",COUNTIFS('Dimension usage'!$D:$D,A83,'Dimension usage'!$G:$G,"No"))</f>
        <v/>
      </c>
      <c r="I83" s="20"/>
      <c r="J83" s="20"/>
      <c r="K83" s="20"/>
      <c r="L83" s="20"/>
      <c r="M83" s="20"/>
      <c r="N83" s="20"/>
    </row>
    <row r="84" customFormat="false" ht="15" hidden="false" customHeight="false" outlineLevel="0" collapsed="false">
      <c r="A84" s="18"/>
      <c r="B84" s="19"/>
      <c r="C84" s="20"/>
      <c r="D84" s="18" t="str">
        <f aca="false">IF(C84="","",IFERROR(INDEX(Tables!$A:$A,MATCH(C84,Tables!$B:$B,0)),"Not found"))</f>
        <v/>
      </c>
      <c r="E84" s="20"/>
      <c r="F84" s="20"/>
      <c r="G84" s="21" t="str">
        <f aca="false">IF(A84="","",COUNTIF('Dimension usage'!$D:$D,A84))</f>
        <v/>
      </c>
      <c r="H84" s="21" t="str">
        <f aca="false">IF(A84="","",COUNTIFS('Dimension usage'!$D:$D,A84,'Dimension usage'!$G:$G,"No"))</f>
        <v/>
      </c>
      <c r="I84" s="20"/>
      <c r="J84" s="20"/>
      <c r="K84" s="20"/>
      <c r="L84" s="20"/>
      <c r="M84" s="20"/>
      <c r="N84" s="20"/>
    </row>
    <row r="85" customFormat="false" ht="15" hidden="false" customHeight="false" outlineLevel="0" collapsed="false">
      <c r="A85" s="18"/>
      <c r="B85" s="19"/>
      <c r="C85" s="20"/>
      <c r="D85" s="18" t="str">
        <f aca="false">IF(C85="","",IFERROR(INDEX(Tables!$A:$A,MATCH(C85,Tables!$B:$B,0)),"Not found"))</f>
        <v/>
      </c>
      <c r="E85" s="20"/>
      <c r="F85" s="20"/>
      <c r="G85" s="21" t="str">
        <f aca="false">IF(A85="","",COUNTIF('Dimension usage'!$D:$D,A85))</f>
        <v/>
      </c>
      <c r="H85" s="21" t="str">
        <f aca="false">IF(A85="","",COUNTIFS('Dimension usage'!$D:$D,A85,'Dimension usage'!$G:$G,"No"))</f>
        <v/>
      </c>
      <c r="I85" s="20"/>
      <c r="J85" s="20"/>
      <c r="K85" s="20"/>
      <c r="L85" s="20"/>
      <c r="M85" s="20"/>
      <c r="N85" s="20"/>
    </row>
    <row r="86" customFormat="false" ht="15" hidden="false" customHeight="false" outlineLevel="0" collapsed="false">
      <c r="A86" s="18"/>
      <c r="B86" s="19"/>
      <c r="C86" s="20"/>
      <c r="D86" s="18" t="str">
        <f aca="false">IF(C86="","",IFERROR(INDEX(Tables!$A:$A,MATCH(C86,Tables!$B:$B,0)),"Not found"))</f>
        <v/>
      </c>
      <c r="E86" s="20"/>
      <c r="F86" s="20"/>
      <c r="G86" s="21" t="str">
        <f aca="false">IF(A86="","",COUNTIF('Dimension usage'!$D:$D,A86))</f>
        <v/>
      </c>
      <c r="H86" s="21" t="str">
        <f aca="false">IF(A86="","",COUNTIFS('Dimension usage'!$D:$D,A86,'Dimension usage'!$G:$G,"No"))</f>
        <v/>
      </c>
      <c r="I86" s="20"/>
      <c r="J86" s="20"/>
      <c r="K86" s="20"/>
      <c r="L86" s="20"/>
      <c r="M86" s="20"/>
      <c r="N86" s="20"/>
    </row>
    <row r="87" customFormat="false" ht="15" hidden="false" customHeight="false" outlineLevel="0" collapsed="false">
      <c r="A87" s="18"/>
      <c r="B87" s="19"/>
      <c r="C87" s="20"/>
      <c r="D87" s="18" t="str">
        <f aca="false">IF(C87="","",IFERROR(INDEX(Tables!$A:$A,MATCH(C87,Tables!$B:$B,0)),"Not found"))</f>
        <v/>
      </c>
      <c r="E87" s="20"/>
      <c r="F87" s="20"/>
      <c r="G87" s="21" t="str">
        <f aca="false">IF(A87="","",COUNTIF('Dimension usage'!$D:$D,A87))</f>
        <v/>
      </c>
      <c r="H87" s="21" t="str">
        <f aca="false">IF(A87="","",COUNTIFS('Dimension usage'!$D:$D,A87,'Dimension usage'!$G:$G,"No"))</f>
        <v/>
      </c>
      <c r="I87" s="20"/>
      <c r="J87" s="20"/>
      <c r="K87" s="20"/>
      <c r="L87" s="20"/>
      <c r="M87" s="20"/>
      <c r="N87" s="20"/>
    </row>
    <row r="88" customFormat="false" ht="15" hidden="false" customHeight="false" outlineLevel="0" collapsed="false">
      <c r="A88" s="18"/>
      <c r="B88" s="19"/>
      <c r="C88" s="20"/>
      <c r="D88" s="18" t="str">
        <f aca="false">IF(C88="","",IFERROR(INDEX(Tables!$A:$A,MATCH(C88,Tables!$B:$B,0)),"Not found"))</f>
        <v/>
      </c>
      <c r="E88" s="20"/>
      <c r="F88" s="20"/>
      <c r="G88" s="21" t="str">
        <f aca="false">IF(A88="","",COUNTIF('Dimension usage'!$D:$D,A88))</f>
        <v/>
      </c>
      <c r="H88" s="21" t="str">
        <f aca="false">IF(A88="","",COUNTIFS('Dimension usage'!$D:$D,A88,'Dimension usage'!$G:$G,"No"))</f>
        <v/>
      </c>
      <c r="I88" s="20"/>
      <c r="J88" s="20"/>
      <c r="K88" s="20"/>
      <c r="L88" s="20"/>
      <c r="M88" s="20"/>
      <c r="N88" s="20"/>
    </row>
    <row r="89" customFormat="false" ht="15" hidden="false" customHeight="false" outlineLevel="0" collapsed="false">
      <c r="A89" s="18"/>
      <c r="B89" s="19"/>
      <c r="C89" s="20"/>
      <c r="D89" s="18" t="str">
        <f aca="false">IF(C89="","",IFERROR(INDEX(Tables!$A:$A,MATCH(C89,Tables!$B:$B,0)),"Not found"))</f>
        <v/>
      </c>
      <c r="E89" s="20"/>
      <c r="F89" s="20"/>
      <c r="G89" s="21" t="str">
        <f aca="false">IF(A89="","",COUNTIF('Dimension usage'!$D:$D,A89))</f>
        <v/>
      </c>
      <c r="H89" s="21" t="str">
        <f aca="false">IF(A89="","",COUNTIFS('Dimension usage'!$D:$D,A89,'Dimension usage'!$G:$G,"No"))</f>
        <v/>
      </c>
      <c r="I89" s="20"/>
      <c r="J89" s="20"/>
      <c r="K89" s="20"/>
      <c r="L89" s="20"/>
      <c r="M89" s="20"/>
      <c r="N89" s="20"/>
    </row>
    <row r="90" customFormat="false" ht="15" hidden="false" customHeight="false" outlineLevel="0" collapsed="false">
      <c r="A90" s="18"/>
      <c r="B90" s="19"/>
      <c r="C90" s="20"/>
      <c r="D90" s="18" t="str">
        <f aca="false">IF(C90="","",IFERROR(INDEX(Tables!$A:$A,MATCH(C90,Tables!$B:$B,0)),"Not found"))</f>
        <v/>
      </c>
      <c r="E90" s="20"/>
      <c r="F90" s="20"/>
      <c r="G90" s="21" t="str">
        <f aca="false">IF(A90="","",COUNTIF('Dimension usage'!$D:$D,A90))</f>
        <v/>
      </c>
      <c r="H90" s="21" t="str">
        <f aca="false">IF(A90="","",COUNTIFS('Dimension usage'!$D:$D,A90,'Dimension usage'!$G:$G,"No"))</f>
        <v/>
      </c>
      <c r="I90" s="20"/>
      <c r="J90" s="20"/>
      <c r="K90" s="20"/>
      <c r="L90" s="20"/>
      <c r="M90" s="20"/>
      <c r="N90" s="20"/>
    </row>
    <row r="91" customFormat="false" ht="15" hidden="false" customHeight="false" outlineLevel="0" collapsed="false">
      <c r="A91" s="18"/>
      <c r="B91" s="19"/>
      <c r="C91" s="20"/>
      <c r="D91" s="18" t="str">
        <f aca="false">IF(C91="","",IFERROR(INDEX(Tables!$A:$A,MATCH(C91,Tables!$B:$B,0)),"Not found"))</f>
        <v/>
      </c>
      <c r="E91" s="20"/>
      <c r="F91" s="20"/>
      <c r="G91" s="21" t="str">
        <f aca="false">IF(A91="","",COUNTIF('Dimension usage'!$D:$D,A91))</f>
        <v/>
      </c>
      <c r="H91" s="21" t="str">
        <f aca="false">IF(A91="","",COUNTIFS('Dimension usage'!$D:$D,A91,'Dimension usage'!$G:$G,"No"))</f>
        <v/>
      </c>
      <c r="I91" s="20"/>
      <c r="J91" s="20"/>
      <c r="K91" s="20"/>
      <c r="L91" s="20"/>
      <c r="M91" s="20"/>
      <c r="N91" s="20"/>
    </row>
    <row r="92" customFormat="false" ht="15" hidden="false" customHeight="false" outlineLevel="0" collapsed="false">
      <c r="A92" s="18"/>
      <c r="B92" s="19"/>
      <c r="C92" s="20"/>
      <c r="D92" s="18" t="str">
        <f aca="false">IF(C92="","",IFERROR(INDEX(Tables!$A:$A,MATCH(C92,Tables!$B:$B,0)),"Not found"))</f>
        <v/>
      </c>
      <c r="E92" s="20"/>
      <c r="F92" s="20"/>
      <c r="G92" s="21" t="str">
        <f aca="false">IF(A92="","",COUNTIF('Dimension usage'!$D:$D,A92))</f>
        <v/>
      </c>
      <c r="H92" s="21" t="str">
        <f aca="false">IF(A92="","",COUNTIFS('Dimension usage'!$D:$D,A92,'Dimension usage'!$G:$G,"No"))</f>
        <v/>
      </c>
      <c r="I92" s="20"/>
      <c r="J92" s="20"/>
      <c r="K92" s="20"/>
      <c r="L92" s="20"/>
      <c r="M92" s="20"/>
      <c r="N92" s="20"/>
    </row>
    <row r="93" customFormat="false" ht="15" hidden="false" customHeight="false" outlineLevel="0" collapsed="false">
      <c r="A93" s="18"/>
      <c r="B93" s="19"/>
      <c r="C93" s="20"/>
      <c r="D93" s="18" t="str">
        <f aca="false">IF(C93="","",IFERROR(INDEX(Tables!$A:$A,MATCH(C93,Tables!$B:$B,0)),"Not found"))</f>
        <v/>
      </c>
      <c r="E93" s="20"/>
      <c r="F93" s="20"/>
      <c r="G93" s="21" t="str">
        <f aca="false">IF(A93="","",COUNTIF('Dimension usage'!$D:$D,A93))</f>
        <v/>
      </c>
      <c r="H93" s="21" t="str">
        <f aca="false">IF(A93="","",COUNTIFS('Dimension usage'!$D:$D,A93,'Dimension usage'!$G:$G,"No"))</f>
        <v/>
      </c>
      <c r="I93" s="20"/>
      <c r="J93" s="20"/>
      <c r="K93" s="20"/>
      <c r="L93" s="20"/>
      <c r="M93" s="20"/>
      <c r="N93" s="20"/>
    </row>
    <row r="94" customFormat="false" ht="15" hidden="false" customHeight="false" outlineLevel="0" collapsed="false">
      <c r="A94" s="18"/>
      <c r="B94" s="19"/>
      <c r="C94" s="20"/>
      <c r="D94" s="18" t="str">
        <f aca="false">IF(C94="","",IFERROR(INDEX(Tables!$A:$A,MATCH(C94,Tables!$B:$B,0)),"Not found"))</f>
        <v/>
      </c>
      <c r="E94" s="20"/>
      <c r="F94" s="20"/>
      <c r="G94" s="21" t="str">
        <f aca="false">IF(A94="","",COUNTIF('Dimension usage'!$D:$D,A94))</f>
        <v/>
      </c>
      <c r="H94" s="21" t="str">
        <f aca="false">IF(A94="","",COUNTIFS('Dimension usage'!$D:$D,A94,'Dimension usage'!$G:$G,"No"))</f>
        <v/>
      </c>
      <c r="I94" s="20"/>
      <c r="J94" s="20"/>
      <c r="K94" s="20"/>
      <c r="L94" s="20"/>
      <c r="M94" s="20"/>
      <c r="N94" s="20"/>
    </row>
    <row r="95" customFormat="false" ht="15" hidden="false" customHeight="false" outlineLevel="0" collapsed="false">
      <c r="A95" s="18"/>
      <c r="B95" s="19"/>
      <c r="C95" s="20"/>
      <c r="D95" s="18" t="str">
        <f aca="false">IF(C95="","",IFERROR(INDEX(Tables!$A:$A,MATCH(C95,Tables!$B:$B,0)),"Not found"))</f>
        <v/>
      </c>
      <c r="E95" s="20"/>
      <c r="F95" s="20"/>
      <c r="G95" s="21" t="str">
        <f aca="false">IF(A95="","",COUNTIF('Dimension usage'!$D:$D,A95))</f>
        <v/>
      </c>
      <c r="H95" s="21" t="str">
        <f aca="false">IF(A95="","",COUNTIFS('Dimension usage'!$D:$D,A95,'Dimension usage'!$G:$G,"No"))</f>
        <v/>
      </c>
      <c r="I95" s="20"/>
      <c r="J95" s="20"/>
      <c r="K95" s="20"/>
      <c r="L95" s="20"/>
      <c r="M95" s="20"/>
      <c r="N95" s="20"/>
    </row>
    <row r="96" customFormat="false" ht="15" hidden="false" customHeight="false" outlineLevel="0" collapsed="false">
      <c r="A96" s="18"/>
      <c r="B96" s="19"/>
      <c r="C96" s="20"/>
      <c r="D96" s="18" t="str">
        <f aca="false">IF(C96="","",IFERROR(INDEX(Tables!$A:$A,MATCH(C96,Tables!$B:$B,0)),"Not found"))</f>
        <v/>
      </c>
      <c r="E96" s="20"/>
      <c r="F96" s="20"/>
      <c r="G96" s="21" t="str">
        <f aca="false">IF(A96="","",COUNTIF('Dimension usage'!$D:$D,A96))</f>
        <v/>
      </c>
      <c r="H96" s="21" t="str">
        <f aca="false">IF(A96="","",COUNTIFS('Dimension usage'!$D:$D,A96,'Dimension usage'!$G:$G,"No"))</f>
        <v/>
      </c>
      <c r="I96" s="20"/>
      <c r="J96" s="20"/>
      <c r="K96" s="20"/>
      <c r="L96" s="20"/>
      <c r="M96" s="20"/>
      <c r="N96" s="20"/>
    </row>
    <row r="97" customFormat="false" ht="15" hidden="false" customHeight="false" outlineLevel="0" collapsed="false">
      <c r="A97" s="18"/>
      <c r="B97" s="19"/>
      <c r="C97" s="20"/>
      <c r="D97" s="18" t="str">
        <f aca="false">IF(C97="","",IFERROR(INDEX(Tables!$A:$A,MATCH(C97,Tables!$B:$B,0)),"Not found"))</f>
        <v/>
      </c>
      <c r="E97" s="20"/>
      <c r="F97" s="20"/>
      <c r="G97" s="21" t="str">
        <f aca="false">IF(A97="","",COUNTIF('Dimension usage'!$D:$D,A97))</f>
        <v/>
      </c>
      <c r="H97" s="21" t="str">
        <f aca="false">IF(A97="","",COUNTIFS('Dimension usage'!$D:$D,A97,'Dimension usage'!$G:$G,"No"))</f>
        <v/>
      </c>
      <c r="I97" s="20"/>
      <c r="J97" s="20"/>
      <c r="K97" s="20"/>
      <c r="L97" s="20"/>
      <c r="M97" s="20"/>
      <c r="N97" s="20"/>
    </row>
    <row r="98" customFormat="false" ht="15" hidden="false" customHeight="false" outlineLevel="0" collapsed="false">
      <c r="A98" s="18"/>
      <c r="B98" s="19"/>
      <c r="C98" s="20"/>
      <c r="D98" s="18" t="str">
        <f aca="false">IF(C98="","",IFERROR(INDEX(Tables!$A:$A,MATCH(C98,Tables!$B:$B,0)),"Not found"))</f>
        <v/>
      </c>
      <c r="E98" s="20"/>
      <c r="F98" s="20"/>
      <c r="G98" s="21" t="str">
        <f aca="false">IF(A98="","",COUNTIF('Dimension usage'!$D:$D,A98))</f>
        <v/>
      </c>
      <c r="H98" s="21" t="str">
        <f aca="false">IF(A98="","",COUNTIFS('Dimension usage'!$D:$D,A98,'Dimension usage'!$G:$G,"No"))</f>
        <v/>
      </c>
      <c r="I98" s="20"/>
      <c r="J98" s="20"/>
      <c r="K98" s="20"/>
      <c r="L98" s="20"/>
      <c r="M98" s="20"/>
      <c r="N98" s="20"/>
    </row>
    <row r="99" customFormat="false" ht="15" hidden="false" customHeight="false" outlineLevel="0" collapsed="false">
      <c r="A99" s="18"/>
      <c r="B99" s="19"/>
      <c r="C99" s="20"/>
      <c r="D99" s="18" t="str">
        <f aca="false">IF(C99="","",IFERROR(INDEX(Tables!$A:$A,MATCH(C99,Tables!$B:$B,0)),"Not found"))</f>
        <v/>
      </c>
      <c r="E99" s="20"/>
      <c r="F99" s="20"/>
      <c r="G99" s="21" t="str">
        <f aca="false">IF(A99="","",COUNTIF('Dimension usage'!$D:$D,A99))</f>
        <v/>
      </c>
      <c r="H99" s="21" t="str">
        <f aca="false">IF(A99="","",COUNTIFS('Dimension usage'!$D:$D,A99,'Dimension usage'!$G:$G,"No"))</f>
        <v/>
      </c>
      <c r="I99" s="20"/>
      <c r="J99" s="20"/>
      <c r="K99" s="20"/>
      <c r="L99" s="20"/>
      <c r="M99" s="20"/>
      <c r="N99" s="20"/>
    </row>
    <row r="100" customFormat="false" ht="15" hidden="false" customHeight="false" outlineLevel="0" collapsed="false">
      <c r="A100" s="18"/>
      <c r="B100" s="19"/>
      <c r="C100" s="20"/>
      <c r="D100" s="18" t="str">
        <f aca="false">IF(C100="","",IFERROR(INDEX(Tables!$A:$A,MATCH(C100,Tables!$B:$B,0)),"Not found"))</f>
        <v/>
      </c>
      <c r="E100" s="20"/>
      <c r="F100" s="20"/>
      <c r="G100" s="21" t="str">
        <f aca="false">IF(A100="","",COUNTIF('Dimension usage'!$D:$D,A100))</f>
        <v/>
      </c>
      <c r="H100" s="21" t="str">
        <f aca="false">IF(A100="","",COUNTIFS('Dimension usage'!$D:$D,A100,'Dimension usage'!$G:$G,"No"))</f>
        <v/>
      </c>
      <c r="I100" s="20"/>
      <c r="J100" s="20"/>
      <c r="K100" s="20"/>
      <c r="L100" s="20"/>
      <c r="M100" s="20"/>
      <c r="N100" s="20"/>
    </row>
    <row r="101" customFormat="false" ht="15" hidden="false" customHeight="false" outlineLevel="0" collapsed="false">
      <c r="A101" s="18"/>
      <c r="B101" s="19"/>
      <c r="C101" s="20"/>
      <c r="D101" s="18" t="str">
        <f aca="false">IF(C101="","",IFERROR(INDEX(Tables!$A:$A,MATCH(C101,Tables!$B:$B,0)),"Not found"))</f>
        <v/>
      </c>
      <c r="E101" s="20"/>
      <c r="F101" s="20"/>
      <c r="G101" s="21" t="str">
        <f aca="false">IF(A101="","",COUNTIF('Dimension usage'!$D:$D,A101))</f>
        <v/>
      </c>
      <c r="H101" s="21" t="str">
        <f aca="false">IF(A101="","",COUNTIFS('Dimension usage'!$D:$D,A101,'Dimension usage'!$G:$G,"No"))</f>
        <v/>
      </c>
      <c r="I101" s="20"/>
      <c r="J101" s="20"/>
      <c r="K101" s="20"/>
      <c r="L101" s="20"/>
      <c r="M101" s="20"/>
      <c r="N101" s="20"/>
    </row>
    <row r="102" customFormat="false" ht="15" hidden="false" customHeight="false" outlineLevel="0" collapsed="false">
      <c r="A102" s="18"/>
      <c r="B102" s="19"/>
      <c r="C102" s="20"/>
      <c r="D102" s="18" t="str">
        <f aca="false">IF(C102="","",IFERROR(INDEX(Tables!$A:$A,MATCH(C102,Tables!$B:$B,0)),"Not found"))</f>
        <v/>
      </c>
      <c r="E102" s="20"/>
      <c r="F102" s="20"/>
      <c r="G102" s="21" t="str">
        <f aca="false">IF(A102="","",COUNTIF('Dimension usage'!$D:$D,A102))</f>
        <v/>
      </c>
      <c r="H102" s="21" t="str">
        <f aca="false">IF(A102="","",COUNTIFS('Dimension usage'!$D:$D,A102,'Dimension usage'!$G:$G,"No"))</f>
        <v/>
      </c>
      <c r="I102" s="20"/>
      <c r="J102" s="20"/>
      <c r="K102" s="20"/>
      <c r="L102" s="20"/>
      <c r="M102" s="20"/>
      <c r="N102" s="20"/>
    </row>
    <row r="103" customFormat="false" ht="15" hidden="false" customHeight="false" outlineLevel="0" collapsed="false">
      <c r="A103" s="18"/>
      <c r="B103" s="19"/>
      <c r="C103" s="20"/>
      <c r="D103" s="18" t="str">
        <f aca="false">IF(C103="","",IFERROR(INDEX(Tables!$A:$A,MATCH(C103,Tables!$B:$B,0)),"Not found"))</f>
        <v/>
      </c>
      <c r="E103" s="20"/>
      <c r="F103" s="20"/>
      <c r="G103" s="21" t="str">
        <f aca="false">IF(A103="","",COUNTIF('Dimension usage'!$D:$D,A103))</f>
        <v/>
      </c>
      <c r="H103" s="21" t="str">
        <f aca="false">IF(A103="","",COUNTIFS('Dimension usage'!$D:$D,A103,'Dimension usage'!$G:$G,"No"))</f>
        <v/>
      </c>
      <c r="I103" s="20"/>
      <c r="J103" s="20"/>
      <c r="K103" s="20"/>
      <c r="L103" s="20"/>
      <c r="M103" s="20"/>
      <c r="N103" s="20"/>
    </row>
    <row r="104" customFormat="false" ht="15" hidden="false" customHeight="false" outlineLevel="0" collapsed="false">
      <c r="A104" s="18"/>
      <c r="B104" s="19"/>
      <c r="C104" s="20"/>
      <c r="D104" s="18" t="str">
        <f aca="false">IF(C104="","",IFERROR(INDEX(Tables!$A:$A,MATCH(C104,Tables!$B:$B,0)),"Not found"))</f>
        <v/>
      </c>
      <c r="E104" s="20"/>
      <c r="F104" s="20"/>
      <c r="G104" s="21" t="str">
        <f aca="false">IF(A104="","",COUNTIF('Dimension usage'!$D:$D,A104))</f>
        <v/>
      </c>
      <c r="H104" s="21" t="str">
        <f aca="false">IF(A104="","",COUNTIFS('Dimension usage'!$D:$D,A104,'Dimension usage'!$G:$G,"No"))</f>
        <v/>
      </c>
      <c r="I104" s="20"/>
      <c r="J104" s="20"/>
      <c r="K104" s="20"/>
      <c r="L104" s="20"/>
      <c r="M104" s="20"/>
      <c r="N104" s="20"/>
    </row>
  </sheetData>
  <autoFilter ref="A4:N104"/>
  <conditionalFormatting sqref="J5:J104">
    <cfRule type="cellIs" priority="2" operator="equal" aboveAverage="0" equalAverage="0" bottom="0" percent="0" rank="0" text="" dxfId="10">
      <formula>"Proposed"</formula>
    </cfRule>
  </conditionalFormatting>
  <dataValidations count="3">
    <dataValidation allowBlank="true" errorStyle="stop" operator="between" showDropDown="false" showErrorMessage="false" showInputMessage="false" sqref="C5:C104" type="list">
      <formula1>Tables!$B$5:$B$304</formula1>
      <formula2>0</formula2>
    </dataValidation>
    <dataValidation allowBlank="true" errorStyle="stop" operator="between" showDropDown="false" showErrorMessage="false" showInputMessage="false" sqref="J5:J104" type="list">
      <formula1>"Proposed,Accepted,Corrected,Rejected"</formula1>
      <formula2>0</formula2>
    </dataValidation>
    <dataValidation allowBlank="true" errorStyle="stop" operator="between" showDropDown="false" showErrorMessage="false" showInputMessage="false" sqref="L5:L104" type="list">
      <formula1>"Found,Inferred,Proposed,Human"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26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377</v>
      </c>
    </row>
    <row r="2" customFormat="false" ht="15" hidden="false" customHeight="false" outlineLevel="0" collapsed="false">
      <c r="A2" s="2" t="s">
        <v>479</v>
      </c>
    </row>
    <row r="4" customFormat="false" ht="33.75" hidden="false" customHeight="true" outlineLevel="0" collapsed="false">
      <c r="A4" s="17" t="s">
        <v>168</v>
      </c>
      <c r="B4" s="16" t="s">
        <v>455</v>
      </c>
      <c r="C4" s="17" t="s">
        <v>379</v>
      </c>
      <c r="D4" s="16" t="s">
        <v>480</v>
      </c>
      <c r="E4" s="17" t="s">
        <v>381</v>
      </c>
      <c r="F4" s="16" t="s">
        <v>481</v>
      </c>
      <c r="G4" s="17" t="s">
        <v>383</v>
      </c>
      <c r="H4" s="17" t="s">
        <v>75</v>
      </c>
      <c r="I4" s="17" t="s">
        <v>153</v>
      </c>
      <c r="J4" s="17" t="s">
        <v>156</v>
      </c>
      <c r="K4" s="17" t="s">
        <v>159</v>
      </c>
    </row>
    <row r="5" customFormat="false" ht="15" hidden="false" customHeight="false" outlineLevel="0" collapsed="false">
      <c r="A5" s="20"/>
      <c r="B5" s="18" t="str">
        <f aca="false">IF(A5="","",IFERROR(INDEX(Products!$A:$A,MATCH(A5,Products!$B:$B,0)),"Not found"))</f>
        <v/>
      </c>
      <c r="C5" s="20"/>
      <c r="D5" s="18" t="str">
        <f aca="false">IF(C5="","",IFERROR(INDEX(Dimensions!$A:$A,MATCH(C5,Dimensions!$B:$B,0)),"Not found"))</f>
        <v/>
      </c>
      <c r="E5" s="20"/>
      <c r="F5" s="18" t="str">
        <f aca="false">IF(E5="","",IFERROR(INDEX(Tables!$A:$A,MATCH(E5,Tables!$B:$B,0)),"Not found"))</f>
        <v/>
      </c>
      <c r="G5" s="21" t="str">
        <f aca="false">IF(OR(D5="",F5=""),"",IF(IFERROR(INDEX(Dimensions!$D:$D,MATCH(D5,Dimensions!$A:$A,0)),"")="","",IF(INDEX(Dimensions!$D:$D,MATCH(D5,Dimensions!$A:$A,0))=F5,"Yes","No")))</f>
        <v/>
      </c>
      <c r="H5" s="20"/>
      <c r="I5" s="20"/>
      <c r="J5" s="20"/>
      <c r="K5" s="20"/>
    </row>
    <row r="6" customFormat="false" ht="15" hidden="false" customHeight="false" outlineLevel="0" collapsed="false">
      <c r="A6" s="20"/>
      <c r="B6" s="18" t="str">
        <f aca="false">IF(A6="","",IFERROR(INDEX(Products!$A:$A,MATCH(A6,Products!$B:$B,0)),"Not found"))</f>
        <v/>
      </c>
      <c r="C6" s="20"/>
      <c r="D6" s="18" t="str">
        <f aca="false">IF(C6="","",IFERROR(INDEX(Dimensions!$A:$A,MATCH(C6,Dimensions!$B:$B,0)),"Not found"))</f>
        <v/>
      </c>
      <c r="E6" s="20"/>
      <c r="F6" s="18" t="str">
        <f aca="false">IF(E6="","",IFERROR(INDEX(Tables!$A:$A,MATCH(E6,Tables!$B:$B,0)),"Not found"))</f>
        <v/>
      </c>
      <c r="G6" s="21" t="str">
        <f aca="false">IF(OR(D6="",F6=""),"",IF(IFERROR(INDEX(Dimensions!$D:$D,MATCH(D6,Dimensions!$A:$A,0)),"")="","",IF(INDEX(Dimensions!$D:$D,MATCH(D6,Dimensions!$A:$A,0))=F6,"Yes","No")))</f>
        <v/>
      </c>
      <c r="H6" s="20"/>
      <c r="I6" s="20"/>
      <c r="J6" s="20"/>
      <c r="K6" s="20"/>
    </row>
    <row r="7" customFormat="false" ht="15" hidden="false" customHeight="false" outlineLevel="0" collapsed="false">
      <c r="A7" s="20"/>
      <c r="B7" s="18" t="str">
        <f aca="false">IF(A7="","",IFERROR(INDEX(Products!$A:$A,MATCH(A7,Products!$B:$B,0)),"Not found"))</f>
        <v/>
      </c>
      <c r="C7" s="20"/>
      <c r="D7" s="18" t="str">
        <f aca="false">IF(C7="","",IFERROR(INDEX(Dimensions!$A:$A,MATCH(C7,Dimensions!$B:$B,0)),"Not found"))</f>
        <v/>
      </c>
      <c r="E7" s="20"/>
      <c r="F7" s="18" t="str">
        <f aca="false">IF(E7="","",IFERROR(INDEX(Tables!$A:$A,MATCH(E7,Tables!$B:$B,0)),"Not found"))</f>
        <v/>
      </c>
      <c r="G7" s="21" t="str">
        <f aca="false">IF(OR(D7="",F7=""),"",IF(IFERROR(INDEX(Dimensions!$D:$D,MATCH(D7,Dimensions!$A:$A,0)),"")="","",IF(INDEX(Dimensions!$D:$D,MATCH(D7,Dimensions!$A:$A,0))=F7,"Yes","No")))</f>
        <v/>
      </c>
      <c r="H7" s="20"/>
      <c r="I7" s="20"/>
      <c r="J7" s="20"/>
      <c r="K7" s="20"/>
    </row>
    <row r="8" customFormat="false" ht="15" hidden="false" customHeight="false" outlineLevel="0" collapsed="false">
      <c r="A8" s="20"/>
      <c r="B8" s="18" t="str">
        <f aca="false">IF(A8="","",IFERROR(INDEX(Products!$A:$A,MATCH(A8,Products!$B:$B,0)),"Not found"))</f>
        <v/>
      </c>
      <c r="C8" s="20"/>
      <c r="D8" s="18" t="str">
        <f aca="false">IF(C8="","",IFERROR(INDEX(Dimensions!$A:$A,MATCH(C8,Dimensions!$B:$B,0)),"Not found"))</f>
        <v/>
      </c>
      <c r="E8" s="20"/>
      <c r="F8" s="18" t="str">
        <f aca="false">IF(E8="","",IFERROR(INDEX(Tables!$A:$A,MATCH(E8,Tables!$B:$B,0)),"Not found"))</f>
        <v/>
      </c>
      <c r="G8" s="21" t="str">
        <f aca="false">IF(OR(D8="",F8=""),"",IF(IFERROR(INDEX(Dimensions!$D:$D,MATCH(D8,Dimensions!$A:$A,0)),"")="","",IF(INDEX(Dimensions!$D:$D,MATCH(D8,Dimensions!$A:$A,0))=F8,"Yes","No")))</f>
        <v/>
      </c>
      <c r="H8" s="20"/>
      <c r="I8" s="20"/>
      <c r="J8" s="20"/>
      <c r="K8" s="20"/>
    </row>
    <row r="9" customFormat="false" ht="15" hidden="false" customHeight="false" outlineLevel="0" collapsed="false">
      <c r="A9" s="20"/>
      <c r="B9" s="18" t="str">
        <f aca="false">IF(A9="","",IFERROR(INDEX(Products!$A:$A,MATCH(A9,Products!$B:$B,0)),"Not found"))</f>
        <v/>
      </c>
      <c r="C9" s="20"/>
      <c r="D9" s="18" t="str">
        <f aca="false">IF(C9="","",IFERROR(INDEX(Dimensions!$A:$A,MATCH(C9,Dimensions!$B:$B,0)),"Not found"))</f>
        <v/>
      </c>
      <c r="E9" s="20"/>
      <c r="F9" s="18" t="str">
        <f aca="false">IF(E9="","",IFERROR(INDEX(Tables!$A:$A,MATCH(E9,Tables!$B:$B,0)),"Not found"))</f>
        <v/>
      </c>
      <c r="G9" s="21" t="str">
        <f aca="false">IF(OR(D9="",F9=""),"",IF(IFERROR(INDEX(Dimensions!$D:$D,MATCH(D9,Dimensions!$A:$A,0)),"")="","",IF(INDEX(Dimensions!$D:$D,MATCH(D9,Dimensions!$A:$A,0))=F9,"Yes","No")))</f>
        <v/>
      </c>
      <c r="H9" s="20"/>
      <c r="I9" s="20"/>
      <c r="J9" s="20"/>
      <c r="K9" s="20"/>
    </row>
    <row r="10" customFormat="false" ht="15" hidden="false" customHeight="false" outlineLevel="0" collapsed="false">
      <c r="A10" s="20"/>
      <c r="B10" s="18" t="str">
        <f aca="false">IF(A10="","",IFERROR(INDEX(Products!$A:$A,MATCH(A10,Products!$B:$B,0)),"Not found"))</f>
        <v/>
      </c>
      <c r="C10" s="20"/>
      <c r="D10" s="18" t="str">
        <f aca="false">IF(C10="","",IFERROR(INDEX(Dimensions!$A:$A,MATCH(C10,Dimensions!$B:$B,0)),"Not found"))</f>
        <v/>
      </c>
      <c r="E10" s="20"/>
      <c r="F10" s="18" t="str">
        <f aca="false">IF(E10="","",IFERROR(INDEX(Tables!$A:$A,MATCH(E10,Tables!$B:$B,0)),"Not found"))</f>
        <v/>
      </c>
      <c r="G10" s="21" t="str">
        <f aca="false">IF(OR(D10="",F10=""),"",IF(IFERROR(INDEX(Dimensions!$D:$D,MATCH(D10,Dimensions!$A:$A,0)),"")="","",IF(INDEX(Dimensions!$D:$D,MATCH(D10,Dimensions!$A:$A,0))=F10,"Yes","No")))</f>
        <v/>
      </c>
      <c r="H10" s="20"/>
      <c r="I10" s="20"/>
      <c r="J10" s="20"/>
      <c r="K10" s="20"/>
    </row>
    <row r="11" customFormat="false" ht="15" hidden="false" customHeight="false" outlineLevel="0" collapsed="false">
      <c r="A11" s="20"/>
      <c r="B11" s="18" t="str">
        <f aca="false">IF(A11="","",IFERROR(INDEX(Products!$A:$A,MATCH(A11,Products!$B:$B,0)),"Not found"))</f>
        <v/>
      </c>
      <c r="C11" s="20"/>
      <c r="D11" s="18" t="str">
        <f aca="false">IF(C11="","",IFERROR(INDEX(Dimensions!$A:$A,MATCH(C11,Dimensions!$B:$B,0)),"Not found"))</f>
        <v/>
      </c>
      <c r="E11" s="20"/>
      <c r="F11" s="18" t="str">
        <f aca="false">IF(E11="","",IFERROR(INDEX(Tables!$A:$A,MATCH(E11,Tables!$B:$B,0)),"Not found"))</f>
        <v/>
      </c>
      <c r="G11" s="21" t="str">
        <f aca="false">IF(OR(D11="",F11=""),"",IF(IFERROR(INDEX(Dimensions!$D:$D,MATCH(D11,Dimensions!$A:$A,0)),"")="","",IF(INDEX(Dimensions!$D:$D,MATCH(D11,Dimensions!$A:$A,0))=F11,"Yes","No")))</f>
        <v/>
      </c>
      <c r="H11" s="20"/>
      <c r="I11" s="20"/>
      <c r="J11" s="20"/>
      <c r="K11" s="20"/>
    </row>
    <row r="12" customFormat="false" ht="15" hidden="false" customHeight="false" outlineLevel="0" collapsed="false">
      <c r="A12" s="20"/>
      <c r="B12" s="18" t="str">
        <f aca="false">IF(A12="","",IFERROR(INDEX(Products!$A:$A,MATCH(A12,Products!$B:$B,0)),"Not found"))</f>
        <v/>
      </c>
      <c r="C12" s="20"/>
      <c r="D12" s="18" t="str">
        <f aca="false">IF(C12="","",IFERROR(INDEX(Dimensions!$A:$A,MATCH(C12,Dimensions!$B:$B,0)),"Not found"))</f>
        <v/>
      </c>
      <c r="E12" s="20"/>
      <c r="F12" s="18" t="str">
        <f aca="false">IF(E12="","",IFERROR(INDEX(Tables!$A:$A,MATCH(E12,Tables!$B:$B,0)),"Not found"))</f>
        <v/>
      </c>
      <c r="G12" s="21" t="str">
        <f aca="false">IF(OR(D12="",F12=""),"",IF(IFERROR(INDEX(Dimensions!$D:$D,MATCH(D12,Dimensions!$A:$A,0)),"")="","",IF(INDEX(Dimensions!$D:$D,MATCH(D12,Dimensions!$A:$A,0))=F12,"Yes","No")))</f>
        <v/>
      </c>
      <c r="H12" s="20"/>
      <c r="I12" s="20"/>
      <c r="J12" s="20"/>
      <c r="K12" s="20"/>
    </row>
    <row r="13" customFormat="false" ht="15" hidden="false" customHeight="false" outlineLevel="0" collapsed="false">
      <c r="A13" s="20"/>
      <c r="B13" s="18" t="str">
        <f aca="false">IF(A13="","",IFERROR(INDEX(Products!$A:$A,MATCH(A13,Products!$B:$B,0)),"Not found"))</f>
        <v/>
      </c>
      <c r="C13" s="20"/>
      <c r="D13" s="18" t="str">
        <f aca="false">IF(C13="","",IFERROR(INDEX(Dimensions!$A:$A,MATCH(C13,Dimensions!$B:$B,0)),"Not found"))</f>
        <v/>
      </c>
      <c r="E13" s="20"/>
      <c r="F13" s="18" t="str">
        <f aca="false">IF(E13="","",IFERROR(INDEX(Tables!$A:$A,MATCH(E13,Tables!$B:$B,0)),"Not found"))</f>
        <v/>
      </c>
      <c r="G13" s="21" t="str">
        <f aca="false">IF(OR(D13="",F13=""),"",IF(IFERROR(INDEX(Dimensions!$D:$D,MATCH(D13,Dimensions!$A:$A,0)),"")="","",IF(INDEX(Dimensions!$D:$D,MATCH(D13,Dimensions!$A:$A,0))=F13,"Yes","No")))</f>
        <v/>
      </c>
      <c r="H13" s="20"/>
      <c r="I13" s="20"/>
      <c r="J13" s="20"/>
      <c r="K13" s="20"/>
    </row>
    <row r="14" customFormat="false" ht="15" hidden="false" customHeight="false" outlineLevel="0" collapsed="false">
      <c r="A14" s="20"/>
      <c r="B14" s="18" t="str">
        <f aca="false">IF(A14="","",IFERROR(INDEX(Products!$A:$A,MATCH(A14,Products!$B:$B,0)),"Not found"))</f>
        <v/>
      </c>
      <c r="C14" s="20"/>
      <c r="D14" s="18" t="str">
        <f aca="false">IF(C14="","",IFERROR(INDEX(Dimensions!$A:$A,MATCH(C14,Dimensions!$B:$B,0)),"Not found"))</f>
        <v/>
      </c>
      <c r="E14" s="20"/>
      <c r="F14" s="18" t="str">
        <f aca="false">IF(E14="","",IFERROR(INDEX(Tables!$A:$A,MATCH(E14,Tables!$B:$B,0)),"Not found"))</f>
        <v/>
      </c>
      <c r="G14" s="21" t="str">
        <f aca="false">IF(OR(D14="",F14=""),"",IF(IFERROR(INDEX(Dimensions!$D:$D,MATCH(D14,Dimensions!$A:$A,0)),"")="","",IF(INDEX(Dimensions!$D:$D,MATCH(D14,Dimensions!$A:$A,0))=F14,"Yes","No")))</f>
        <v/>
      </c>
      <c r="H14" s="20"/>
      <c r="I14" s="20"/>
      <c r="J14" s="20"/>
      <c r="K14" s="20"/>
    </row>
    <row r="15" customFormat="false" ht="15" hidden="false" customHeight="false" outlineLevel="0" collapsed="false">
      <c r="A15" s="20"/>
      <c r="B15" s="18" t="str">
        <f aca="false">IF(A15="","",IFERROR(INDEX(Products!$A:$A,MATCH(A15,Products!$B:$B,0)),"Not found"))</f>
        <v/>
      </c>
      <c r="C15" s="20"/>
      <c r="D15" s="18" t="str">
        <f aca="false">IF(C15="","",IFERROR(INDEX(Dimensions!$A:$A,MATCH(C15,Dimensions!$B:$B,0)),"Not found"))</f>
        <v/>
      </c>
      <c r="E15" s="20"/>
      <c r="F15" s="18" t="str">
        <f aca="false">IF(E15="","",IFERROR(INDEX(Tables!$A:$A,MATCH(E15,Tables!$B:$B,0)),"Not found"))</f>
        <v/>
      </c>
      <c r="G15" s="21" t="str">
        <f aca="false">IF(OR(D15="",F15=""),"",IF(IFERROR(INDEX(Dimensions!$D:$D,MATCH(D15,Dimensions!$A:$A,0)),"")="","",IF(INDEX(Dimensions!$D:$D,MATCH(D15,Dimensions!$A:$A,0))=F15,"Yes","No")))</f>
        <v/>
      </c>
      <c r="H15" s="20"/>
      <c r="I15" s="20"/>
      <c r="J15" s="20"/>
      <c r="K15" s="20"/>
    </row>
    <row r="16" customFormat="false" ht="15" hidden="false" customHeight="false" outlineLevel="0" collapsed="false">
      <c r="A16" s="20"/>
      <c r="B16" s="18" t="str">
        <f aca="false">IF(A16="","",IFERROR(INDEX(Products!$A:$A,MATCH(A16,Products!$B:$B,0)),"Not found"))</f>
        <v/>
      </c>
      <c r="C16" s="20"/>
      <c r="D16" s="18" t="str">
        <f aca="false">IF(C16="","",IFERROR(INDEX(Dimensions!$A:$A,MATCH(C16,Dimensions!$B:$B,0)),"Not found"))</f>
        <v/>
      </c>
      <c r="E16" s="20"/>
      <c r="F16" s="18" t="str">
        <f aca="false">IF(E16="","",IFERROR(INDEX(Tables!$A:$A,MATCH(E16,Tables!$B:$B,0)),"Not found"))</f>
        <v/>
      </c>
      <c r="G16" s="21" t="str">
        <f aca="false">IF(OR(D16="",F16=""),"",IF(IFERROR(INDEX(Dimensions!$D:$D,MATCH(D16,Dimensions!$A:$A,0)),"")="","",IF(INDEX(Dimensions!$D:$D,MATCH(D16,Dimensions!$A:$A,0))=F16,"Yes","No")))</f>
        <v/>
      </c>
      <c r="H16" s="20"/>
      <c r="I16" s="20"/>
      <c r="J16" s="20"/>
      <c r="K16" s="20"/>
    </row>
    <row r="17" customFormat="false" ht="15" hidden="false" customHeight="false" outlineLevel="0" collapsed="false">
      <c r="A17" s="20"/>
      <c r="B17" s="18" t="str">
        <f aca="false">IF(A17="","",IFERROR(INDEX(Products!$A:$A,MATCH(A17,Products!$B:$B,0)),"Not found"))</f>
        <v/>
      </c>
      <c r="C17" s="20"/>
      <c r="D17" s="18" t="str">
        <f aca="false">IF(C17="","",IFERROR(INDEX(Dimensions!$A:$A,MATCH(C17,Dimensions!$B:$B,0)),"Not found"))</f>
        <v/>
      </c>
      <c r="E17" s="20"/>
      <c r="F17" s="18" t="str">
        <f aca="false">IF(E17="","",IFERROR(INDEX(Tables!$A:$A,MATCH(E17,Tables!$B:$B,0)),"Not found"))</f>
        <v/>
      </c>
      <c r="G17" s="21" t="str">
        <f aca="false">IF(OR(D17="",F17=""),"",IF(IFERROR(INDEX(Dimensions!$D:$D,MATCH(D17,Dimensions!$A:$A,0)),"")="","",IF(INDEX(Dimensions!$D:$D,MATCH(D17,Dimensions!$A:$A,0))=F17,"Yes","No")))</f>
        <v/>
      </c>
      <c r="H17" s="20"/>
      <c r="I17" s="20"/>
      <c r="J17" s="20"/>
      <c r="K17" s="20"/>
    </row>
    <row r="18" customFormat="false" ht="15" hidden="false" customHeight="false" outlineLevel="0" collapsed="false">
      <c r="A18" s="20"/>
      <c r="B18" s="18" t="str">
        <f aca="false">IF(A18="","",IFERROR(INDEX(Products!$A:$A,MATCH(A18,Products!$B:$B,0)),"Not found"))</f>
        <v/>
      </c>
      <c r="C18" s="20"/>
      <c r="D18" s="18" t="str">
        <f aca="false">IF(C18="","",IFERROR(INDEX(Dimensions!$A:$A,MATCH(C18,Dimensions!$B:$B,0)),"Not found"))</f>
        <v/>
      </c>
      <c r="E18" s="20"/>
      <c r="F18" s="18" t="str">
        <f aca="false">IF(E18="","",IFERROR(INDEX(Tables!$A:$A,MATCH(E18,Tables!$B:$B,0)),"Not found"))</f>
        <v/>
      </c>
      <c r="G18" s="21" t="str">
        <f aca="false">IF(OR(D18="",F18=""),"",IF(IFERROR(INDEX(Dimensions!$D:$D,MATCH(D18,Dimensions!$A:$A,0)),"")="","",IF(INDEX(Dimensions!$D:$D,MATCH(D18,Dimensions!$A:$A,0))=F18,"Yes","No")))</f>
        <v/>
      </c>
      <c r="H18" s="20"/>
      <c r="I18" s="20"/>
      <c r="J18" s="20"/>
      <c r="K18" s="20"/>
    </row>
    <row r="19" customFormat="false" ht="15" hidden="false" customHeight="false" outlineLevel="0" collapsed="false">
      <c r="A19" s="20"/>
      <c r="B19" s="18" t="str">
        <f aca="false">IF(A19="","",IFERROR(INDEX(Products!$A:$A,MATCH(A19,Products!$B:$B,0)),"Not found"))</f>
        <v/>
      </c>
      <c r="C19" s="20"/>
      <c r="D19" s="18" t="str">
        <f aca="false">IF(C19="","",IFERROR(INDEX(Dimensions!$A:$A,MATCH(C19,Dimensions!$B:$B,0)),"Not found"))</f>
        <v/>
      </c>
      <c r="E19" s="20"/>
      <c r="F19" s="18" t="str">
        <f aca="false">IF(E19="","",IFERROR(INDEX(Tables!$A:$A,MATCH(E19,Tables!$B:$B,0)),"Not found"))</f>
        <v/>
      </c>
      <c r="G19" s="21" t="str">
        <f aca="false">IF(OR(D19="",F19=""),"",IF(IFERROR(INDEX(Dimensions!$D:$D,MATCH(D19,Dimensions!$A:$A,0)),"")="","",IF(INDEX(Dimensions!$D:$D,MATCH(D19,Dimensions!$A:$A,0))=F19,"Yes","No")))</f>
        <v/>
      </c>
      <c r="H19" s="20"/>
      <c r="I19" s="20"/>
      <c r="J19" s="20"/>
      <c r="K19" s="20"/>
    </row>
    <row r="20" customFormat="false" ht="15" hidden="false" customHeight="false" outlineLevel="0" collapsed="false">
      <c r="A20" s="20"/>
      <c r="B20" s="18" t="str">
        <f aca="false">IF(A20="","",IFERROR(INDEX(Products!$A:$A,MATCH(A20,Products!$B:$B,0)),"Not found"))</f>
        <v/>
      </c>
      <c r="C20" s="20"/>
      <c r="D20" s="18" t="str">
        <f aca="false">IF(C20="","",IFERROR(INDEX(Dimensions!$A:$A,MATCH(C20,Dimensions!$B:$B,0)),"Not found"))</f>
        <v/>
      </c>
      <c r="E20" s="20"/>
      <c r="F20" s="18" t="str">
        <f aca="false">IF(E20="","",IFERROR(INDEX(Tables!$A:$A,MATCH(E20,Tables!$B:$B,0)),"Not found"))</f>
        <v/>
      </c>
      <c r="G20" s="21" t="str">
        <f aca="false">IF(OR(D20="",F20=""),"",IF(IFERROR(INDEX(Dimensions!$D:$D,MATCH(D20,Dimensions!$A:$A,0)),"")="","",IF(INDEX(Dimensions!$D:$D,MATCH(D20,Dimensions!$A:$A,0))=F20,"Yes","No")))</f>
        <v/>
      </c>
      <c r="H20" s="20"/>
      <c r="I20" s="20"/>
      <c r="J20" s="20"/>
      <c r="K20" s="20"/>
    </row>
    <row r="21" customFormat="false" ht="15" hidden="false" customHeight="false" outlineLevel="0" collapsed="false">
      <c r="A21" s="20"/>
      <c r="B21" s="18" t="str">
        <f aca="false">IF(A21="","",IFERROR(INDEX(Products!$A:$A,MATCH(A21,Products!$B:$B,0)),"Not found"))</f>
        <v/>
      </c>
      <c r="C21" s="20"/>
      <c r="D21" s="18" t="str">
        <f aca="false">IF(C21="","",IFERROR(INDEX(Dimensions!$A:$A,MATCH(C21,Dimensions!$B:$B,0)),"Not found"))</f>
        <v/>
      </c>
      <c r="E21" s="20"/>
      <c r="F21" s="18" t="str">
        <f aca="false">IF(E21="","",IFERROR(INDEX(Tables!$A:$A,MATCH(E21,Tables!$B:$B,0)),"Not found"))</f>
        <v/>
      </c>
      <c r="G21" s="21" t="str">
        <f aca="false">IF(OR(D21="",F21=""),"",IF(IFERROR(INDEX(Dimensions!$D:$D,MATCH(D21,Dimensions!$A:$A,0)),"")="","",IF(INDEX(Dimensions!$D:$D,MATCH(D21,Dimensions!$A:$A,0))=F21,"Yes","No")))</f>
        <v/>
      </c>
      <c r="H21" s="20"/>
      <c r="I21" s="20"/>
      <c r="J21" s="20"/>
      <c r="K21" s="20"/>
    </row>
    <row r="22" customFormat="false" ht="15" hidden="false" customHeight="false" outlineLevel="0" collapsed="false">
      <c r="A22" s="20"/>
      <c r="B22" s="18" t="str">
        <f aca="false">IF(A22="","",IFERROR(INDEX(Products!$A:$A,MATCH(A22,Products!$B:$B,0)),"Not found"))</f>
        <v/>
      </c>
      <c r="C22" s="20"/>
      <c r="D22" s="18" t="str">
        <f aca="false">IF(C22="","",IFERROR(INDEX(Dimensions!$A:$A,MATCH(C22,Dimensions!$B:$B,0)),"Not found"))</f>
        <v/>
      </c>
      <c r="E22" s="20"/>
      <c r="F22" s="18" t="str">
        <f aca="false">IF(E22="","",IFERROR(INDEX(Tables!$A:$A,MATCH(E22,Tables!$B:$B,0)),"Not found"))</f>
        <v/>
      </c>
      <c r="G22" s="21" t="str">
        <f aca="false">IF(OR(D22="",F22=""),"",IF(IFERROR(INDEX(Dimensions!$D:$D,MATCH(D22,Dimensions!$A:$A,0)),"")="","",IF(INDEX(Dimensions!$D:$D,MATCH(D22,Dimensions!$A:$A,0))=F22,"Yes","No")))</f>
        <v/>
      </c>
      <c r="H22" s="20"/>
      <c r="I22" s="20"/>
      <c r="J22" s="20"/>
      <c r="K22" s="20"/>
    </row>
    <row r="23" customFormat="false" ht="15" hidden="false" customHeight="false" outlineLevel="0" collapsed="false">
      <c r="A23" s="20"/>
      <c r="B23" s="18" t="str">
        <f aca="false">IF(A23="","",IFERROR(INDEX(Products!$A:$A,MATCH(A23,Products!$B:$B,0)),"Not found"))</f>
        <v/>
      </c>
      <c r="C23" s="20"/>
      <c r="D23" s="18" t="str">
        <f aca="false">IF(C23="","",IFERROR(INDEX(Dimensions!$A:$A,MATCH(C23,Dimensions!$B:$B,0)),"Not found"))</f>
        <v/>
      </c>
      <c r="E23" s="20"/>
      <c r="F23" s="18" t="str">
        <f aca="false">IF(E23="","",IFERROR(INDEX(Tables!$A:$A,MATCH(E23,Tables!$B:$B,0)),"Not found"))</f>
        <v/>
      </c>
      <c r="G23" s="21" t="str">
        <f aca="false">IF(OR(D23="",F23=""),"",IF(IFERROR(INDEX(Dimensions!$D:$D,MATCH(D23,Dimensions!$A:$A,0)),"")="","",IF(INDEX(Dimensions!$D:$D,MATCH(D23,Dimensions!$A:$A,0))=F23,"Yes","No")))</f>
        <v/>
      </c>
      <c r="H23" s="20"/>
      <c r="I23" s="20"/>
      <c r="J23" s="20"/>
      <c r="K23" s="20"/>
    </row>
    <row r="24" customFormat="false" ht="15" hidden="false" customHeight="false" outlineLevel="0" collapsed="false">
      <c r="A24" s="20"/>
      <c r="B24" s="18" t="str">
        <f aca="false">IF(A24="","",IFERROR(INDEX(Products!$A:$A,MATCH(A24,Products!$B:$B,0)),"Not found"))</f>
        <v/>
      </c>
      <c r="C24" s="20"/>
      <c r="D24" s="18" t="str">
        <f aca="false">IF(C24="","",IFERROR(INDEX(Dimensions!$A:$A,MATCH(C24,Dimensions!$B:$B,0)),"Not found"))</f>
        <v/>
      </c>
      <c r="E24" s="20"/>
      <c r="F24" s="18" t="str">
        <f aca="false">IF(E24="","",IFERROR(INDEX(Tables!$A:$A,MATCH(E24,Tables!$B:$B,0)),"Not found"))</f>
        <v/>
      </c>
      <c r="G24" s="21" t="str">
        <f aca="false">IF(OR(D24="",F24=""),"",IF(IFERROR(INDEX(Dimensions!$D:$D,MATCH(D24,Dimensions!$A:$A,0)),"")="","",IF(INDEX(Dimensions!$D:$D,MATCH(D24,Dimensions!$A:$A,0))=F24,"Yes","No")))</f>
        <v/>
      </c>
      <c r="H24" s="20"/>
      <c r="I24" s="20"/>
      <c r="J24" s="20"/>
      <c r="K24" s="20"/>
    </row>
    <row r="25" customFormat="false" ht="15" hidden="false" customHeight="false" outlineLevel="0" collapsed="false">
      <c r="A25" s="20"/>
      <c r="B25" s="18" t="str">
        <f aca="false">IF(A25="","",IFERROR(INDEX(Products!$A:$A,MATCH(A25,Products!$B:$B,0)),"Not found"))</f>
        <v/>
      </c>
      <c r="C25" s="20"/>
      <c r="D25" s="18" t="str">
        <f aca="false">IF(C25="","",IFERROR(INDEX(Dimensions!$A:$A,MATCH(C25,Dimensions!$B:$B,0)),"Not found"))</f>
        <v/>
      </c>
      <c r="E25" s="20"/>
      <c r="F25" s="18" t="str">
        <f aca="false">IF(E25="","",IFERROR(INDEX(Tables!$A:$A,MATCH(E25,Tables!$B:$B,0)),"Not found"))</f>
        <v/>
      </c>
      <c r="G25" s="21" t="str">
        <f aca="false">IF(OR(D25="",F25=""),"",IF(IFERROR(INDEX(Dimensions!$D:$D,MATCH(D25,Dimensions!$A:$A,0)),"")="","",IF(INDEX(Dimensions!$D:$D,MATCH(D25,Dimensions!$A:$A,0))=F25,"Yes","No")))</f>
        <v/>
      </c>
      <c r="H25" s="20"/>
      <c r="I25" s="20"/>
      <c r="J25" s="20"/>
      <c r="K25" s="20"/>
    </row>
    <row r="26" customFormat="false" ht="15" hidden="false" customHeight="false" outlineLevel="0" collapsed="false">
      <c r="A26" s="20"/>
      <c r="B26" s="18" t="str">
        <f aca="false">IF(A26="","",IFERROR(INDEX(Products!$A:$A,MATCH(A26,Products!$B:$B,0)),"Not found"))</f>
        <v/>
      </c>
      <c r="C26" s="20"/>
      <c r="D26" s="18" t="str">
        <f aca="false">IF(C26="","",IFERROR(INDEX(Dimensions!$A:$A,MATCH(C26,Dimensions!$B:$B,0)),"Not found"))</f>
        <v/>
      </c>
      <c r="E26" s="20"/>
      <c r="F26" s="18" t="str">
        <f aca="false">IF(E26="","",IFERROR(INDEX(Tables!$A:$A,MATCH(E26,Tables!$B:$B,0)),"Not found"))</f>
        <v/>
      </c>
      <c r="G26" s="21" t="str">
        <f aca="false">IF(OR(D26="",F26=""),"",IF(IFERROR(INDEX(Dimensions!$D:$D,MATCH(D26,Dimensions!$A:$A,0)),"")="","",IF(INDEX(Dimensions!$D:$D,MATCH(D26,Dimensions!$A:$A,0))=F26,"Yes","No")))</f>
        <v/>
      </c>
      <c r="H26" s="20"/>
      <c r="I26" s="20"/>
      <c r="J26" s="20"/>
      <c r="K26" s="20"/>
    </row>
    <row r="27" customFormat="false" ht="15" hidden="false" customHeight="false" outlineLevel="0" collapsed="false">
      <c r="A27" s="20"/>
      <c r="B27" s="18" t="str">
        <f aca="false">IF(A27="","",IFERROR(INDEX(Products!$A:$A,MATCH(A27,Products!$B:$B,0)),"Not found"))</f>
        <v/>
      </c>
      <c r="C27" s="20"/>
      <c r="D27" s="18" t="str">
        <f aca="false">IF(C27="","",IFERROR(INDEX(Dimensions!$A:$A,MATCH(C27,Dimensions!$B:$B,0)),"Not found"))</f>
        <v/>
      </c>
      <c r="E27" s="20"/>
      <c r="F27" s="18" t="str">
        <f aca="false">IF(E27="","",IFERROR(INDEX(Tables!$A:$A,MATCH(E27,Tables!$B:$B,0)),"Not found"))</f>
        <v/>
      </c>
      <c r="G27" s="21" t="str">
        <f aca="false">IF(OR(D27="",F27=""),"",IF(IFERROR(INDEX(Dimensions!$D:$D,MATCH(D27,Dimensions!$A:$A,0)),"")="","",IF(INDEX(Dimensions!$D:$D,MATCH(D27,Dimensions!$A:$A,0))=F27,"Yes","No")))</f>
        <v/>
      </c>
      <c r="H27" s="20"/>
      <c r="I27" s="20"/>
      <c r="J27" s="20"/>
      <c r="K27" s="20"/>
    </row>
    <row r="28" customFormat="false" ht="15" hidden="false" customHeight="false" outlineLevel="0" collapsed="false">
      <c r="A28" s="20"/>
      <c r="B28" s="18" t="str">
        <f aca="false">IF(A28="","",IFERROR(INDEX(Products!$A:$A,MATCH(A28,Products!$B:$B,0)),"Not found"))</f>
        <v/>
      </c>
      <c r="C28" s="20"/>
      <c r="D28" s="18" t="str">
        <f aca="false">IF(C28="","",IFERROR(INDEX(Dimensions!$A:$A,MATCH(C28,Dimensions!$B:$B,0)),"Not found"))</f>
        <v/>
      </c>
      <c r="E28" s="20"/>
      <c r="F28" s="18" t="str">
        <f aca="false">IF(E28="","",IFERROR(INDEX(Tables!$A:$A,MATCH(E28,Tables!$B:$B,0)),"Not found"))</f>
        <v/>
      </c>
      <c r="G28" s="21" t="str">
        <f aca="false">IF(OR(D28="",F28=""),"",IF(IFERROR(INDEX(Dimensions!$D:$D,MATCH(D28,Dimensions!$A:$A,0)),"")="","",IF(INDEX(Dimensions!$D:$D,MATCH(D28,Dimensions!$A:$A,0))=F28,"Yes","No")))</f>
        <v/>
      </c>
      <c r="H28" s="20"/>
      <c r="I28" s="20"/>
      <c r="J28" s="20"/>
      <c r="K28" s="20"/>
    </row>
    <row r="29" customFormat="false" ht="15" hidden="false" customHeight="false" outlineLevel="0" collapsed="false">
      <c r="A29" s="20"/>
      <c r="B29" s="18" t="str">
        <f aca="false">IF(A29="","",IFERROR(INDEX(Products!$A:$A,MATCH(A29,Products!$B:$B,0)),"Not found"))</f>
        <v/>
      </c>
      <c r="C29" s="20"/>
      <c r="D29" s="18" t="str">
        <f aca="false">IF(C29="","",IFERROR(INDEX(Dimensions!$A:$A,MATCH(C29,Dimensions!$B:$B,0)),"Not found"))</f>
        <v/>
      </c>
      <c r="E29" s="20"/>
      <c r="F29" s="18" t="str">
        <f aca="false">IF(E29="","",IFERROR(INDEX(Tables!$A:$A,MATCH(E29,Tables!$B:$B,0)),"Not found"))</f>
        <v/>
      </c>
      <c r="G29" s="21" t="str">
        <f aca="false">IF(OR(D29="",F29=""),"",IF(IFERROR(INDEX(Dimensions!$D:$D,MATCH(D29,Dimensions!$A:$A,0)),"")="","",IF(INDEX(Dimensions!$D:$D,MATCH(D29,Dimensions!$A:$A,0))=F29,"Yes","No")))</f>
        <v/>
      </c>
      <c r="H29" s="20"/>
      <c r="I29" s="20"/>
      <c r="J29" s="20"/>
      <c r="K29" s="20"/>
    </row>
    <row r="30" customFormat="false" ht="15" hidden="false" customHeight="false" outlineLevel="0" collapsed="false">
      <c r="A30" s="20"/>
      <c r="B30" s="18" t="str">
        <f aca="false">IF(A30="","",IFERROR(INDEX(Products!$A:$A,MATCH(A30,Products!$B:$B,0)),"Not found"))</f>
        <v/>
      </c>
      <c r="C30" s="20"/>
      <c r="D30" s="18" t="str">
        <f aca="false">IF(C30="","",IFERROR(INDEX(Dimensions!$A:$A,MATCH(C30,Dimensions!$B:$B,0)),"Not found"))</f>
        <v/>
      </c>
      <c r="E30" s="20"/>
      <c r="F30" s="18" t="str">
        <f aca="false">IF(E30="","",IFERROR(INDEX(Tables!$A:$A,MATCH(E30,Tables!$B:$B,0)),"Not found"))</f>
        <v/>
      </c>
      <c r="G30" s="21" t="str">
        <f aca="false">IF(OR(D30="",F30=""),"",IF(IFERROR(INDEX(Dimensions!$D:$D,MATCH(D30,Dimensions!$A:$A,0)),"")="","",IF(INDEX(Dimensions!$D:$D,MATCH(D30,Dimensions!$A:$A,0))=F30,"Yes","No")))</f>
        <v/>
      </c>
      <c r="H30" s="20"/>
      <c r="I30" s="20"/>
      <c r="J30" s="20"/>
      <c r="K30" s="20"/>
    </row>
    <row r="31" customFormat="false" ht="15" hidden="false" customHeight="false" outlineLevel="0" collapsed="false">
      <c r="A31" s="20"/>
      <c r="B31" s="18" t="str">
        <f aca="false">IF(A31="","",IFERROR(INDEX(Products!$A:$A,MATCH(A31,Products!$B:$B,0)),"Not found"))</f>
        <v/>
      </c>
      <c r="C31" s="20"/>
      <c r="D31" s="18" t="str">
        <f aca="false">IF(C31="","",IFERROR(INDEX(Dimensions!$A:$A,MATCH(C31,Dimensions!$B:$B,0)),"Not found"))</f>
        <v/>
      </c>
      <c r="E31" s="20"/>
      <c r="F31" s="18" t="str">
        <f aca="false">IF(E31="","",IFERROR(INDEX(Tables!$A:$A,MATCH(E31,Tables!$B:$B,0)),"Not found"))</f>
        <v/>
      </c>
      <c r="G31" s="21" t="str">
        <f aca="false">IF(OR(D31="",F31=""),"",IF(IFERROR(INDEX(Dimensions!$D:$D,MATCH(D31,Dimensions!$A:$A,0)),"")="","",IF(INDEX(Dimensions!$D:$D,MATCH(D31,Dimensions!$A:$A,0))=F31,"Yes","No")))</f>
        <v/>
      </c>
      <c r="H31" s="20"/>
      <c r="I31" s="20"/>
      <c r="J31" s="20"/>
      <c r="K31" s="20"/>
    </row>
    <row r="32" customFormat="false" ht="15" hidden="false" customHeight="false" outlineLevel="0" collapsed="false">
      <c r="A32" s="20"/>
      <c r="B32" s="18" t="str">
        <f aca="false">IF(A32="","",IFERROR(INDEX(Products!$A:$A,MATCH(A32,Products!$B:$B,0)),"Not found"))</f>
        <v/>
      </c>
      <c r="C32" s="20"/>
      <c r="D32" s="18" t="str">
        <f aca="false">IF(C32="","",IFERROR(INDEX(Dimensions!$A:$A,MATCH(C32,Dimensions!$B:$B,0)),"Not found"))</f>
        <v/>
      </c>
      <c r="E32" s="20"/>
      <c r="F32" s="18" t="str">
        <f aca="false">IF(E32="","",IFERROR(INDEX(Tables!$A:$A,MATCH(E32,Tables!$B:$B,0)),"Not found"))</f>
        <v/>
      </c>
      <c r="G32" s="21" t="str">
        <f aca="false">IF(OR(D32="",F32=""),"",IF(IFERROR(INDEX(Dimensions!$D:$D,MATCH(D32,Dimensions!$A:$A,0)),"")="","",IF(INDEX(Dimensions!$D:$D,MATCH(D32,Dimensions!$A:$A,0))=F32,"Yes","No")))</f>
        <v/>
      </c>
      <c r="H32" s="20"/>
      <c r="I32" s="20"/>
      <c r="J32" s="20"/>
      <c r="K32" s="20"/>
    </row>
    <row r="33" customFormat="false" ht="15" hidden="false" customHeight="false" outlineLevel="0" collapsed="false">
      <c r="A33" s="20"/>
      <c r="B33" s="18" t="str">
        <f aca="false">IF(A33="","",IFERROR(INDEX(Products!$A:$A,MATCH(A33,Products!$B:$B,0)),"Not found"))</f>
        <v/>
      </c>
      <c r="C33" s="20"/>
      <c r="D33" s="18" t="str">
        <f aca="false">IF(C33="","",IFERROR(INDEX(Dimensions!$A:$A,MATCH(C33,Dimensions!$B:$B,0)),"Not found"))</f>
        <v/>
      </c>
      <c r="E33" s="20"/>
      <c r="F33" s="18" t="str">
        <f aca="false">IF(E33="","",IFERROR(INDEX(Tables!$A:$A,MATCH(E33,Tables!$B:$B,0)),"Not found"))</f>
        <v/>
      </c>
      <c r="G33" s="21" t="str">
        <f aca="false">IF(OR(D33="",F33=""),"",IF(IFERROR(INDEX(Dimensions!$D:$D,MATCH(D33,Dimensions!$A:$A,0)),"")="","",IF(INDEX(Dimensions!$D:$D,MATCH(D33,Dimensions!$A:$A,0))=F33,"Yes","No")))</f>
        <v/>
      </c>
      <c r="H33" s="20"/>
      <c r="I33" s="20"/>
      <c r="J33" s="20"/>
      <c r="K33" s="20"/>
    </row>
    <row r="34" customFormat="false" ht="15" hidden="false" customHeight="false" outlineLevel="0" collapsed="false">
      <c r="A34" s="20"/>
      <c r="B34" s="18" t="str">
        <f aca="false">IF(A34="","",IFERROR(INDEX(Products!$A:$A,MATCH(A34,Products!$B:$B,0)),"Not found"))</f>
        <v/>
      </c>
      <c r="C34" s="20"/>
      <c r="D34" s="18" t="str">
        <f aca="false">IF(C34="","",IFERROR(INDEX(Dimensions!$A:$A,MATCH(C34,Dimensions!$B:$B,0)),"Not found"))</f>
        <v/>
      </c>
      <c r="E34" s="20"/>
      <c r="F34" s="18" t="str">
        <f aca="false">IF(E34="","",IFERROR(INDEX(Tables!$A:$A,MATCH(E34,Tables!$B:$B,0)),"Not found"))</f>
        <v/>
      </c>
      <c r="G34" s="21" t="str">
        <f aca="false">IF(OR(D34="",F34=""),"",IF(IFERROR(INDEX(Dimensions!$D:$D,MATCH(D34,Dimensions!$A:$A,0)),"")="","",IF(INDEX(Dimensions!$D:$D,MATCH(D34,Dimensions!$A:$A,0))=F34,"Yes","No")))</f>
        <v/>
      </c>
      <c r="H34" s="20"/>
      <c r="I34" s="20"/>
      <c r="J34" s="20"/>
      <c r="K34" s="20"/>
    </row>
    <row r="35" customFormat="false" ht="15" hidden="false" customHeight="false" outlineLevel="0" collapsed="false">
      <c r="A35" s="20"/>
      <c r="B35" s="18" t="str">
        <f aca="false">IF(A35="","",IFERROR(INDEX(Products!$A:$A,MATCH(A35,Products!$B:$B,0)),"Not found"))</f>
        <v/>
      </c>
      <c r="C35" s="20"/>
      <c r="D35" s="18" t="str">
        <f aca="false">IF(C35="","",IFERROR(INDEX(Dimensions!$A:$A,MATCH(C35,Dimensions!$B:$B,0)),"Not found"))</f>
        <v/>
      </c>
      <c r="E35" s="20"/>
      <c r="F35" s="18" t="str">
        <f aca="false">IF(E35="","",IFERROR(INDEX(Tables!$A:$A,MATCH(E35,Tables!$B:$B,0)),"Not found"))</f>
        <v/>
      </c>
      <c r="G35" s="21" t="str">
        <f aca="false">IF(OR(D35="",F35=""),"",IF(IFERROR(INDEX(Dimensions!$D:$D,MATCH(D35,Dimensions!$A:$A,0)),"")="","",IF(INDEX(Dimensions!$D:$D,MATCH(D35,Dimensions!$A:$A,0))=F35,"Yes","No")))</f>
        <v/>
      </c>
      <c r="H35" s="20"/>
      <c r="I35" s="20"/>
      <c r="J35" s="20"/>
      <c r="K35" s="20"/>
    </row>
    <row r="36" customFormat="false" ht="15" hidden="false" customHeight="false" outlineLevel="0" collapsed="false">
      <c r="A36" s="20"/>
      <c r="B36" s="18" t="str">
        <f aca="false">IF(A36="","",IFERROR(INDEX(Products!$A:$A,MATCH(A36,Products!$B:$B,0)),"Not found"))</f>
        <v/>
      </c>
      <c r="C36" s="20"/>
      <c r="D36" s="18" t="str">
        <f aca="false">IF(C36="","",IFERROR(INDEX(Dimensions!$A:$A,MATCH(C36,Dimensions!$B:$B,0)),"Not found"))</f>
        <v/>
      </c>
      <c r="E36" s="20"/>
      <c r="F36" s="18" t="str">
        <f aca="false">IF(E36="","",IFERROR(INDEX(Tables!$A:$A,MATCH(E36,Tables!$B:$B,0)),"Not found"))</f>
        <v/>
      </c>
      <c r="G36" s="21" t="str">
        <f aca="false">IF(OR(D36="",F36=""),"",IF(IFERROR(INDEX(Dimensions!$D:$D,MATCH(D36,Dimensions!$A:$A,0)),"")="","",IF(INDEX(Dimensions!$D:$D,MATCH(D36,Dimensions!$A:$A,0))=F36,"Yes","No")))</f>
        <v/>
      </c>
      <c r="H36" s="20"/>
      <c r="I36" s="20"/>
      <c r="J36" s="20"/>
      <c r="K36" s="20"/>
    </row>
    <row r="37" customFormat="false" ht="15" hidden="false" customHeight="false" outlineLevel="0" collapsed="false">
      <c r="A37" s="20"/>
      <c r="B37" s="18" t="str">
        <f aca="false">IF(A37="","",IFERROR(INDEX(Products!$A:$A,MATCH(A37,Products!$B:$B,0)),"Not found"))</f>
        <v/>
      </c>
      <c r="C37" s="20"/>
      <c r="D37" s="18" t="str">
        <f aca="false">IF(C37="","",IFERROR(INDEX(Dimensions!$A:$A,MATCH(C37,Dimensions!$B:$B,0)),"Not found"))</f>
        <v/>
      </c>
      <c r="E37" s="20"/>
      <c r="F37" s="18" t="str">
        <f aca="false">IF(E37="","",IFERROR(INDEX(Tables!$A:$A,MATCH(E37,Tables!$B:$B,0)),"Not found"))</f>
        <v/>
      </c>
      <c r="G37" s="21" t="str">
        <f aca="false">IF(OR(D37="",F37=""),"",IF(IFERROR(INDEX(Dimensions!$D:$D,MATCH(D37,Dimensions!$A:$A,0)),"")="","",IF(INDEX(Dimensions!$D:$D,MATCH(D37,Dimensions!$A:$A,0))=F37,"Yes","No")))</f>
        <v/>
      </c>
      <c r="H37" s="20"/>
      <c r="I37" s="20"/>
      <c r="J37" s="20"/>
      <c r="K37" s="20"/>
    </row>
    <row r="38" customFormat="false" ht="15" hidden="false" customHeight="false" outlineLevel="0" collapsed="false">
      <c r="A38" s="20"/>
      <c r="B38" s="18" t="str">
        <f aca="false">IF(A38="","",IFERROR(INDEX(Products!$A:$A,MATCH(A38,Products!$B:$B,0)),"Not found"))</f>
        <v/>
      </c>
      <c r="C38" s="20"/>
      <c r="D38" s="18" t="str">
        <f aca="false">IF(C38="","",IFERROR(INDEX(Dimensions!$A:$A,MATCH(C38,Dimensions!$B:$B,0)),"Not found"))</f>
        <v/>
      </c>
      <c r="E38" s="20"/>
      <c r="F38" s="18" t="str">
        <f aca="false">IF(E38="","",IFERROR(INDEX(Tables!$A:$A,MATCH(E38,Tables!$B:$B,0)),"Not found"))</f>
        <v/>
      </c>
      <c r="G38" s="21" t="str">
        <f aca="false">IF(OR(D38="",F38=""),"",IF(IFERROR(INDEX(Dimensions!$D:$D,MATCH(D38,Dimensions!$A:$A,0)),"")="","",IF(INDEX(Dimensions!$D:$D,MATCH(D38,Dimensions!$A:$A,0))=F38,"Yes","No")))</f>
        <v/>
      </c>
      <c r="H38" s="20"/>
      <c r="I38" s="20"/>
      <c r="J38" s="20"/>
      <c r="K38" s="20"/>
    </row>
    <row r="39" customFormat="false" ht="15" hidden="false" customHeight="false" outlineLevel="0" collapsed="false">
      <c r="A39" s="20"/>
      <c r="B39" s="18" t="str">
        <f aca="false">IF(A39="","",IFERROR(INDEX(Products!$A:$A,MATCH(A39,Products!$B:$B,0)),"Not found"))</f>
        <v/>
      </c>
      <c r="C39" s="20"/>
      <c r="D39" s="18" t="str">
        <f aca="false">IF(C39="","",IFERROR(INDEX(Dimensions!$A:$A,MATCH(C39,Dimensions!$B:$B,0)),"Not found"))</f>
        <v/>
      </c>
      <c r="E39" s="20"/>
      <c r="F39" s="18" t="str">
        <f aca="false">IF(E39="","",IFERROR(INDEX(Tables!$A:$A,MATCH(E39,Tables!$B:$B,0)),"Not found"))</f>
        <v/>
      </c>
      <c r="G39" s="21" t="str">
        <f aca="false">IF(OR(D39="",F39=""),"",IF(IFERROR(INDEX(Dimensions!$D:$D,MATCH(D39,Dimensions!$A:$A,0)),"")="","",IF(INDEX(Dimensions!$D:$D,MATCH(D39,Dimensions!$A:$A,0))=F39,"Yes","No")))</f>
        <v/>
      </c>
      <c r="H39" s="20"/>
      <c r="I39" s="20"/>
      <c r="J39" s="20"/>
      <c r="K39" s="20"/>
    </row>
    <row r="40" customFormat="false" ht="15" hidden="false" customHeight="false" outlineLevel="0" collapsed="false">
      <c r="A40" s="20"/>
      <c r="B40" s="18" t="str">
        <f aca="false">IF(A40="","",IFERROR(INDEX(Products!$A:$A,MATCH(A40,Products!$B:$B,0)),"Not found"))</f>
        <v/>
      </c>
      <c r="C40" s="20"/>
      <c r="D40" s="18" t="str">
        <f aca="false">IF(C40="","",IFERROR(INDEX(Dimensions!$A:$A,MATCH(C40,Dimensions!$B:$B,0)),"Not found"))</f>
        <v/>
      </c>
      <c r="E40" s="20"/>
      <c r="F40" s="18" t="str">
        <f aca="false">IF(E40="","",IFERROR(INDEX(Tables!$A:$A,MATCH(E40,Tables!$B:$B,0)),"Not found"))</f>
        <v/>
      </c>
      <c r="G40" s="21" t="str">
        <f aca="false">IF(OR(D40="",F40=""),"",IF(IFERROR(INDEX(Dimensions!$D:$D,MATCH(D40,Dimensions!$A:$A,0)),"")="","",IF(INDEX(Dimensions!$D:$D,MATCH(D40,Dimensions!$A:$A,0))=F40,"Yes","No")))</f>
        <v/>
      </c>
      <c r="H40" s="20"/>
      <c r="I40" s="20"/>
      <c r="J40" s="20"/>
      <c r="K40" s="20"/>
    </row>
    <row r="41" customFormat="false" ht="15" hidden="false" customHeight="false" outlineLevel="0" collapsed="false">
      <c r="A41" s="20"/>
      <c r="B41" s="18" t="str">
        <f aca="false">IF(A41="","",IFERROR(INDEX(Products!$A:$A,MATCH(A41,Products!$B:$B,0)),"Not found"))</f>
        <v/>
      </c>
      <c r="C41" s="20"/>
      <c r="D41" s="18" t="str">
        <f aca="false">IF(C41="","",IFERROR(INDEX(Dimensions!$A:$A,MATCH(C41,Dimensions!$B:$B,0)),"Not found"))</f>
        <v/>
      </c>
      <c r="E41" s="20"/>
      <c r="F41" s="18" t="str">
        <f aca="false">IF(E41="","",IFERROR(INDEX(Tables!$A:$A,MATCH(E41,Tables!$B:$B,0)),"Not found"))</f>
        <v/>
      </c>
      <c r="G41" s="21" t="str">
        <f aca="false">IF(OR(D41="",F41=""),"",IF(IFERROR(INDEX(Dimensions!$D:$D,MATCH(D41,Dimensions!$A:$A,0)),"")="","",IF(INDEX(Dimensions!$D:$D,MATCH(D41,Dimensions!$A:$A,0))=F41,"Yes","No")))</f>
        <v/>
      </c>
      <c r="H41" s="20"/>
      <c r="I41" s="20"/>
      <c r="J41" s="20"/>
      <c r="K41" s="20"/>
    </row>
    <row r="42" customFormat="false" ht="15" hidden="false" customHeight="false" outlineLevel="0" collapsed="false">
      <c r="A42" s="20"/>
      <c r="B42" s="18" t="str">
        <f aca="false">IF(A42="","",IFERROR(INDEX(Products!$A:$A,MATCH(A42,Products!$B:$B,0)),"Not found"))</f>
        <v/>
      </c>
      <c r="C42" s="20"/>
      <c r="D42" s="18" t="str">
        <f aca="false">IF(C42="","",IFERROR(INDEX(Dimensions!$A:$A,MATCH(C42,Dimensions!$B:$B,0)),"Not found"))</f>
        <v/>
      </c>
      <c r="E42" s="20"/>
      <c r="F42" s="18" t="str">
        <f aca="false">IF(E42="","",IFERROR(INDEX(Tables!$A:$A,MATCH(E42,Tables!$B:$B,0)),"Not found"))</f>
        <v/>
      </c>
      <c r="G42" s="21" t="str">
        <f aca="false">IF(OR(D42="",F42=""),"",IF(IFERROR(INDEX(Dimensions!$D:$D,MATCH(D42,Dimensions!$A:$A,0)),"")="","",IF(INDEX(Dimensions!$D:$D,MATCH(D42,Dimensions!$A:$A,0))=F42,"Yes","No")))</f>
        <v/>
      </c>
      <c r="H42" s="20"/>
      <c r="I42" s="20"/>
      <c r="J42" s="20"/>
      <c r="K42" s="20"/>
    </row>
    <row r="43" customFormat="false" ht="15" hidden="false" customHeight="false" outlineLevel="0" collapsed="false">
      <c r="A43" s="20"/>
      <c r="B43" s="18" t="str">
        <f aca="false">IF(A43="","",IFERROR(INDEX(Products!$A:$A,MATCH(A43,Products!$B:$B,0)),"Not found"))</f>
        <v/>
      </c>
      <c r="C43" s="20"/>
      <c r="D43" s="18" t="str">
        <f aca="false">IF(C43="","",IFERROR(INDEX(Dimensions!$A:$A,MATCH(C43,Dimensions!$B:$B,0)),"Not found"))</f>
        <v/>
      </c>
      <c r="E43" s="20"/>
      <c r="F43" s="18" t="str">
        <f aca="false">IF(E43="","",IFERROR(INDEX(Tables!$A:$A,MATCH(E43,Tables!$B:$B,0)),"Not found"))</f>
        <v/>
      </c>
      <c r="G43" s="21" t="str">
        <f aca="false">IF(OR(D43="",F43=""),"",IF(IFERROR(INDEX(Dimensions!$D:$D,MATCH(D43,Dimensions!$A:$A,0)),"")="","",IF(INDEX(Dimensions!$D:$D,MATCH(D43,Dimensions!$A:$A,0))=F43,"Yes","No")))</f>
        <v/>
      </c>
      <c r="H43" s="20"/>
      <c r="I43" s="20"/>
      <c r="J43" s="20"/>
      <c r="K43" s="20"/>
    </row>
    <row r="44" customFormat="false" ht="15" hidden="false" customHeight="false" outlineLevel="0" collapsed="false">
      <c r="A44" s="20"/>
      <c r="B44" s="18" t="str">
        <f aca="false">IF(A44="","",IFERROR(INDEX(Products!$A:$A,MATCH(A44,Products!$B:$B,0)),"Not found"))</f>
        <v/>
      </c>
      <c r="C44" s="20"/>
      <c r="D44" s="18" t="str">
        <f aca="false">IF(C44="","",IFERROR(INDEX(Dimensions!$A:$A,MATCH(C44,Dimensions!$B:$B,0)),"Not found"))</f>
        <v/>
      </c>
      <c r="E44" s="20"/>
      <c r="F44" s="18" t="str">
        <f aca="false">IF(E44="","",IFERROR(INDEX(Tables!$A:$A,MATCH(E44,Tables!$B:$B,0)),"Not found"))</f>
        <v/>
      </c>
      <c r="G44" s="21" t="str">
        <f aca="false">IF(OR(D44="",F44=""),"",IF(IFERROR(INDEX(Dimensions!$D:$D,MATCH(D44,Dimensions!$A:$A,0)),"")="","",IF(INDEX(Dimensions!$D:$D,MATCH(D44,Dimensions!$A:$A,0))=F44,"Yes","No")))</f>
        <v/>
      </c>
      <c r="H44" s="20"/>
      <c r="I44" s="20"/>
      <c r="J44" s="20"/>
      <c r="K44" s="20"/>
    </row>
    <row r="45" customFormat="false" ht="15" hidden="false" customHeight="false" outlineLevel="0" collapsed="false">
      <c r="A45" s="20"/>
      <c r="B45" s="18" t="str">
        <f aca="false">IF(A45="","",IFERROR(INDEX(Products!$A:$A,MATCH(A45,Products!$B:$B,0)),"Not found"))</f>
        <v/>
      </c>
      <c r="C45" s="20"/>
      <c r="D45" s="18" t="str">
        <f aca="false">IF(C45="","",IFERROR(INDEX(Dimensions!$A:$A,MATCH(C45,Dimensions!$B:$B,0)),"Not found"))</f>
        <v/>
      </c>
      <c r="E45" s="20"/>
      <c r="F45" s="18" t="str">
        <f aca="false">IF(E45="","",IFERROR(INDEX(Tables!$A:$A,MATCH(E45,Tables!$B:$B,0)),"Not found"))</f>
        <v/>
      </c>
      <c r="G45" s="21" t="str">
        <f aca="false">IF(OR(D45="",F45=""),"",IF(IFERROR(INDEX(Dimensions!$D:$D,MATCH(D45,Dimensions!$A:$A,0)),"")="","",IF(INDEX(Dimensions!$D:$D,MATCH(D45,Dimensions!$A:$A,0))=F45,"Yes","No")))</f>
        <v/>
      </c>
      <c r="H45" s="20"/>
      <c r="I45" s="20"/>
      <c r="J45" s="20"/>
      <c r="K45" s="20"/>
    </row>
    <row r="46" customFormat="false" ht="15" hidden="false" customHeight="false" outlineLevel="0" collapsed="false">
      <c r="A46" s="20"/>
      <c r="B46" s="18" t="str">
        <f aca="false">IF(A46="","",IFERROR(INDEX(Products!$A:$A,MATCH(A46,Products!$B:$B,0)),"Not found"))</f>
        <v/>
      </c>
      <c r="C46" s="20"/>
      <c r="D46" s="18" t="str">
        <f aca="false">IF(C46="","",IFERROR(INDEX(Dimensions!$A:$A,MATCH(C46,Dimensions!$B:$B,0)),"Not found"))</f>
        <v/>
      </c>
      <c r="E46" s="20"/>
      <c r="F46" s="18" t="str">
        <f aca="false">IF(E46="","",IFERROR(INDEX(Tables!$A:$A,MATCH(E46,Tables!$B:$B,0)),"Not found"))</f>
        <v/>
      </c>
      <c r="G46" s="21" t="str">
        <f aca="false">IF(OR(D46="",F46=""),"",IF(IFERROR(INDEX(Dimensions!$D:$D,MATCH(D46,Dimensions!$A:$A,0)),"")="","",IF(INDEX(Dimensions!$D:$D,MATCH(D46,Dimensions!$A:$A,0))=F46,"Yes","No")))</f>
        <v/>
      </c>
      <c r="H46" s="20"/>
      <c r="I46" s="20"/>
      <c r="J46" s="20"/>
      <c r="K46" s="20"/>
    </row>
    <row r="47" customFormat="false" ht="15" hidden="false" customHeight="false" outlineLevel="0" collapsed="false">
      <c r="A47" s="20"/>
      <c r="B47" s="18" t="str">
        <f aca="false">IF(A47="","",IFERROR(INDEX(Products!$A:$A,MATCH(A47,Products!$B:$B,0)),"Not found"))</f>
        <v/>
      </c>
      <c r="C47" s="20"/>
      <c r="D47" s="18" t="str">
        <f aca="false">IF(C47="","",IFERROR(INDEX(Dimensions!$A:$A,MATCH(C47,Dimensions!$B:$B,0)),"Not found"))</f>
        <v/>
      </c>
      <c r="E47" s="20"/>
      <c r="F47" s="18" t="str">
        <f aca="false">IF(E47="","",IFERROR(INDEX(Tables!$A:$A,MATCH(E47,Tables!$B:$B,0)),"Not found"))</f>
        <v/>
      </c>
      <c r="G47" s="21" t="str">
        <f aca="false">IF(OR(D47="",F47=""),"",IF(IFERROR(INDEX(Dimensions!$D:$D,MATCH(D47,Dimensions!$A:$A,0)),"")="","",IF(INDEX(Dimensions!$D:$D,MATCH(D47,Dimensions!$A:$A,0))=F47,"Yes","No")))</f>
        <v/>
      </c>
      <c r="H47" s="20"/>
      <c r="I47" s="20"/>
      <c r="J47" s="20"/>
      <c r="K47" s="20"/>
    </row>
    <row r="48" customFormat="false" ht="15" hidden="false" customHeight="false" outlineLevel="0" collapsed="false">
      <c r="A48" s="20"/>
      <c r="B48" s="18" t="str">
        <f aca="false">IF(A48="","",IFERROR(INDEX(Products!$A:$A,MATCH(A48,Products!$B:$B,0)),"Not found"))</f>
        <v/>
      </c>
      <c r="C48" s="20"/>
      <c r="D48" s="18" t="str">
        <f aca="false">IF(C48="","",IFERROR(INDEX(Dimensions!$A:$A,MATCH(C48,Dimensions!$B:$B,0)),"Not found"))</f>
        <v/>
      </c>
      <c r="E48" s="20"/>
      <c r="F48" s="18" t="str">
        <f aca="false">IF(E48="","",IFERROR(INDEX(Tables!$A:$A,MATCH(E48,Tables!$B:$B,0)),"Not found"))</f>
        <v/>
      </c>
      <c r="G48" s="21" t="str">
        <f aca="false">IF(OR(D48="",F48=""),"",IF(IFERROR(INDEX(Dimensions!$D:$D,MATCH(D48,Dimensions!$A:$A,0)),"")="","",IF(INDEX(Dimensions!$D:$D,MATCH(D48,Dimensions!$A:$A,0))=F48,"Yes","No")))</f>
        <v/>
      </c>
      <c r="H48" s="20"/>
      <c r="I48" s="20"/>
      <c r="J48" s="20"/>
      <c r="K48" s="20"/>
    </row>
    <row r="49" customFormat="false" ht="15" hidden="false" customHeight="false" outlineLevel="0" collapsed="false">
      <c r="A49" s="20"/>
      <c r="B49" s="18" t="str">
        <f aca="false">IF(A49="","",IFERROR(INDEX(Products!$A:$A,MATCH(A49,Products!$B:$B,0)),"Not found"))</f>
        <v/>
      </c>
      <c r="C49" s="20"/>
      <c r="D49" s="18" t="str">
        <f aca="false">IF(C49="","",IFERROR(INDEX(Dimensions!$A:$A,MATCH(C49,Dimensions!$B:$B,0)),"Not found"))</f>
        <v/>
      </c>
      <c r="E49" s="20"/>
      <c r="F49" s="18" t="str">
        <f aca="false">IF(E49="","",IFERROR(INDEX(Tables!$A:$A,MATCH(E49,Tables!$B:$B,0)),"Not found"))</f>
        <v/>
      </c>
      <c r="G49" s="21" t="str">
        <f aca="false">IF(OR(D49="",F49=""),"",IF(IFERROR(INDEX(Dimensions!$D:$D,MATCH(D49,Dimensions!$A:$A,0)),"")="","",IF(INDEX(Dimensions!$D:$D,MATCH(D49,Dimensions!$A:$A,0))=F49,"Yes","No")))</f>
        <v/>
      </c>
      <c r="H49" s="20"/>
      <c r="I49" s="20"/>
      <c r="J49" s="20"/>
      <c r="K49" s="20"/>
    </row>
    <row r="50" customFormat="false" ht="15" hidden="false" customHeight="false" outlineLevel="0" collapsed="false">
      <c r="A50" s="20"/>
      <c r="B50" s="18" t="str">
        <f aca="false">IF(A50="","",IFERROR(INDEX(Products!$A:$A,MATCH(A50,Products!$B:$B,0)),"Not found"))</f>
        <v/>
      </c>
      <c r="C50" s="20"/>
      <c r="D50" s="18" t="str">
        <f aca="false">IF(C50="","",IFERROR(INDEX(Dimensions!$A:$A,MATCH(C50,Dimensions!$B:$B,0)),"Not found"))</f>
        <v/>
      </c>
      <c r="E50" s="20"/>
      <c r="F50" s="18" t="str">
        <f aca="false">IF(E50="","",IFERROR(INDEX(Tables!$A:$A,MATCH(E50,Tables!$B:$B,0)),"Not found"))</f>
        <v/>
      </c>
      <c r="G50" s="21" t="str">
        <f aca="false">IF(OR(D50="",F50=""),"",IF(IFERROR(INDEX(Dimensions!$D:$D,MATCH(D50,Dimensions!$A:$A,0)),"")="","",IF(INDEX(Dimensions!$D:$D,MATCH(D50,Dimensions!$A:$A,0))=F50,"Yes","No")))</f>
        <v/>
      </c>
      <c r="H50" s="20"/>
      <c r="I50" s="20"/>
      <c r="J50" s="20"/>
      <c r="K50" s="20"/>
    </row>
    <row r="51" customFormat="false" ht="15" hidden="false" customHeight="false" outlineLevel="0" collapsed="false">
      <c r="A51" s="20"/>
      <c r="B51" s="18" t="str">
        <f aca="false">IF(A51="","",IFERROR(INDEX(Products!$A:$A,MATCH(A51,Products!$B:$B,0)),"Not found"))</f>
        <v/>
      </c>
      <c r="C51" s="20"/>
      <c r="D51" s="18" t="str">
        <f aca="false">IF(C51="","",IFERROR(INDEX(Dimensions!$A:$A,MATCH(C51,Dimensions!$B:$B,0)),"Not found"))</f>
        <v/>
      </c>
      <c r="E51" s="20"/>
      <c r="F51" s="18" t="str">
        <f aca="false">IF(E51="","",IFERROR(INDEX(Tables!$A:$A,MATCH(E51,Tables!$B:$B,0)),"Not found"))</f>
        <v/>
      </c>
      <c r="G51" s="21" t="str">
        <f aca="false">IF(OR(D51="",F51=""),"",IF(IFERROR(INDEX(Dimensions!$D:$D,MATCH(D51,Dimensions!$A:$A,0)),"")="","",IF(INDEX(Dimensions!$D:$D,MATCH(D51,Dimensions!$A:$A,0))=F51,"Yes","No")))</f>
        <v/>
      </c>
      <c r="H51" s="20"/>
      <c r="I51" s="20"/>
      <c r="J51" s="20"/>
      <c r="K51" s="20"/>
    </row>
    <row r="52" customFormat="false" ht="15" hidden="false" customHeight="false" outlineLevel="0" collapsed="false">
      <c r="A52" s="20"/>
      <c r="B52" s="18" t="str">
        <f aca="false">IF(A52="","",IFERROR(INDEX(Products!$A:$A,MATCH(A52,Products!$B:$B,0)),"Not found"))</f>
        <v/>
      </c>
      <c r="C52" s="20"/>
      <c r="D52" s="18" t="str">
        <f aca="false">IF(C52="","",IFERROR(INDEX(Dimensions!$A:$A,MATCH(C52,Dimensions!$B:$B,0)),"Not found"))</f>
        <v/>
      </c>
      <c r="E52" s="20"/>
      <c r="F52" s="18" t="str">
        <f aca="false">IF(E52="","",IFERROR(INDEX(Tables!$A:$A,MATCH(E52,Tables!$B:$B,0)),"Not found"))</f>
        <v/>
      </c>
      <c r="G52" s="21" t="str">
        <f aca="false">IF(OR(D52="",F52=""),"",IF(IFERROR(INDEX(Dimensions!$D:$D,MATCH(D52,Dimensions!$A:$A,0)),"")="","",IF(INDEX(Dimensions!$D:$D,MATCH(D52,Dimensions!$A:$A,0))=F52,"Yes","No")))</f>
        <v/>
      </c>
      <c r="H52" s="20"/>
      <c r="I52" s="20"/>
      <c r="J52" s="20"/>
      <c r="K52" s="20"/>
    </row>
    <row r="53" customFormat="false" ht="15" hidden="false" customHeight="false" outlineLevel="0" collapsed="false">
      <c r="A53" s="20"/>
      <c r="B53" s="18" t="str">
        <f aca="false">IF(A53="","",IFERROR(INDEX(Products!$A:$A,MATCH(A53,Products!$B:$B,0)),"Not found"))</f>
        <v/>
      </c>
      <c r="C53" s="20"/>
      <c r="D53" s="18" t="str">
        <f aca="false">IF(C53="","",IFERROR(INDEX(Dimensions!$A:$A,MATCH(C53,Dimensions!$B:$B,0)),"Not found"))</f>
        <v/>
      </c>
      <c r="E53" s="20"/>
      <c r="F53" s="18" t="str">
        <f aca="false">IF(E53="","",IFERROR(INDEX(Tables!$A:$A,MATCH(E53,Tables!$B:$B,0)),"Not found"))</f>
        <v/>
      </c>
      <c r="G53" s="21" t="str">
        <f aca="false">IF(OR(D53="",F53=""),"",IF(IFERROR(INDEX(Dimensions!$D:$D,MATCH(D53,Dimensions!$A:$A,0)),"")="","",IF(INDEX(Dimensions!$D:$D,MATCH(D53,Dimensions!$A:$A,0))=F53,"Yes","No")))</f>
        <v/>
      </c>
      <c r="H53" s="20"/>
      <c r="I53" s="20"/>
      <c r="J53" s="20"/>
      <c r="K53" s="20"/>
    </row>
    <row r="54" customFormat="false" ht="15" hidden="false" customHeight="false" outlineLevel="0" collapsed="false">
      <c r="A54" s="20"/>
      <c r="B54" s="18" t="str">
        <f aca="false">IF(A54="","",IFERROR(INDEX(Products!$A:$A,MATCH(A54,Products!$B:$B,0)),"Not found"))</f>
        <v/>
      </c>
      <c r="C54" s="20"/>
      <c r="D54" s="18" t="str">
        <f aca="false">IF(C54="","",IFERROR(INDEX(Dimensions!$A:$A,MATCH(C54,Dimensions!$B:$B,0)),"Not found"))</f>
        <v/>
      </c>
      <c r="E54" s="20"/>
      <c r="F54" s="18" t="str">
        <f aca="false">IF(E54="","",IFERROR(INDEX(Tables!$A:$A,MATCH(E54,Tables!$B:$B,0)),"Not found"))</f>
        <v/>
      </c>
      <c r="G54" s="21" t="str">
        <f aca="false">IF(OR(D54="",F54=""),"",IF(IFERROR(INDEX(Dimensions!$D:$D,MATCH(D54,Dimensions!$A:$A,0)),"")="","",IF(INDEX(Dimensions!$D:$D,MATCH(D54,Dimensions!$A:$A,0))=F54,"Yes","No")))</f>
        <v/>
      </c>
      <c r="H54" s="20"/>
      <c r="I54" s="20"/>
      <c r="J54" s="20"/>
      <c r="K54" s="20"/>
    </row>
    <row r="55" customFormat="false" ht="15" hidden="false" customHeight="false" outlineLevel="0" collapsed="false">
      <c r="A55" s="20"/>
      <c r="B55" s="18" t="str">
        <f aca="false">IF(A55="","",IFERROR(INDEX(Products!$A:$A,MATCH(A55,Products!$B:$B,0)),"Not found"))</f>
        <v/>
      </c>
      <c r="C55" s="20"/>
      <c r="D55" s="18" t="str">
        <f aca="false">IF(C55="","",IFERROR(INDEX(Dimensions!$A:$A,MATCH(C55,Dimensions!$B:$B,0)),"Not found"))</f>
        <v/>
      </c>
      <c r="E55" s="20"/>
      <c r="F55" s="18" t="str">
        <f aca="false">IF(E55="","",IFERROR(INDEX(Tables!$A:$A,MATCH(E55,Tables!$B:$B,0)),"Not found"))</f>
        <v/>
      </c>
      <c r="G55" s="21" t="str">
        <f aca="false">IF(OR(D55="",F55=""),"",IF(IFERROR(INDEX(Dimensions!$D:$D,MATCH(D55,Dimensions!$A:$A,0)),"")="","",IF(INDEX(Dimensions!$D:$D,MATCH(D55,Dimensions!$A:$A,0))=F55,"Yes","No")))</f>
        <v/>
      </c>
      <c r="H55" s="20"/>
      <c r="I55" s="20"/>
      <c r="J55" s="20"/>
      <c r="K55" s="20"/>
    </row>
    <row r="56" customFormat="false" ht="15" hidden="false" customHeight="false" outlineLevel="0" collapsed="false">
      <c r="A56" s="20"/>
      <c r="B56" s="18" t="str">
        <f aca="false">IF(A56="","",IFERROR(INDEX(Products!$A:$A,MATCH(A56,Products!$B:$B,0)),"Not found"))</f>
        <v/>
      </c>
      <c r="C56" s="20"/>
      <c r="D56" s="18" t="str">
        <f aca="false">IF(C56="","",IFERROR(INDEX(Dimensions!$A:$A,MATCH(C56,Dimensions!$B:$B,0)),"Not found"))</f>
        <v/>
      </c>
      <c r="E56" s="20"/>
      <c r="F56" s="18" t="str">
        <f aca="false">IF(E56="","",IFERROR(INDEX(Tables!$A:$A,MATCH(E56,Tables!$B:$B,0)),"Not found"))</f>
        <v/>
      </c>
      <c r="G56" s="21" t="str">
        <f aca="false">IF(OR(D56="",F56=""),"",IF(IFERROR(INDEX(Dimensions!$D:$D,MATCH(D56,Dimensions!$A:$A,0)),"")="","",IF(INDEX(Dimensions!$D:$D,MATCH(D56,Dimensions!$A:$A,0))=F56,"Yes","No")))</f>
        <v/>
      </c>
      <c r="H56" s="20"/>
      <c r="I56" s="20"/>
      <c r="J56" s="20"/>
      <c r="K56" s="20"/>
    </row>
    <row r="57" customFormat="false" ht="15" hidden="false" customHeight="false" outlineLevel="0" collapsed="false">
      <c r="A57" s="20"/>
      <c r="B57" s="18" t="str">
        <f aca="false">IF(A57="","",IFERROR(INDEX(Products!$A:$A,MATCH(A57,Products!$B:$B,0)),"Not found"))</f>
        <v/>
      </c>
      <c r="C57" s="20"/>
      <c r="D57" s="18" t="str">
        <f aca="false">IF(C57="","",IFERROR(INDEX(Dimensions!$A:$A,MATCH(C57,Dimensions!$B:$B,0)),"Not found"))</f>
        <v/>
      </c>
      <c r="E57" s="20"/>
      <c r="F57" s="18" t="str">
        <f aca="false">IF(E57="","",IFERROR(INDEX(Tables!$A:$A,MATCH(E57,Tables!$B:$B,0)),"Not found"))</f>
        <v/>
      </c>
      <c r="G57" s="21" t="str">
        <f aca="false">IF(OR(D57="",F57=""),"",IF(IFERROR(INDEX(Dimensions!$D:$D,MATCH(D57,Dimensions!$A:$A,0)),"")="","",IF(INDEX(Dimensions!$D:$D,MATCH(D57,Dimensions!$A:$A,0))=F57,"Yes","No")))</f>
        <v/>
      </c>
      <c r="H57" s="20"/>
      <c r="I57" s="20"/>
      <c r="J57" s="20"/>
      <c r="K57" s="20"/>
    </row>
    <row r="58" customFormat="false" ht="15" hidden="false" customHeight="false" outlineLevel="0" collapsed="false">
      <c r="A58" s="20"/>
      <c r="B58" s="18" t="str">
        <f aca="false">IF(A58="","",IFERROR(INDEX(Products!$A:$A,MATCH(A58,Products!$B:$B,0)),"Not found"))</f>
        <v/>
      </c>
      <c r="C58" s="20"/>
      <c r="D58" s="18" t="str">
        <f aca="false">IF(C58="","",IFERROR(INDEX(Dimensions!$A:$A,MATCH(C58,Dimensions!$B:$B,0)),"Not found"))</f>
        <v/>
      </c>
      <c r="E58" s="20"/>
      <c r="F58" s="18" t="str">
        <f aca="false">IF(E58="","",IFERROR(INDEX(Tables!$A:$A,MATCH(E58,Tables!$B:$B,0)),"Not found"))</f>
        <v/>
      </c>
      <c r="G58" s="21" t="str">
        <f aca="false">IF(OR(D58="",F58=""),"",IF(IFERROR(INDEX(Dimensions!$D:$D,MATCH(D58,Dimensions!$A:$A,0)),"")="","",IF(INDEX(Dimensions!$D:$D,MATCH(D58,Dimensions!$A:$A,0))=F58,"Yes","No")))</f>
        <v/>
      </c>
      <c r="H58" s="20"/>
      <c r="I58" s="20"/>
      <c r="J58" s="20"/>
      <c r="K58" s="20"/>
    </row>
    <row r="59" customFormat="false" ht="15" hidden="false" customHeight="false" outlineLevel="0" collapsed="false">
      <c r="A59" s="20"/>
      <c r="B59" s="18" t="str">
        <f aca="false">IF(A59="","",IFERROR(INDEX(Products!$A:$A,MATCH(A59,Products!$B:$B,0)),"Not found"))</f>
        <v/>
      </c>
      <c r="C59" s="20"/>
      <c r="D59" s="18" t="str">
        <f aca="false">IF(C59="","",IFERROR(INDEX(Dimensions!$A:$A,MATCH(C59,Dimensions!$B:$B,0)),"Not found"))</f>
        <v/>
      </c>
      <c r="E59" s="20"/>
      <c r="F59" s="18" t="str">
        <f aca="false">IF(E59="","",IFERROR(INDEX(Tables!$A:$A,MATCH(E59,Tables!$B:$B,0)),"Not found"))</f>
        <v/>
      </c>
      <c r="G59" s="21" t="str">
        <f aca="false">IF(OR(D59="",F59=""),"",IF(IFERROR(INDEX(Dimensions!$D:$D,MATCH(D59,Dimensions!$A:$A,0)),"")="","",IF(INDEX(Dimensions!$D:$D,MATCH(D59,Dimensions!$A:$A,0))=F59,"Yes","No")))</f>
        <v/>
      </c>
      <c r="H59" s="20"/>
      <c r="I59" s="20"/>
      <c r="J59" s="20"/>
      <c r="K59" s="20"/>
    </row>
    <row r="60" customFormat="false" ht="15" hidden="false" customHeight="false" outlineLevel="0" collapsed="false">
      <c r="A60" s="20"/>
      <c r="B60" s="18" t="str">
        <f aca="false">IF(A60="","",IFERROR(INDEX(Products!$A:$A,MATCH(A60,Products!$B:$B,0)),"Not found"))</f>
        <v/>
      </c>
      <c r="C60" s="20"/>
      <c r="D60" s="18" t="str">
        <f aca="false">IF(C60="","",IFERROR(INDEX(Dimensions!$A:$A,MATCH(C60,Dimensions!$B:$B,0)),"Not found"))</f>
        <v/>
      </c>
      <c r="E60" s="20"/>
      <c r="F60" s="18" t="str">
        <f aca="false">IF(E60="","",IFERROR(INDEX(Tables!$A:$A,MATCH(E60,Tables!$B:$B,0)),"Not found"))</f>
        <v/>
      </c>
      <c r="G60" s="21" t="str">
        <f aca="false">IF(OR(D60="",F60=""),"",IF(IFERROR(INDEX(Dimensions!$D:$D,MATCH(D60,Dimensions!$A:$A,0)),"")="","",IF(INDEX(Dimensions!$D:$D,MATCH(D60,Dimensions!$A:$A,0))=F60,"Yes","No")))</f>
        <v/>
      </c>
      <c r="H60" s="20"/>
      <c r="I60" s="20"/>
      <c r="J60" s="20"/>
      <c r="K60" s="20"/>
    </row>
    <row r="61" customFormat="false" ht="15" hidden="false" customHeight="false" outlineLevel="0" collapsed="false">
      <c r="A61" s="20"/>
      <c r="B61" s="18" t="str">
        <f aca="false">IF(A61="","",IFERROR(INDEX(Products!$A:$A,MATCH(A61,Products!$B:$B,0)),"Not found"))</f>
        <v/>
      </c>
      <c r="C61" s="20"/>
      <c r="D61" s="18" t="str">
        <f aca="false">IF(C61="","",IFERROR(INDEX(Dimensions!$A:$A,MATCH(C61,Dimensions!$B:$B,0)),"Not found"))</f>
        <v/>
      </c>
      <c r="E61" s="20"/>
      <c r="F61" s="18" t="str">
        <f aca="false">IF(E61="","",IFERROR(INDEX(Tables!$A:$A,MATCH(E61,Tables!$B:$B,0)),"Not found"))</f>
        <v/>
      </c>
      <c r="G61" s="21" t="str">
        <f aca="false">IF(OR(D61="",F61=""),"",IF(IFERROR(INDEX(Dimensions!$D:$D,MATCH(D61,Dimensions!$A:$A,0)),"")="","",IF(INDEX(Dimensions!$D:$D,MATCH(D61,Dimensions!$A:$A,0))=F61,"Yes","No")))</f>
        <v/>
      </c>
      <c r="H61" s="20"/>
      <c r="I61" s="20"/>
      <c r="J61" s="20"/>
      <c r="K61" s="20"/>
    </row>
    <row r="62" customFormat="false" ht="15" hidden="false" customHeight="false" outlineLevel="0" collapsed="false">
      <c r="A62" s="20"/>
      <c r="B62" s="18" t="str">
        <f aca="false">IF(A62="","",IFERROR(INDEX(Products!$A:$A,MATCH(A62,Products!$B:$B,0)),"Not found"))</f>
        <v/>
      </c>
      <c r="C62" s="20"/>
      <c r="D62" s="18" t="str">
        <f aca="false">IF(C62="","",IFERROR(INDEX(Dimensions!$A:$A,MATCH(C62,Dimensions!$B:$B,0)),"Not found"))</f>
        <v/>
      </c>
      <c r="E62" s="20"/>
      <c r="F62" s="18" t="str">
        <f aca="false">IF(E62="","",IFERROR(INDEX(Tables!$A:$A,MATCH(E62,Tables!$B:$B,0)),"Not found"))</f>
        <v/>
      </c>
      <c r="G62" s="21" t="str">
        <f aca="false">IF(OR(D62="",F62=""),"",IF(IFERROR(INDEX(Dimensions!$D:$D,MATCH(D62,Dimensions!$A:$A,0)),"")="","",IF(INDEX(Dimensions!$D:$D,MATCH(D62,Dimensions!$A:$A,0))=F62,"Yes","No")))</f>
        <v/>
      </c>
      <c r="H62" s="20"/>
      <c r="I62" s="20"/>
      <c r="J62" s="20"/>
      <c r="K62" s="20"/>
    </row>
    <row r="63" customFormat="false" ht="15" hidden="false" customHeight="false" outlineLevel="0" collapsed="false">
      <c r="A63" s="20"/>
      <c r="B63" s="18" t="str">
        <f aca="false">IF(A63="","",IFERROR(INDEX(Products!$A:$A,MATCH(A63,Products!$B:$B,0)),"Not found"))</f>
        <v/>
      </c>
      <c r="C63" s="20"/>
      <c r="D63" s="18" t="str">
        <f aca="false">IF(C63="","",IFERROR(INDEX(Dimensions!$A:$A,MATCH(C63,Dimensions!$B:$B,0)),"Not found"))</f>
        <v/>
      </c>
      <c r="E63" s="20"/>
      <c r="F63" s="18" t="str">
        <f aca="false">IF(E63="","",IFERROR(INDEX(Tables!$A:$A,MATCH(E63,Tables!$B:$B,0)),"Not found"))</f>
        <v/>
      </c>
      <c r="G63" s="21" t="str">
        <f aca="false">IF(OR(D63="",F63=""),"",IF(IFERROR(INDEX(Dimensions!$D:$D,MATCH(D63,Dimensions!$A:$A,0)),"")="","",IF(INDEX(Dimensions!$D:$D,MATCH(D63,Dimensions!$A:$A,0))=F63,"Yes","No")))</f>
        <v/>
      </c>
      <c r="H63" s="20"/>
      <c r="I63" s="20"/>
      <c r="J63" s="20"/>
      <c r="K63" s="20"/>
    </row>
    <row r="64" customFormat="false" ht="15" hidden="false" customHeight="false" outlineLevel="0" collapsed="false">
      <c r="A64" s="20"/>
      <c r="B64" s="18" t="str">
        <f aca="false">IF(A64="","",IFERROR(INDEX(Products!$A:$A,MATCH(A64,Products!$B:$B,0)),"Not found"))</f>
        <v/>
      </c>
      <c r="C64" s="20"/>
      <c r="D64" s="18" t="str">
        <f aca="false">IF(C64="","",IFERROR(INDEX(Dimensions!$A:$A,MATCH(C64,Dimensions!$B:$B,0)),"Not found"))</f>
        <v/>
      </c>
      <c r="E64" s="20"/>
      <c r="F64" s="18" t="str">
        <f aca="false">IF(E64="","",IFERROR(INDEX(Tables!$A:$A,MATCH(E64,Tables!$B:$B,0)),"Not found"))</f>
        <v/>
      </c>
      <c r="G64" s="21" t="str">
        <f aca="false">IF(OR(D64="",F64=""),"",IF(IFERROR(INDEX(Dimensions!$D:$D,MATCH(D64,Dimensions!$A:$A,0)),"")="","",IF(INDEX(Dimensions!$D:$D,MATCH(D64,Dimensions!$A:$A,0))=F64,"Yes","No")))</f>
        <v/>
      </c>
      <c r="H64" s="20"/>
      <c r="I64" s="20"/>
      <c r="J64" s="20"/>
      <c r="K64" s="20"/>
    </row>
    <row r="65" customFormat="false" ht="15" hidden="false" customHeight="false" outlineLevel="0" collapsed="false">
      <c r="A65" s="20"/>
      <c r="B65" s="18" t="str">
        <f aca="false">IF(A65="","",IFERROR(INDEX(Products!$A:$A,MATCH(A65,Products!$B:$B,0)),"Not found"))</f>
        <v/>
      </c>
      <c r="C65" s="20"/>
      <c r="D65" s="18" t="str">
        <f aca="false">IF(C65="","",IFERROR(INDEX(Dimensions!$A:$A,MATCH(C65,Dimensions!$B:$B,0)),"Not found"))</f>
        <v/>
      </c>
      <c r="E65" s="20"/>
      <c r="F65" s="18" t="str">
        <f aca="false">IF(E65="","",IFERROR(INDEX(Tables!$A:$A,MATCH(E65,Tables!$B:$B,0)),"Not found"))</f>
        <v/>
      </c>
      <c r="G65" s="21" t="str">
        <f aca="false">IF(OR(D65="",F65=""),"",IF(IFERROR(INDEX(Dimensions!$D:$D,MATCH(D65,Dimensions!$A:$A,0)),"")="","",IF(INDEX(Dimensions!$D:$D,MATCH(D65,Dimensions!$A:$A,0))=F65,"Yes","No")))</f>
        <v/>
      </c>
      <c r="H65" s="20"/>
      <c r="I65" s="20"/>
      <c r="J65" s="20"/>
      <c r="K65" s="20"/>
    </row>
    <row r="66" customFormat="false" ht="15" hidden="false" customHeight="false" outlineLevel="0" collapsed="false">
      <c r="A66" s="20"/>
      <c r="B66" s="18" t="str">
        <f aca="false">IF(A66="","",IFERROR(INDEX(Products!$A:$A,MATCH(A66,Products!$B:$B,0)),"Not found"))</f>
        <v/>
      </c>
      <c r="C66" s="20"/>
      <c r="D66" s="18" t="str">
        <f aca="false">IF(C66="","",IFERROR(INDEX(Dimensions!$A:$A,MATCH(C66,Dimensions!$B:$B,0)),"Not found"))</f>
        <v/>
      </c>
      <c r="E66" s="20"/>
      <c r="F66" s="18" t="str">
        <f aca="false">IF(E66="","",IFERROR(INDEX(Tables!$A:$A,MATCH(E66,Tables!$B:$B,0)),"Not found"))</f>
        <v/>
      </c>
      <c r="G66" s="21" t="str">
        <f aca="false">IF(OR(D66="",F66=""),"",IF(IFERROR(INDEX(Dimensions!$D:$D,MATCH(D66,Dimensions!$A:$A,0)),"")="","",IF(INDEX(Dimensions!$D:$D,MATCH(D66,Dimensions!$A:$A,0))=F66,"Yes","No")))</f>
        <v/>
      </c>
      <c r="H66" s="20"/>
      <c r="I66" s="20"/>
      <c r="J66" s="20"/>
      <c r="K66" s="20"/>
    </row>
    <row r="67" customFormat="false" ht="15" hidden="false" customHeight="false" outlineLevel="0" collapsed="false">
      <c r="A67" s="20"/>
      <c r="B67" s="18" t="str">
        <f aca="false">IF(A67="","",IFERROR(INDEX(Products!$A:$A,MATCH(A67,Products!$B:$B,0)),"Not found"))</f>
        <v/>
      </c>
      <c r="C67" s="20"/>
      <c r="D67" s="18" t="str">
        <f aca="false">IF(C67="","",IFERROR(INDEX(Dimensions!$A:$A,MATCH(C67,Dimensions!$B:$B,0)),"Not found"))</f>
        <v/>
      </c>
      <c r="E67" s="20"/>
      <c r="F67" s="18" t="str">
        <f aca="false">IF(E67="","",IFERROR(INDEX(Tables!$A:$A,MATCH(E67,Tables!$B:$B,0)),"Not found"))</f>
        <v/>
      </c>
      <c r="G67" s="21" t="str">
        <f aca="false">IF(OR(D67="",F67=""),"",IF(IFERROR(INDEX(Dimensions!$D:$D,MATCH(D67,Dimensions!$A:$A,0)),"")="","",IF(INDEX(Dimensions!$D:$D,MATCH(D67,Dimensions!$A:$A,0))=F67,"Yes","No")))</f>
        <v/>
      </c>
      <c r="H67" s="20"/>
      <c r="I67" s="20"/>
      <c r="J67" s="20"/>
      <c r="K67" s="20"/>
    </row>
    <row r="68" customFormat="false" ht="15" hidden="false" customHeight="false" outlineLevel="0" collapsed="false">
      <c r="A68" s="20"/>
      <c r="B68" s="18" t="str">
        <f aca="false">IF(A68="","",IFERROR(INDEX(Products!$A:$A,MATCH(A68,Products!$B:$B,0)),"Not found"))</f>
        <v/>
      </c>
      <c r="C68" s="20"/>
      <c r="D68" s="18" t="str">
        <f aca="false">IF(C68="","",IFERROR(INDEX(Dimensions!$A:$A,MATCH(C68,Dimensions!$B:$B,0)),"Not found"))</f>
        <v/>
      </c>
      <c r="E68" s="20"/>
      <c r="F68" s="18" t="str">
        <f aca="false">IF(E68="","",IFERROR(INDEX(Tables!$A:$A,MATCH(E68,Tables!$B:$B,0)),"Not found"))</f>
        <v/>
      </c>
      <c r="G68" s="21" t="str">
        <f aca="false">IF(OR(D68="",F68=""),"",IF(IFERROR(INDEX(Dimensions!$D:$D,MATCH(D68,Dimensions!$A:$A,0)),"")="","",IF(INDEX(Dimensions!$D:$D,MATCH(D68,Dimensions!$A:$A,0))=F68,"Yes","No")))</f>
        <v/>
      </c>
      <c r="H68" s="20"/>
      <c r="I68" s="20"/>
      <c r="J68" s="20"/>
      <c r="K68" s="20"/>
    </row>
    <row r="69" customFormat="false" ht="15" hidden="false" customHeight="false" outlineLevel="0" collapsed="false">
      <c r="A69" s="20"/>
      <c r="B69" s="18" t="str">
        <f aca="false">IF(A69="","",IFERROR(INDEX(Products!$A:$A,MATCH(A69,Products!$B:$B,0)),"Not found"))</f>
        <v/>
      </c>
      <c r="C69" s="20"/>
      <c r="D69" s="18" t="str">
        <f aca="false">IF(C69="","",IFERROR(INDEX(Dimensions!$A:$A,MATCH(C69,Dimensions!$B:$B,0)),"Not found"))</f>
        <v/>
      </c>
      <c r="E69" s="20"/>
      <c r="F69" s="18" t="str">
        <f aca="false">IF(E69="","",IFERROR(INDEX(Tables!$A:$A,MATCH(E69,Tables!$B:$B,0)),"Not found"))</f>
        <v/>
      </c>
      <c r="G69" s="21" t="str">
        <f aca="false">IF(OR(D69="",F69=""),"",IF(IFERROR(INDEX(Dimensions!$D:$D,MATCH(D69,Dimensions!$A:$A,0)),"")="","",IF(INDEX(Dimensions!$D:$D,MATCH(D69,Dimensions!$A:$A,0))=F69,"Yes","No")))</f>
        <v/>
      </c>
      <c r="H69" s="20"/>
      <c r="I69" s="20"/>
      <c r="J69" s="20"/>
      <c r="K69" s="20"/>
    </row>
    <row r="70" customFormat="false" ht="15" hidden="false" customHeight="false" outlineLevel="0" collapsed="false">
      <c r="A70" s="20"/>
      <c r="B70" s="18" t="str">
        <f aca="false">IF(A70="","",IFERROR(INDEX(Products!$A:$A,MATCH(A70,Products!$B:$B,0)),"Not found"))</f>
        <v/>
      </c>
      <c r="C70" s="20"/>
      <c r="D70" s="18" t="str">
        <f aca="false">IF(C70="","",IFERROR(INDEX(Dimensions!$A:$A,MATCH(C70,Dimensions!$B:$B,0)),"Not found"))</f>
        <v/>
      </c>
      <c r="E70" s="20"/>
      <c r="F70" s="18" t="str">
        <f aca="false">IF(E70="","",IFERROR(INDEX(Tables!$A:$A,MATCH(E70,Tables!$B:$B,0)),"Not found"))</f>
        <v/>
      </c>
      <c r="G70" s="21" t="str">
        <f aca="false">IF(OR(D70="",F70=""),"",IF(IFERROR(INDEX(Dimensions!$D:$D,MATCH(D70,Dimensions!$A:$A,0)),"")="","",IF(INDEX(Dimensions!$D:$D,MATCH(D70,Dimensions!$A:$A,0))=F70,"Yes","No")))</f>
        <v/>
      </c>
      <c r="H70" s="20"/>
      <c r="I70" s="20"/>
      <c r="J70" s="20"/>
      <c r="K70" s="20"/>
    </row>
    <row r="71" customFormat="false" ht="15" hidden="false" customHeight="false" outlineLevel="0" collapsed="false">
      <c r="A71" s="20"/>
      <c r="B71" s="18" t="str">
        <f aca="false">IF(A71="","",IFERROR(INDEX(Products!$A:$A,MATCH(A71,Products!$B:$B,0)),"Not found"))</f>
        <v/>
      </c>
      <c r="C71" s="20"/>
      <c r="D71" s="18" t="str">
        <f aca="false">IF(C71="","",IFERROR(INDEX(Dimensions!$A:$A,MATCH(C71,Dimensions!$B:$B,0)),"Not found"))</f>
        <v/>
      </c>
      <c r="E71" s="20"/>
      <c r="F71" s="18" t="str">
        <f aca="false">IF(E71="","",IFERROR(INDEX(Tables!$A:$A,MATCH(E71,Tables!$B:$B,0)),"Not found"))</f>
        <v/>
      </c>
      <c r="G71" s="21" t="str">
        <f aca="false">IF(OR(D71="",F71=""),"",IF(IFERROR(INDEX(Dimensions!$D:$D,MATCH(D71,Dimensions!$A:$A,0)),"")="","",IF(INDEX(Dimensions!$D:$D,MATCH(D71,Dimensions!$A:$A,0))=F71,"Yes","No")))</f>
        <v/>
      </c>
      <c r="H71" s="20"/>
      <c r="I71" s="20"/>
      <c r="J71" s="20"/>
      <c r="K71" s="20"/>
    </row>
    <row r="72" customFormat="false" ht="15" hidden="false" customHeight="false" outlineLevel="0" collapsed="false">
      <c r="A72" s="20"/>
      <c r="B72" s="18" t="str">
        <f aca="false">IF(A72="","",IFERROR(INDEX(Products!$A:$A,MATCH(A72,Products!$B:$B,0)),"Not found"))</f>
        <v/>
      </c>
      <c r="C72" s="20"/>
      <c r="D72" s="18" t="str">
        <f aca="false">IF(C72="","",IFERROR(INDEX(Dimensions!$A:$A,MATCH(C72,Dimensions!$B:$B,0)),"Not found"))</f>
        <v/>
      </c>
      <c r="E72" s="20"/>
      <c r="F72" s="18" t="str">
        <f aca="false">IF(E72="","",IFERROR(INDEX(Tables!$A:$A,MATCH(E72,Tables!$B:$B,0)),"Not found"))</f>
        <v/>
      </c>
      <c r="G72" s="21" t="str">
        <f aca="false">IF(OR(D72="",F72=""),"",IF(IFERROR(INDEX(Dimensions!$D:$D,MATCH(D72,Dimensions!$A:$A,0)),"")="","",IF(INDEX(Dimensions!$D:$D,MATCH(D72,Dimensions!$A:$A,0))=F72,"Yes","No")))</f>
        <v/>
      </c>
      <c r="H72" s="20"/>
      <c r="I72" s="20"/>
      <c r="J72" s="20"/>
      <c r="K72" s="20"/>
    </row>
    <row r="73" customFormat="false" ht="15" hidden="false" customHeight="false" outlineLevel="0" collapsed="false">
      <c r="A73" s="20"/>
      <c r="B73" s="18" t="str">
        <f aca="false">IF(A73="","",IFERROR(INDEX(Products!$A:$A,MATCH(A73,Products!$B:$B,0)),"Not found"))</f>
        <v/>
      </c>
      <c r="C73" s="20"/>
      <c r="D73" s="18" t="str">
        <f aca="false">IF(C73="","",IFERROR(INDEX(Dimensions!$A:$A,MATCH(C73,Dimensions!$B:$B,0)),"Not found"))</f>
        <v/>
      </c>
      <c r="E73" s="20"/>
      <c r="F73" s="18" t="str">
        <f aca="false">IF(E73="","",IFERROR(INDEX(Tables!$A:$A,MATCH(E73,Tables!$B:$B,0)),"Not found"))</f>
        <v/>
      </c>
      <c r="G73" s="21" t="str">
        <f aca="false">IF(OR(D73="",F73=""),"",IF(IFERROR(INDEX(Dimensions!$D:$D,MATCH(D73,Dimensions!$A:$A,0)),"")="","",IF(INDEX(Dimensions!$D:$D,MATCH(D73,Dimensions!$A:$A,0))=F73,"Yes","No")))</f>
        <v/>
      </c>
      <c r="H73" s="20"/>
      <c r="I73" s="20"/>
      <c r="J73" s="20"/>
      <c r="K73" s="20"/>
    </row>
    <row r="74" customFormat="false" ht="15" hidden="false" customHeight="false" outlineLevel="0" collapsed="false">
      <c r="A74" s="20"/>
      <c r="B74" s="18" t="str">
        <f aca="false">IF(A74="","",IFERROR(INDEX(Products!$A:$A,MATCH(A74,Products!$B:$B,0)),"Not found"))</f>
        <v/>
      </c>
      <c r="C74" s="20"/>
      <c r="D74" s="18" t="str">
        <f aca="false">IF(C74="","",IFERROR(INDEX(Dimensions!$A:$A,MATCH(C74,Dimensions!$B:$B,0)),"Not found"))</f>
        <v/>
      </c>
      <c r="E74" s="20"/>
      <c r="F74" s="18" t="str">
        <f aca="false">IF(E74="","",IFERROR(INDEX(Tables!$A:$A,MATCH(E74,Tables!$B:$B,0)),"Not found"))</f>
        <v/>
      </c>
      <c r="G74" s="21" t="str">
        <f aca="false">IF(OR(D74="",F74=""),"",IF(IFERROR(INDEX(Dimensions!$D:$D,MATCH(D74,Dimensions!$A:$A,0)),"")="","",IF(INDEX(Dimensions!$D:$D,MATCH(D74,Dimensions!$A:$A,0))=F74,"Yes","No")))</f>
        <v/>
      </c>
      <c r="H74" s="20"/>
      <c r="I74" s="20"/>
      <c r="J74" s="20"/>
      <c r="K74" s="20"/>
    </row>
    <row r="75" customFormat="false" ht="15" hidden="false" customHeight="false" outlineLevel="0" collapsed="false">
      <c r="A75" s="20"/>
      <c r="B75" s="18" t="str">
        <f aca="false">IF(A75="","",IFERROR(INDEX(Products!$A:$A,MATCH(A75,Products!$B:$B,0)),"Not found"))</f>
        <v/>
      </c>
      <c r="C75" s="20"/>
      <c r="D75" s="18" t="str">
        <f aca="false">IF(C75="","",IFERROR(INDEX(Dimensions!$A:$A,MATCH(C75,Dimensions!$B:$B,0)),"Not found"))</f>
        <v/>
      </c>
      <c r="E75" s="20"/>
      <c r="F75" s="18" t="str">
        <f aca="false">IF(E75="","",IFERROR(INDEX(Tables!$A:$A,MATCH(E75,Tables!$B:$B,0)),"Not found"))</f>
        <v/>
      </c>
      <c r="G75" s="21" t="str">
        <f aca="false">IF(OR(D75="",F75=""),"",IF(IFERROR(INDEX(Dimensions!$D:$D,MATCH(D75,Dimensions!$A:$A,0)),"")="","",IF(INDEX(Dimensions!$D:$D,MATCH(D75,Dimensions!$A:$A,0))=F75,"Yes","No")))</f>
        <v/>
      </c>
      <c r="H75" s="20"/>
      <c r="I75" s="20"/>
      <c r="J75" s="20"/>
      <c r="K75" s="20"/>
    </row>
    <row r="76" customFormat="false" ht="15" hidden="false" customHeight="false" outlineLevel="0" collapsed="false">
      <c r="A76" s="20"/>
      <c r="B76" s="18" t="str">
        <f aca="false">IF(A76="","",IFERROR(INDEX(Products!$A:$A,MATCH(A76,Products!$B:$B,0)),"Not found"))</f>
        <v/>
      </c>
      <c r="C76" s="20"/>
      <c r="D76" s="18" t="str">
        <f aca="false">IF(C76="","",IFERROR(INDEX(Dimensions!$A:$A,MATCH(C76,Dimensions!$B:$B,0)),"Not found"))</f>
        <v/>
      </c>
      <c r="E76" s="20"/>
      <c r="F76" s="18" t="str">
        <f aca="false">IF(E76="","",IFERROR(INDEX(Tables!$A:$A,MATCH(E76,Tables!$B:$B,0)),"Not found"))</f>
        <v/>
      </c>
      <c r="G76" s="21" t="str">
        <f aca="false">IF(OR(D76="",F76=""),"",IF(IFERROR(INDEX(Dimensions!$D:$D,MATCH(D76,Dimensions!$A:$A,0)),"")="","",IF(INDEX(Dimensions!$D:$D,MATCH(D76,Dimensions!$A:$A,0))=F76,"Yes","No")))</f>
        <v/>
      </c>
      <c r="H76" s="20"/>
      <c r="I76" s="20"/>
      <c r="J76" s="20"/>
      <c r="K76" s="20"/>
    </row>
    <row r="77" customFormat="false" ht="15" hidden="false" customHeight="false" outlineLevel="0" collapsed="false">
      <c r="A77" s="20"/>
      <c r="B77" s="18" t="str">
        <f aca="false">IF(A77="","",IFERROR(INDEX(Products!$A:$A,MATCH(A77,Products!$B:$B,0)),"Not found"))</f>
        <v/>
      </c>
      <c r="C77" s="20"/>
      <c r="D77" s="18" t="str">
        <f aca="false">IF(C77="","",IFERROR(INDEX(Dimensions!$A:$A,MATCH(C77,Dimensions!$B:$B,0)),"Not found"))</f>
        <v/>
      </c>
      <c r="E77" s="20"/>
      <c r="F77" s="18" t="str">
        <f aca="false">IF(E77="","",IFERROR(INDEX(Tables!$A:$A,MATCH(E77,Tables!$B:$B,0)),"Not found"))</f>
        <v/>
      </c>
      <c r="G77" s="21" t="str">
        <f aca="false">IF(OR(D77="",F77=""),"",IF(IFERROR(INDEX(Dimensions!$D:$D,MATCH(D77,Dimensions!$A:$A,0)),"")="","",IF(INDEX(Dimensions!$D:$D,MATCH(D77,Dimensions!$A:$A,0))=F77,"Yes","No")))</f>
        <v/>
      </c>
      <c r="H77" s="20"/>
      <c r="I77" s="20"/>
      <c r="J77" s="20"/>
      <c r="K77" s="20"/>
    </row>
    <row r="78" customFormat="false" ht="15" hidden="false" customHeight="false" outlineLevel="0" collapsed="false">
      <c r="A78" s="20"/>
      <c r="B78" s="18" t="str">
        <f aca="false">IF(A78="","",IFERROR(INDEX(Products!$A:$A,MATCH(A78,Products!$B:$B,0)),"Not found"))</f>
        <v/>
      </c>
      <c r="C78" s="20"/>
      <c r="D78" s="18" t="str">
        <f aca="false">IF(C78="","",IFERROR(INDEX(Dimensions!$A:$A,MATCH(C78,Dimensions!$B:$B,0)),"Not found"))</f>
        <v/>
      </c>
      <c r="E78" s="20"/>
      <c r="F78" s="18" t="str">
        <f aca="false">IF(E78="","",IFERROR(INDEX(Tables!$A:$A,MATCH(E78,Tables!$B:$B,0)),"Not found"))</f>
        <v/>
      </c>
      <c r="G78" s="21" t="str">
        <f aca="false">IF(OR(D78="",F78=""),"",IF(IFERROR(INDEX(Dimensions!$D:$D,MATCH(D78,Dimensions!$A:$A,0)),"")="","",IF(INDEX(Dimensions!$D:$D,MATCH(D78,Dimensions!$A:$A,0))=F78,"Yes","No")))</f>
        <v/>
      </c>
      <c r="H78" s="20"/>
      <c r="I78" s="20"/>
      <c r="J78" s="20"/>
      <c r="K78" s="20"/>
    </row>
    <row r="79" customFormat="false" ht="15" hidden="false" customHeight="false" outlineLevel="0" collapsed="false">
      <c r="A79" s="20"/>
      <c r="B79" s="18" t="str">
        <f aca="false">IF(A79="","",IFERROR(INDEX(Products!$A:$A,MATCH(A79,Products!$B:$B,0)),"Not found"))</f>
        <v/>
      </c>
      <c r="C79" s="20"/>
      <c r="D79" s="18" t="str">
        <f aca="false">IF(C79="","",IFERROR(INDEX(Dimensions!$A:$A,MATCH(C79,Dimensions!$B:$B,0)),"Not found"))</f>
        <v/>
      </c>
      <c r="E79" s="20"/>
      <c r="F79" s="18" t="str">
        <f aca="false">IF(E79="","",IFERROR(INDEX(Tables!$A:$A,MATCH(E79,Tables!$B:$B,0)),"Not found"))</f>
        <v/>
      </c>
      <c r="G79" s="21" t="str">
        <f aca="false">IF(OR(D79="",F79=""),"",IF(IFERROR(INDEX(Dimensions!$D:$D,MATCH(D79,Dimensions!$A:$A,0)),"")="","",IF(INDEX(Dimensions!$D:$D,MATCH(D79,Dimensions!$A:$A,0))=F79,"Yes","No")))</f>
        <v/>
      </c>
      <c r="H79" s="20"/>
      <c r="I79" s="20"/>
      <c r="J79" s="20"/>
      <c r="K79" s="20"/>
    </row>
    <row r="80" customFormat="false" ht="15" hidden="false" customHeight="false" outlineLevel="0" collapsed="false">
      <c r="A80" s="20"/>
      <c r="B80" s="18" t="str">
        <f aca="false">IF(A80="","",IFERROR(INDEX(Products!$A:$A,MATCH(A80,Products!$B:$B,0)),"Not found"))</f>
        <v/>
      </c>
      <c r="C80" s="20"/>
      <c r="D80" s="18" t="str">
        <f aca="false">IF(C80="","",IFERROR(INDEX(Dimensions!$A:$A,MATCH(C80,Dimensions!$B:$B,0)),"Not found"))</f>
        <v/>
      </c>
      <c r="E80" s="20"/>
      <c r="F80" s="18" t="str">
        <f aca="false">IF(E80="","",IFERROR(INDEX(Tables!$A:$A,MATCH(E80,Tables!$B:$B,0)),"Not found"))</f>
        <v/>
      </c>
      <c r="G80" s="21" t="str">
        <f aca="false">IF(OR(D80="",F80=""),"",IF(IFERROR(INDEX(Dimensions!$D:$D,MATCH(D80,Dimensions!$A:$A,0)),"")="","",IF(INDEX(Dimensions!$D:$D,MATCH(D80,Dimensions!$A:$A,0))=F80,"Yes","No")))</f>
        <v/>
      </c>
      <c r="H80" s="20"/>
      <c r="I80" s="20"/>
      <c r="J80" s="20"/>
      <c r="K80" s="20"/>
    </row>
    <row r="81" customFormat="false" ht="15" hidden="false" customHeight="false" outlineLevel="0" collapsed="false">
      <c r="A81" s="20"/>
      <c r="B81" s="18" t="str">
        <f aca="false">IF(A81="","",IFERROR(INDEX(Products!$A:$A,MATCH(A81,Products!$B:$B,0)),"Not found"))</f>
        <v/>
      </c>
      <c r="C81" s="20"/>
      <c r="D81" s="18" t="str">
        <f aca="false">IF(C81="","",IFERROR(INDEX(Dimensions!$A:$A,MATCH(C81,Dimensions!$B:$B,0)),"Not found"))</f>
        <v/>
      </c>
      <c r="E81" s="20"/>
      <c r="F81" s="18" t="str">
        <f aca="false">IF(E81="","",IFERROR(INDEX(Tables!$A:$A,MATCH(E81,Tables!$B:$B,0)),"Not found"))</f>
        <v/>
      </c>
      <c r="G81" s="21" t="str">
        <f aca="false">IF(OR(D81="",F81=""),"",IF(IFERROR(INDEX(Dimensions!$D:$D,MATCH(D81,Dimensions!$A:$A,0)),"")="","",IF(INDEX(Dimensions!$D:$D,MATCH(D81,Dimensions!$A:$A,0))=F81,"Yes","No")))</f>
        <v/>
      </c>
      <c r="H81" s="20"/>
      <c r="I81" s="20"/>
      <c r="J81" s="20"/>
      <c r="K81" s="20"/>
    </row>
    <row r="82" customFormat="false" ht="15" hidden="false" customHeight="false" outlineLevel="0" collapsed="false">
      <c r="A82" s="20"/>
      <c r="B82" s="18" t="str">
        <f aca="false">IF(A82="","",IFERROR(INDEX(Products!$A:$A,MATCH(A82,Products!$B:$B,0)),"Not found"))</f>
        <v/>
      </c>
      <c r="C82" s="20"/>
      <c r="D82" s="18" t="str">
        <f aca="false">IF(C82="","",IFERROR(INDEX(Dimensions!$A:$A,MATCH(C82,Dimensions!$B:$B,0)),"Not found"))</f>
        <v/>
      </c>
      <c r="E82" s="20"/>
      <c r="F82" s="18" t="str">
        <f aca="false">IF(E82="","",IFERROR(INDEX(Tables!$A:$A,MATCH(E82,Tables!$B:$B,0)),"Not found"))</f>
        <v/>
      </c>
      <c r="G82" s="21" t="str">
        <f aca="false">IF(OR(D82="",F82=""),"",IF(IFERROR(INDEX(Dimensions!$D:$D,MATCH(D82,Dimensions!$A:$A,0)),"")="","",IF(INDEX(Dimensions!$D:$D,MATCH(D82,Dimensions!$A:$A,0))=F82,"Yes","No")))</f>
        <v/>
      </c>
      <c r="H82" s="20"/>
      <c r="I82" s="20"/>
      <c r="J82" s="20"/>
      <c r="K82" s="20"/>
    </row>
    <row r="83" customFormat="false" ht="15" hidden="false" customHeight="false" outlineLevel="0" collapsed="false">
      <c r="A83" s="20"/>
      <c r="B83" s="18" t="str">
        <f aca="false">IF(A83="","",IFERROR(INDEX(Products!$A:$A,MATCH(A83,Products!$B:$B,0)),"Not found"))</f>
        <v/>
      </c>
      <c r="C83" s="20"/>
      <c r="D83" s="18" t="str">
        <f aca="false">IF(C83="","",IFERROR(INDEX(Dimensions!$A:$A,MATCH(C83,Dimensions!$B:$B,0)),"Not found"))</f>
        <v/>
      </c>
      <c r="E83" s="20"/>
      <c r="F83" s="18" t="str">
        <f aca="false">IF(E83="","",IFERROR(INDEX(Tables!$A:$A,MATCH(E83,Tables!$B:$B,0)),"Not found"))</f>
        <v/>
      </c>
      <c r="G83" s="21" t="str">
        <f aca="false">IF(OR(D83="",F83=""),"",IF(IFERROR(INDEX(Dimensions!$D:$D,MATCH(D83,Dimensions!$A:$A,0)),"")="","",IF(INDEX(Dimensions!$D:$D,MATCH(D83,Dimensions!$A:$A,0))=F83,"Yes","No")))</f>
        <v/>
      </c>
      <c r="H83" s="20"/>
      <c r="I83" s="20"/>
      <c r="J83" s="20"/>
      <c r="K83" s="20"/>
    </row>
    <row r="84" customFormat="false" ht="15" hidden="false" customHeight="false" outlineLevel="0" collapsed="false">
      <c r="A84" s="20"/>
      <c r="B84" s="18" t="str">
        <f aca="false">IF(A84="","",IFERROR(INDEX(Products!$A:$A,MATCH(A84,Products!$B:$B,0)),"Not found"))</f>
        <v/>
      </c>
      <c r="C84" s="20"/>
      <c r="D84" s="18" t="str">
        <f aca="false">IF(C84="","",IFERROR(INDEX(Dimensions!$A:$A,MATCH(C84,Dimensions!$B:$B,0)),"Not found"))</f>
        <v/>
      </c>
      <c r="E84" s="20"/>
      <c r="F84" s="18" t="str">
        <f aca="false">IF(E84="","",IFERROR(INDEX(Tables!$A:$A,MATCH(E84,Tables!$B:$B,0)),"Not found"))</f>
        <v/>
      </c>
      <c r="G84" s="21" t="str">
        <f aca="false">IF(OR(D84="",F84=""),"",IF(IFERROR(INDEX(Dimensions!$D:$D,MATCH(D84,Dimensions!$A:$A,0)),"")="","",IF(INDEX(Dimensions!$D:$D,MATCH(D84,Dimensions!$A:$A,0))=F84,"Yes","No")))</f>
        <v/>
      </c>
      <c r="H84" s="20"/>
      <c r="I84" s="20"/>
      <c r="J84" s="20"/>
      <c r="K84" s="20"/>
    </row>
    <row r="85" customFormat="false" ht="15" hidden="false" customHeight="false" outlineLevel="0" collapsed="false">
      <c r="A85" s="20"/>
      <c r="B85" s="18" t="str">
        <f aca="false">IF(A85="","",IFERROR(INDEX(Products!$A:$A,MATCH(A85,Products!$B:$B,0)),"Not found"))</f>
        <v/>
      </c>
      <c r="C85" s="20"/>
      <c r="D85" s="18" t="str">
        <f aca="false">IF(C85="","",IFERROR(INDEX(Dimensions!$A:$A,MATCH(C85,Dimensions!$B:$B,0)),"Not found"))</f>
        <v/>
      </c>
      <c r="E85" s="20"/>
      <c r="F85" s="18" t="str">
        <f aca="false">IF(E85="","",IFERROR(INDEX(Tables!$A:$A,MATCH(E85,Tables!$B:$B,0)),"Not found"))</f>
        <v/>
      </c>
      <c r="G85" s="21" t="str">
        <f aca="false">IF(OR(D85="",F85=""),"",IF(IFERROR(INDEX(Dimensions!$D:$D,MATCH(D85,Dimensions!$A:$A,0)),"")="","",IF(INDEX(Dimensions!$D:$D,MATCH(D85,Dimensions!$A:$A,0))=F85,"Yes","No")))</f>
        <v/>
      </c>
      <c r="H85" s="20"/>
      <c r="I85" s="20"/>
      <c r="J85" s="20"/>
      <c r="K85" s="20"/>
    </row>
    <row r="86" customFormat="false" ht="15" hidden="false" customHeight="false" outlineLevel="0" collapsed="false">
      <c r="A86" s="20"/>
      <c r="B86" s="18" t="str">
        <f aca="false">IF(A86="","",IFERROR(INDEX(Products!$A:$A,MATCH(A86,Products!$B:$B,0)),"Not found"))</f>
        <v/>
      </c>
      <c r="C86" s="20"/>
      <c r="D86" s="18" t="str">
        <f aca="false">IF(C86="","",IFERROR(INDEX(Dimensions!$A:$A,MATCH(C86,Dimensions!$B:$B,0)),"Not found"))</f>
        <v/>
      </c>
      <c r="E86" s="20"/>
      <c r="F86" s="18" t="str">
        <f aca="false">IF(E86="","",IFERROR(INDEX(Tables!$A:$A,MATCH(E86,Tables!$B:$B,0)),"Not found"))</f>
        <v/>
      </c>
      <c r="G86" s="21" t="str">
        <f aca="false">IF(OR(D86="",F86=""),"",IF(IFERROR(INDEX(Dimensions!$D:$D,MATCH(D86,Dimensions!$A:$A,0)),"")="","",IF(INDEX(Dimensions!$D:$D,MATCH(D86,Dimensions!$A:$A,0))=F86,"Yes","No")))</f>
        <v/>
      </c>
      <c r="H86" s="20"/>
      <c r="I86" s="20"/>
      <c r="J86" s="20"/>
      <c r="K86" s="20"/>
    </row>
    <row r="87" customFormat="false" ht="15" hidden="false" customHeight="false" outlineLevel="0" collapsed="false">
      <c r="A87" s="20"/>
      <c r="B87" s="18" t="str">
        <f aca="false">IF(A87="","",IFERROR(INDEX(Products!$A:$A,MATCH(A87,Products!$B:$B,0)),"Not found"))</f>
        <v/>
      </c>
      <c r="C87" s="20"/>
      <c r="D87" s="18" t="str">
        <f aca="false">IF(C87="","",IFERROR(INDEX(Dimensions!$A:$A,MATCH(C87,Dimensions!$B:$B,0)),"Not found"))</f>
        <v/>
      </c>
      <c r="E87" s="20"/>
      <c r="F87" s="18" t="str">
        <f aca="false">IF(E87="","",IFERROR(INDEX(Tables!$A:$A,MATCH(E87,Tables!$B:$B,0)),"Not found"))</f>
        <v/>
      </c>
      <c r="G87" s="21" t="str">
        <f aca="false">IF(OR(D87="",F87=""),"",IF(IFERROR(INDEX(Dimensions!$D:$D,MATCH(D87,Dimensions!$A:$A,0)),"")="","",IF(INDEX(Dimensions!$D:$D,MATCH(D87,Dimensions!$A:$A,0))=F87,"Yes","No")))</f>
        <v/>
      </c>
      <c r="H87" s="20"/>
      <c r="I87" s="20"/>
      <c r="J87" s="20"/>
      <c r="K87" s="20"/>
    </row>
    <row r="88" customFormat="false" ht="15" hidden="false" customHeight="false" outlineLevel="0" collapsed="false">
      <c r="A88" s="20"/>
      <c r="B88" s="18" t="str">
        <f aca="false">IF(A88="","",IFERROR(INDEX(Products!$A:$A,MATCH(A88,Products!$B:$B,0)),"Not found"))</f>
        <v/>
      </c>
      <c r="C88" s="20"/>
      <c r="D88" s="18" t="str">
        <f aca="false">IF(C88="","",IFERROR(INDEX(Dimensions!$A:$A,MATCH(C88,Dimensions!$B:$B,0)),"Not found"))</f>
        <v/>
      </c>
      <c r="E88" s="20"/>
      <c r="F88" s="18" t="str">
        <f aca="false">IF(E88="","",IFERROR(INDEX(Tables!$A:$A,MATCH(E88,Tables!$B:$B,0)),"Not found"))</f>
        <v/>
      </c>
      <c r="G88" s="21" t="str">
        <f aca="false">IF(OR(D88="",F88=""),"",IF(IFERROR(INDEX(Dimensions!$D:$D,MATCH(D88,Dimensions!$A:$A,0)),"")="","",IF(INDEX(Dimensions!$D:$D,MATCH(D88,Dimensions!$A:$A,0))=F88,"Yes","No")))</f>
        <v/>
      </c>
      <c r="H88" s="20"/>
      <c r="I88" s="20"/>
      <c r="J88" s="20"/>
      <c r="K88" s="20"/>
    </row>
    <row r="89" customFormat="false" ht="15" hidden="false" customHeight="false" outlineLevel="0" collapsed="false">
      <c r="A89" s="20"/>
      <c r="B89" s="18" t="str">
        <f aca="false">IF(A89="","",IFERROR(INDEX(Products!$A:$A,MATCH(A89,Products!$B:$B,0)),"Not found"))</f>
        <v/>
      </c>
      <c r="C89" s="20"/>
      <c r="D89" s="18" t="str">
        <f aca="false">IF(C89="","",IFERROR(INDEX(Dimensions!$A:$A,MATCH(C89,Dimensions!$B:$B,0)),"Not found"))</f>
        <v/>
      </c>
      <c r="E89" s="20"/>
      <c r="F89" s="18" t="str">
        <f aca="false">IF(E89="","",IFERROR(INDEX(Tables!$A:$A,MATCH(E89,Tables!$B:$B,0)),"Not found"))</f>
        <v/>
      </c>
      <c r="G89" s="21" t="str">
        <f aca="false">IF(OR(D89="",F89=""),"",IF(IFERROR(INDEX(Dimensions!$D:$D,MATCH(D89,Dimensions!$A:$A,0)),"")="","",IF(INDEX(Dimensions!$D:$D,MATCH(D89,Dimensions!$A:$A,0))=F89,"Yes","No")))</f>
        <v/>
      </c>
      <c r="H89" s="20"/>
      <c r="I89" s="20"/>
      <c r="J89" s="20"/>
      <c r="K89" s="20"/>
    </row>
    <row r="90" customFormat="false" ht="15" hidden="false" customHeight="false" outlineLevel="0" collapsed="false">
      <c r="A90" s="20"/>
      <c r="B90" s="18" t="str">
        <f aca="false">IF(A90="","",IFERROR(INDEX(Products!$A:$A,MATCH(A90,Products!$B:$B,0)),"Not found"))</f>
        <v/>
      </c>
      <c r="C90" s="20"/>
      <c r="D90" s="18" t="str">
        <f aca="false">IF(C90="","",IFERROR(INDEX(Dimensions!$A:$A,MATCH(C90,Dimensions!$B:$B,0)),"Not found"))</f>
        <v/>
      </c>
      <c r="E90" s="20"/>
      <c r="F90" s="18" t="str">
        <f aca="false">IF(E90="","",IFERROR(INDEX(Tables!$A:$A,MATCH(E90,Tables!$B:$B,0)),"Not found"))</f>
        <v/>
      </c>
      <c r="G90" s="21" t="str">
        <f aca="false">IF(OR(D90="",F90=""),"",IF(IFERROR(INDEX(Dimensions!$D:$D,MATCH(D90,Dimensions!$A:$A,0)),"")="","",IF(INDEX(Dimensions!$D:$D,MATCH(D90,Dimensions!$A:$A,0))=F90,"Yes","No")))</f>
        <v/>
      </c>
      <c r="H90" s="20"/>
      <c r="I90" s="20"/>
      <c r="J90" s="20"/>
      <c r="K90" s="20"/>
    </row>
    <row r="91" customFormat="false" ht="15" hidden="false" customHeight="false" outlineLevel="0" collapsed="false">
      <c r="A91" s="20"/>
      <c r="B91" s="18" t="str">
        <f aca="false">IF(A91="","",IFERROR(INDEX(Products!$A:$A,MATCH(A91,Products!$B:$B,0)),"Not found"))</f>
        <v/>
      </c>
      <c r="C91" s="20"/>
      <c r="D91" s="18" t="str">
        <f aca="false">IF(C91="","",IFERROR(INDEX(Dimensions!$A:$A,MATCH(C91,Dimensions!$B:$B,0)),"Not found"))</f>
        <v/>
      </c>
      <c r="E91" s="20"/>
      <c r="F91" s="18" t="str">
        <f aca="false">IF(E91="","",IFERROR(INDEX(Tables!$A:$A,MATCH(E91,Tables!$B:$B,0)),"Not found"))</f>
        <v/>
      </c>
      <c r="G91" s="21" t="str">
        <f aca="false">IF(OR(D91="",F91=""),"",IF(IFERROR(INDEX(Dimensions!$D:$D,MATCH(D91,Dimensions!$A:$A,0)),"")="","",IF(INDEX(Dimensions!$D:$D,MATCH(D91,Dimensions!$A:$A,0))=F91,"Yes","No")))</f>
        <v/>
      </c>
      <c r="H91" s="20"/>
      <c r="I91" s="20"/>
      <c r="J91" s="20"/>
      <c r="K91" s="20"/>
    </row>
    <row r="92" customFormat="false" ht="15" hidden="false" customHeight="false" outlineLevel="0" collapsed="false">
      <c r="A92" s="20"/>
      <c r="B92" s="18" t="str">
        <f aca="false">IF(A92="","",IFERROR(INDEX(Products!$A:$A,MATCH(A92,Products!$B:$B,0)),"Not found"))</f>
        <v/>
      </c>
      <c r="C92" s="20"/>
      <c r="D92" s="18" t="str">
        <f aca="false">IF(C92="","",IFERROR(INDEX(Dimensions!$A:$A,MATCH(C92,Dimensions!$B:$B,0)),"Not found"))</f>
        <v/>
      </c>
      <c r="E92" s="20"/>
      <c r="F92" s="18" t="str">
        <f aca="false">IF(E92="","",IFERROR(INDEX(Tables!$A:$A,MATCH(E92,Tables!$B:$B,0)),"Not found"))</f>
        <v/>
      </c>
      <c r="G92" s="21" t="str">
        <f aca="false">IF(OR(D92="",F92=""),"",IF(IFERROR(INDEX(Dimensions!$D:$D,MATCH(D92,Dimensions!$A:$A,0)),"")="","",IF(INDEX(Dimensions!$D:$D,MATCH(D92,Dimensions!$A:$A,0))=F92,"Yes","No")))</f>
        <v/>
      </c>
      <c r="H92" s="20"/>
      <c r="I92" s="20"/>
      <c r="J92" s="20"/>
      <c r="K92" s="20"/>
    </row>
    <row r="93" customFormat="false" ht="15" hidden="false" customHeight="false" outlineLevel="0" collapsed="false">
      <c r="A93" s="20"/>
      <c r="B93" s="18" t="str">
        <f aca="false">IF(A93="","",IFERROR(INDEX(Products!$A:$A,MATCH(A93,Products!$B:$B,0)),"Not found"))</f>
        <v/>
      </c>
      <c r="C93" s="20"/>
      <c r="D93" s="18" t="str">
        <f aca="false">IF(C93="","",IFERROR(INDEX(Dimensions!$A:$A,MATCH(C93,Dimensions!$B:$B,0)),"Not found"))</f>
        <v/>
      </c>
      <c r="E93" s="20"/>
      <c r="F93" s="18" t="str">
        <f aca="false">IF(E93="","",IFERROR(INDEX(Tables!$A:$A,MATCH(E93,Tables!$B:$B,0)),"Not found"))</f>
        <v/>
      </c>
      <c r="G93" s="21" t="str">
        <f aca="false">IF(OR(D93="",F93=""),"",IF(IFERROR(INDEX(Dimensions!$D:$D,MATCH(D93,Dimensions!$A:$A,0)),"")="","",IF(INDEX(Dimensions!$D:$D,MATCH(D93,Dimensions!$A:$A,0))=F93,"Yes","No")))</f>
        <v/>
      </c>
      <c r="H93" s="20"/>
      <c r="I93" s="20"/>
      <c r="J93" s="20"/>
      <c r="K93" s="20"/>
    </row>
    <row r="94" customFormat="false" ht="15" hidden="false" customHeight="false" outlineLevel="0" collapsed="false">
      <c r="A94" s="20"/>
      <c r="B94" s="18" t="str">
        <f aca="false">IF(A94="","",IFERROR(INDEX(Products!$A:$A,MATCH(A94,Products!$B:$B,0)),"Not found"))</f>
        <v/>
      </c>
      <c r="C94" s="20"/>
      <c r="D94" s="18" t="str">
        <f aca="false">IF(C94="","",IFERROR(INDEX(Dimensions!$A:$A,MATCH(C94,Dimensions!$B:$B,0)),"Not found"))</f>
        <v/>
      </c>
      <c r="E94" s="20"/>
      <c r="F94" s="18" t="str">
        <f aca="false">IF(E94="","",IFERROR(INDEX(Tables!$A:$A,MATCH(E94,Tables!$B:$B,0)),"Not found"))</f>
        <v/>
      </c>
      <c r="G94" s="21" t="str">
        <f aca="false">IF(OR(D94="",F94=""),"",IF(IFERROR(INDEX(Dimensions!$D:$D,MATCH(D94,Dimensions!$A:$A,0)),"")="","",IF(INDEX(Dimensions!$D:$D,MATCH(D94,Dimensions!$A:$A,0))=F94,"Yes","No")))</f>
        <v/>
      </c>
      <c r="H94" s="20"/>
      <c r="I94" s="20"/>
      <c r="J94" s="20"/>
      <c r="K94" s="20"/>
    </row>
    <row r="95" customFormat="false" ht="15" hidden="false" customHeight="false" outlineLevel="0" collapsed="false">
      <c r="A95" s="20"/>
      <c r="B95" s="18" t="str">
        <f aca="false">IF(A95="","",IFERROR(INDEX(Products!$A:$A,MATCH(A95,Products!$B:$B,0)),"Not found"))</f>
        <v/>
      </c>
      <c r="C95" s="20"/>
      <c r="D95" s="18" t="str">
        <f aca="false">IF(C95="","",IFERROR(INDEX(Dimensions!$A:$A,MATCH(C95,Dimensions!$B:$B,0)),"Not found"))</f>
        <v/>
      </c>
      <c r="E95" s="20"/>
      <c r="F95" s="18" t="str">
        <f aca="false">IF(E95="","",IFERROR(INDEX(Tables!$A:$A,MATCH(E95,Tables!$B:$B,0)),"Not found"))</f>
        <v/>
      </c>
      <c r="G95" s="21" t="str">
        <f aca="false">IF(OR(D95="",F95=""),"",IF(IFERROR(INDEX(Dimensions!$D:$D,MATCH(D95,Dimensions!$A:$A,0)),"")="","",IF(INDEX(Dimensions!$D:$D,MATCH(D95,Dimensions!$A:$A,0))=F95,"Yes","No")))</f>
        <v/>
      </c>
      <c r="H95" s="20"/>
      <c r="I95" s="20"/>
      <c r="J95" s="20"/>
      <c r="K95" s="20"/>
    </row>
    <row r="96" customFormat="false" ht="15" hidden="false" customHeight="false" outlineLevel="0" collapsed="false">
      <c r="A96" s="20"/>
      <c r="B96" s="18" t="str">
        <f aca="false">IF(A96="","",IFERROR(INDEX(Products!$A:$A,MATCH(A96,Products!$B:$B,0)),"Not found"))</f>
        <v/>
      </c>
      <c r="C96" s="20"/>
      <c r="D96" s="18" t="str">
        <f aca="false">IF(C96="","",IFERROR(INDEX(Dimensions!$A:$A,MATCH(C96,Dimensions!$B:$B,0)),"Not found"))</f>
        <v/>
      </c>
      <c r="E96" s="20"/>
      <c r="F96" s="18" t="str">
        <f aca="false">IF(E96="","",IFERROR(INDEX(Tables!$A:$A,MATCH(E96,Tables!$B:$B,0)),"Not found"))</f>
        <v/>
      </c>
      <c r="G96" s="21" t="str">
        <f aca="false">IF(OR(D96="",F96=""),"",IF(IFERROR(INDEX(Dimensions!$D:$D,MATCH(D96,Dimensions!$A:$A,0)),"")="","",IF(INDEX(Dimensions!$D:$D,MATCH(D96,Dimensions!$A:$A,0))=F96,"Yes","No")))</f>
        <v/>
      </c>
      <c r="H96" s="20"/>
      <c r="I96" s="20"/>
      <c r="J96" s="20"/>
      <c r="K96" s="20"/>
    </row>
    <row r="97" customFormat="false" ht="15" hidden="false" customHeight="false" outlineLevel="0" collapsed="false">
      <c r="A97" s="20"/>
      <c r="B97" s="18" t="str">
        <f aca="false">IF(A97="","",IFERROR(INDEX(Products!$A:$A,MATCH(A97,Products!$B:$B,0)),"Not found"))</f>
        <v/>
      </c>
      <c r="C97" s="20"/>
      <c r="D97" s="18" t="str">
        <f aca="false">IF(C97="","",IFERROR(INDEX(Dimensions!$A:$A,MATCH(C97,Dimensions!$B:$B,0)),"Not found"))</f>
        <v/>
      </c>
      <c r="E97" s="20"/>
      <c r="F97" s="18" t="str">
        <f aca="false">IF(E97="","",IFERROR(INDEX(Tables!$A:$A,MATCH(E97,Tables!$B:$B,0)),"Not found"))</f>
        <v/>
      </c>
      <c r="G97" s="21" t="str">
        <f aca="false">IF(OR(D97="",F97=""),"",IF(IFERROR(INDEX(Dimensions!$D:$D,MATCH(D97,Dimensions!$A:$A,0)),"")="","",IF(INDEX(Dimensions!$D:$D,MATCH(D97,Dimensions!$A:$A,0))=F97,"Yes","No")))</f>
        <v/>
      </c>
      <c r="H97" s="20"/>
      <c r="I97" s="20"/>
      <c r="J97" s="20"/>
      <c r="K97" s="20"/>
    </row>
    <row r="98" customFormat="false" ht="15" hidden="false" customHeight="false" outlineLevel="0" collapsed="false">
      <c r="A98" s="20"/>
      <c r="B98" s="18" t="str">
        <f aca="false">IF(A98="","",IFERROR(INDEX(Products!$A:$A,MATCH(A98,Products!$B:$B,0)),"Not found"))</f>
        <v/>
      </c>
      <c r="C98" s="20"/>
      <c r="D98" s="18" t="str">
        <f aca="false">IF(C98="","",IFERROR(INDEX(Dimensions!$A:$A,MATCH(C98,Dimensions!$B:$B,0)),"Not found"))</f>
        <v/>
      </c>
      <c r="E98" s="20"/>
      <c r="F98" s="18" t="str">
        <f aca="false">IF(E98="","",IFERROR(INDEX(Tables!$A:$A,MATCH(E98,Tables!$B:$B,0)),"Not found"))</f>
        <v/>
      </c>
      <c r="G98" s="21" t="str">
        <f aca="false">IF(OR(D98="",F98=""),"",IF(IFERROR(INDEX(Dimensions!$D:$D,MATCH(D98,Dimensions!$A:$A,0)),"")="","",IF(INDEX(Dimensions!$D:$D,MATCH(D98,Dimensions!$A:$A,0))=F98,"Yes","No")))</f>
        <v/>
      </c>
      <c r="H98" s="20"/>
      <c r="I98" s="20"/>
      <c r="J98" s="20"/>
      <c r="K98" s="20"/>
    </row>
    <row r="99" customFormat="false" ht="15" hidden="false" customHeight="false" outlineLevel="0" collapsed="false">
      <c r="A99" s="20"/>
      <c r="B99" s="18" t="str">
        <f aca="false">IF(A99="","",IFERROR(INDEX(Products!$A:$A,MATCH(A99,Products!$B:$B,0)),"Not found"))</f>
        <v/>
      </c>
      <c r="C99" s="20"/>
      <c r="D99" s="18" t="str">
        <f aca="false">IF(C99="","",IFERROR(INDEX(Dimensions!$A:$A,MATCH(C99,Dimensions!$B:$B,0)),"Not found"))</f>
        <v/>
      </c>
      <c r="E99" s="20"/>
      <c r="F99" s="18" t="str">
        <f aca="false">IF(E99="","",IFERROR(INDEX(Tables!$A:$A,MATCH(E99,Tables!$B:$B,0)),"Not found"))</f>
        <v/>
      </c>
      <c r="G99" s="21" t="str">
        <f aca="false">IF(OR(D99="",F99=""),"",IF(IFERROR(INDEX(Dimensions!$D:$D,MATCH(D99,Dimensions!$A:$A,0)),"")="","",IF(INDEX(Dimensions!$D:$D,MATCH(D99,Dimensions!$A:$A,0))=F99,"Yes","No")))</f>
        <v/>
      </c>
      <c r="H99" s="20"/>
      <c r="I99" s="20"/>
      <c r="J99" s="20"/>
      <c r="K99" s="20"/>
    </row>
    <row r="100" customFormat="false" ht="15" hidden="false" customHeight="false" outlineLevel="0" collapsed="false">
      <c r="A100" s="20"/>
      <c r="B100" s="18" t="str">
        <f aca="false">IF(A100="","",IFERROR(INDEX(Products!$A:$A,MATCH(A100,Products!$B:$B,0)),"Not found"))</f>
        <v/>
      </c>
      <c r="C100" s="20"/>
      <c r="D100" s="18" t="str">
        <f aca="false">IF(C100="","",IFERROR(INDEX(Dimensions!$A:$A,MATCH(C100,Dimensions!$B:$B,0)),"Not found"))</f>
        <v/>
      </c>
      <c r="E100" s="20"/>
      <c r="F100" s="18" t="str">
        <f aca="false">IF(E100="","",IFERROR(INDEX(Tables!$A:$A,MATCH(E100,Tables!$B:$B,0)),"Not found"))</f>
        <v/>
      </c>
      <c r="G100" s="21" t="str">
        <f aca="false">IF(OR(D100="",F100=""),"",IF(IFERROR(INDEX(Dimensions!$D:$D,MATCH(D100,Dimensions!$A:$A,0)),"")="","",IF(INDEX(Dimensions!$D:$D,MATCH(D100,Dimensions!$A:$A,0))=F100,"Yes","No")))</f>
        <v/>
      </c>
      <c r="H100" s="20"/>
      <c r="I100" s="20"/>
      <c r="J100" s="20"/>
      <c r="K100" s="20"/>
    </row>
    <row r="101" customFormat="false" ht="15" hidden="false" customHeight="false" outlineLevel="0" collapsed="false">
      <c r="A101" s="20"/>
      <c r="B101" s="18" t="str">
        <f aca="false">IF(A101="","",IFERROR(INDEX(Products!$A:$A,MATCH(A101,Products!$B:$B,0)),"Not found"))</f>
        <v/>
      </c>
      <c r="C101" s="20"/>
      <c r="D101" s="18" t="str">
        <f aca="false">IF(C101="","",IFERROR(INDEX(Dimensions!$A:$A,MATCH(C101,Dimensions!$B:$B,0)),"Not found"))</f>
        <v/>
      </c>
      <c r="E101" s="20"/>
      <c r="F101" s="18" t="str">
        <f aca="false">IF(E101="","",IFERROR(INDEX(Tables!$A:$A,MATCH(E101,Tables!$B:$B,0)),"Not found"))</f>
        <v/>
      </c>
      <c r="G101" s="21" t="str">
        <f aca="false">IF(OR(D101="",F101=""),"",IF(IFERROR(INDEX(Dimensions!$D:$D,MATCH(D101,Dimensions!$A:$A,0)),"")="","",IF(INDEX(Dimensions!$D:$D,MATCH(D101,Dimensions!$A:$A,0))=F101,"Yes","No")))</f>
        <v/>
      </c>
      <c r="H101" s="20"/>
      <c r="I101" s="20"/>
      <c r="J101" s="20"/>
      <c r="K101" s="20"/>
    </row>
    <row r="102" customFormat="false" ht="15" hidden="false" customHeight="false" outlineLevel="0" collapsed="false">
      <c r="A102" s="20"/>
      <c r="B102" s="18" t="str">
        <f aca="false">IF(A102="","",IFERROR(INDEX(Products!$A:$A,MATCH(A102,Products!$B:$B,0)),"Not found"))</f>
        <v/>
      </c>
      <c r="C102" s="20"/>
      <c r="D102" s="18" t="str">
        <f aca="false">IF(C102="","",IFERROR(INDEX(Dimensions!$A:$A,MATCH(C102,Dimensions!$B:$B,0)),"Not found"))</f>
        <v/>
      </c>
      <c r="E102" s="20"/>
      <c r="F102" s="18" t="str">
        <f aca="false">IF(E102="","",IFERROR(INDEX(Tables!$A:$A,MATCH(E102,Tables!$B:$B,0)),"Not found"))</f>
        <v/>
      </c>
      <c r="G102" s="21" t="str">
        <f aca="false">IF(OR(D102="",F102=""),"",IF(IFERROR(INDEX(Dimensions!$D:$D,MATCH(D102,Dimensions!$A:$A,0)),"")="","",IF(INDEX(Dimensions!$D:$D,MATCH(D102,Dimensions!$A:$A,0))=F102,"Yes","No")))</f>
        <v/>
      </c>
      <c r="H102" s="20"/>
      <c r="I102" s="20"/>
      <c r="J102" s="20"/>
      <c r="K102" s="20"/>
    </row>
    <row r="103" customFormat="false" ht="15" hidden="false" customHeight="false" outlineLevel="0" collapsed="false">
      <c r="A103" s="20"/>
      <c r="B103" s="18" t="str">
        <f aca="false">IF(A103="","",IFERROR(INDEX(Products!$A:$A,MATCH(A103,Products!$B:$B,0)),"Not found"))</f>
        <v/>
      </c>
      <c r="C103" s="20"/>
      <c r="D103" s="18" t="str">
        <f aca="false">IF(C103="","",IFERROR(INDEX(Dimensions!$A:$A,MATCH(C103,Dimensions!$B:$B,0)),"Not found"))</f>
        <v/>
      </c>
      <c r="E103" s="20"/>
      <c r="F103" s="18" t="str">
        <f aca="false">IF(E103="","",IFERROR(INDEX(Tables!$A:$A,MATCH(E103,Tables!$B:$B,0)),"Not found"))</f>
        <v/>
      </c>
      <c r="G103" s="21" t="str">
        <f aca="false">IF(OR(D103="",F103=""),"",IF(IFERROR(INDEX(Dimensions!$D:$D,MATCH(D103,Dimensions!$A:$A,0)),"")="","",IF(INDEX(Dimensions!$D:$D,MATCH(D103,Dimensions!$A:$A,0))=F103,"Yes","No")))</f>
        <v/>
      </c>
      <c r="H103" s="20"/>
      <c r="I103" s="20"/>
      <c r="J103" s="20"/>
      <c r="K103" s="20"/>
    </row>
    <row r="104" customFormat="false" ht="15" hidden="false" customHeight="false" outlineLevel="0" collapsed="false">
      <c r="A104" s="20"/>
      <c r="B104" s="18" t="str">
        <f aca="false">IF(A104="","",IFERROR(INDEX(Products!$A:$A,MATCH(A104,Products!$B:$B,0)),"Not found"))</f>
        <v/>
      </c>
      <c r="C104" s="20"/>
      <c r="D104" s="18" t="str">
        <f aca="false">IF(C104="","",IFERROR(INDEX(Dimensions!$A:$A,MATCH(C104,Dimensions!$B:$B,0)),"Not found"))</f>
        <v/>
      </c>
      <c r="E104" s="20"/>
      <c r="F104" s="18" t="str">
        <f aca="false">IF(E104="","",IFERROR(INDEX(Tables!$A:$A,MATCH(E104,Tables!$B:$B,0)),"Not found"))</f>
        <v/>
      </c>
      <c r="G104" s="21" t="str">
        <f aca="false">IF(OR(D104="",F104=""),"",IF(IFERROR(INDEX(Dimensions!$D:$D,MATCH(D104,Dimensions!$A:$A,0)),"")="","",IF(INDEX(Dimensions!$D:$D,MATCH(D104,Dimensions!$A:$A,0))=F104,"Yes","No")))</f>
        <v/>
      </c>
      <c r="H104" s="20"/>
      <c r="I104" s="20"/>
      <c r="J104" s="20"/>
      <c r="K104" s="20"/>
    </row>
    <row r="105" customFormat="false" ht="15" hidden="false" customHeight="false" outlineLevel="0" collapsed="false">
      <c r="A105" s="20"/>
      <c r="B105" s="18" t="str">
        <f aca="false">IF(A105="","",IFERROR(INDEX(Products!$A:$A,MATCH(A105,Products!$B:$B,0)),"Not found"))</f>
        <v/>
      </c>
      <c r="C105" s="20"/>
      <c r="D105" s="18" t="str">
        <f aca="false">IF(C105="","",IFERROR(INDEX(Dimensions!$A:$A,MATCH(C105,Dimensions!$B:$B,0)),"Not found"))</f>
        <v/>
      </c>
      <c r="E105" s="20"/>
      <c r="F105" s="18" t="str">
        <f aca="false">IF(E105="","",IFERROR(INDEX(Tables!$A:$A,MATCH(E105,Tables!$B:$B,0)),"Not found"))</f>
        <v/>
      </c>
      <c r="G105" s="21" t="str">
        <f aca="false">IF(OR(D105="",F105=""),"",IF(IFERROR(INDEX(Dimensions!$D:$D,MATCH(D105,Dimensions!$A:$A,0)),"")="","",IF(INDEX(Dimensions!$D:$D,MATCH(D105,Dimensions!$A:$A,0))=F105,"Yes","No")))</f>
        <v/>
      </c>
      <c r="H105" s="20"/>
      <c r="I105" s="20"/>
      <c r="J105" s="20"/>
      <c r="K105" s="20"/>
    </row>
    <row r="106" customFormat="false" ht="15" hidden="false" customHeight="false" outlineLevel="0" collapsed="false">
      <c r="A106" s="20"/>
      <c r="B106" s="18" t="str">
        <f aca="false">IF(A106="","",IFERROR(INDEX(Products!$A:$A,MATCH(A106,Products!$B:$B,0)),"Not found"))</f>
        <v/>
      </c>
      <c r="C106" s="20"/>
      <c r="D106" s="18" t="str">
        <f aca="false">IF(C106="","",IFERROR(INDEX(Dimensions!$A:$A,MATCH(C106,Dimensions!$B:$B,0)),"Not found"))</f>
        <v/>
      </c>
      <c r="E106" s="20"/>
      <c r="F106" s="18" t="str">
        <f aca="false">IF(E106="","",IFERROR(INDEX(Tables!$A:$A,MATCH(E106,Tables!$B:$B,0)),"Not found"))</f>
        <v/>
      </c>
      <c r="G106" s="21" t="str">
        <f aca="false">IF(OR(D106="",F106=""),"",IF(IFERROR(INDEX(Dimensions!$D:$D,MATCH(D106,Dimensions!$A:$A,0)),"")="","",IF(INDEX(Dimensions!$D:$D,MATCH(D106,Dimensions!$A:$A,0))=F106,"Yes","No")))</f>
        <v/>
      </c>
      <c r="H106" s="20"/>
      <c r="I106" s="20"/>
      <c r="J106" s="20"/>
      <c r="K106" s="20"/>
    </row>
    <row r="107" customFormat="false" ht="15" hidden="false" customHeight="false" outlineLevel="0" collapsed="false">
      <c r="A107" s="20"/>
      <c r="B107" s="18" t="str">
        <f aca="false">IF(A107="","",IFERROR(INDEX(Products!$A:$A,MATCH(A107,Products!$B:$B,0)),"Not found"))</f>
        <v/>
      </c>
      <c r="C107" s="20"/>
      <c r="D107" s="18" t="str">
        <f aca="false">IF(C107="","",IFERROR(INDEX(Dimensions!$A:$A,MATCH(C107,Dimensions!$B:$B,0)),"Not found"))</f>
        <v/>
      </c>
      <c r="E107" s="20"/>
      <c r="F107" s="18" t="str">
        <f aca="false">IF(E107="","",IFERROR(INDEX(Tables!$A:$A,MATCH(E107,Tables!$B:$B,0)),"Not found"))</f>
        <v/>
      </c>
      <c r="G107" s="21" t="str">
        <f aca="false">IF(OR(D107="",F107=""),"",IF(IFERROR(INDEX(Dimensions!$D:$D,MATCH(D107,Dimensions!$A:$A,0)),"")="","",IF(INDEX(Dimensions!$D:$D,MATCH(D107,Dimensions!$A:$A,0))=F107,"Yes","No")))</f>
        <v/>
      </c>
      <c r="H107" s="20"/>
      <c r="I107" s="20"/>
      <c r="J107" s="20"/>
      <c r="K107" s="20"/>
    </row>
    <row r="108" customFormat="false" ht="15" hidden="false" customHeight="false" outlineLevel="0" collapsed="false">
      <c r="A108" s="20"/>
      <c r="B108" s="18" t="str">
        <f aca="false">IF(A108="","",IFERROR(INDEX(Products!$A:$A,MATCH(A108,Products!$B:$B,0)),"Not found"))</f>
        <v/>
      </c>
      <c r="C108" s="20"/>
      <c r="D108" s="18" t="str">
        <f aca="false">IF(C108="","",IFERROR(INDEX(Dimensions!$A:$A,MATCH(C108,Dimensions!$B:$B,0)),"Not found"))</f>
        <v/>
      </c>
      <c r="E108" s="20"/>
      <c r="F108" s="18" t="str">
        <f aca="false">IF(E108="","",IFERROR(INDEX(Tables!$A:$A,MATCH(E108,Tables!$B:$B,0)),"Not found"))</f>
        <v/>
      </c>
      <c r="G108" s="21" t="str">
        <f aca="false">IF(OR(D108="",F108=""),"",IF(IFERROR(INDEX(Dimensions!$D:$D,MATCH(D108,Dimensions!$A:$A,0)),"")="","",IF(INDEX(Dimensions!$D:$D,MATCH(D108,Dimensions!$A:$A,0))=F108,"Yes","No")))</f>
        <v/>
      </c>
      <c r="H108" s="20"/>
      <c r="I108" s="20"/>
      <c r="J108" s="20"/>
      <c r="K108" s="20"/>
    </row>
    <row r="109" customFormat="false" ht="15" hidden="false" customHeight="false" outlineLevel="0" collapsed="false">
      <c r="A109" s="20"/>
      <c r="B109" s="18" t="str">
        <f aca="false">IF(A109="","",IFERROR(INDEX(Products!$A:$A,MATCH(A109,Products!$B:$B,0)),"Not found"))</f>
        <v/>
      </c>
      <c r="C109" s="20"/>
      <c r="D109" s="18" t="str">
        <f aca="false">IF(C109="","",IFERROR(INDEX(Dimensions!$A:$A,MATCH(C109,Dimensions!$B:$B,0)),"Not found"))</f>
        <v/>
      </c>
      <c r="E109" s="20"/>
      <c r="F109" s="18" t="str">
        <f aca="false">IF(E109="","",IFERROR(INDEX(Tables!$A:$A,MATCH(E109,Tables!$B:$B,0)),"Not found"))</f>
        <v/>
      </c>
      <c r="G109" s="21" t="str">
        <f aca="false">IF(OR(D109="",F109=""),"",IF(IFERROR(INDEX(Dimensions!$D:$D,MATCH(D109,Dimensions!$A:$A,0)),"")="","",IF(INDEX(Dimensions!$D:$D,MATCH(D109,Dimensions!$A:$A,0))=F109,"Yes","No")))</f>
        <v/>
      </c>
      <c r="H109" s="20"/>
      <c r="I109" s="20"/>
      <c r="J109" s="20"/>
      <c r="K109" s="20"/>
    </row>
    <row r="110" customFormat="false" ht="15" hidden="false" customHeight="false" outlineLevel="0" collapsed="false">
      <c r="A110" s="20"/>
      <c r="B110" s="18" t="str">
        <f aca="false">IF(A110="","",IFERROR(INDEX(Products!$A:$A,MATCH(A110,Products!$B:$B,0)),"Not found"))</f>
        <v/>
      </c>
      <c r="C110" s="20"/>
      <c r="D110" s="18" t="str">
        <f aca="false">IF(C110="","",IFERROR(INDEX(Dimensions!$A:$A,MATCH(C110,Dimensions!$B:$B,0)),"Not found"))</f>
        <v/>
      </c>
      <c r="E110" s="20"/>
      <c r="F110" s="18" t="str">
        <f aca="false">IF(E110="","",IFERROR(INDEX(Tables!$A:$A,MATCH(E110,Tables!$B:$B,0)),"Not found"))</f>
        <v/>
      </c>
      <c r="G110" s="21" t="str">
        <f aca="false">IF(OR(D110="",F110=""),"",IF(IFERROR(INDEX(Dimensions!$D:$D,MATCH(D110,Dimensions!$A:$A,0)),"")="","",IF(INDEX(Dimensions!$D:$D,MATCH(D110,Dimensions!$A:$A,0))=F110,"Yes","No")))</f>
        <v/>
      </c>
      <c r="H110" s="20"/>
      <c r="I110" s="20"/>
      <c r="J110" s="20"/>
      <c r="K110" s="20"/>
    </row>
    <row r="111" customFormat="false" ht="15" hidden="false" customHeight="false" outlineLevel="0" collapsed="false">
      <c r="A111" s="20"/>
      <c r="B111" s="18" t="str">
        <f aca="false">IF(A111="","",IFERROR(INDEX(Products!$A:$A,MATCH(A111,Products!$B:$B,0)),"Not found"))</f>
        <v/>
      </c>
      <c r="C111" s="20"/>
      <c r="D111" s="18" t="str">
        <f aca="false">IF(C111="","",IFERROR(INDEX(Dimensions!$A:$A,MATCH(C111,Dimensions!$B:$B,0)),"Not found"))</f>
        <v/>
      </c>
      <c r="E111" s="20"/>
      <c r="F111" s="18" t="str">
        <f aca="false">IF(E111="","",IFERROR(INDEX(Tables!$A:$A,MATCH(E111,Tables!$B:$B,0)),"Not found"))</f>
        <v/>
      </c>
      <c r="G111" s="21" t="str">
        <f aca="false">IF(OR(D111="",F111=""),"",IF(IFERROR(INDEX(Dimensions!$D:$D,MATCH(D111,Dimensions!$A:$A,0)),"")="","",IF(INDEX(Dimensions!$D:$D,MATCH(D111,Dimensions!$A:$A,0))=F111,"Yes","No")))</f>
        <v/>
      </c>
      <c r="H111" s="20"/>
      <c r="I111" s="20"/>
      <c r="J111" s="20"/>
      <c r="K111" s="20"/>
    </row>
    <row r="112" customFormat="false" ht="15" hidden="false" customHeight="false" outlineLevel="0" collapsed="false">
      <c r="A112" s="20"/>
      <c r="B112" s="18" t="str">
        <f aca="false">IF(A112="","",IFERROR(INDEX(Products!$A:$A,MATCH(A112,Products!$B:$B,0)),"Not found"))</f>
        <v/>
      </c>
      <c r="C112" s="20"/>
      <c r="D112" s="18" t="str">
        <f aca="false">IF(C112="","",IFERROR(INDEX(Dimensions!$A:$A,MATCH(C112,Dimensions!$B:$B,0)),"Not found"))</f>
        <v/>
      </c>
      <c r="E112" s="20"/>
      <c r="F112" s="18" t="str">
        <f aca="false">IF(E112="","",IFERROR(INDEX(Tables!$A:$A,MATCH(E112,Tables!$B:$B,0)),"Not found"))</f>
        <v/>
      </c>
      <c r="G112" s="21" t="str">
        <f aca="false">IF(OR(D112="",F112=""),"",IF(IFERROR(INDEX(Dimensions!$D:$D,MATCH(D112,Dimensions!$A:$A,0)),"")="","",IF(INDEX(Dimensions!$D:$D,MATCH(D112,Dimensions!$A:$A,0))=F112,"Yes","No")))</f>
        <v/>
      </c>
      <c r="H112" s="20"/>
      <c r="I112" s="20"/>
      <c r="J112" s="20"/>
      <c r="K112" s="20"/>
    </row>
    <row r="113" customFormat="false" ht="15" hidden="false" customHeight="false" outlineLevel="0" collapsed="false">
      <c r="A113" s="20"/>
      <c r="B113" s="18" t="str">
        <f aca="false">IF(A113="","",IFERROR(INDEX(Products!$A:$A,MATCH(A113,Products!$B:$B,0)),"Not found"))</f>
        <v/>
      </c>
      <c r="C113" s="20"/>
      <c r="D113" s="18" t="str">
        <f aca="false">IF(C113="","",IFERROR(INDEX(Dimensions!$A:$A,MATCH(C113,Dimensions!$B:$B,0)),"Not found"))</f>
        <v/>
      </c>
      <c r="E113" s="20"/>
      <c r="F113" s="18" t="str">
        <f aca="false">IF(E113="","",IFERROR(INDEX(Tables!$A:$A,MATCH(E113,Tables!$B:$B,0)),"Not found"))</f>
        <v/>
      </c>
      <c r="G113" s="21" t="str">
        <f aca="false">IF(OR(D113="",F113=""),"",IF(IFERROR(INDEX(Dimensions!$D:$D,MATCH(D113,Dimensions!$A:$A,0)),"")="","",IF(INDEX(Dimensions!$D:$D,MATCH(D113,Dimensions!$A:$A,0))=F113,"Yes","No")))</f>
        <v/>
      </c>
      <c r="H113" s="20"/>
      <c r="I113" s="20"/>
      <c r="J113" s="20"/>
      <c r="K113" s="20"/>
    </row>
    <row r="114" customFormat="false" ht="15" hidden="false" customHeight="false" outlineLevel="0" collapsed="false">
      <c r="A114" s="20"/>
      <c r="B114" s="18" t="str">
        <f aca="false">IF(A114="","",IFERROR(INDEX(Products!$A:$A,MATCH(A114,Products!$B:$B,0)),"Not found"))</f>
        <v/>
      </c>
      <c r="C114" s="20"/>
      <c r="D114" s="18" t="str">
        <f aca="false">IF(C114="","",IFERROR(INDEX(Dimensions!$A:$A,MATCH(C114,Dimensions!$B:$B,0)),"Not found"))</f>
        <v/>
      </c>
      <c r="E114" s="20"/>
      <c r="F114" s="18" t="str">
        <f aca="false">IF(E114="","",IFERROR(INDEX(Tables!$A:$A,MATCH(E114,Tables!$B:$B,0)),"Not found"))</f>
        <v/>
      </c>
      <c r="G114" s="21" t="str">
        <f aca="false">IF(OR(D114="",F114=""),"",IF(IFERROR(INDEX(Dimensions!$D:$D,MATCH(D114,Dimensions!$A:$A,0)),"")="","",IF(INDEX(Dimensions!$D:$D,MATCH(D114,Dimensions!$A:$A,0))=F114,"Yes","No")))</f>
        <v/>
      </c>
      <c r="H114" s="20"/>
      <c r="I114" s="20"/>
      <c r="J114" s="20"/>
      <c r="K114" s="20"/>
    </row>
    <row r="115" customFormat="false" ht="15" hidden="false" customHeight="false" outlineLevel="0" collapsed="false">
      <c r="A115" s="20"/>
      <c r="B115" s="18" t="str">
        <f aca="false">IF(A115="","",IFERROR(INDEX(Products!$A:$A,MATCH(A115,Products!$B:$B,0)),"Not found"))</f>
        <v/>
      </c>
      <c r="C115" s="20"/>
      <c r="D115" s="18" t="str">
        <f aca="false">IF(C115="","",IFERROR(INDEX(Dimensions!$A:$A,MATCH(C115,Dimensions!$B:$B,0)),"Not found"))</f>
        <v/>
      </c>
      <c r="E115" s="20"/>
      <c r="F115" s="18" t="str">
        <f aca="false">IF(E115="","",IFERROR(INDEX(Tables!$A:$A,MATCH(E115,Tables!$B:$B,0)),"Not found"))</f>
        <v/>
      </c>
      <c r="G115" s="21" t="str">
        <f aca="false">IF(OR(D115="",F115=""),"",IF(IFERROR(INDEX(Dimensions!$D:$D,MATCH(D115,Dimensions!$A:$A,0)),"")="","",IF(INDEX(Dimensions!$D:$D,MATCH(D115,Dimensions!$A:$A,0))=F115,"Yes","No")))</f>
        <v/>
      </c>
      <c r="H115" s="20"/>
      <c r="I115" s="20"/>
      <c r="J115" s="20"/>
      <c r="K115" s="20"/>
    </row>
    <row r="116" customFormat="false" ht="15" hidden="false" customHeight="false" outlineLevel="0" collapsed="false">
      <c r="A116" s="20"/>
      <c r="B116" s="18" t="str">
        <f aca="false">IF(A116="","",IFERROR(INDEX(Products!$A:$A,MATCH(A116,Products!$B:$B,0)),"Not found"))</f>
        <v/>
      </c>
      <c r="C116" s="20"/>
      <c r="D116" s="18" t="str">
        <f aca="false">IF(C116="","",IFERROR(INDEX(Dimensions!$A:$A,MATCH(C116,Dimensions!$B:$B,0)),"Not found"))</f>
        <v/>
      </c>
      <c r="E116" s="20"/>
      <c r="F116" s="18" t="str">
        <f aca="false">IF(E116="","",IFERROR(INDEX(Tables!$A:$A,MATCH(E116,Tables!$B:$B,0)),"Not found"))</f>
        <v/>
      </c>
      <c r="G116" s="21" t="str">
        <f aca="false">IF(OR(D116="",F116=""),"",IF(IFERROR(INDEX(Dimensions!$D:$D,MATCH(D116,Dimensions!$A:$A,0)),"")="","",IF(INDEX(Dimensions!$D:$D,MATCH(D116,Dimensions!$A:$A,0))=F116,"Yes","No")))</f>
        <v/>
      </c>
      <c r="H116" s="20"/>
      <c r="I116" s="20"/>
      <c r="J116" s="20"/>
      <c r="K116" s="20"/>
    </row>
    <row r="117" customFormat="false" ht="15" hidden="false" customHeight="false" outlineLevel="0" collapsed="false">
      <c r="A117" s="20"/>
      <c r="B117" s="18" t="str">
        <f aca="false">IF(A117="","",IFERROR(INDEX(Products!$A:$A,MATCH(A117,Products!$B:$B,0)),"Not found"))</f>
        <v/>
      </c>
      <c r="C117" s="20"/>
      <c r="D117" s="18" t="str">
        <f aca="false">IF(C117="","",IFERROR(INDEX(Dimensions!$A:$A,MATCH(C117,Dimensions!$B:$B,0)),"Not found"))</f>
        <v/>
      </c>
      <c r="E117" s="20"/>
      <c r="F117" s="18" t="str">
        <f aca="false">IF(E117="","",IFERROR(INDEX(Tables!$A:$A,MATCH(E117,Tables!$B:$B,0)),"Not found"))</f>
        <v/>
      </c>
      <c r="G117" s="21" t="str">
        <f aca="false">IF(OR(D117="",F117=""),"",IF(IFERROR(INDEX(Dimensions!$D:$D,MATCH(D117,Dimensions!$A:$A,0)),"")="","",IF(INDEX(Dimensions!$D:$D,MATCH(D117,Dimensions!$A:$A,0))=F117,"Yes","No")))</f>
        <v/>
      </c>
      <c r="H117" s="20"/>
      <c r="I117" s="20"/>
      <c r="J117" s="20"/>
      <c r="K117" s="20"/>
    </row>
    <row r="118" customFormat="false" ht="15" hidden="false" customHeight="false" outlineLevel="0" collapsed="false">
      <c r="A118" s="20"/>
      <c r="B118" s="18" t="str">
        <f aca="false">IF(A118="","",IFERROR(INDEX(Products!$A:$A,MATCH(A118,Products!$B:$B,0)),"Not found"))</f>
        <v/>
      </c>
      <c r="C118" s="20"/>
      <c r="D118" s="18" t="str">
        <f aca="false">IF(C118="","",IFERROR(INDEX(Dimensions!$A:$A,MATCH(C118,Dimensions!$B:$B,0)),"Not found"))</f>
        <v/>
      </c>
      <c r="E118" s="20"/>
      <c r="F118" s="18" t="str">
        <f aca="false">IF(E118="","",IFERROR(INDEX(Tables!$A:$A,MATCH(E118,Tables!$B:$B,0)),"Not found"))</f>
        <v/>
      </c>
      <c r="G118" s="21" t="str">
        <f aca="false">IF(OR(D118="",F118=""),"",IF(IFERROR(INDEX(Dimensions!$D:$D,MATCH(D118,Dimensions!$A:$A,0)),"")="","",IF(INDEX(Dimensions!$D:$D,MATCH(D118,Dimensions!$A:$A,0))=F118,"Yes","No")))</f>
        <v/>
      </c>
      <c r="H118" s="20"/>
      <c r="I118" s="20"/>
      <c r="J118" s="20"/>
      <c r="K118" s="20"/>
    </row>
    <row r="119" customFormat="false" ht="15" hidden="false" customHeight="false" outlineLevel="0" collapsed="false">
      <c r="A119" s="20"/>
      <c r="B119" s="18" t="str">
        <f aca="false">IF(A119="","",IFERROR(INDEX(Products!$A:$A,MATCH(A119,Products!$B:$B,0)),"Not found"))</f>
        <v/>
      </c>
      <c r="C119" s="20"/>
      <c r="D119" s="18" t="str">
        <f aca="false">IF(C119="","",IFERROR(INDEX(Dimensions!$A:$A,MATCH(C119,Dimensions!$B:$B,0)),"Not found"))</f>
        <v/>
      </c>
      <c r="E119" s="20"/>
      <c r="F119" s="18" t="str">
        <f aca="false">IF(E119="","",IFERROR(INDEX(Tables!$A:$A,MATCH(E119,Tables!$B:$B,0)),"Not found"))</f>
        <v/>
      </c>
      <c r="G119" s="21" t="str">
        <f aca="false">IF(OR(D119="",F119=""),"",IF(IFERROR(INDEX(Dimensions!$D:$D,MATCH(D119,Dimensions!$A:$A,0)),"")="","",IF(INDEX(Dimensions!$D:$D,MATCH(D119,Dimensions!$A:$A,0))=F119,"Yes","No")))</f>
        <v/>
      </c>
      <c r="H119" s="20"/>
      <c r="I119" s="20"/>
      <c r="J119" s="20"/>
      <c r="K119" s="20"/>
    </row>
    <row r="120" customFormat="false" ht="15" hidden="false" customHeight="false" outlineLevel="0" collapsed="false">
      <c r="A120" s="20"/>
      <c r="B120" s="18" t="str">
        <f aca="false">IF(A120="","",IFERROR(INDEX(Products!$A:$A,MATCH(A120,Products!$B:$B,0)),"Not found"))</f>
        <v/>
      </c>
      <c r="C120" s="20"/>
      <c r="D120" s="18" t="str">
        <f aca="false">IF(C120="","",IFERROR(INDEX(Dimensions!$A:$A,MATCH(C120,Dimensions!$B:$B,0)),"Not found"))</f>
        <v/>
      </c>
      <c r="E120" s="20"/>
      <c r="F120" s="18" t="str">
        <f aca="false">IF(E120="","",IFERROR(INDEX(Tables!$A:$A,MATCH(E120,Tables!$B:$B,0)),"Not found"))</f>
        <v/>
      </c>
      <c r="G120" s="21" t="str">
        <f aca="false">IF(OR(D120="",F120=""),"",IF(IFERROR(INDEX(Dimensions!$D:$D,MATCH(D120,Dimensions!$A:$A,0)),"")="","",IF(INDEX(Dimensions!$D:$D,MATCH(D120,Dimensions!$A:$A,0))=F120,"Yes","No")))</f>
        <v/>
      </c>
      <c r="H120" s="20"/>
      <c r="I120" s="20"/>
      <c r="J120" s="20"/>
      <c r="K120" s="20"/>
    </row>
    <row r="121" customFormat="false" ht="15" hidden="false" customHeight="false" outlineLevel="0" collapsed="false">
      <c r="A121" s="20"/>
      <c r="B121" s="18" t="str">
        <f aca="false">IF(A121="","",IFERROR(INDEX(Products!$A:$A,MATCH(A121,Products!$B:$B,0)),"Not found"))</f>
        <v/>
      </c>
      <c r="C121" s="20"/>
      <c r="D121" s="18" t="str">
        <f aca="false">IF(C121="","",IFERROR(INDEX(Dimensions!$A:$A,MATCH(C121,Dimensions!$B:$B,0)),"Not found"))</f>
        <v/>
      </c>
      <c r="E121" s="20"/>
      <c r="F121" s="18" t="str">
        <f aca="false">IF(E121="","",IFERROR(INDEX(Tables!$A:$A,MATCH(E121,Tables!$B:$B,0)),"Not found"))</f>
        <v/>
      </c>
      <c r="G121" s="21" t="str">
        <f aca="false">IF(OR(D121="",F121=""),"",IF(IFERROR(INDEX(Dimensions!$D:$D,MATCH(D121,Dimensions!$A:$A,0)),"")="","",IF(INDEX(Dimensions!$D:$D,MATCH(D121,Dimensions!$A:$A,0))=F121,"Yes","No")))</f>
        <v/>
      </c>
      <c r="H121" s="20"/>
      <c r="I121" s="20"/>
      <c r="J121" s="20"/>
      <c r="K121" s="20"/>
    </row>
    <row r="122" customFormat="false" ht="15" hidden="false" customHeight="false" outlineLevel="0" collapsed="false">
      <c r="A122" s="20"/>
      <c r="B122" s="18" t="str">
        <f aca="false">IF(A122="","",IFERROR(INDEX(Products!$A:$A,MATCH(A122,Products!$B:$B,0)),"Not found"))</f>
        <v/>
      </c>
      <c r="C122" s="20"/>
      <c r="D122" s="18" t="str">
        <f aca="false">IF(C122="","",IFERROR(INDEX(Dimensions!$A:$A,MATCH(C122,Dimensions!$B:$B,0)),"Not found"))</f>
        <v/>
      </c>
      <c r="E122" s="20"/>
      <c r="F122" s="18" t="str">
        <f aca="false">IF(E122="","",IFERROR(INDEX(Tables!$A:$A,MATCH(E122,Tables!$B:$B,0)),"Not found"))</f>
        <v/>
      </c>
      <c r="G122" s="21" t="str">
        <f aca="false">IF(OR(D122="",F122=""),"",IF(IFERROR(INDEX(Dimensions!$D:$D,MATCH(D122,Dimensions!$A:$A,0)),"")="","",IF(INDEX(Dimensions!$D:$D,MATCH(D122,Dimensions!$A:$A,0))=F122,"Yes","No")))</f>
        <v/>
      </c>
      <c r="H122" s="20"/>
      <c r="I122" s="20"/>
      <c r="J122" s="20"/>
      <c r="K122" s="20"/>
    </row>
    <row r="123" customFormat="false" ht="15" hidden="false" customHeight="false" outlineLevel="0" collapsed="false">
      <c r="A123" s="20"/>
      <c r="B123" s="18" t="str">
        <f aca="false">IF(A123="","",IFERROR(INDEX(Products!$A:$A,MATCH(A123,Products!$B:$B,0)),"Not found"))</f>
        <v/>
      </c>
      <c r="C123" s="20"/>
      <c r="D123" s="18" t="str">
        <f aca="false">IF(C123="","",IFERROR(INDEX(Dimensions!$A:$A,MATCH(C123,Dimensions!$B:$B,0)),"Not found"))</f>
        <v/>
      </c>
      <c r="E123" s="20"/>
      <c r="F123" s="18" t="str">
        <f aca="false">IF(E123="","",IFERROR(INDEX(Tables!$A:$A,MATCH(E123,Tables!$B:$B,0)),"Not found"))</f>
        <v/>
      </c>
      <c r="G123" s="21" t="str">
        <f aca="false">IF(OR(D123="",F123=""),"",IF(IFERROR(INDEX(Dimensions!$D:$D,MATCH(D123,Dimensions!$A:$A,0)),"")="","",IF(INDEX(Dimensions!$D:$D,MATCH(D123,Dimensions!$A:$A,0))=F123,"Yes","No")))</f>
        <v/>
      </c>
      <c r="H123" s="20"/>
      <c r="I123" s="20"/>
      <c r="J123" s="20"/>
      <c r="K123" s="20"/>
    </row>
    <row r="124" customFormat="false" ht="15" hidden="false" customHeight="false" outlineLevel="0" collapsed="false">
      <c r="A124" s="20"/>
      <c r="B124" s="18" t="str">
        <f aca="false">IF(A124="","",IFERROR(INDEX(Products!$A:$A,MATCH(A124,Products!$B:$B,0)),"Not found"))</f>
        <v/>
      </c>
      <c r="C124" s="20"/>
      <c r="D124" s="18" t="str">
        <f aca="false">IF(C124="","",IFERROR(INDEX(Dimensions!$A:$A,MATCH(C124,Dimensions!$B:$B,0)),"Not found"))</f>
        <v/>
      </c>
      <c r="E124" s="20"/>
      <c r="F124" s="18" t="str">
        <f aca="false">IF(E124="","",IFERROR(INDEX(Tables!$A:$A,MATCH(E124,Tables!$B:$B,0)),"Not found"))</f>
        <v/>
      </c>
      <c r="G124" s="21" t="str">
        <f aca="false">IF(OR(D124="",F124=""),"",IF(IFERROR(INDEX(Dimensions!$D:$D,MATCH(D124,Dimensions!$A:$A,0)),"")="","",IF(INDEX(Dimensions!$D:$D,MATCH(D124,Dimensions!$A:$A,0))=F124,"Yes","No")))</f>
        <v/>
      </c>
      <c r="H124" s="20"/>
      <c r="I124" s="20"/>
      <c r="J124" s="20"/>
      <c r="K124" s="20"/>
    </row>
    <row r="125" customFormat="false" ht="15" hidden="false" customHeight="false" outlineLevel="0" collapsed="false">
      <c r="A125" s="20"/>
      <c r="B125" s="18" t="str">
        <f aca="false">IF(A125="","",IFERROR(INDEX(Products!$A:$A,MATCH(A125,Products!$B:$B,0)),"Not found"))</f>
        <v/>
      </c>
      <c r="C125" s="20"/>
      <c r="D125" s="18" t="str">
        <f aca="false">IF(C125="","",IFERROR(INDEX(Dimensions!$A:$A,MATCH(C125,Dimensions!$B:$B,0)),"Not found"))</f>
        <v/>
      </c>
      <c r="E125" s="20"/>
      <c r="F125" s="18" t="str">
        <f aca="false">IF(E125="","",IFERROR(INDEX(Tables!$A:$A,MATCH(E125,Tables!$B:$B,0)),"Not found"))</f>
        <v/>
      </c>
      <c r="G125" s="21" t="str">
        <f aca="false">IF(OR(D125="",F125=""),"",IF(IFERROR(INDEX(Dimensions!$D:$D,MATCH(D125,Dimensions!$A:$A,0)),"")="","",IF(INDEX(Dimensions!$D:$D,MATCH(D125,Dimensions!$A:$A,0))=F125,"Yes","No")))</f>
        <v/>
      </c>
      <c r="H125" s="20"/>
      <c r="I125" s="20"/>
      <c r="J125" s="20"/>
      <c r="K125" s="20"/>
    </row>
    <row r="126" customFormat="false" ht="15" hidden="false" customHeight="false" outlineLevel="0" collapsed="false">
      <c r="A126" s="20"/>
      <c r="B126" s="18" t="str">
        <f aca="false">IF(A126="","",IFERROR(INDEX(Products!$A:$A,MATCH(A126,Products!$B:$B,0)),"Not found"))</f>
        <v/>
      </c>
      <c r="C126" s="20"/>
      <c r="D126" s="18" t="str">
        <f aca="false">IF(C126="","",IFERROR(INDEX(Dimensions!$A:$A,MATCH(C126,Dimensions!$B:$B,0)),"Not found"))</f>
        <v/>
      </c>
      <c r="E126" s="20"/>
      <c r="F126" s="18" t="str">
        <f aca="false">IF(E126="","",IFERROR(INDEX(Tables!$A:$A,MATCH(E126,Tables!$B:$B,0)),"Not found"))</f>
        <v/>
      </c>
      <c r="G126" s="21" t="str">
        <f aca="false">IF(OR(D126="",F126=""),"",IF(IFERROR(INDEX(Dimensions!$D:$D,MATCH(D126,Dimensions!$A:$A,0)),"")="","",IF(INDEX(Dimensions!$D:$D,MATCH(D126,Dimensions!$A:$A,0))=F126,"Yes","No")))</f>
        <v/>
      </c>
      <c r="H126" s="20"/>
      <c r="I126" s="20"/>
      <c r="J126" s="20"/>
      <c r="K126" s="20"/>
    </row>
    <row r="127" customFormat="false" ht="15" hidden="false" customHeight="false" outlineLevel="0" collapsed="false">
      <c r="A127" s="20"/>
      <c r="B127" s="18" t="str">
        <f aca="false">IF(A127="","",IFERROR(INDEX(Products!$A:$A,MATCH(A127,Products!$B:$B,0)),"Not found"))</f>
        <v/>
      </c>
      <c r="C127" s="20"/>
      <c r="D127" s="18" t="str">
        <f aca="false">IF(C127="","",IFERROR(INDEX(Dimensions!$A:$A,MATCH(C127,Dimensions!$B:$B,0)),"Not found"))</f>
        <v/>
      </c>
      <c r="E127" s="20"/>
      <c r="F127" s="18" t="str">
        <f aca="false">IF(E127="","",IFERROR(INDEX(Tables!$A:$A,MATCH(E127,Tables!$B:$B,0)),"Not found"))</f>
        <v/>
      </c>
      <c r="G127" s="21" t="str">
        <f aca="false">IF(OR(D127="",F127=""),"",IF(IFERROR(INDEX(Dimensions!$D:$D,MATCH(D127,Dimensions!$A:$A,0)),"")="","",IF(INDEX(Dimensions!$D:$D,MATCH(D127,Dimensions!$A:$A,0))=F127,"Yes","No")))</f>
        <v/>
      </c>
      <c r="H127" s="20"/>
      <c r="I127" s="20"/>
      <c r="J127" s="20"/>
      <c r="K127" s="20"/>
    </row>
    <row r="128" customFormat="false" ht="15" hidden="false" customHeight="false" outlineLevel="0" collapsed="false">
      <c r="A128" s="20"/>
      <c r="B128" s="18" t="str">
        <f aca="false">IF(A128="","",IFERROR(INDEX(Products!$A:$A,MATCH(A128,Products!$B:$B,0)),"Not found"))</f>
        <v/>
      </c>
      <c r="C128" s="20"/>
      <c r="D128" s="18" t="str">
        <f aca="false">IF(C128="","",IFERROR(INDEX(Dimensions!$A:$A,MATCH(C128,Dimensions!$B:$B,0)),"Not found"))</f>
        <v/>
      </c>
      <c r="E128" s="20"/>
      <c r="F128" s="18" t="str">
        <f aca="false">IF(E128="","",IFERROR(INDEX(Tables!$A:$A,MATCH(E128,Tables!$B:$B,0)),"Not found"))</f>
        <v/>
      </c>
      <c r="G128" s="21" t="str">
        <f aca="false">IF(OR(D128="",F128=""),"",IF(IFERROR(INDEX(Dimensions!$D:$D,MATCH(D128,Dimensions!$A:$A,0)),"")="","",IF(INDEX(Dimensions!$D:$D,MATCH(D128,Dimensions!$A:$A,0))=F128,"Yes","No")))</f>
        <v/>
      </c>
      <c r="H128" s="20"/>
      <c r="I128" s="20"/>
      <c r="J128" s="20"/>
      <c r="K128" s="20"/>
    </row>
    <row r="129" customFormat="false" ht="15" hidden="false" customHeight="false" outlineLevel="0" collapsed="false">
      <c r="A129" s="20"/>
      <c r="B129" s="18" t="str">
        <f aca="false">IF(A129="","",IFERROR(INDEX(Products!$A:$A,MATCH(A129,Products!$B:$B,0)),"Not found"))</f>
        <v/>
      </c>
      <c r="C129" s="20"/>
      <c r="D129" s="18" t="str">
        <f aca="false">IF(C129="","",IFERROR(INDEX(Dimensions!$A:$A,MATCH(C129,Dimensions!$B:$B,0)),"Not found"))</f>
        <v/>
      </c>
      <c r="E129" s="20"/>
      <c r="F129" s="18" t="str">
        <f aca="false">IF(E129="","",IFERROR(INDEX(Tables!$A:$A,MATCH(E129,Tables!$B:$B,0)),"Not found"))</f>
        <v/>
      </c>
      <c r="G129" s="21" t="str">
        <f aca="false">IF(OR(D129="",F129=""),"",IF(IFERROR(INDEX(Dimensions!$D:$D,MATCH(D129,Dimensions!$A:$A,0)),"")="","",IF(INDEX(Dimensions!$D:$D,MATCH(D129,Dimensions!$A:$A,0))=F129,"Yes","No")))</f>
        <v/>
      </c>
      <c r="H129" s="20"/>
      <c r="I129" s="20"/>
      <c r="J129" s="20"/>
      <c r="K129" s="20"/>
    </row>
    <row r="130" customFormat="false" ht="15" hidden="false" customHeight="false" outlineLevel="0" collapsed="false">
      <c r="A130" s="20"/>
      <c r="B130" s="18" t="str">
        <f aca="false">IF(A130="","",IFERROR(INDEX(Products!$A:$A,MATCH(A130,Products!$B:$B,0)),"Not found"))</f>
        <v/>
      </c>
      <c r="C130" s="20"/>
      <c r="D130" s="18" t="str">
        <f aca="false">IF(C130="","",IFERROR(INDEX(Dimensions!$A:$A,MATCH(C130,Dimensions!$B:$B,0)),"Not found"))</f>
        <v/>
      </c>
      <c r="E130" s="20"/>
      <c r="F130" s="18" t="str">
        <f aca="false">IF(E130="","",IFERROR(INDEX(Tables!$A:$A,MATCH(E130,Tables!$B:$B,0)),"Not found"))</f>
        <v/>
      </c>
      <c r="G130" s="21" t="str">
        <f aca="false">IF(OR(D130="",F130=""),"",IF(IFERROR(INDEX(Dimensions!$D:$D,MATCH(D130,Dimensions!$A:$A,0)),"")="","",IF(INDEX(Dimensions!$D:$D,MATCH(D130,Dimensions!$A:$A,0))=F130,"Yes","No")))</f>
        <v/>
      </c>
      <c r="H130" s="20"/>
      <c r="I130" s="20"/>
      <c r="J130" s="20"/>
      <c r="K130" s="20"/>
    </row>
    <row r="131" customFormat="false" ht="15" hidden="false" customHeight="false" outlineLevel="0" collapsed="false">
      <c r="A131" s="20"/>
      <c r="B131" s="18" t="str">
        <f aca="false">IF(A131="","",IFERROR(INDEX(Products!$A:$A,MATCH(A131,Products!$B:$B,0)),"Not found"))</f>
        <v/>
      </c>
      <c r="C131" s="20"/>
      <c r="D131" s="18" t="str">
        <f aca="false">IF(C131="","",IFERROR(INDEX(Dimensions!$A:$A,MATCH(C131,Dimensions!$B:$B,0)),"Not found"))</f>
        <v/>
      </c>
      <c r="E131" s="20"/>
      <c r="F131" s="18" t="str">
        <f aca="false">IF(E131="","",IFERROR(INDEX(Tables!$A:$A,MATCH(E131,Tables!$B:$B,0)),"Not found"))</f>
        <v/>
      </c>
      <c r="G131" s="21" t="str">
        <f aca="false">IF(OR(D131="",F131=""),"",IF(IFERROR(INDEX(Dimensions!$D:$D,MATCH(D131,Dimensions!$A:$A,0)),"")="","",IF(INDEX(Dimensions!$D:$D,MATCH(D131,Dimensions!$A:$A,0))=F131,"Yes","No")))</f>
        <v/>
      </c>
      <c r="H131" s="20"/>
      <c r="I131" s="20"/>
      <c r="J131" s="20"/>
      <c r="K131" s="20"/>
    </row>
    <row r="132" customFormat="false" ht="15" hidden="false" customHeight="false" outlineLevel="0" collapsed="false">
      <c r="A132" s="20"/>
      <c r="B132" s="18" t="str">
        <f aca="false">IF(A132="","",IFERROR(INDEX(Products!$A:$A,MATCH(A132,Products!$B:$B,0)),"Not found"))</f>
        <v/>
      </c>
      <c r="C132" s="20"/>
      <c r="D132" s="18" t="str">
        <f aca="false">IF(C132="","",IFERROR(INDEX(Dimensions!$A:$A,MATCH(C132,Dimensions!$B:$B,0)),"Not found"))</f>
        <v/>
      </c>
      <c r="E132" s="20"/>
      <c r="F132" s="18" t="str">
        <f aca="false">IF(E132="","",IFERROR(INDEX(Tables!$A:$A,MATCH(E132,Tables!$B:$B,0)),"Not found"))</f>
        <v/>
      </c>
      <c r="G132" s="21" t="str">
        <f aca="false">IF(OR(D132="",F132=""),"",IF(IFERROR(INDEX(Dimensions!$D:$D,MATCH(D132,Dimensions!$A:$A,0)),"")="","",IF(INDEX(Dimensions!$D:$D,MATCH(D132,Dimensions!$A:$A,0))=F132,"Yes","No")))</f>
        <v/>
      </c>
      <c r="H132" s="20"/>
      <c r="I132" s="20"/>
      <c r="J132" s="20"/>
      <c r="K132" s="20"/>
    </row>
    <row r="133" customFormat="false" ht="15" hidden="false" customHeight="false" outlineLevel="0" collapsed="false">
      <c r="A133" s="20"/>
      <c r="B133" s="18" t="str">
        <f aca="false">IF(A133="","",IFERROR(INDEX(Products!$A:$A,MATCH(A133,Products!$B:$B,0)),"Not found"))</f>
        <v/>
      </c>
      <c r="C133" s="20"/>
      <c r="D133" s="18" t="str">
        <f aca="false">IF(C133="","",IFERROR(INDEX(Dimensions!$A:$A,MATCH(C133,Dimensions!$B:$B,0)),"Not found"))</f>
        <v/>
      </c>
      <c r="E133" s="20"/>
      <c r="F133" s="18" t="str">
        <f aca="false">IF(E133="","",IFERROR(INDEX(Tables!$A:$A,MATCH(E133,Tables!$B:$B,0)),"Not found"))</f>
        <v/>
      </c>
      <c r="G133" s="21" t="str">
        <f aca="false">IF(OR(D133="",F133=""),"",IF(IFERROR(INDEX(Dimensions!$D:$D,MATCH(D133,Dimensions!$A:$A,0)),"")="","",IF(INDEX(Dimensions!$D:$D,MATCH(D133,Dimensions!$A:$A,0))=F133,"Yes","No")))</f>
        <v/>
      </c>
      <c r="H133" s="20"/>
      <c r="I133" s="20"/>
      <c r="J133" s="20"/>
      <c r="K133" s="20"/>
    </row>
    <row r="134" customFormat="false" ht="15" hidden="false" customHeight="false" outlineLevel="0" collapsed="false">
      <c r="A134" s="20"/>
      <c r="B134" s="18" t="str">
        <f aca="false">IF(A134="","",IFERROR(INDEX(Products!$A:$A,MATCH(A134,Products!$B:$B,0)),"Not found"))</f>
        <v/>
      </c>
      <c r="C134" s="20"/>
      <c r="D134" s="18" t="str">
        <f aca="false">IF(C134="","",IFERROR(INDEX(Dimensions!$A:$A,MATCH(C134,Dimensions!$B:$B,0)),"Not found"))</f>
        <v/>
      </c>
      <c r="E134" s="20"/>
      <c r="F134" s="18" t="str">
        <f aca="false">IF(E134="","",IFERROR(INDEX(Tables!$A:$A,MATCH(E134,Tables!$B:$B,0)),"Not found"))</f>
        <v/>
      </c>
      <c r="G134" s="21" t="str">
        <f aca="false">IF(OR(D134="",F134=""),"",IF(IFERROR(INDEX(Dimensions!$D:$D,MATCH(D134,Dimensions!$A:$A,0)),"")="","",IF(INDEX(Dimensions!$D:$D,MATCH(D134,Dimensions!$A:$A,0))=F134,"Yes","No")))</f>
        <v/>
      </c>
      <c r="H134" s="20"/>
      <c r="I134" s="20"/>
      <c r="J134" s="20"/>
      <c r="K134" s="20"/>
    </row>
    <row r="135" customFormat="false" ht="15" hidden="false" customHeight="false" outlineLevel="0" collapsed="false">
      <c r="A135" s="20"/>
      <c r="B135" s="18" t="str">
        <f aca="false">IF(A135="","",IFERROR(INDEX(Products!$A:$A,MATCH(A135,Products!$B:$B,0)),"Not found"))</f>
        <v/>
      </c>
      <c r="C135" s="20"/>
      <c r="D135" s="18" t="str">
        <f aca="false">IF(C135="","",IFERROR(INDEX(Dimensions!$A:$A,MATCH(C135,Dimensions!$B:$B,0)),"Not found"))</f>
        <v/>
      </c>
      <c r="E135" s="20"/>
      <c r="F135" s="18" t="str">
        <f aca="false">IF(E135="","",IFERROR(INDEX(Tables!$A:$A,MATCH(E135,Tables!$B:$B,0)),"Not found"))</f>
        <v/>
      </c>
      <c r="G135" s="21" t="str">
        <f aca="false">IF(OR(D135="",F135=""),"",IF(IFERROR(INDEX(Dimensions!$D:$D,MATCH(D135,Dimensions!$A:$A,0)),"")="","",IF(INDEX(Dimensions!$D:$D,MATCH(D135,Dimensions!$A:$A,0))=F135,"Yes","No")))</f>
        <v/>
      </c>
      <c r="H135" s="20"/>
      <c r="I135" s="20"/>
      <c r="J135" s="20"/>
      <c r="K135" s="20"/>
    </row>
    <row r="136" customFormat="false" ht="15" hidden="false" customHeight="false" outlineLevel="0" collapsed="false">
      <c r="A136" s="20"/>
      <c r="B136" s="18" t="str">
        <f aca="false">IF(A136="","",IFERROR(INDEX(Products!$A:$A,MATCH(A136,Products!$B:$B,0)),"Not found"))</f>
        <v/>
      </c>
      <c r="C136" s="20"/>
      <c r="D136" s="18" t="str">
        <f aca="false">IF(C136="","",IFERROR(INDEX(Dimensions!$A:$A,MATCH(C136,Dimensions!$B:$B,0)),"Not found"))</f>
        <v/>
      </c>
      <c r="E136" s="20"/>
      <c r="F136" s="18" t="str">
        <f aca="false">IF(E136="","",IFERROR(INDEX(Tables!$A:$A,MATCH(E136,Tables!$B:$B,0)),"Not found"))</f>
        <v/>
      </c>
      <c r="G136" s="21" t="str">
        <f aca="false">IF(OR(D136="",F136=""),"",IF(IFERROR(INDEX(Dimensions!$D:$D,MATCH(D136,Dimensions!$A:$A,0)),"")="","",IF(INDEX(Dimensions!$D:$D,MATCH(D136,Dimensions!$A:$A,0))=F136,"Yes","No")))</f>
        <v/>
      </c>
      <c r="H136" s="20"/>
      <c r="I136" s="20"/>
      <c r="J136" s="20"/>
      <c r="K136" s="20"/>
    </row>
    <row r="137" customFormat="false" ht="15" hidden="false" customHeight="false" outlineLevel="0" collapsed="false">
      <c r="A137" s="20"/>
      <c r="B137" s="18" t="str">
        <f aca="false">IF(A137="","",IFERROR(INDEX(Products!$A:$A,MATCH(A137,Products!$B:$B,0)),"Not found"))</f>
        <v/>
      </c>
      <c r="C137" s="20"/>
      <c r="D137" s="18" t="str">
        <f aca="false">IF(C137="","",IFERROR(INDEX(Dimensions!$A:$A,MATCH(C137,Dimensions!$B:$B,0)),"Not found"))</f>
        <v/>
      </c>
      <c r="E137" s="20"/>
      <c r="F137" s="18" t="str">
        <f aca="false">IF(E137="","",IFERROR(INDEX(Tables!$A:$A,MATCH(E137,Tables!$B:$B,0)),"Not found"))</f>
        <v/>
      </c>
      <c r="G137" s="21" t="str">
        <f aca="false">IF(OR(D137="",F137=""),"",IF(IFERROR(INDEX(Dimensions!$D:$D,MATCH(D137,Dimensions!$A:$A,0)),"")="","",IF(INDEX(Dimensions!$D:$D,MATCH(D137,Dimensions!$A:$A,0))=F137,"Yes","No")))</f>
        <v/>
      </c>
      <c r="H137" s="20"/>
      <c r="I137" s="20"/>
      <c r="J137" s="20"/>
      <c r="K137" s="20"/>
    </row>
    <row r="138" customFormat="false" ht="15" hidden="false" customHeight="false" outlineLevel="0" collapsed="false">
      <c r="A138" s="20"/>
      <c r="B138" s="18" t="str">
        <f aca="false">IF(A138="","",IFERROR(INDEX(Products!$A:$A,MATCH(A138,Products!$B:$B,0)),"Not found"))</f>
        <v/>
      </c>
      <c r="C138" s="20"/>
      <c r="D138" s="18" t="str">
        <f aca="false">IF(C138="","",IFERROR(INDEX(Dimensions!$A:$A,MATCH(C138,Dimensions!$B:$B,0)),"Not found"))</f>
        <v/>
      </c>
      <c r="E138" s="20"/>
      <c r="F138" s="18" t="str">
        <f aca="false">IF(E138="","",IFERROR(INDEX(Tables!$A:$A,MATCH(E138,Tables!$B:$B,0)),"Not found"))</f>
        <v/>
      </c>
      <c r="G138" s="21" t="str">
        <f aca="false">IF(OR(D138="",F138=""),"",IF(IFERROR(INDEX(Dimensions!$D:$D,MATCH(D138,Dimensions!$A:$A,0)),"")="","",IF(INDEX(Dimensions!$D:$D,MATCH(D138,Dimensions!$A:$A,0))=F138,"Yes","No")))</f>
        <v/>
      </c>
      <c r="H138" s="20"/>
      <c r="I138" s="20"/>
      <c r="J138" s="20"/>
      <c r="K138" s="20"/>
    </row>
    <row r="139" customFormat="false" ht="15" hidden="false" customHeight="false" outlineLevel="0" collapsed="false">
      <c r="A139" s="20"/>
      <c r="B139" s="18" t="str">
        <f aca="false">IF(A139="","",IFERROR(INDEX(Products!$A:$A,MATCH(A139,Products!$B:$B,0)),"Not found"))</f>
        <v/>
      </c>
      <c r="C139" s="20"/>
      <c r="D139" s="18" t="str">
        <f aca="false">IF(C139="","",IFERROR(INDEX(Dimensions!$A:$A,MATCH(C139,Dimensions!$B:$B,0)),"Not found"))</f>
        <v/>
      </c>
      <c r="E139" s="20"/>
      <c r="F139" s="18" t="str">
        <f aca="false">IF(E139="","",IFERROR(INDEX(Tables!$A:$A,MATCH(E139,Tables!$B:$B,0)),"Not found"))</f>
        <v/>
      </c>
      <c r="G139" s="21" t="str">
        <f aca="false">IF(OR(D139="",F139=""),"",IF(IFERROR(INDEX(Dimensions!$D:$D,MATCH(D139,Dimensions!$A:$A,0)),"")="","",IF(INDEX(Dimensions!$D:$D,MATCH(D139,Dimensions!$A:$A,0))=F139,"Yes","No")))</f>
        <v/>
      </c>
      <c r="H139" s="20"/>
      <c r="I139" s="20"/>
      <c r="J139" s="20"/>
      <c r="K139" s="20"/>
    </row>
    <row r="140" customFormat="false" ht="15" hidden="false" customHeight="false" outlineLevel="0" collapsed="false">
      <c r="A140" s="20"/>
      <c r="B140" s="18" t="str">
        <f aca="false">IF(A140="","",IFERROR(INDEX(Products!$A:$A,MATCH(A140,Products!$B:$B,0)),"Not found"))</f>
        <v/>
      </c>
      <c r="C140" s="20"/>
      <c r="D140" s="18" t="str">
        <f aca="false">IF(C140="","",IFERROR(INDEX(Dimensions!$A:$A,MATCH(C140,Dimensions!$B:$B,0)),"Not found"))</f>
        <v/>
      </c>
      <c r="E140" s="20"/>
      <c r="F140" s="18" t="str">
        <f aca="false">IF(E140="","",IFERROR(INDEX(Tables!$A:$A,MATCH(E140,Tables!$B:$B,0)),"Not found"))</f>
        <v/>
      </c>
      <c r="G140" s="21" t="str">
        <f aca="false">IF(OR(D140="",F140=""),"",IF(IFERROR(INDEX(Dimensions!$D:$D,MATCH(D140,Dimensions!$A:$A,0)),"")="","",IF(INDEX(Dimensions!$D:$D,MATCH(D140,Dimensions!$A:$A,0))=F140,"Yes","No")))</f>
        <v/>
      </c>
      <c r="H140" s="20"/>
      <c r="I140" s="20"/>
      <c r="J140" s="20"/>
      <c r="K140" s="20"/>
    </row>
    <row r="141" customFormat="false" ht="15" hidden="false" customHeight="false" outlineLevel="0" collapsed="false">
      <c r="A141" s="20"/>
      <c r="B141" s="18" t="str">
        <f aca="false">IF(A141="","",IFERROR(INDEX(Products!$A:$A,MATCH(A141,Products!$B:$B,0)),"Not found"))</f>
        <v/>
      </c>
      <c r="C141" s="20"/>
      <c r="D141" s="18" t="str">
        <f aca="false">IF(C141="","",IFERROR(INDEX(Dimensions!$A:$A,MATCH(C141,Dimensions!$B:$B,0)),"Not found"))</f>
        <v/>
      </c>
      <c r="E141" s="20"/>
      <c r="F141" s="18" t="str">
        <f aca="false">IF(E141="","",IFERROR(INDEX(Tables!$A:$A,MATCH(E141,Tables!$B:$B,0)),"Not found"))</f>
        <v/>
      </c>
      <c r="G141" s="21" t="str">
        <f aca="false">IF(OR(D141="",F141=""),"",IF(IFERROR(INDEX(Dimensions!$D:$D,MATCH(D141,Dimensions!$A:$A,0)),"")="","",IF(INDEX(Dimensions!$D:$D,MATCH(D141,Dimensions!$A:$A,0))=F141,"Yes","No")))</f>
        <v/>
      </c>
      <c r="H141" s="20"/>
      <c r="I141" s="20"/>
      <c r="J141" s="20"/>
      <c r="K141" s="20"/>
    </row>
    <row r="142" customFormat="false" ht="15" hidden="false" customHeight="false" outlineLevel="0" collapsed="false">
      <c r="A142" s="20"/>
      <c r="B142" s="18" t="str">
        <f aca="false">IF(A142="","",IFERROR(INDEX(Products!$A:$A,MATCH(A142,Products!$B:$B,0)),"Not found"))</f>
        <v/>
      </c>
      <c r="C142" s="20"/>
      <c r="D142" s="18" t="str">
        <f aca="false">IF(C142="","",IFERROR(INDEX(Dimensions!$A:$A,MATCH(C142,Dimensions!$B:$B,0)),"Not found"))</f>
        <v/>
      </c>
      <c r="E142" s="20"/>
      <c r="F142" s="18" t="str">
        <f aca="false">IF(E142="","",IFERROR(INDEX(Tables!$A:$A,MATCH(E142,Tables!$B:$B,0)),"Not found"))</f>
        <v/>
      </c>
      <c r="G142" s="21" t="str">
        <f aca="false">IF(OR(D142="",F142=""),"",IF(IFERROR(INDEX(Dimensions!$D:$D,MATCH(D142,Dimensions!$A:$A,0)),"")="","",IF(INDEX(Dimensions!$D:$D,MATCH(D142,Dimensions!$A:$A,0))=F142,"Yes","No")))</f>
        <v/>
      </c>
      <c r="H142" s="20"/>
      <c r="I142" s="20"/>
      <c r="J142" s="20"/>
      <c r="K142" s="20"/>
    </row>
    <row r="143" customFormat="false" ht="15" hidden="false" customHeight="false" outlineLevel="0" collapsed="false">
      <c r="A143" s="20"/>
      <c r="B143" s="18" t="str">
        <f aca="false">IF(A143="","",IFERROR(INDEX(Products!$A:$A,MATCH(A143,Products!$B:$B,0)),"Not found"))</f>
        <v/>
      </c>
      <c r="C143" s="20"/>
      <c r="D143" s="18" t="str">
        <f aca="false">IF(C143="","",IFERROR(INDEX(Dimensions!$A:$A,MATCH(C143,Dimensions!$B:$B,0)),"Not found"))</f>
        <v/>
      </c>
      <c r="E143" s="20"/>
      <c r="F143" s="18" t="str">
        <f aca="false">IF(E143="","",IFERROR(INDEX(Tables!$A:$A,MATCH(E143,Tables!$B:$B,0)),"Not found"))</f>
        <v/>
      </c>
      <c r="G143" s="21" t="str">
        <f aca="false">IF(OR(D143="",F143=""),"",IF(IFERROR(INDEX(Dimensions!$D:$D,MATCH(D143,Dimensions!$A:$A,0)),"")="","",IF(INDEX(Dimensions!$D:$D,MATCH(D143,Dimensions!$A:$A,0))=F143,"Yes","No")))</f>
        <v/>
      </c>
      <c r="H143" s="20"/>
      <c r="I143" s="20"/>
      <c r="J143" s="20"/>
      <c r="K143" s="20"/>
    </row>
    <row r="144" customFormat="false" ht="15" hidden="false" customHeight="false" outlineLevel="0" collapsed="false">
      <c r="A144" s="20"/>
      <c r="B144" s="18" t="str">
        <f aca="false">IF(A144="","",IFERROR(INDEX(Products!$A:$A,MATCH(A144,Products!$B:$B,0)),"Not found"))</f>
        <v/>
      </c>
      <c r="C144" s="20"/>
      <c r="D144" s="18" t="str">
        <f aca="false">IF(C144="","",IFERROR(INDEX(Dimensions!$A:$A,MATCH(C144,Dimensions!$B:$B,0)),"Not found"))</f>
        <v/>
      </c>
      <c r="E144" s="20"/>
      <c r="F144" s="18" t="str">
        <f aca="false">IF(E144="","",IFERROR(INDEX(Tables!$A:$A,MATCH(E144,Tables!$B:$B,0)),"Not found"))</f>
        <v/>
      </c>
      <c r="G144" s="21" t="str">
        <f aca="false">IF(OR(D144="",F144=""),"",IF(IFERROR(INDEX(Dimensions!$D:$D,MATCH(D144,Dimensions!$A:$A,0)),"")="","",IF(INDEX(Dimensions!$D:$D,MATCH(D144,Dimensions!$A:$A,0))=F144,"Yes","No")))</f>
        <v/>
      </c>
      <c r="H144" s="20"/>
      <c r="I144" s="20"/>
      <c r="J144" s="20"/>
      <c r="K144" s="20"/>
    </row>
    <row r="145" customFormat="false" ht="15" hidden="false" customHeight="false" outlineLevel="0" collapsed="false">
      <c r="A145" s="20"/>
      <c r="B145" s="18" t="str">
        <f aca="false">IF(A145="","",IFERROR(INDEX(Products!$A:$A,MATCH(A145,Products!$B:$B,0)),"Not found"))</f>
        <v/>
      </c>
      <c r="C145" s="20"/>
      <c r="D145" s="18" t="str">
        <f aca="false">IF(C145="","",IFERROR(INDEX(Dimensions!$A:$A,MATCH(C145,Dimensions!$B:$B,0)),"Not found"))</f>
        <v/>
      </c>
      <c r="E145" s="20"/>
      <c r="F145" s="18" t="str">
        <f aca="false">IF(E145="","",IFERROR(INDEX(Tables!$A:$A,MATCH(E145,Tables!$B:$B,0)),"Not found"))</f>
        <v/>
      </c>
      <c r="G145" s="21" t="str">
        <f aca="false">IF(OR(D145="",F145=""),"",IF(IFERROR(INDEX(Dimensions!$D:$D,MATCH(D145,Dimensions!$A:$A,0)),"")="","",IF(INDEX(Dimensions!$D:$D,MATCH(D145,Dimensions!$A:$A,0))=F145,"Yes","No")))</f>
        <v/>
      </c>
      <c r="H145" s="20"/>
      <c r="I145" s="20"/>
      <c r="J145" s="20"/>
      <c r="K145" s="20"/>
    </row>
    <row r="146" customFormat="false" ht="15" hidden="false" customHeight="false" outlineLevel="0" collapsed="false">
      <c r="A146" s="20"/>
      <c r="B146" s="18" t="str">
        <f aca="false">IF(A146="","",IFERROR(INDEX(Products!$A:$A,MATCH(A146,Products!$B:$B,0)),"Not found"))</f>
        <v/>
      </c>
      <c r="C146" s="20"/>
      <c r="D146" s="18" t="str">
        <f aca="false">IF(C146="","",IFERROR(INDEX(Dimensions!$A:$A,MATCH(C146,Dimensions!$B:$B,0)),"Not found"))</f>
        <v/>
      </c>
      <c r="E146" s="20"/>
      <c r="F146" s="18" t="str">
        <f aca="false">IF(E146="","",IFERROR(INDEX(Tables!$A:$A,MATCH(E146,Tables!$B:$B,0)),"Not found"))</f>
        <v/>
      </c>
      <c r="G146" s="21" t="str">
        <f aca="false">IF(OR(D146="",F146=""),"",IF(IFERROR(INDEX(Dimensions!$D:$D,MATCH(D146,Dimensions!$A:$A,0)),"")="","",IF(INDEX(Dimensions!$D:$D,MATCH(D146,Dimensions!$A:$A,0))=F146,"Yes","No")))</f>
        <v/>
      </c>
      <c r="H146" s="20"/>
      <c r="I146" s="20"/>
      <c r="J146" s="20"/>
      <c r="K146" s="20"/>
    </row>
    <row r="147" customFormat="false" ht="15" hidden="false" customHeight="false" outlineLevel="0" collapsed="false">
      <c r="A147" s="20"/>
      <c r="B147" s="18" t="str">
        <f aca="false">IF(A147="","",IFERROR(INDEX(Products!$A:$A,MATCH(A147,Products!$B:$B,0)),"Not found"))</f>
        <v/>
      </c>
      <c r="C147" s="20"/>
      <c r="D147" s="18" t="str">
        <f aca="false">IF(C147="","",IFERROR(INDEX(Dimensions!$A:$A,MATCH(C147,Dimensions!$B:$B,0)),"Not found"))</f>
        <v/>
      </c>
      <c r="E147" s="20"/>
      <c r="F147" s="18" t="str">
        <f aca="false">IF(E147="","",IFERROR(INDEX(Tables!$A:$A,MATCH(E147,Tables!$B:$B,0)),"Not found"))</f>
        <v/>
      </c>
      <c r="G147" s="21" t="str">
        <f aca="false">IF(OR(D147="",F147=""),"",IF(IFERROR(INDEX(Dimensions!$D:$D,MATCH(D147,Dimensions!$A:$A,0)),"")="","",IF(INDEX(Dimensions!$D:$D,MATCH(D147,Dimensions!$A:$A,0))=F147,"Yes","No")))</f>
        <v/>
      </c>
      <c r="H147" s="20"/>
      <c r="I147" s="20"/>
      <c r="J147" s="20"/>
      <c r="K147" s="20"/>
    </row>
    <row r="148" customFormat="false" ht="15" hidden="false" customHeight="false" outlineLevel="0" collapsed="false">
      <c r="A148" s="20"/>
      <c r="B148" s="18" t="str">
        <f aca="false">IF(A148="","",IFERROR(INDEX(Products!$A:$A,MATCH(A148,Products!$B:$B,0)),"Not found"))</f>
        <v/>
      </c>
      <c r="C148" s="20"/>
      <c r="D148" s="18" t="str">
        <f aca="false">IF(C148="","",IFERROR(INDEX(Dimensions!$A:$A,MATCH(C148,Dimensions!$B:$B,0)),"Not found"))</f>
        <v/>
      </c>
      <c r="E148" s="20"/>
      <c r="F148" s="18" t="str">
        <f aca="false">IF(E148="","",IFERROR(INDEX(Tables!$A:$A,MATCH(E148,Tables!$B:$B,0)),"Not found"))</f>
        <v/>
      </c>
      <c r="G148" s="21" t="str">
        <f aca="false">IF(OR(D148="",F148=""),"",IF(IFERROR(INDEX(Dimensions!$D:$D,MATCH(D148,Dimensions!$A:$A,0)),"")="","",IF(INDEX(Dimensions!$D:$D,MATCH(D148,Dimensions!$A:$A,0))=F148,"Yes","No")))</f>
        <v/>
      </c>
      <c r="H148" s="20"/>
      <c r="I148" s="20"/>
      <c r="J148" s="20"/>
      <c r="K148" s="20"/>
    </row>
    <row r="149" customFormat="false" ht="15" hidden="false" customHeight="false" outlineLevel="0" collapsed="false">
      <c r="A149" s="20"/>
      <c r="B149" s="18" t="str">
        <f aca="false">IF(A149="","",IFERROR(INDEX(Products!$A:$A,MATCH(A149,Products!$B:$B,0)),"Not found"))</f>
        <v/>
      </c>
      <c r="C149" s="20"/>
      <c r="D149" s="18" t="str">
        <f aca="false">IF(C149="","",IFERROR(INDEX(Dimensions!$A:$A,MATCH(C149,Dimensions!$B:$B,0)),"Not found"))</f>
        <v/>
      </c>
      <c r="E149" s="20"/>
      <c r="F149" s="18" t="str">
        <f aca="false">IF(E149="","",IFERROR(INDEX(Tables!$A:$A,MATCH(E149,Tables!$B:$B,0)),"Not found"))</f>
        <v/>
      </c>
      <c r="G149" s="21" t="str">
        <f aca="false">IF(OR(D149="",F149=""),"",IF(IFERROR(INDEX(Dimensions!$D:$D,MATCH(D149,Dimensions!$A:$A,0)),"")="","",IF(INDEX(Dimensions!$D:$D,MATCH(D149,Dimensions!$A:$A,0))=F149,"Yes","No")))</f>
        <v/>
      </c>
      <c r="H149" s="20"/>
      <c r="I149" s="20"/>
      <c r="J149" s="20"/>
      <c r="K149" s="20"/>
    </row>
    <row r="150" customFormat="false" ht="15" hidden="false" customHeight="false" outlineLevel="0" collapsed="false">
      <c r="A150" s="20"/>
      <c r="B150" s="18" t="str">
        <f aca="false">IF(A150="","",IFERROR(INDEX(Products!$A:$A,MATCH(A150,Products!$B:$B,0)),"Not found"))</f>
        <v/>
      </c>
      <c r="C150" s="20"/>
      <c r="D150" s="18" t="str">
        <f aca="false">IF(C150="","",IFERROR(INDEX(Dimensions!$A:$A,MATCH(C150,Dimensions!$B:$B,0)),"Not found"))</f>
        <v/>
      </c>
      <c r="E150" s="20"/>
      <c r="F150" s="18" t="str">
        <f aca="false">IF(E150="","",IFERROR(INDEX(Tables!$A:$A,MATCH(E150,Tables!$B:$B,0)),"Not found"))</f>
        <v/>
      </c>
      <c r="G150" s="21" t="str">
        <f aca="false">IF(OR(D150="",F150=""),"",IF(IFERROR(INDEX(Dimensions!$D:$D,MATCH(D150,Dimensions!$A:$A,0)),"")="","",IF(INDEX(Dimensions!$D:$D,MATCH(D150,Dimensions!$A:$A,0))=F150,"Yes","No")))</f>
        <v/>
      </c>
      <c r="H150" s="20"/>
      <c r="I150" s="20"/>
      <c r="J150" s="20"/>
      <c r="K150" s="20"/>
    </row>
    <row r="151" customFormat="false" ht="15" hidden="false" customHeight="false" outlineLevel="0" collapsed="false">
      <c r="A151" s="20"/>
      <c r="B151" s="18" t="str">
        <f aca="false">IF(A151="","",IFERROR(INDEX(Products!$A:$A,MATCH(A151,Products!$B:$B,0)),"Not found"))</f>
        <v/>
      </c>
      <c r="C151" s="20"/>
      <c r="D151" s="18" t="str">
        <f aca="false">IF(C151="","",IFERROR(INDEX(Dimensions!$A:$A,MATCH(C151,Dimensions!$B:$B,0)),"Not found"))</f>
        <v/>
      </c>
      <c r="E151" s="20"/>
      <c r="F151" s="18" t="str">
        <f aca="false">IF(E151="","",IFERROR(INDEX(Tables!$A:$A,MATCH(E151,Tables!$B:$B,0)),"Not found"))</f>
        <v/>
      </c>
      <c r="G151" s="21" t="str">
        <f aca="false">IF(OR(D151="",F151=""),"",IF(IFERROR(INDEX(Dimensions!$D:$D,MATCH(D151,Dimensions!$A:$A,0)),"")="","",IF(INDEX(Dimensions!$D:$D,MATCH(D151,Dimensions!$A:$A,0))=F151,"Yes","No")))</f>
        <v/>
      </c>
      <c r="H151" s="20"/>
      <c r="I151" s="20"/>
      <c r="J151" s="20"/>
      <c r="K151" s="20"/>
    </row>
    <row r="152" customFormat="false" ht="15" hidden="false" customHeight="false" outlineLevel="0" collapsed="false">
      <c r="A152" s="20"/>
      <c r="B152" s="18" t="str">
        <f aca="false">IF(A152="","",IFERROR(INDEX(Products!$A:$A,MATCH(A152,Products!$B:$B,0)),"Not found"))</f>
        <v/>
      </c>
      <c r="C152" s="20"/>
      <c r="D152" s="18" t="str">
        <f aca="false">IF(C152="","",IFERROR(INDEX(Dimensions!$A:$A,MATCH(C152,Dimensions!$B:$B,0)),"Not found"))</f>
        <v/>
      </c>
      <c r="E152" s="20"/>
      <c r="F152" s="18" t="str">
        <f aca="false">IF(E152="","",IFERROR(INDEX(Tables!$A:$A,MATCH(E152,Tables!$B:$B,0)),"Not found"))</f>
        <v/>
      </c>
      <c r="G152" s="21" t="str">
        <f aca="false">IF(OR(D152="",F152=""),"",IF(IFERROR(INDEX(Dimensions!$D:$D,MATCH(D152,Dimensions!$A:$A,0)),"")="","",IF(INDEX(Dimensions!$D:$D,MATCH(D152,Dimensions!$A:$A,0))=F152,"Yes","No")))</f>
        <v/>
      </c>
      <c r="H152" s="20"/>
      <c r="I152" s="20"/>
      <c r="J152" s="20"/>
      <c r="K152" s="20"/>
    </row>
    <row r="153" customFormat="false" ht="15" hidden="false" customHeight="false" outlineLevel="0" collapsed="false">
      <c r="A153" s="20"/>
      <c r="B153" s="18" t="str">
        <f aca="false">IF(A153="","",IFERROR(INDEX(Products!$A:$A,MATCH(A153,Products!$B:$B,0)),"Not found"))</f>
        <v/>
      </c>
      <c r="C153" s="20"/>
      <c r="D153" s="18" t="str">
        <f aca="false">IF(C153="","",IFERROR(INDEX(Dimensions!$A:$A,MATCH(C153,Dimensions!$B:$B,0)),"Not found"))</f>
        <v/>
      </c>
      <c r="E153" s="20"/>
      <c r="F153" s="18" t="str">
        <f aca="false">IF(E153="","",IFERROR(INDEX(Tables!$A:$A,MATCH(E153,Tables!$B:$B,0)),"Not found"))</f>
        <v/>
      </c>
      <c r="G153" s="21" t="str">
        <f aca="false">IF(OR(D153="",F153=""),"",IF(IFERROR(INDEX(Dimensions!$D:$D,MATCH(D153,Dimensions!$A:$A,0)),"")="","",IF(INDEX(Dimensions!$D:$D,MATCH(D153,Dimensions!$A:$A,0))=F153,"Yes","No")))</f>
        <v/>
      </c>
      <c r="H153" s="20"/>
      <c r="I153" s="20"/>
      <c r="J153" s="20"/>
      <c r="K153" s="20"/>
    </row>
    <row r="154" customFormat="false" ht="15" hidden="false" customHeight="false" outlineLevel="0" collapsed="false">
      <c r="A154" s="20"/>
      <c r="B154" s="18" t="str">
        <f aca="false">IF(A154="","",IFERROR(INDEX(Products!$A:$A,MATCH(A154,Products!$B:$B,0)),"Not found"))</f>
        <v/>
      </c>
      <c r="C154" s="20"/>
      <c r="D154" s="18" t="str">
        <f aca="false">IF(C154="","",IFERROR(INDEX(Dimensions!$A:$A,MATCH(C154,Dimensions!$B:$B,0)),"Not found"))</f>
        <v/>
      </c>
      <c r="E154" s="20"/>
      <c r="F154" s="18" t="str">
        <f aca="false">IF(E154="","",IFERROR(INDEX(Tables!$A:$A,MATCH(E154,Tables!$B:$B,0)),"Not found"))</f>
        <v/>
      </c>
      <c r="G154" s="21" t="str">
        <f aca="false">IF(OR(D154="",F154=""),"",IF(IFERROR(INDEX(Dimensions!$D:$D,MATCH(D154,Dimensions!$A:$A,0)),"")="","",IF(INDEX(Dimensions!$D:$D,MATCH(D154,Dimensions!$A:$A,0))=F154,"Yes","No")))</f>
        <v/>
      </c>
      <c r="H154" s="20"/>
      <c r="I154" s="20"/>
      <c r="J154" s="20"/>
      <c r="K154" s="20"/>
    </row>
    <row r="155" customFormat="false" ht="15" hidden="false" customHeight="false" outlineLevel="0" collapsed="false">
      <c r="A155" s="20"/>
      <c r="B155" s="18" t="str">
        <f aca="false">IF(A155="","",IFERROR(INDEX(Products!$A:$A,MATCH(A155,Products!$B:$B,0)),"Not found"))</f>
        <v/>
      </c>
      <c r="C155" s="20"/>
      <c r="D155" s="18" t="str">
        <f aca="false">IF(C155="","",IFERROR(INDEX(Dimensions!$A:$A,MATCH(C155,Dimensions!$B:$B,0)),"Not found"))</f>
        <v/>
      </c>
      <c r="E155" s="20"/>
      <c r="F155" s="18" t="str">
        <f aca="false">IF(E155="","",IFERROR(INDEX(Tables!$A:$A,MATCH(E155,Tables!$B:$B,0)),"Not found"))</f>
        <v/>
      </c>
      <c r="G155" s="21" t="str">
        <f aca="false">IF(OR(D155="",F155=""),"",IF(IFERROR(INDEX(Dimensions!$D:$D,MATCH(D155,Dimensions!$A:$A,0)),"")="","",IF(INDEX(Dimensions!$D:$D,MATCH(D155,Dimensions!$A:$A,0))=F155,"Yes","No")))</f>
        <v/>
      </c>
      <c r="H155" s="20"/>
      <c r="I155" s="20"/>
      <c r="J155" s="20"/>
      <c r="K155" s="20"/>
    </row>
    <row r="156" customFormat="false" ht="15" hidden="false" customHeight="false" outlineLevel="0" collapsed="false">
      <c r="A156" s="20"/>
      <c r="B156" s="18" t="str">
        <f aca="false">IF(A156="","",IFERROR(INDEX(Products!$A:$A,MATCH(A156,Products!$B:$B,0)),"Not found"))</f>
        <v/>
      </c>
      <c r="C156" s="20"/>
      <c r="D156" s="18" t="str">
        <f aca="false">IF(C156="","",IFERROR(INDEX(Dimensions!$A:$A,MATCH(C156,Dimensions!$B:$B,0)),"Not found"))</f>
        <v/>
      </c>
      <c r="E156" s="20"/>
      <c r="F156" s="18" t="str">
        <f aca="false">IF(E156="","",IFERROR(INDEX(Tables!$A:$A,MATCH(E156,Tables!$B:$B,0)),"Not found"))</f>
        <v/>
      </c>
      <c r="G156" s="21" t="str">
        <f aca="false">IF(OR(D156="",F156=""),"",IF(IFERROR(INDEX(Dimensions!$D:$D,MATCH(D156,Dimensions!$A:$A,0)),"")="","",IF(INDEX(Dimensions!$D:$D,MATCH(D156,Dimensions!$A:$A,0))=F156,"Yes","No")))</f>
        <v/>
      </c>
      <c r="H156" s="20"/>
      <c r="I156" s="20"/>
      <c r="J156" s="20"/>
      <c r="K156" s="20"/>
    </row>
    <row r="157" customFormat="false" ht="15" hidden="false" customHeight="false" outlineLevel="0" collapsed="false">
      <c r="A157" s="20"/>
      <c r="B157" s="18" t="str">
        <f aca="false">IF(A157="","",IFERROR(INDEX(Products!$A:$A,MATCH(A157,Products!$B:$B,0)),"Not found"))</f>
        <v/>
      </c>
      <c r="C157" s="20"/>
      <c r="D157" s="18" t="str">
        <f aca="false">IF(C157="","",IFERROR(INDEX(Dimensions!$A:$A,MATCH(C157,Dimensions!$B:$B,0)),"Not found"))</f>
        <v/>
      </c>
      <c r="E157" s="20"/>
      <c r="F157" s="18" t="str">
        <f aca="false">IF(E157="","",IFERROR(INDEX(Tables!$A:$A,MATCH(E157,Tables!$B:$B,0)),"Not found"))</f>
        <v/>
      </c>
      <c r="G157" s="21" t="str">
        <f aca="false">IF(OR(D157="",F157=""),"",IF(IFERROR(INDEX(Dimensions!$D:$D,MATCH(D157,Dimensions!$A:$A,0)),"")="","",IF(INDEX(Dimensions!$D:$D,MATCH(D157,Dimensions!$A:$A,0))=F157,"Yes","No")))</f>
        <v/>
      </c>
      <c r="H157" s="20"/>
      <c r="I157" s="20"/>
      <c r="J157" s="20"/>
      <c r="K157" s="20"/>
    </row>
    <row r="158" customFormat="false" ht="15" hidden="false" customHeight="false" outlineLevel="0" collapsed="false">
      <c r="A158" s="20"/>
      <c r="B158" s="18" t="str">
        <f aca="false">IF(A158="","",IFERROR(INDEX(Products!$A:$A,MATCH(A158,Products!$B:$B,0)),"Not found"))</f>
        <v/>
      </c>
      <c r="C158" s="20"/>
      <c r="D158" s="18" t="str">
        <f aca="false">IF(C158="","",IFERROR(INDEX(Dimensions!$A:$A,MATCH(C158,Dimensions!$B:$B,0)),"Not found"))</f>
        <v/>
      </c>
      <c r="E158" s="20"/>
      <c r="F158" s="18" t="str">
        <f aca="false">IF(E158="","",IFERROR(INDEX(Tables!$A:$A,MATCH(E158,Tables!$B:$B,0)),"Not found"))</f>
        <v/>
      </c>
      <c r="G158" s="21" t="str">
        <f aca="false">IF(OR(D158="",F158=""),"",IF(IFERROR(INDEX(Dimensions!$D:$D,MATCH(D158,Dimensions!$A:$A,0)),"")="","",IF(INDEX(Dimensions!$D:$D,MATCH(D158,Dimensions!$A:$A,0))=F158,"Yes","No")))</f>
        <v/>
      </c>
      <c r="H158" s="20"/>
      <c r="I158" s="20"/>
      <c r="J158" s="20"/>
      <c r="K158" s="20"/>
    </row>
    <row r="159" customFormat="false" ht="15" hidden="false" customHeight="false" outlineLevel="0" collapsed="false">
      <c r="A159" s="20"/>
      <c r="B159" s="18" t="str">
        <f aca="false">IF(A159="","",IFERROR(INDEX(Products!$A:$A,MATCH(A159,Products!$B:$B,0)),"Not found"))</f>
        <v/>
      </c>
      <c r="C159" s="20"/>
      <c r="D159" s="18" t="str">
        <f aca="false">IF(C159="","",IFERROR(INDEX(Dimensions!$A:$A,MATCH(C159,Dimensions!$B:$B,0)),"Not found"))</f>
        <v/>
      </c>
      <c r="E159" s="20"/>
      <c r="F159" s="18" t="str">
        <f aca="false">IF(E159="","",IFERROR(INDEX(Tables!$A:$A,MATCH(E159,Tables!$B:$B,0)),"Not found"))</f>
        <v/>
      </c>
      <c r="G159" s="21" t="str">
        <f aca="false">IF(OR(D159="",F159=""),"",IF(IFERROR(INDEX(Dimensions!$D:$D,MATCH(D159,Dimensions!$A:$A,0)),"")="","",IF(INDEX(Dimensions!$D:$D,MATCH(D159,Dimensions!$A:$A,0))=F159,"Yes","No")))</f>
        <v/>
      </c>
      <c r="H159" s="20"/>
      <c r="I159" s="20"/>
      <c r="J159" s="20"/>
      <c r="K159" s="20"/>
    </row>
    <row r="160" customFormat="false" ht="15" hidden="false" customHeight="false" outlineLevel="0" collapsed="false">
      <c r="A160" s="20"/>
      <c r="B160" s="18" t="str">
        <f aca="false">IF(A160="","",IFERROR(INDEX(Products!$A:$A,MATCH(A160,Products!$B:$B,0)),"Not found"))</f>
        <v/>
      </c>
      <c r="C160" s="20"/>
      <c r="D160" s="18" t="str">
        <f aca="false">IF(C160="","",IFERROR(INDEX(Dimensions!$A:$A,MATCH(C160,Dimensions!$B:$B,0)),"Not found"))</f>
        <v/>
      </c>
      <c r="E160" s="20"/>
      <c r="F160" s="18" t="str">
        <f aca="false">IF(E160="","",IFERROR(INDEX(Tables!$A:$A,MATCH(E160,Tables!$B:$B,0)),"Not found"))</f>
        <v/>
      </c>
      <c r="G160" s="21" t="str">
        <f aca="false">IF(OR(D160="",F160=""),"",IF(IFERROR(INDEX(Dimensions!$D:$D,MATCH(D160,Dimensions!$A:$A,0)),"")="","",IF(INDEX(Dimensions!$D:$D,MATCH(D160,Dimensions!$A:$A,0))=F160,"Yes","No")))</f>
        <v/>
      </c>
      <c r="H160" s="20"/>
      <c r="I160" s="20"/>
      <c r="J160" s="20"/>
      <c r="K160" s="20"/>
    </row>
    <row r="161" customFormat="false" ht="15" hidden="false" customHeight="false" outlineLevel="0" collapsed="false">
      <c r="A161" s="20"/>
      <c r="B161" s="18" t="str">
        <f aca="false">IF(A161="","",IFERROR(INDEX(Products!$A:$A,MATCH(A161,Products!$B:$B,0)),"Not found"))</f>
        <v/>
      </c>
      <c r="C161" s="20"/>
      <c r="D161" s="18" t="str">
        <f aca="false">IF(C161="","",IFERROR(INDEX(Dimensions!$A:$A,MATCH(C161,Dimensions!$B:$B,0)),"Not found"))</f>
        <v/>
      </c>
      <c r="E161" s="20"/>
      <c r="F161" s="18" t="str">
        <f aca="false">IF(E161="","",IFERROR(INDEX(Tables!$A:$A,MATCH(E161,Tables!$B:$B,0)),"Not found"))</f>
        <v/>
      </c>
      <c r="G161" s="21" t="str">
        <f aca="false">IF(OR(D161="",F161=""),"",IF(IFERROR(INDEX(Dimensions!$D:$D,MATCH(D161,Dimensions!$A:$A,0)),"")="","",IF(INDEX(Dimensions!$D:$D,MATCH(D161,Dimensions!$A:$A,0))=F161,"Yes","No")))</f>
        <v/>
      </c>
      <c r="H161" s="20"/>
      <c r="I161" s="20"/>
      <c r="J161" s="20"/>
      <c r="K161" s="20"/>
    </row>
    <row r="162" customFormat="false" ht="15" hidden="false" customHeight="false" outlineLevel="0" collapsed="false">
      <c r="A162" s="20"/>
      <c r="B162" s="18" t="str">
        <f aca="false">IF(A162="","",IFERROR(INDEX(Products!$A:$A,MATCH(A162,Products!$B:$B,0)),"Not found"))</f>
        <v/>
      </c>
      <c r="C162" s="20"/>
      <c r="D162" s="18" t="str">
        <f aca="false">IF(C162="","",IFERROR(INDEX(Dimensions!$A:$A,MATCH(C162,Dimensions!$B:$B,0)),"Not found"))</f>
        <v/>
      </c>
      <c r="E162" s="20"/>
      <c r="F162" s="18" t="str">
        <f aca="false">IF(E162="","",IFERROR(INDEX(Tables!$A:$A,MATCH(E162,Tables!$B:$B,0)),"Not found"))</f>
        <v/>
      </c>
      <c r="G162" s="21" t="str">
        <f aca="false">IF(OR(D162="",F162=""),"",IF(IFERROR(INDEX(Dimensions!$D:$D,MATCH(D162,Dimensions!$A:$A,0)),"")="","",IF(INDEX(Dimensions!$D:$D,MATCH(D162,Dimensions!$A:$A,0))=F162,"Yes","No")))</f>
        <v/>
      </c>
      <c r="H162" s="20"/>
      <c r="I162" s="20"/>
      <c r="J162" s="20"/>
      <c r="K162" s="20"/>
    </row>
    <row r="163" customFormat="false" ht="15" hidden="false" customHeight="false" outlineLevel="0" collapsed="false">
      <c r="A163" s="20"/>
      <c r="B163" s="18" t="str">
        <f aca="false">IF(A163="","",IFERROR(INDEX(Products!$A:$A,MATCH(A163,Products!$B:$B,0)),"Not found"))</f>
        <v/>
      </c>
      <c r="C163" s="20"/>
      <c r="D163" s="18" t="str">
        <f aca="false">IF(C163="","",IFERROR(INDEX(Dimensions!$A:$A,MATCH(C163,Dimensions!$B:$B,0)),"Not found"))</f>
        <v/>
      </c>
      <c r="E163" s="20"/>
      <c r="F163" s="18" t="str">
        <f aca="false">IF(E163="","",IFERROR(INDEX(Tables!$A:$A,MATCH(E163,Tables!$B:$B,0)),"Not found"))</f>
        <v/>
      </c>
      <c r="G163" s="21" t="str">
        <f aca="false">IF(OR(D163="",F163=""),"",IF(IFERROR(INDEX(Dimensions!$D:$D,MATCH(D163,Dimensions!$A:$A,0)),"")="","",IF(INDEX(Dimensions!$D:$D,MATCH(D163,Dimensions!$A:$A,0))=F163,"Yes","No")))</f>
        <v/>
      </c>
      <c r="H163" s="20"/>
      <c r="I163" s="20"/>
      <c r="J163" s="20"/>
      <c r="K163" s="20"/>
    </row>
    <row r="164" customFormat="false" ht="15" hidden="false" customHeight="false" outlineLevel="0" collapsed="false">
      <c r="A164" s="20"/>
      <c r="B164" s="18" t="str">
        <f aca="false">IF(A164="","",IFERROR(INDEX(Products!$A:$A,MATCH(A164,Products!$B:$B,0)),"Not found"))</f>
        <v/>
      </c>
      <c r="C164" s="20"/>
      <c r="D164" s="18" t="str">
        <f aca="false">IF(C164="","",IFERROR(INDEX(Dimensions!$A:$A,MATCH(C164,Dimensions!$B:$B,0)),"Not found"))</f>
        <v/>
      </c>
      <c r="E164" s="20"/>
      <c r="F164" s="18" t="str">
        <f aca="false">IF(E164="","",IFERROR(INDEX(Tables!$A:$A,MATCH(E164,Tables!$B:$B,0)),"Not found"))</f>
        <v/>
      </c>
      <c r="G164" s="21" t="str">
        <f aca="false">IF(OR(D164="",F164=""),"",IF(IFERROR(INDEX(Dimensions!$D:$D,MATCH(D164,Dimensions!$A:$A,0)),"")="","",IF(INDEX(Dimensions!$D:$D,MATCH(D164,Dimensions!$A:$A,0))=F164,"Yes","No")))</f>
        <v/>
      </c>
      <c r="H164" s="20"/>
      <c r="I164" s="20"/>
      <c r="J164" s="20"/>
      <c r="K164" s="20"/>
    </row>
    <row r="165" customFormat="false" ht="15" hidden="false" customHeight="false" outlineLevel="0" collapsed="false">
      <c r="A165" s="20"/>
      <c r="B165" s="18" t="str">
        <f aca="false">IF(A165="","",IFERROR(INDEX(Products!$A:$A,MATCH(A165,Products!$B:$B,0)),"Not found"))</f>
        <v/>
      </c>
      <c r="C165" s="20"/>
      <c r="D165" s="18" t="str">
        <f aca="false">IF(C165="","",IFERROR(INDEX(Dimensions!$A:$A,MATCH(C165,Dimensions!$B:$B,0)),"Not found"))</f>
        <v/>
      </c>
      <c r="E165" s="20"/>
      <c r="F165" s="18" t="str">
        <f aca="false">IF(E165="","",IFERROR(INDEX(Tables!$A:$A,MATCH(E165,Tables!$B:$B,0)),"Not found"))</f>
        <v/>
      </c>
      <c r="G165" s="21" t="str">
        <f aca="false">IF(OR(D165="",F165=""),"",IF(IFERROR(INDEX(Dimensions!$D:$D,MATCH(D165,Dimensions!$A:$A,0)),"")="","",IF(INDEX(Dimensions!$D:$D,MATCH(D165,Dimensions!$A:$A,0))=F165,"Yes","No")))</f>
        <v/>
      </c>
      <c r="H165" s="20"/>
      <c r="I165" s="20"/>
      <c r="J165" s="20"/>
      <c r="K165" s="20"/>
    </row>
    <row r="166" customFormat="false" ht="15" hidden="false" customHeight="false" outlineLevel="0" collapsed="false">
      <c r="A166" s="20"/>
      <c r="B166" s="18" t="str">
        <f aca="false">IF(A166="","",IFERROR(INDEX(Products!$A:$A,MATCH(A166,Products!$B:$B,0)),"Not found"))</f>
        <v/>
      </c>
      <c r="C166" s="20"/>
      <c r="D166" s="18" t="str">
        <f aca="false">IF(C166="","",IFERROR(INDEX(Dimensions!$A:$A,MATCH(C166,Dimensions!$B:$B,0)),"Not found"))</f>
        <v/>
      </c>
      <c r="E166" s="20"/>
      <c r="F166" s="18" t="str">
        <f aca="false">IF(E166="","",IFERROR(INDEX(Tables!$A:$A,MATCH(E166,Tables!$B:$B,0)),"Not found"))</f>
        <v/>
      </c>
      <c r="G166" s="21" t="str">
        <f aca="false">IF(OR(D166="",F166=""),"",IF(IFERROR(INDEX(Dimensions!$D:$D,MATCH(D166,Dimensions!$A:$A,0)),"")="","",IF(INDEX(Dimensions!$D:$D,MATCH(D166,Dimensions!$A:$A,0))=F166,"Yes","No")))</f>
        <v/>
      </c>
      <c r="H166" s="20"/>
      <c r="I166" s="20"/>
      <c r="J166" s="20"/>
      <c r="K166" s="20"/>
    </row>
    <row r="167" customFormat="false" ht="15" hidden="false" customHeight="false" outlineLevel="0" collapsed="false">
      <c r="A167" s="20"/>
      <c r="B167" s="18" t="str">
        <f aca="false">IF(A167="","",IFERROR(INDEX(Products!$A:$A,MATCH(A167,Products!$B:$B,0)),"Not found"))</f>
        <v/>
      </c>
      <c r="C167" s="20"/>
      <c r="D167" s="18" t="str">
        <f aca="false">IF(C167="","",IFERROR(INDEX(Dimensions!$A:$A,MATCH(C167,Dimensions!$B:$B,0)),"Not found"))</f>
        <v/>
      </c>
      <c r="E167" s="20"/>
      <c r="F167" s="18" t="str">
        <f aca="false">IF(E167="","",IFERROR(INDEX(Tables!$A:$A,MATCH(E167,Tables!$B:$B,0)),"Not found"))</f>
        <v/>
      </c>
      <c r="G167" s="21" t="str">
        <f aca="false">IF(OR(D167="",F167=""),"",IF(IFERROR(INDEX(Dimensions!$D:$D,MATCH(D167,Dimensions!$A:$A,0)),"")="","",IF(INDEX(Dimensions!$D:$D,MATCH(D167,Dimensions!$A:$A,0))=F167,"Yes","No")))</f>
        <v/>
      </c>
      <c r="H167" s="20"/>
      <c r="I167" s="20"/>
      <c r="J167" s="20"/>
      <c r="K167" s="20"/>
    </row>
    <row r="168" customFormat="false" ht="15" hidden="false" customHeight="false" outlineLevel="0" collapsed="false">
      <c r="A168" s="20"/>
      <c r="B168" s="18" t="str">
        <f aca="false">IF(A168="","",IFERROR(INDEX(Products!$A:$A,MATCH(A168,Products!$B:$B,0)),"Not found"))</f>
        <v/>
      </c>
      <c r="C168" s="20"/>
      <c r="D168" s="18" t="str">
        <f aca="false">IF(C168="","",IFERROR(INDEX(Dimensions!$A:$A,MATCH(C168,Dimensions!$B:$B,0)),"Not found"))</f>
        <v/>
      </c>
      <c r="E168" s="20"/>
      <c r="F168" s="18" t="str">
        <f aca="false">IF(E168="","",IFERROR(INDEX(Tables!$A:$A,MATCH(E168,Tables!$B:$B,0)),"Not found"))</f>
        <v/>
      </c>
      <c r="G168" s="21" t="str">
        <f aca="false">IF(OR(D168="",F168=""),"",IF(IFERROR(INDEX(Dimensions!$D:$D,MATCH(D168,Dimensions!$A:$A,0)),"")="","",IF(INDEX(Dimensions!$D:$D,MATCH(D168,Dimensions!$A:$A,0))=F168,"Yes","No")))</f>
        <v/>
      </c>
      <c r="H168" s="20"/>
      <c r="I168" s="20"/>
      <c r="J168" s="20"/>
      <c r="K168" s="20"/>
    </row>
    <row r="169" customFormat="false" ht="15" hidden="false" customHeight="false" outlineLevel="0" collapsed="false">
      <c r="A169" s="20"/>
      <c r="B169" s="18" t="str">
        <f aca="false">IF(A169="","",IFERROR(INDEX(Products!$A:$A,MATCH(A169,Products!$B:$B,0)),"Not found"))</f>
        <v/>
      </c>
      <c r="C169" s="20"/>
      <c r="D169" s="18" t="str">
        <f aca="false">IF(C169="","",IFERROR(INDEX(Dimensions!$A:$A,MATCH(C169,Dimensions!$B:$B,0)),"Not found"))</f>
        <v/>
      </c>
      <c r="E169" s="20"/>
      <c r="F169" s="18" t="str">
        <f aca="false">IF(E169="","",IFERROR(INDEX(Tables!$A:$A,MATCH(E169,Tables!$B:$B,0)),"Not found"))</f>
        <v/>
      </c>
      <c r="G169" s="21" t="str">
        <f aca="false">IF(OR(D169="",F169=""),"",IF(IFERROR(INDEX(Dimensions!$D:$D,MATCH(D169,Dimensions!$A:$A,0)),"")="","",IF(INDEX(Dimensions!$D:$D,MATCH(D169,Dimensions!$A:$A,0))=F169,"Yes","No")))</f>
        <v/>
      </c>
      <c r="H169" s="20"/>
      <c r="I169" s="20"/>
      <c r="J169" s="20"/>
      <c r="K169" s="20"/>
    </row>
    <row r="170" customFormat="false" ht="15" hidden="false" customHeight="false" outlineLevel="0" collapsed="false">
      <c r="A170" s="20"/>
      <c r="B170" s="18" t="str">
        <f aca="false">IF(A170="","",IFERROR(INDEX(Products!$A:$A,MATCH(A170,Products!$B:$B,0)),"Not found"))</f>
        <v/>
      </c>
      <c r="C170" s="20"/>
      <c r="D170" s="18" t="str">
        <f aca="false">IF(C170="","",IFERROR(INDEX(Dimensions!$A:$A,MATCH(C170,Dimensions!$B:$B,0)),"Not found"))</f>
        <v/>
      </c>
      <c r="E170" s="20"/>
      <c r="F170" s="18" t="str">
        <f aca="false">IF(E170="","",IFERROR(INDEX(Tables!$A:$A,MATCH(E170,Tables!$B:$B,0)),"Not found"))</f>
        <v/>
      </c>
      <c r="G170" s="21" t="str">
        <f aca="false">IF(OR(D170="",F170=""),"",IF(IFERROR(INDEX(Dimensions!$D:$D,MATCH(D170,Dimensions!$A:$A,0)),"")="","",IF(INDEX(Dimensions!$D:$D,MATCH(D170,Dimensions!$A:$A,0))=F170,"Yes","No")))</f>
        <v/>
      </c>
      <c r="H170" s="20"/>
      <c r="I170" s="20"/>
      <c r="J170" s="20"/>
      <c r="K170" s="20"/>
    </row>
    <row r="171" customFormat="false" ht="15" hidden="false" customHeight="false" outlineLevel="0" collapsed="false">
      <c r="A171" s="20"/>
      <c r="B171" s="18" t="str">
        <f aca="false">IF(A171="","",IFERROR(INDEX(Products!$A:$A,MATCH(A171,Products!$B:$B,0)),"Not found"))</f>
        <v/>
      </c>
      <c r="C171" s="20"/>
      <c r="D171" s="18" t="str">
        <f aca="false">IF(C171="","",IFERROR(INDEX(Dimensions!$A:$A,MATCH(C171,Dimensions!$B:$B,0)),"Not found"))</f>
        <v/>
      </c>
      <c r="E171" s="20"/>
      <c r="F171" s="18" t="str">
        <f aca="false">IF(E171="","",IFERROR(INDEX(Tables!$A:$A,MATCH(E171,Tables!$B:$B,0)),"Not found"))</f>
        <v/>
      </c>
      <c r="G171" s="21" t="str">
        <f aca="false">IF(OR(D171="",F171=""),"",IF(IFERROR(INDEX(Dimensions!$D:$D,MATCH(D171,Dimensions!$A:$A,0)),"")="","",IF(INDEX(Dimensions!$D:$D,MATCH(D171,Dimensions!$A:$A,0))=F171,"Yes","No")))</f>
        <v/>
      </c>
      <c r="H171" s="20"/>
      <c r="I171" s="20"/>
      <c r="J171" s="20"/>
      <c r="K171" s="20"/>
    </row>
    <row r="172" customFormat="false" ht="15" hidden="false" customHeight="false" outlineLevel="0" collapsed="false">
      <c r="A172" s="20"/>
      <c r="B172" s="18" t="str">
        <f aca="false">IF(A172="","",IFERROR(INDEX(Products!$A:$A,MATCH(A172,Products!$B:$B,0)),"Not found"))</f>
        <v/>
      </c>
      <c r="C172" s="20"/>
      <c r="D172" s="18" t="str">
        <f aca="false">IF(C172="","",IFERROR(INDEX(Dimensions!$A:$A,MATCH(C172,Dimensions!$B:$B,0)),"Not found"))</f>
        <v/>
      </c>
      <c r="E172" s="20"/>
      <c r="F172" s="18" t="str">
        <f aca="false">IF(E172="","",IFERROR(INDEX(Tables!$A:$A,MATCH(E172,Tables!$B:$B,0)),"Not found"))</f>
        <v/>
      </c>
      <c r="G172" s="21" t="str">
        <f aca="false">IF(OR(D172="",F172=""),"",IF(IFERROR(INDEX(Dimensions!$D:$D,MATCH(D172,Dimensions!$A:$A,0)),"")="","",IF(INDEX(Dimensions!$D:$D,MATCH(D172,Dimensions!$A:$A,0))=F172,"Yes","No")))</f>
        <v/>
      </c>
      <c r="H172" s="20"/>
      <c r="I172" s="20"/>
      <c r="J172" s="20"/>
      <c r="K172" s="20"/>
    </row>
    <row r="173" customFormat="false" ht="15" hidden="false" customHeight="false" outlineLevel="0" collapsed="false">
      <c r="A173" s="20"/>
      <c r="B173" s="18" t="str">
        <f aca="false">IF(A173="","",IFERROR(INDEX(Products!$A:$A,MATCH(A173,Products!$B:$B,0)),"Not found"))</f>
        <v/>
      </c>
      <c r="C173" s="20"/>
      <c r="D173" s="18" t="str">
        <f aca="false">IF(C173="","",IFERROR(INDEX(Dimensions!$A:$A,MATCH(C173,Dimensions!$B:$B,0)),"Not found"))</f>
        <v/>
      </c>
      <c r="E173" s="20"/>
      <c r="F173" s="18" t="str">
        <f aca="false">IF(E173="","",IFERROR(INDEX(Tables!$A:$A,MATCH(E173,Tables!$B:$B,0)),"Not found"))</f>
        <v/>
      </c>
      <c r="G173" s="21" t="str">
        <f aca="false">IF(OR(D173="",F173=""),"",IF(IFERROR(INDEX(Dimensions!$D:$D,MATCH(D173,Dimensions!$A:$A,0)),"")="","",IF(INDEX(Dimensions!$D:$D,MATCH(D173,Dimensions!$A:$A,0))=F173,"Yes","No")))</f>
        <v/>
      </c>
      <c r="H173" s="20"/>
      <c r="I173" s="20"/>
      <c r="J173" s="20"/>
      <c r="K173" s="20"/>
    </row>
    <row r="174" customFormat="false" ht="15" hidden="false" customHeight="false" outlineLevel="0" collapsed="false">
      <c r="A174" s="20"/>
      <c r="B174" s="18" t="str">
        <f aca="false">IF(A174="","",IFERROR(INDEX(Products!$A:$A,MATCH(A174,Products!$B:$B,0)),"Not found"))</f>
        <v/>
      </c>
      <c r="C174" s="20"/>
      <c r="D174" s="18" t="str">
        <f aca="false">IF(C174="","",IFERROR(INDEX(Dimensions!$A:$A,MATCH(C174,Dimensions!$B:$B,0)),"Not found"))</f>
        <v/>
      </c>
      <c r="E174" s="20"/>
      <c r="F174" s="18" t="str">
        <f aca="false">IF(E174="","",IFERROR(INDEX(Tables!$A:$A,MATCH(E174,Tables!$B:$B,0)),"Not found"))</f>
        <v/>
      </c>
      <c r="G174" s="21" t="str">
        <f aca="false">IF(OR(D174="",F174=""),"",IF(IFERROR(INDEX(Dimensions!$D:$D,MATCH(D174,Dimensions!$A:$A,0)),"")="","",IF(INDEX(Dimensions!$D:$D,MATCH(D174,Dimensions!$A:$A,0))=F174,"Yes","No")))</f>
        <v/>
      </c>
      <c r="H174" s="20"/>
      <c r="I174" s="20"/>
      <c r="J174" s="20"/>
      <c r="K174" s="20"/>
    </row>
    <row r="175" customFormat="false" ht="15" hidden="false" customHeight="false" outlineLevel="0" collapsed="false">
      <c r="A175" s="20"/>
      <c r="B175" s="18" t="str">
        <f aca="false">IF(A175="","",IFERROR(INDEX(Products!$A:$A,MATCH(A175,Products!$B:$B,0)),"Not found"))</f>
        <v/>
      </c>
      <c r="C175" s="20"/>
      <c r="D175" s="18" t="str">
        <f aca="false">IF(C175="","",IFERROR(INDEX(Dimensions!$A:$A,MATCH(C175,Dimensions!$B:$B,0)),"Not found"))</f>
        <v/>
      </c>
      <c r="E175" s="20"/>
      <c r="F175" s="18" t="str">
        <f aca="false">IF(E175="","",IFERROR(INDEX(Tables!$A:$A,MATCH(E175,Tables!$B:$B,0)),"Not found"))</f>
        <v/>
      </c>
      <c r="G175" s="21" t="str">
        <f aca="false">IF(OR(D175="",F175=""),"",IF(IFERROR(INDEX(Dimensions!$D:$D,MATCH(D175,Dimensions!$A:$A,0)),"")="","",IF(INDEX(Dimensions!$D:$D,MATCH(D175,Dimensions!$A:$A,0))=F175,"Yes","No")))</f>
        <v/>
      </c>
      <c r="H175" s="20"/>
      <c r="I175" s="20"/>
      <c r="J175" s="20"/>
      <c r="K175" s="20"/>
    </row>
    <row r="176" customFormat="false" ht="15" hidden="false" customHeight="false" outlineLevel="0" collapsed="false">
      <c r="A176" s="20"/>
      <c r="B176" s="18" t="str">
        <f aca="false">IF(A176="","",IFERROR(INDEX(Products!$A:$A,MATCH(A176,Products!$B:$B,0)),"Not found"))</f>
        <v/>
      </c>
      <c r="C176" s="20"/>
      <c r="D176" s="18" t="str">
        <f aca="false">IF(C176="","",IFERROR(INDEX(Dimensions!$A:$A,MATCH(C176,Dimensions!$B:$B,0)),"Not found"))</f>
        <v/>
      </c>
      <c r="E176" s="20"/>
      <c r="F176" s="18" t="str">
        <f aca="false">IF(E176="","",IFERROR(INDEX(Tables!$A:$A,MATCH(E176,Tables!$B:$B,0)),"Not found"))</f>
        <v/>
      </c>
      <c r="G176" s="21" t="str">
        <f aca="false">IF(OR(D176="",F176=""),"",IF(IFERROR(INDEX(Dimensions!$D:$D,MATCH(D176,Dimensions!$A:$A,0)),"")="","",IF(INDEX(Dimensions!$D:$D,MATCH(D176,Dimensions!$A:$A,0))=F176,"Yes","No")))</f>
        <v/>
      </c>
      <c r="H176" s="20"/>
      <c r="I176" s="20"/>
      <c r="J176" s="20"/>
      <c r="K176" s="20"/>
    </row>
    <row r="177" customFormat="false" ht="15" hidden="false" customHeight="false" outlineLevel="0" collapsed="false">
      <c r="A177" s="20"/>
      <c r="B177" s="18" t="str">
        <f aca="false">IF(A177="","",IFERROR(INDEX(Products!$A:$A,MATCH(A177,Products!$B:$B,0)),"Not found"))</f>
        <v/>
      </c>
      <c r="C177" s="20"/>
      <c r="D177" s="18" t="str">
        <f aca="false">IF(C177="","",IFERROR(INDEX(Dimensions!$A:$A,MATCH(C177,Dimensions!$B:$B,0)),"Not found"))</f>
        <v/>
      </c>
      <c r="E177" s="20"/>
      <c r="F177" s="18" t="str">
        <f aca="false">IF(E177="","",IFERROR(INDEX(Tables!$A:$A,MATCH(E177,Tables!$B:$B,0)),"Not found"))</f>
        <v/>
      </c>
      <c r="G177" s="21" t="str">
        <f aca="false">IF(OR(D177="",F177=""),"",IF(IFERROR(INDEX(Dimensions!$D:$D,MATCH(D177,Dimensions!$A:$A,0)),"")="","",IF(INDEX(Dimensions!$D:$D,MATCH(D177,Dimensions!$A:$A,0))=F177,"Yes","No")))</f>
        <v/>
      </c>
      <c r="H177" s="20"/>
      <c r="I177" s="20"/>
      <c r="J177" s="20"/>
      <c r="K177" s="20"/>
    </row>
    <row r="178" customFormat="false" ht="15" hidden="false" customHeight="false" outlineLevel="0" collapsed="false">
      <c r="A178" s="20"/>
      <c r="B178" s="18" t="str">
        <f aca="false">IF(A178="","",IFERROR(INDEX(Products!$A:$A,MATCH(A178,Products!$B:$B,0)),"Not found"))</f>
        <v/>
      </c>
      <c r="C178" s="20"/>
      <c r="D178" s="18" t="str">
        <f aca="false">IF(C178="","",IFERROR(INDEX(Dimensions!$A:$A,MATCH(C178,Dimensions!$B:$B,0)),"Not found"))</f>
        <v/>
      </c>
      <c r="E178" s="20"/>
      <c r="F178" s="18" t="str">
        <f aca="false">IF(E178="","",IFERROR(INDEX(Tables!$A:$A,MATCH(E178,Tables!$B:$B,0)),"Not found"))</f>
        <v/>
      </c>
      <c r="G178" s="21" t="str">
        <f aca="false">IF(OR(D178="",F178=""),"",IF(IFERROR(INDEX(Dimensions!$D:$D,MATCH(D178,Dimensions!$A:$A,0)),"")="","",IF(INDEX(Dimensions!$D:$D,MATCH(D178,Dimensions!$A:$A,0))=F178,"Yes","No")))</f>
        <v/>
      </c>
      <c r="H178" s="20"/>
      <c r="I178" s="20"/>
      <c r="J178" s="20"/>
      <c r="K178" s="20"/>
    </row>
    <row r="179" customFormat="false" ht="15" hidden="false" customHeight="false" outlineLevel="0" collapsed="false">
      <c r="A179" s="20"/>
      <c r="B179" s="18" t="str">
        <f aca="false">IF(A179="","",IFERROR(INDEX(Products!$A:$A,MATCH(A179,Products!$B:$B,0)),"Not found"))</f>
        <v/>
      </c>
      <c r="C179" s="20"/>
      <c r="D179" s="18" t="str">
        <f aca="false">IF(C179="","",IFERROR(INDEX(Dimensions!$A:$A,MATCH(C179,Dimensions!$B:$B,0)),"Not found"))</f>
        <v/>
      </c>
      <c r="E179" s="20"/>
      <c r="F179" s="18" t="str">
        <f aca="false">IF(E179="","",IFERROR(INDEX(Tables!$A:$A,MATCH(E179,Tables!$B:$B,0)),"Not found"))</f>
        <v/>
      </c>
      <c r="G179" s="21" t="str">
        <f aca="false">IF(OR(D179="",F179=""),"",IF(IFERROR(INDEX(Dimensions!$D:$D,MATCH(D179,Dimensions!$A:$A,0)),"")="","",IF(INDEX(Dimensions!$D:$D,MATCH(D179,Dimensions!$A:$A,0))=F179,"Yes","No")))</f>
        <v/>
      </c>
      <c r="H179" s="20"/>
      <c r="I179" s="20"/>
      <c r="J179" s="20"/>
      <c r="K179" s="20"/>
    </row>
    <row r="180" customFormat="false" ht="15" hidden="false" customHeight="false" outlineLevel="0" collapsed="false">
      <c r="A180" s="20"/>
      <c r="B180" s="18" t="str">
        <f aca="false">IF(A180="","",IFERROR(INDEX(Products!$A:$A,MATCH(A180,Products!$B:$B,0)),"Not found"))</f>
        <v/>
      </c>
      <c r="C180" s="20"/>
      <c r="D180" s="18" t="str">
        <f aca="false">IF(C180="","",IFERROR(INDEX(Dimensions!$A:$A,MATCH(C180,Dimensions!$B:$B,0)),"Not found"))</f>
        <v/>
      </c>
      <c r="E180" s="20"/>
      <c r="F180" s="18" t="str">
        <f aca="false">IF(E180="","",IFERROR(INDEX(Tables!$A:$A,MATCH(E180,Tables!$B:$B,0)),"Not found"))</f>
        <v/>
      </c>
      <c r="G180" s="21" t="str">
        <f aca="false">IF(OR(D180="",F180=""),"",IF(IFERROR(INDEX(Dimensions!$D:$D,MATCH(D180,Dimensions!$A:$A,0)),"")="","",IF(INDEX(Dimensions!$D:$D,MATCH(D180,Dimensions!$A:$A,0))=F180,"Yes","No")))</f>
        <v/>
      </c>
      <c r="H180" s="20"/>
      <c r="I180" s="20"/>
      <c r="J180" s="20"/>
      <c r="K180" s="20"/>
    </row>
    <row r="181" customFormat="false" ht="15" hidden="false" customHeight="false" outlineLevel="0" collapsed="false">
      <c r="A181" s="20"/>
      <c r="B181" s="18" t="str">
        <f aca="false">IF(A181="","",IFERROR(INDEX(Products!$A:$A,MATCH(A181,Products!$B:$B,0)),"Not found"))</f>
        <v/>
      </c>
      <c r="C181" s="20"/>
      <c r="D181" s="18" t="str">
        <f aca="false">IF(C181="","",IFERROR(INDEX(Dimensions!$A:$A,MATCH(C181,Dimensions!$B:$B,0)),"Not found"))</f>
        <v/>
      </c>
      <c r="E181" s="20"/>
      <c r="F181" s="18" t="str">
        <f aca="false">IF(E181="","",IFERROR(INDEX(Tables!$A:$A,MATCH(E181,Tables!$B:$B,0)),"Not found"))</f>
        <v/>
      </c>
      <c r="G181" s="21" t="str">
        <f aca="false">IF(OR(D181="",F181=""),"",IF(IFERROR(INDEX(Dimensions!$D:$D,MATCH(D181,Dimensions!$A:$A,0)),"")="","",IF(INDEX(Dimensions!$D:$D,MATCH(D181,Dimensions!$A:$A,0))=F181,"Yes","No")))</f>
        <v/>
      </c>
      <c r="H181" s="20"/>
      <c r="I181" s="20"/>
      <c r="J181" s="20"/>
      <c r="K181" s="20"/>
    </row>
    <row r="182" customFormat="false" ht="15" hidden="false" customHeight="false" outlineLevel="0" collapsed="false">
      <c r="A182" s="20"/>
      <c r="B182" s="18" t="str">
        <f aca="false">IF(A182="","",IFERROR(INDEX(Products!$A:$A,MATCH(A182,Products!$B:$B,0)),"Not found"))</f>
        <v/>
      </c>
      <c r="C182" s="20"/>
      <c r="D182" s="18" t="str">
        <f aca="false">IF(C182="","",IFERROR(INDEX(Dimensions!$A:$A,MATCH(C182,Dimensions!$B:$B,0)),"Not found"))</f>
        <v/>
      </c>
      <c r="E182" s="20"/>
      <c r="F182" s="18" t="str">
        <f aca="false">IF(E182="","",IFERROR(INDEX(Tables!$A:$A,MATCH(E182,Tables!$B:$B,0)),"Not found"))</f>
        <v/>
      </c>
      <c r="G182" s="21" t="str">
        <f aca="false">IF(OR(D182="",F182=""),"",IF(IFERROR(INDEX(Dimensions!$D:$D,MATCH(D182,Dimensions!$A:$A,0)),"")="","",IF(INDEX(Dimensions!$D:$D,MATCH(D182,Dimensions!$A:$A,0))=F182,"Yes","No")))</f>
        <v/>
      </c>
      <c r="H182" s="20"/>
      <c r="I182" s="20"/>
      <c r="J182" s="20"/>
      <c r="K182" s="20"/>
    </row>
    <row r="183" customFormat="false" ht="15" hidden="false" customHeight="false" outlineLevel="0" collapsed="false">
      <c r="A183" s="20"/>
      <c r="B183" s="18" t="str">
        <f aca="false">IF(A183="","",IFERROR(INDEX(Products!$A:$A,MATCH(A183,Products!$B:$B,0)),"Not found"))</f>
        <v/>
      </c>
      <c r="C183" s="20"/>
      <c r="D183" s="18" t="str">
        <f aca="false">IF(C183="","",IFERROR(INDEX(Dimensions!$A:$A,MATCH(C183,Dimensions!$B:$B,0)),"Not found"))</f>
        <v/>
      </c>
      <c r="E183" s="20"/>
      <c r="F183" s="18" t="str">
        <f aca="false">IF(E183="","",IFERROR(INDEX(Tables!$A:$A,MATCH(E183,Tables!$B:$B,0)),"Not found"))</f>
        <v/>
      </c>
      <c r="G183" s="21" t="str">
        <f aca="false">IF(OR(D183="",F183=""),"",IF(IFERROR(INDEX(Dimensions!$D:$D,MATCH(D183,Dimensions!$A:$A,0)),"")="","",IF(INDEX(Dimensions!$D:$D,MATCH(D183,Dimensions!$A:$A,0))=F183,"Yes","No")))</f>
        <v/>
      </c>
      <c r="H183" s="20"/>
      <c r="I183" s="20"/>
      <c r="J183" s="20"/>
      <c r="K183" s="20"/>
    </row>
    <row r="184" customFormat="false" ht="15" hidden="false" customHeight="false" outlineLevel="0" collapsed="false">
      <c r="A184" s="20"/>
      <c r="B184" s="18" t="str">
        <f aca="false">IF(A184="","",IFERROR(INDEX(Products!$A:$A,MATCH(A184,Products!$B:$B,0)),"Not found"))</f>
        <v/>
      </c>
      <c r="C184" s="20"/>
      <c r="D184" s="18" t="str">
        <f aca="false">IF(C184="","",IFERROR(INDEX(Dimensions!$A:$A,MATCH(C184,Dimensions!$B:$B,0)),"Not found"))</f>
        <v/>
      </c>
      <c r="E184" s="20"/>
      <c r="F184" s="18" t="str">
        <f aca="false">IF(E184="","",IFERROR(INDEX(Tables!$A:$A,MATCH(E184,Tables!$B:$B,0)),"Not found"))</f>
        <v/>
      </c>
      <c r="G184" s="21" t="str">
        <f aca="false">IF(OR(D184="",F184=""),"",IF(IFERROR(INDEX(Dimensions!$D:$D,MATCH(D184,Dimensions!$A:$A,0)),"")="","",IF(INDEX(Dimensions!$D:$D,MATCH(D184,Dimensions!$A:$A,0))=F184,"Yes","No")))</f>
        <v/>
      </c>
      <c r="H184" s="20"/>
      <c r="I184" s="20"/>
      <c r="J184" s="20"/>
      <c r="K184" s="20"/>
    </row>
    <row r="185" customFormat="false" ht="15" hidden="false" customHeight="false" outlineLevel="0" collapsed="false">
      <c r="A185" s="20"/>
      <c r="B185" s="18" t="str">
        <f aca="false">IF(A185="","",IFERROR(INDEX(Products!$A:$A,MATCH(A185,Products!$B:$B,0)),"Not found"))</f>
        <v/>
      </c>
      <c r="C185" s="20"/>
      <c r="D185" s="18" t="str">
        <f aca="false">IF(C185="","",IFERROR(INDEX(Dimensions!$A:$A,MATCH(C185,Dimensions!$B:$B,0)),"Not found"))</f>
        <v/>
      </c>
      <c r="E185" s="20"/>
      <c r="F185" s="18" t="str">
        <f aca="false">IF(E185="","",IFERROR(INDEX(Tables!$A:$A,MATCH(E185,Tables!$B:$B,0)),"Not found"))</f>
        <v/>
      </c>
      <c r="G185" s="21" t="str">
        <f aca="false">IF(OR(D185="",F185=""),"",IF(IFERROR(INDEX(Dimensions!$D:$D,MATCH(D185,Dimensions!$A:$A,0)),"")="","",IF(INDEX(Dimensions!$D:$D,MATCH(D185,Dimensions!$A:$A,0))=F185,"Yes","No")))</f>
        <v/>
      </c>
      <c r="H185" s="20"/>
      <c r="I185" s="20"/>
      <c r="J185" s="20"/>
      <c r="K185" s="20"/>
    </row>
    <row r="186" customFormat="false" ht="15" hidden="false" customHeight="false" outlineLevel="0" collapsed="false">
      <c r="A186" s="20"/>
      <c r="B186" s="18" t="str">
        <f aca="false">IF(A186="","",IFERROR(INDEX(Products!$A:$A,MATCH(A186,Products!$B:$B,0)),"Not found"))</f>
        <v/>
      </c>
      <c r="C186" s="20"/>
      <c r="D186" s="18" t="str">
        <f aca="false">IF(C186="","",IFERROR(INDEX(Dimensions!$A:$A,MATCH(C186,Dimensions!$B:$B,0)),"Not found"))</f>
        <v/>
      </c>
      <c r="E186" s="20"/>
      <c r="F186" s="18" t="str">
        <f aca="false">IF(E186="","",IFERROR(INDEX(Tables!$A:$A,MATCH(E186,Tables!$B:$B,0)),"Not found"))</f>
        <v/>
      </c>
      <c r="G186" s="21" t="str">
        <f aca="false">IF(OR(D186="",F186=""),"",IF(IFERROR(INDEX(Dimensions!$D:$D,MATCH(D186,Dimensions!$A:$A,0)),"")="","",IF(INDEX(Dimensions!$D:$D,MATCH(D186,Dimensions!$A:$A,0))=F186,"Yes","No")))</f>
        <v/>
      </c>
      <c r="H186" s="20"/>
      <c r="I186" s="20"/>
      <c r="J186" s="20"/>
      <c r="K186" s="20"/>
    </row>
    <row r="187" customFormat="false" ht="15" hidden="false" customHeight="false" outlineLevel="0" collapsed="false">
      <c r="A187" s="20"/>
      <c r="B187" s="18" t="str">
        <f aca="false">IF(A187="","",IFERROR(INDEX(Products!$A:$A,MATCH(A187,Products!$B:$B,0)),"Not found"))</f>
        <v/>
      </c>
      <c r="C187" s="20"/>
      <c r="D187" s="18" t="str">
        <f aca="false">IF(C187="","",IFERROR(INDEX(Dimensions!$A:$A,MATCH(C187,Dimensions!$B:$B,0)),"Not found"))</f>
        <v/>
      </c>
      <c r="E187" s="20"/>
      <c r="F187" s="18" t="str">
        <f aca="false">IF(E187="","",IFERROR(INDEX(Tables!$A:$A,MATCH(E187,Tables!$B:$B,0)),"Not found"))</f>
        <v/>
      </c>
      <c r="G187" s="21" t="str">
        <f aca="false">IF(OR(D187="",F187=""),"",IF(IFERROR(INDEX(Dimensions!$D:$D,MATCH(D187,Dimensions!$A:$A,0)),"")="","",IF(INDEX(Dimensions!$D:$D,MATCH(D187,Dimensions!$A:$A,0))=F187,"Yes","No")))</f>
        <v/>
      </c>
      <c r="H187" s="20"/>
      <c r="I187" s="20"/>
      <c r="J187" s="20"/>
      <c r="K187" s="20"/>
    </row>
    <row r="188" customFormat="false" ht="15" hidden="false" customHeight="false" outlineLevel="0" collapsed="false">
      <c r="A188" s="20"/>
      <c r="B188" s="18" t="str">
        <f aca="false">IF(A188="","",IFERROR(INDEX(Products!$A:$A,MATCH(A188,Products!$B:$B,0)),"Not found"))</f>
        <v/>
      </c>
      <c r="C188" s="20"/>
      <c r="D188" s="18" t="str">
        <f aca="false">IF(C188="","",IFERROR(INDEX(Dimensions!$A:$A,MATCH(C188,Dimensions!$B:$B,0)),"Not found"))</f>
        <v/>
      </c>
      <c r="E188" s="20"/>
      <c r="F188" s="18" t="str">
        <f aca="false">IF(E188="","",IFERROR(INDEX(Tables!$A:$A,MATCH(E188,Tables!$B:$B,0)),"Not found"))</f>
        <v/>
      </c>
      <c r="G188" s="21" t="str">
        <f aca="false">IF(OR(D188="",F188=""),"",IF(IFERROR(INDEX(Dimensions!$D:$D,MATCH(D188,Dimensions!$A:$A,0)),"")="","",IF(INDEX(Dimensions!$D:$D,MATCH(D188,Dimensions!$A:$A,0))=F188,"Yes","No")))</f>
        <v/>
      </c>
      <c r="H188" s="20"/>
      <c r="I188" s="20"/>
      <c r="J188" s="20"/>
      <c r="K188" s="20"/>
    </row>
    <row r="189" customFormat="false" ht="15" hidden="false" customHeight="false" outlineLevel="0" collapsed="false">
      <c r="A189" s="20"/>
      <c r="B189" s="18" t="str">
        <f aca="false">IF(A189="","",IFERROR(INDEX(Products!$A:$A,MATCH(A189,Products!$B:$B,0)),"Not found"))</f>
        <v/>
      </c>
      <c r="C189" s="20"/>
      <c r="D189" s="18" t="str">
        <f aca="false">IF(C189="","",IFERROR(INDEX(Dimensions!$A:$A,MATCH(C189,Dimensions!$B:$B,0)),"Not found"))</f>
        <v/>
      </c>
      <c r="E189" s="20"/>
      <c r="F189" s="18" t="str">
        <f aca="false">IF(E189="","",IFERROR(INDEX(Tables!$A:$A,MATCH(E189,Tables!$B:$B,0)),"Not found"))</f>
        <v/>
      </c>
      <c r="G189" s="21" t="str">
        <f aca="false">IF(OR(D189="",F189=""),"",IF(IFERROR(INDEX(Dimensions!$D:$D,MATCH(D189,Dimensions!$A:$A,0)),"")="","",IF(INDEX(Dimensions!$D:$D,MATCH(D189,Dimensions!$A:$A,0))=F189,"Yes","No")))</f>
        <v/>
      </c>
      <c r="H189" s="20"/>
      <c r="I189" s="20"/>
      <c r="J189" s="20"/>
      <c r="K189" s="20"/>
    </row>
    <row r="190" customFormat="false" ht="15" hidden="false" customHeight="false" outlineLevel="0" collapsed="false">
      <c r="A190" s="20"/>
      <c r="B190" s="18" t="str">
        <f aca="false">IF(A190="","",IFERROR(INDEX(Products!$A:$A,MATCH(A190,Products!$B:$B,0)),"Not found"))</f>
        <v/>
      </c>
      <c r="C190" s="20"/>
      <c r="D190" s="18" t="str">
        <f aca="false">IF(C190="","",IFERROR(INDEX(Dimensions!$A:$A,MATCH(C190,Dimensions!$B:$B,0)),"Not found"))</f>
        <v/>
      </c>
      <c r="E190" s="20"/>
      <c r="F190" s="18" t="str">
        <f aca="false">IF(E190="","",IFERROR(INDEX(Tables!$A:$A,MATCH(E190,Tables!$B:$B,0)),"Not found"))</f>
        <v/>
      </c>
      <c r="G190" s="21" t="str">
        <f aca="false">IF(OR(D190="",F190=""),"",IF(IFERROR(INDEX(Dimensions!$D:$D,MATCH(D190,Dimensions!$A:$A,0)),"")="","",IF(INDEX(Dimensions!$D:$D,MATCH(D190,Dimensions!$A:$A,0))=F190,"Yes","No")))</f>
        <v/>
      </c>
      <c r="H190" s="20"/>
      <c r="I190" s="20"/>
      <c r="J190" s="20"/>
      <c r="K190" s="20"/>
    </row>
    <row r="191" customFormat="false" ht="15" hidden="false" customHeight="false" outlineLevel="0" collapsed="false">
      <c r="A191" s="20"/>
      <c r="B191" s="18" t="str">
        <f aca="false">IF(A191="","",IFERROR(INDEX(Products!$A:$A,MATCH(A191,Products!$B:$B,0)),"Not found"))</f>
        <v/>
      </c>
      <c r="C191" s="20"/>
      <c r="D191" s="18" t="str">
        <f aca="false">IF(C191="","",IFERROR(INDEX(Dimensions!$A:$A,MATCH(C191,Dimensions!$B:$B,0)),"Not found"))</f>
        <v/>
      </c>
      <c r="E191" s="20"/>
      <c r="F191" s="18" t="str">
        <f aca="false">IF(E191="","",IFERROR(INDEX(Tables!$A:$A,MATCH(E191,Tables!$B:$B,0)),"Not found"))</f>
        <v/>
      </c>
      <c r="G191" s="21" t="str">
        <f aca="false">IF(OR(D191="",F191=""),"",IF(IFERROR(INDEX(Dimensions!$D:$D,MATCH(D191,Dimensions!$A:$A,0)),"")="","",IF(INDEX(Dimensions!$D:$D,MATCH(D191,Dimensions!$A:$A,0))=F191,"Yes","No")))</f>
        <v/>
      </c>
      <c r="H191" s="20"/>
      <c r="I191" s="20"/>
      <c r="J191" s="20"/>
      <c r="K191" s="20"/>
    </row>
    <row r="192" customFormat="false" ht="15" hidden="false" customHeight="false" outlineLevel="0" collapsed="false">
      <c r="A192" s="20"/>
      <c r="B192" s="18" t="str">
        <f aca="false">IF(A192="","",IFERROR(INDEX(Products!$A:$A,MATCH(A192,Products!$B:$B,0)),"Not found"))</f>
        <v/>
      </c>
      <c r="C192" s="20"/>
      <c r="D192" s="18" t="str">
        <f aca="false">IF(C192="","",IFERROR(INDEX(Dimensions!$A:$A,MATCH(C192,Dimensions!$B:$B,0)),"Not found"))</f>
        <v/>
      </c>
      <c r="E192" s="20"/>
      <c r="F192" s="18" t="str">
        <f aca="false">IF(E192="","",IFERROR(INDEX(Tables!$A:$A,MATCH(E192,Tables!$B:$B,0)),"Not found"))</f>
        <v/>
      </c>
      <c r="G192" s="21" t="str">
        <f aca="false">IF(OR(D192="",F192=""),"",IF(IFERROR(INDEX(Dimensions!$D:$D,MATCH(D192,Dimensions!$A:$A,0)),"")="","",IF(INDEX(Dimensions!$D:$D,MATCH(D192,Dimensions!$A:$A,0))=F192,"Yes","No")))</f>
        <v/>
      </c>
      <c r="H192" s="20"/>
      <c r="I192" s="20"/>
      <c r="J192" s="20"/>
      <c r="K192" s="20"/>
    </row>
    <row r="193" customFormat="false" ht="15" hidden="false" customHeight="false" outlineLevel="0" collapsed="false">
      <c r="A193" s="20"/>
      <c r="B193" s="18" t="str">
        <f aca="false">IF(A193="","",IFERROR(INDEX(Products!$A:$A,MATCH(A193,Products!$B:$B,0)),"Not found"))</f>
        <v/>
      </c>
      <c r="C193" s="20"/>
      <c r="D193" s="18" t="str">
        <f aca="false">IF(C193="","",IFERROR(INDEX(Dimensions!$A:$A,MATCH(C193,Dimensions!$B:$B,0)),"Not found"))</f>
        <v/>
      </c>
      <c r="E193" s="20"/>
      <c r="F193" s="18" t="str">
        <f aca="false">IF(E193="","",IFERROR(INDEX(Tables!$A:$A,MATCH(E193,Tables!$B:$B,0)),"Not found"))</f>
        <v/>
      </c>
      <c r="G193" s="21" t="str">
        <f aca="false">IF(OR(D193="",F193=""),"",IF(IFERROR(INDEX(Dimensions!$D:$D,MATCH(D193,Dimensions!$A:$A,0)),"")="","",IF(INDEX(Dimensions!$D:$D,MATCH(D193,Dimensions!$A:$A,0))=F193,"Yes","No")))</f>
        <v/>
      </c>
      <c r="H193" s="20"/>
      <c r="I193" s="20"/>
      <c r="J193" s="20"/>
      <c r="K193" s="20"/>
    </row>
    <row r="194" customFormat="false" ht="15" hidden="false" customHeight="false" outlineLevel="0" collapsed="false">
      <c r="A194" s="20"/>
      <c r="B194" s="18" t="str">
        <f aca="false">IF(A194="","",IFERROR(INDEX(Products!$A:$A,MATCH(A194,Products!$B:$B,0)),"Not found"))</f>
        <v/>
      </c>
      <c r="C194" s="20"/>
      <c r="D194" s="18" t="str">
        <f aca="false">IF(C194="","",IFERROR(INDEX(Dimensions!$A:$A,MATCH(C194,Dimensions!$B:$B,0)),"Not found"))</f>
        <v/>
      </c>
      <c r="E194" s="20"/>
      <c r="F194" s="18" t="str">
        <f aca="false">IF(E194="","",IFERROR(INDEX(Tables!$A:$A,MATCH(E194,Tables!$B:$B,0)),"Not found"))</f>
        <v/>
      </c>
      <c r="G194" s="21" t="str">
        <f aca="false">IF(OR(D194="",F194=""),"",IF(IFERROR(INDEX(Dimensions!$D:$D,MATCH(D194,Dimensions!$A:$A,0)),"")="","",IF(INDEX(Dimensions!$D:$D,MATCH(D194,Dimensions!$A:$A,0))=F194,"Yes","No")))</f>
        <v/>
      </c>
      <c r="H194" s="20"/>
      <c r="I194" s="20"/>
      <c r="J194" s="20"/>
      <c r="K194" s="20"/>
    </row>
    <row r="195" customFormat="false" ht="15" hidden="false" customHeight="false" outlineLevel="0" collapsed="false">
      <c r="A195" s="20"/>
      <c r="B195" s="18" t="str">
        <f aca="false">IF(A195="","",IFERROR(INDEX(Products!$A:$A,MATCH(A195,Products!$B:$B,0)),"Not found"))</f>
        <v/>
      </c>
      <c r="C195" s="20"/>
      <c r="D195" s="18" t="str">
        <f aca="false">IF(C195="","",IFERROR(INDEX(Dimensions!$A:$A,MATCH(C195,Dimensions!$B:$B,0)),"Not found"))</f>
        <v/>
      </c>
      <c r="E195" s="20"/>
      <c r="F195" s="18" t="str">
        <f aca="false">IF(E195="","",IFERROR(INDEX(Tables!$A:$A,MATCH(E195,Tables!$B:$B,0)),"Not found"))</f>
        <v/>
      </c>
      <c r="G195" s="21" t="str">
        <f aca="false">IF(OR(D195="",F195=""),"",IF(IFERROR(INDEX(Dimensions!$D:$D,MATCH(D195,Dimensions!$A:$A,0)),"")="","",IF(INDEX(Dimensions!$D:$D,MATCH(D195,Dimensions!$A:$A,0))=F195,"Yes","No")))</f>
        <v/>
      </c>
      <c r="H195" s="20"/>
      <c r="I195" s="20"/>
      <c r="J195" s="20"/>
      <c r="K195" s="20"/>
    </row>
    <row r="196" customFormat="false" ht="15" hidden="false" customHeight="false" outlineLevel="0" collapsed="false">
      <c r="A196" s="20"/>
      <c r="B196" s="18" t="str">
        <f aca="false">IF(A196="","",IFERROR(INDEX(Products!$A:$A,MATCH(A196,Products!$B:$B,0)),"Not found"))</f>
        <v/>
      </c>
      <c r="C196" s="20"/>
      <c r="D196" s="18" t="str">
        <f aca="false">IF(C196="","",IFERROR(INDEX(Dimensions!$A:$A,MATCH(C196,Dimensions!$B:$B,0)),"Not found"))</f>
        <v/>
      </c>
      <c r="E196" s="20"/>
      <c r="F196" s="18" t="str">
        <f aca="false">IF(E196="","",IFERROR(INDEX(Tables!$A:$A,MATCH(E196,Tables!$B:$B,0)),"Not found"))</f>
        <v/>
      </c>
      <c r="G196" s="21" t="str">
        <f aca="false">IF(OR(D196="",F196=""),"",IF(IFERROR(INDEX(Dimensions!$D:$D,MATCH(D196,Dimensions!$A:$A,0)),"")="","",IF(INDEX(Dimensions!$D:$D,MATCH(D196,Dimensions!$A:$A,0))=F196,"Yes","No")))</f>
        <v/>
      </c>
      <c r="H196" s="20"/>
      <c r="I196" s="20"/>
      <c r="J196" s="20"/>
      <c r="K196" s="20"/>
    </row>
    <row r="197" customFormat="false" ht="15" hidden="false" customHeight="false" outlineLevel="0" collapsed="false">
      <c r="A197" s="20"/>
      <c r="B197" s="18" t="str">
        <f aca="false">IF(A197="","",IFERROR(INDEX(Products!$A:$A,MATCH(A197,Products!$B:$B,0)),"Not found"))</f>
        <v/>
      </c>
      <c r="C197" s="20"/>
      <c r="D197" s="18" t="str">
        <f aca="false">IF(C197="","",IFERROR(INDEX(Dimensions!$A:$A,MATCH(C197,Dimensions!$B:$B,0)),"Not found"))</f>
        <v/>
      </c>
      <c r="E197" s="20"/>
      <c r="F197" s="18" t="str">
        <f aca="false">IF(E197="","",IFERROR(INDEX(Tables!$A:$A,MATCH(E197,Tables!$B:$B,0)),"Not found"))</f>
        <v/>
      </c>
      <c r="G197" s="21" t="str">
        <f aca="false">IF(OR(D197="",F197=""),"",IF(IFERROR(INDEX(Dimensions!$D:$D,MATCH(D197,Dimensions!$A:$A,0)),"")="","",IF(INDEX(Dimensions!$D:$D,MATCH(D197,Dimensions!$A:$A,0))=F197,"Yes","No")))</f>
        <v/>
      </c>
      <c r="H197" s="20"/>
      <c r="I197" s="20"/>
      <c r="J197" s="20"/>
      <c r="K197" s="20"/>
    </row>
    <row r="198" customFormat="false" ht="15" hidden="false" customHeight="false" outlineLevel="0" collapsed="false">
      <c r="A198" s="20"/>
      <c r="B198" s="18" t="str">
        <f aca="false">IF(A198="","",IFERROR(INDEX(Products!$A:$A,MATCH(A198,Products!$B:$B,0)),"Not found"))</f>
        <v/>
      </c>
      <c r="C198" s="20"/>
      <c r="D198" s="18" t="str">
        <f aca="false">IF(C198="","",IFERROR(INDEX(Dimensions!$A:$A,MATCH(C198,Dimensions!$B:$B,0)),"Not found"))</f>
        <v/>
      </c>
      <c r="E198" s="20"/>
      <c r="F198" s="18" t="str">
        <f aca="false">IF(E198="","",IFERROR(INDEX(Tables!$A:$A,MATCH(E198,Tables!$B:$B,0)),"Not found"))</f>
        <v/>
      </c>
      <c r="G198" s="21" t="str">
        <f aca="false">IF(OR(D198="",F198=""),"",IF(IFERROR(INDEX(Dimensions!$D:$D,MATCH(D198,Dimensions!$A:$A,0)),"")="","",IF(INDEX(Dimensions!$D:$D,MATCH(D198,Dimensions!$A:$A,0))=F198,"Yes","No")))</f>
        <v/>
      </c>
      <c r="H198" s="20"/>
      <c r="I198" s="20"/>
      <c r="J198" s="20"/>
      <c r="K198" s="20"/>
    </row>
    <row r="199" customFormat="false" ht="15" hidden="false" customHeight="false" outlineLevel="0" collapsed="false">
      <c r="A199" s="20"/>
      <c r="B199" s="18" t="str">
        <f aca="false">IF(A199="","",IFERROR(INDEX(Products!$A:$A,MATCH(A199,Products!$B:$B,0)),"Not found"))</f>
        <v/>
      </c>
      <c r="C199" s="20"/>
      <c r="D199" s="18" t="str">
        <f aca="false">IF(C199="","",IFERROR(INDEX(Dimensions!$A:$A,MATCH(C199,Dimensions!$B:$B,0)),"Not found"))</f>
        <v/>
      </c>
      <c r="E199" s="20"/>
      <c r="F199" s="18" t="str">
        <f aca="false">IF(E199="","",IFERROR(INDEX(Tables!$A:$A,MATCH(E199,Tables!$B:$B,0)),"Not found"))</f>
        <v/>
      </c>
      <c r="G199" s="21" t="str">
        <f aca="false">IF(OR(D199="",F199=""),"",IF(IFERROR(INDEX(Dimensions!$D:$D,MATCH(D199,Dimensions!$A:$A,0)),"")="","",IF(INDEX(Dimensions!$D:$D,MATCH(D199,Dimensions!$A:$A,0))=F199,"Yes","No")))</f>
        <v/>
      </c>
      <c r="H199" s="20"/>
      <c r="I199" s="20"/>
      <c r="J199" s="20"/>
      <c r="K199" s="20"/>
    </row>
    <row r="200" customFormat="false" ht="15" hidden="false" customHeight="false" outlineLevel="0" collapsed="false">
      <c r="A200" s="20"/>
      <c r="B200" s="18" t="str">
        <f aca="false">IF(A200="","",IFERROR(INDEX(Products!$A:$A,MATCH(A200,Products!$B:$B,0)),"Not found"))</f>
        <v/>
      </c>
      <c r="C200" s="20"/>
      <c r="D200" s="18" t="str">
        <f aca="false">IF(C200="","",IFERROR(INDEX(Dimensions!$A:$A,MATCH(C200,Dimensions!$B:$B,0)),"Not found"))</f>
        <v/>
      </c>
      <c r="E200" s="20"/>
      <c r="F200" s="18" t="str">
        <f aca="false">IF(E200="","",IFERROR(INDEX(Tables!$A:$A,MATCH(E200,Tables!$B:$B,0)),"Not found"))</f>
        <v/>
      </c>
      <c r="G200" s="21" t="str">
        <f aca="false">IF(OR(D200="",F200=""),"",IF(IFERROR(INDEX(Dimensions!$D:$D,MATCH(D200,Dimensions!$A:$A,0)),"")="","",IF(INDEX(Dimensions!$D:$D,MATCH(D200,Dimensions!$A:$A,0))=F200,"Yes","No")))</f>
        <v/>
      </c>
      <c r="H200" s="20"/>
      <c r="I200" s="20"/>
      <c r="J200" s="20"/>
      <c r="K200" s="20"/>
    </row>
    <row r="201" customFormat="false" ht="15" hidden="false" customHeight="false" outlineLevel="0" collapsed="false">
      <c r="A201" s="20"/>
      <c r="B201" s="18" t="str">
        <f aca="false">IF(A201="","",IFERROR(INDEX(Products!$A:$A,MATCH(A201,Products!$B:$B,0)),"Not found"))</f>
        <v/>
      </c>
      <c r="C201" s="20"/>
      <c r="D201" s="18" t="str">
        <f aca="false">IF(C201="","",IFERROR(INDEX(Dimensions!$A:$A,MATCH(C201,Dimensions!$B:$B,0)),"Not found"))</f>
        <v/>
      </c>
      <c r="E201" s="20"/>
      <c r="F201" s="18" t="str">
        <f aca="false">IF(E201="","",IFERROR(INDEX(Tables!$A:$A,MATCH(E201,Tables!$B:$B,0)),"Not found"))</f>
        <v/>
      </c>
      <c r="G201" s="21" t="str">
        <f aca="false">IF(OR(D201="",F201=""),"",IF(IFERROR(INDEX(Dimensions!$D:$D,MATCH(D201,Dimensions!$A:$A,0)),"")="","",IF(INDEX(Dimensions!$D:$D,MATCH(D201,Dimensions!$A:$A,0))=F201,"Yes","No")))</f>
        <v/>
      </c>
      <c r="H201" s="20"/>
      <c r="I201" s="20"/>
      <c r="J201" s="20"/>
      <c r="K201" s="20"/>
    </row>
    <row r="202" customFormat="false" ht="15" hidden="false" customHeight="false" outlineLevel="0" collapsed="false">
      <c r="A202" s="20"/>
      <c r="B202" s="18" t="str">
        <f aca="false">IF(A202="","",IFERROR(INDEX(Products!$A:$A,MATCH(A202,Products!$B:$B,0)),"Not found"))</f>
        <v/>
      </c>
      <c r="C202" s="20"/>
      <c r="D202" s="18" t="str">
        <f aca="false">IF(C202="","",IFERROR(INDEX(Dimensions!$A:$A,MATCH(C202,Dimensions!$B:$B,0)),"Not found"))</f>
        <v/>
      </c>
      <c r="E202" s="20"/>
      <c r="F202" s="18" t="str">
        <f aca="false">IF(E202="","",IFERROR(INDEX(Tables!$A:$A,MATCH(E202,Tables!$B:$B,0)),"Not found"))</f>
        <v/>
      </c>
      <c r="G202" s="21" t="str">
        <f aca="false">IF(OR(D202="",F202=""),"",IF(IFERROR(INDEX(Dimensions!$D:$D,MATCH(D202,Dimensions!$A:$A,0)),"")="","",IF(INDEX(Dimensions!$D:$D,MATCH(D202,Dimensions!$A:$A,0))=F202,"Yes","No")))</f>
        <v/>
      </c>
      <c r="H202" s="20"/>
      <c r="I202" s="20"/>
      <c r="J202" s="20"/>
      <c r="K202" s="20"/>
    </row>
    <row r="203" customFormat="false" ht="15" hidden="false" customHeight="false" outlineLevel="0" collapsed="false">
      <c r="A203" s="20"/>
      <c r="B203" s="18" t="str">
        <f aca="false">IF(A203="","",IFERROR(INDEX(Products!$A:$A,MATCH(A203,Products!$B:$B,0)),"Not found"))</f>
        <v/>
      </c>
      <c r="C203" s="20"/>
      <c r="D203" s="18" t="str">
        <f aca="false">IF(C203="","",IFERROR(INDEX(Dimensions!$A:$A,MATCH(C203,Dimensions!$B:$B,0)),"Not found"))</f>
        <v/>
      </c>
      <c r="E203" s="20"/>
      <c r="F203" s="18" t="str">
        <f aca="false">IF(E203="","",IFERROR(INDEX(Tables!$A:$A,MATCH(E203,Tables!$B:$B,0)),"Not found"))</f>
        <v/>
      </c>
      <c r="G203" s="21" t="str">
        <f aca="false">IF(OR(D203="",F203=""),"",IF(IFERROR(INDEX(Dimensions!$D:$D,MATCH(D203,Dimensions!$A:$A,0)),"")="","",IF(INDEX(Dimensions!$D:$D,MATCH(D203,Dimensions!$A:$A,0))=F203,"Yes","No")))</f>
        <v/>
      </c>
      <c r="H203" s="20"/>
      <c r="I203" s="20"/>
      <c r="J203" s="20"/>
      <c r="K203" s="20"/>
    </row>
    <row r="204" customFormat="false" ht="15" hidden="false" customHeight="false" outlineLevel="0" collapsed="false">
      <c r="A204" s="20"/>
      <c r="B204" s="18" t="str">
        <f aca="false">IF(A204="","",IFERROR(INDEX(Products!$A:$A,MATCH(A204,Products!$B:$B,0)),"Not found"))</f>
        <v/>
      </c>
      <c r="C204" s="20"/>
      <c r="D204" s="18" t="str">
        <f aca="false">IF(C204="","",IFERROR(INDEX(Dimensions!$A:$A,MATCH(C204,Dimensions!$B:$B,0)),"Not found"))</f>
        <v/>
      </c>
      <c r="E204" s="20"/>
      <c r="F204" s="18" t="str">
        <f aca="false">IF(E204="","",IFERROR(INDEX(Tables!$A:$A,MATCH(E204,Tables!$B:$B,0)),"Not found"))</f>
        <v/>
      </c>
      <c r="G204" s="21" t="str">
        <f aca="false">IF(OR(D204="",F204=""),"",IF(IFERROR(INDEX(Dimensions!$D:$D,MATCH(D204,Dimensions!$A:$A,0)),"")="","",IF(INDEX(Dimensions!$D:$D,MATCH(D204,Dimensions!$A:$A,0))=F204,"Yes","No")))</f>
        <v/>
      </c>
      <c r="H204" s="20"/>
      <c r="I204" s="20"/>
      <c r="J204" s="20"/>
      <c r="K204" s="20"/>
    </row>
    <row r="205" customFormat="false" ht="15" hidden="false" customHeight="false" outlineLevel="0" collapsed="false">
      <c r="A205" s="20"/>
      <c r="B205" s="18" t="str">
        <f aca="false">IF(A205="","",IFERROR(INDEX(Products!$A:$A,MATCH(A205,Products!$B:$B,0)),"Not found"))</f>
        <v/>
      </c>
      <c r="C205" s="20"/>
      <c r="D205" s="18" t="str">
        <f aca="false">IF(C205="","",IFERROR(INDEX(Dimensions!$A:$A,MATCH(C205,Dimensions!$B:$B,0)),"Not found"))</f>
        <v/>
      </c>
      <c r="E205" s="20"/>
      <c r="F205" s="18" t="str">
        <f aca="false">IF(E205="","",IFERROR(INDEX(Tables!$A:$A,MATCH(E205,Tables!$B:$B,0)),"Not found"))</f>
        <v/>
      </c>
      <c r="G205" s="21" t="str">
        <f aca="false">IF(OR(D205="",F205=""),"",IF(IFERROR(INDEX(Dimensions!$D:$D,MATCH(D205,Dimensions!$A:$A,0)),"")="","",IF(INDEX(Dimensions!$D:$D,MATCH(D205,Dimensions!$A:$A,0))=F205,"Yes","No")))</f>
        <v/>
      </c>
      <c r="H205" s="20"/>
      <c r="I205" s="20"/>
      <c r="J205" s="20"/>
      <c r="K205" s="20"/>
    </row>
    <row r="206" customFormat="false" ht="15" hidden="false" customHeight="false" outlineLevel="0" collapsed="false">
      <c r="A206" s="20"/>
      <c r="B206" s="18" t="str">
        <f aca="false">IF(A206="","",IFERROR(INDEX(Products!$A:$A,MATCH(A206,Products!$B:$B,0)),"Not found"))</f>
        <v/>
      </c>
      <c r="C206" s="20"/>
      <c r="D206" s="18" t="str">
        <f aca="false">IF(C206="","",IFERROR(INDEX(Dimensions!$A:$A,MATCH(C206,Dimensions!$B:$B,0)),"Not found"))</f>
        <v/>
      </c>
      <c r="E206" s="20"/>
      <c r="F206" s="18" t="str">
        <f aca="false">IF(E206="","",IFERROR(INDEX(Tables!$A:$A,MATCH(E206,Tables!$B:$B,0)),"Not found"))</f>
        <v/>
      </c>
      <c r="G206" s="21" t="str">
        <f aca="false">IF(OR(D206="",F206=""),"",IF(IFERROR(INDEX(Dimensions!$D:$D,MATCH(D206,Dimensions!$A:$A,0)),"")="","",IF(INDEX(Dimensions!$D:$D,MATCH(D206,Dimensions!$A:$A,0))=F206,"Yes","No")))</f>
        <v/>
      </c>
      <c r="H206" s="20"/>
      <c r="I206" s="20"/>
      <c r="J206" s="20"/>
      <c r="K206" s="20"/>
    </row>
    <row r="207" customFormat="false" ht="15" hidden="false" customHeight="false" outlineLevel="0" collapsed="false">
      <c r="A207" s="20"/>
      <c r="B207" s="18" t="str">
        <f aca="false">IF(A207="","",IFERROR(INDEX(Products!$A:$A,MATCH(A207,Products!$B:$B,0)),"Not found"))</f>
        <v/>
      </c>
      <c r="C207" s="20"/>
      <c r="D207" s="18" t="str">
        <f aca="false">IF(C207="","",IFERROR(INDEX(Dimensions!$A:$A,MATCH(C207,Dimensions!$B:$B,0)),"Not found"))</f>
        <v/>
      </c>
      <c r="E207" s="20"/>
      <c r="F207" s="18" t="str">
        <f aca="false">IF(E207="","",IFERROR(INDEX(Tables!$A:$A,MATCH(E207,Tables!$B:$B,0)),"Not found"))</f>
        <v/>
      </c>
      <c r="G207" s="21" t="str">
        <f aca="false">IF(OR(D207="",F207=""),"",IF(IFERROR(INDEX(Dimensions!$D:$D,MATCH(D207,Dimensions!$A:$A,0)),"")="","",IF(INDEX(Dimensions!$D:$D,MATCH(D207,Dimensions!$A:$A,0))=F207,"Yes","No")))</f>
        <v/>
      </c>
      <c r="H207" s="20"/>
      <c r="I207" s="20"/>
      <c r="J207" s="20"/>
      <c r="K207" s="20"/>
    </row>
    <row r="208" customFormat="false" ht="15" hidden="false" customHeight="false" outlineLevel="0" collapsed="false">
      <c r="A208" s="20"/>
      <c r="B208" s="18" t="str">
        <f aca="false">IF(A208="","",IFERROR(INDEX(Products!$A:$A,MATCH(A208,Products!$B:$B,0)),"Not found"))</f>
        <v/>
      </c>
      <c r="C208" s="20"/>
      <c r="D208" s="18" t="str">
        <f aca="false">IF(C208="","",IFERROR(INDEX(Dimensions!$A:$A,MATCH(C208,Dimensions!$B:$B,0)),"Not found"))</f>
        <v/>
      </c>
      <c r="E208" s="20"/>
      <c r="F208" s="18" t="str">
        <f aca="false">IF(E208="","",IFERROR(INDEX(Tables!$A:$A,MATCH(E208,Tables!$B:$B,0)),"Not found"))</f>
        <v/>
      </c>
      <c r="G208" s="21" t="str">
        <f aca="false">IF(OR(D208="",F208=""),"",IF(IFERROR(INDEX(Dimensions!$D:$D,MATCH(D208,Dimensions!$A:$A,0)),"")="","",IF(INDEX(Dimensions!$D:$D,MATCH(D208,Dimensions!$A:$A,0))=F208,"Yes","No")))</f>
        <v/>
      </c>
      <c r="H208" s="20"/>
      <c r="I208" s="20"/>
      <c r="J208" s="20"/>
      <c r="K208" s="20"/>
    </row>
    <row r="209" customFormat="false" ht="15" hidden="false" customHeight="false" outlineLevel="0" collapsed="false">
      <c r="A209" s="20"/>
      <c r="B209" s="18" t="str">
        <f aca="false">IF(A209="","",IFERROR(INDEX(Products!$A:$A,MATCH(A209,Products!$B:$B,0)),"Not found"))</f>
        <v/>
      </c>
      <c r="C209" s="20"/>
      <c r="D209" s="18" t="str">
        <f aca="false">IF(C209="","",IFERROR(INDEX(Dimensions!$A:$A,MATCH(C209,Dimensions!$B:$B,0)),"Not found"))</f>
        <v/>
      </c>
      <c r="E209" s="20"/>
      <c r="F209" s="18" t="str">
        <f aca="false">IF(E209="","",IFERROR(INDEX(Tables!$A:$A,MATCH(E209,Tables!$B:$B,0)),"Not found"))</f>
        <v/>
      </c>
      <c r="G209" s="21" t="str">
        <f aca="false">IF(OR(D209="",F209=""),"",IF(IFERROR(INDEX(Dimensions!$D:$D,MATCH(D209,Dimensions!$A:$A,0)),"")="","",IF(INDEX(Dimensions!$D:$D,MATCH(D209,Dimensions!$A:$A,0))=F209,"Yes","No")))</f>
        <v/>
      </c>
      <c r="H209" s="20"/>
      <c r="I209" s="20"/>
      <c r="J209" s="20"/>
      <c r="K209" s="20"/>
    </row>
    <row r="210" customFormat="false" ht="15" hidden="false" customHeight="false" outlineLevel="0" collapsed="false">
      <c r="A210" s="20"/>
      <c r="B210" s="18" t="str">
        <f aca="false">IF(A210="","",IFERROR(INDEX(Products!$A:$A,MATCH(A210,Products!$B:$B,0)),"Not found"))</f>
        <v/>
      </c>
      <c r="C210" s="20"/>
      <c r="D210" s="18" t="str">
        <f aca="false">IF(C210="","",IFERROR(INDEX(Dimensions!$A:$A,MATCH(C210,Dimensions!$B:$B,0)),"Not found"))</f>
        <v/>
      </c>
      <c r="E210" s="20"/>
      <c r="F210" s="18" t="str">
        <f aca="false">IF(E210="","",IFERROR(INDEX(Tables!$A:$A,MATCH(E210,Tables!$B:$B,0)),"Not found"))</f>
        <v/>
      </c>
      <c r="G210" s="21" t="str">
        <f aca="false">IF(OR(D210="",F210=""),"",IF(IFERROR(INDEX(Dimensions!$D:$D,MATCH(D210,Dimensions!$A:$A,0)),"")="","",IF(INDEX(Dimensions!$D:$D,MATCH(D210,Dimensions!$A:$A,0))=F210,"Yes","No")))</f>
        <v/>
      </c>
      <c r="H210" s="20"/>
      <c r="I210" s="20"/>
      <c r="J210" s="20"/>
      <c r="K210" s="20"/>
    </row>
    <row r="211" customFormat="false" ht="15" hidden="false" customHeight="false" outlineLevel="0" collapsed="false">
      <c r="A211" s="20"/>
      <c r="B211" s="18" t="str">
        <f aca="false">IF(A211="","",IFERROR(INDEX(Products!$A:$A,MATCH(A211,Products!$B:$B,0)),"Not found"))</f>
        <v/>
      </c>
      <c r="C211" s="20"/>
      <c r="D211" s="18" t="str">
        <f aca="false">IF(C211="","",IFERROR(INDEX(Dimensions!$A:$A,MATCH(C211,Dimensions!$B:$B,0)),"Not found"))</f>
        <v/>
      </c>
      <c r="E211" s="20"/>
      <c r="F211" s="18" t="str">
        <f aca="false">IF(E211="","",IFERROR(INDEX(Tables!$A:$A,MATCH(E211,Tables!$B:$B,0)),"Not found"))</f>
        <v/>
      </c>
      <c r="G211" s="21" t="str">
        <f aca="false">IF(OR(D211="",F211=""),"",IF(IFERROR(INDEX(Dimensions!$D:$D,MATCH(D211,Dimensions!$A:$A,0)),"")="","",IF(INDEX(Dimensions!$D:$D,MATCH(D211,Dimensions!$A:$A,0))=F211,"Yes","No")))</f>
        <v/>
      </c>
      <c r="H211" s="20"/>
      <c r="I211" s="20"/>
      <c r="J211" s="20"/>
      <c r="K211" s="20"/>
    </row>
    <row r="212" customFormat="false" ht="15" hidden="false" customHeight="false" outlineLevel="0" collapsed="false">
      <c r="A212" s="20"/>
      <c r="B212" s="18" t="str">
        <f aca="false">IF(A212="","",IFERROR(INDEX(Products!$A:$A,MATCH(A212,Products!$B:$B,0)),"Not found"))</f>
        <v/>
      </c>
      <c r="C212" s="20"/>
      <c r="D212" s="18" t="str">
        <f aca="false">IF(C212="","",IFERROR(INDEX(Dimensions!$A:$A,MATCH(C212,Dimensions!$B:$B,0)),"Not found"))</f>
        <v/>
      </c>
      <c r="E212" s="20"/>
      <c r="F212" s="18" t="str">
        <f aca="false">IF(E212="","",IFERROR(INDEX(Tables!$A:$A,MATCH(E212,Tables!$B:$B,0)),"Not found"))</f>
        <v/>
      </c>
      <c r="G212" s="21" t="str">
        <f aca="false">IF(OR(D212="",F212=""),"",IF(IFERROR(INDEX(Dimensions!$D:$D,MATCH(D212,Dimensions!$A:$A,0)),"")="","",IF(INDEX(Dimensions!$D:$D,MATCH(D212,Dimensions!$A:$A,0))=F212,"Yes","No")))</f>
        <v/>
      </c>
      <c r="H212" s="20"/>
      <c r="I212" s="20"/>
      <c r="J212" s="20"/>
      <c r="K212" s="20"/>
    </row>
    <row r="213" customFormat="false" ht="15" hidden="false" customHeight="false" outlineLevel="0" collapsed="false">
      <c r="A213" s="20"/>
      <c r="B213" s="18" t="str">
        <f aca="false">IF(A213="","",IFERROR(INDEX(Products!$A:$A,MATCH(A213,Products!$B:$B,0)),"Not found"))</f>
        <v/>
      </c>
      <c r="C213" s="20"/>
      <c r="D213" s="18" t="str">
        <f aca="false">IF(C213="","",IFERROR(INDEX(Dimensions!$A:$A,MATCH(C213,Dimensions!$B:$B,0)),"Not found"))</f>
        <v/>
      </c>
      <c r="E213" s="20"/>
      <c r="F213" s="18" t="str">
        <f aca="false">IF(E213="","",IFERROR(INDEX(Tables!$A:$A,MATCH(E213,Tables!$B:$B,0)),"Not found"))</f>
        <v/>
      </c>
      <c r="G213" s="21" t="str">
        <f aca="false">IF(OR(D213="",F213=""),"",IF(IFERROR(INDEX(Dimensions!$D:$D,MATCH(D213,Dimensions!$A:$A,0)),"")="","",IF(INDEX(Dimensions!$D:$D,MATCH(D213,Dimensions!$A:$A,0))=F213,"Yes","No")))</f>
        <v/>
      </c>
      <c r="H213" s="20"/>
      <c r="I213" s="20"/>
      <c r="J213" s="20"/>
      <c r="K213" s="20"/>
    </row>
    <row r="214" customFormat="false" ht="15" hidden="false" customHeight="false" outlineLevel="0" collapsed="false">
      <c r="A214" s="20"/>
      <c r="B214" s="18" t="str">
        <f aca="false">IF(A214="","",IFERROR(INDEX(Products!$A:$A,MATCH(A214,Products!$B:$B,0)),"Not found"))</f>
        <v/>
      </c>
      <c r="C214" s="20"/>
      <c r="D214" s="18" t="str">
        <f aca="false">IF(C214="","",IFERROR(INDEX(Dimensions!$A:$A,MATCH(C214,Dimensions!$B:$B,0)),"Not found"))</f>
        <v/>
      </c>
      <c r="E214" s="20"/>
      <c r="F214" s="18" t="str">
        <f aca="false">IF(E214="","",IFERROR(INDEX(Tables!$A:$A,MATCH(E214,Tables!$B:$B,0)),"Not found"))</f>
        <v/>
      </c>
      <c r="G214" s="21" t="str">
        <f aca="false">IF(OR(D214="",F214=""),"",IF(IFERROR(INDEX(Dimensions!$D:$D,MATCH(D214,Dimensions!$A:$A,0)),"")="","",IF(INDEX(Dimensions!$D:$D,MATCH(D214,Dimensions!$A:$A,0))=F214,"Yes","No")))</f>
        <v/>
      </c>
      <c r="H214" s="20"/>
      <c r="I214" s="20"/>
      <c r="J214" s="20"/>
      <c r="K214" s="20"/>
    </row>
    <row r="215" customFormat="false" ht="15" hidden="false" customHeight="false" outlineLevel="0" collapsed="false">
      <c r="A215" s="20"/>
      <c r="B215" s="18" t="str">
        <f aca="false">IF(A215="","",IFERROR(INDEX(Products!$A:$A,MATCH(A215,Products!$B:$B,0)),"Not found"))</f>
        <v/>
      </c>
      <c r="C215" s="20"/>
      <c r="D215" s="18" t="str">
        <f aca="false">IF(C215="","",IFERROR(INDEX(Dimensions!$A:$A,MATCH(C215,Dimensions!$B:$B,0)),"Not found"))</f>
        <v/>
      </c>
      <c r="E215" s="20"/>
      <c r="F215" s="18" t="str">
        <f aca="false">IF(E215="","",IFERROR(INDEX(Tables!$A:$A,MATCH(E215,Tables!$B:$B,0)),"Not found"))</f>
        <v/>
      </c>
      <c r="G215" s="21" t="str">
        <f aca="false">IF(OR(D215="",F215=""),"",IF(IFERROR(INDEX(Dimensions!$D:$D,MATCH(D215,Dimensions!$A:$A,0)),"")="","",IF(INDEX(Dimensions!$D:$D,MATCH(D215,Dimensions!$A:$A,0))=F215,"Yes","No")))</f>
        <v/>
      </c>
      <c r="H215" s="20"/>
      <c r="I215" s="20"/>
      <c r="J215" s="20"/>
      <c r="K215" s="20"/>
    </row>
    <row r="216" customFormat="false" ht="15" hidden="false" customHeight="false" outlineLevel="0" collapsed="false">
      <c r="A216" s="20"/>
      <c r="B216" s="18" t="str">
        <f aca="false">IF(A216="","",IFERROR(INDEX(Products!$A:$A,MATCH(A216,Products!$B:$B,0)),"Not found"))</f>
        <v/>
      </c>
      <c r="C216" s="20"/>
      <c r="D216" s="18" t="str">
        <f aca="false">IF(C216="","",IFERROR(INDEX(Dimensions!$A:$A,MATCH(C216,Dimensions!$B:$B,0)),"Not found"))</f>
        <v/>
      </c>
      <c r="E216" s="20"/>
      <c r="F216" s="18" t="str">
        <f aca="false">IF(E216="","",IFERROR(INDEX(Tables!$A:$A,MATCH(E216,Tables!$B:$B,0)),"Not found"))</f>
        <v/>
      </c>
      <c r="G216" s="21" t="str">
        <f aca="false">IF(OR(D216="",F216=""),"",IF(IFERROR(INDEX(Dimensions!$D:$D,MATCH(D216,Dimensions!$A:$A,0)),"")="","",IF(INDEX(Dimensions!$D:$D,MATCH(D216,Dimensions!$A:$A,0))=F216,"Yes","No")))</f>
        <v/>
      </c>
      <c r="H216" s="20"/>
      <c r="I216" s="20"/>
      <c r="J216" s="20"/>
      <c r="K216" s="20"/>
    </row>
    <row r="217" customFormat="false" ht="15" hidden="false" customHeight="false" outlineLevel="0" collapsed="false">
      <c r="A217" s="20"/>
      <c r="B217" s="18" t="str">
        <f aca="false">IF(A217="","",IFERROR(INDEX(Products!$A:$A,MATCH(A217,Products!$B:$B,0)),"Not found"))</f>
        <v/>
      </c>
      <c r="C217" s="20"/>
      <c r="D217" s="18" t="str">
        <f aca="false">IF(C217="","",IFERROR(INDEX(Dimensions!$A:$A,MATCH(C217,Dimensions!$B:$B,0)),"Not found"))</f>
        <v/>
      </c>
      <c r="E217" s="20"/>
      <c r="F217" s="18" t="str">
        <f aca="false">IF(E217="","",IFERROR(INDEX(Tables!$A:$A,MATCH(E217,Tables!$B:$B,0)),"Not found"))</f>
        <v/>
      </c>
      <c r="G217" s="21" t="str">
        <f aca="false">IF(OR(D217="",F217=""),"",IF(IFERROR(INDEX(Dimensions!$D:$D,MATCH(D217,Dimensions!$A:$A,0)),"")="","",IF(INDEX(Dimensions!$D:$D,MATCH(D217,Dimensions!$A:$A,0))=F217,"Yes","No")))</f>
        <v/>
      </c>
      <c r="H217" s="20"/>
      <c r="I217" s="20"/>
      <c r="J217" s="20"/>
      <c r="K217" s="20"/>
    </row>
    <row r="218" customFormat="false" ht="15" hidden="false" customHeight="false" outlineLevel="0" collapsed="false">
      <c r="A218" s="20"/>
      <c r="B218" s="18" t="str">
        <f aca="false">IF(A218="","",IFERROR(INDEX(Products!$A:$A,MATCH(A218,Products!$B:$B,0)),"Not found"))</f>
        <v/>
      </c>
      <c r="C218" s="20"/>
      <c r="D218" s="18" t="str">
        <f aca="false">IF(C218="","",IFERROR(INDEX(Dimensions!$A:$A,MATCH(C218,Dimensions!$B:$B,0)),"Not found"))</f>
        <v/>
      </c>
      <c r="E218" s="20"/>
      <c r="F218" s="18" t="str">
        <f aca="false">IF(E218="","",IFERROR(INDEX(Tables!$A:$A,MATCH(E218,Tables!$B:$B,0)),"Not found"))</f>
        <v/>
      </c>
      <c r="G218" s="21" t="str">
        <f aca="false">IF(OR(D218="",F218=""),"",IF(IFERROR(INDEX(Dimensions!$D:$D,MATCH(D218,Dimensions!$A:$A,0)),"")="","",IF(INDEX(Dimensions!$D:$D,MATCH(D218,Dimensions!$A:$A,0))=F218,"Yes","No")))</f>
        <v/>
      </c>
      <c r="H218" s="20"/>
      <c r="I218" s="20"/>
      <c r="J218" s="20"/>
      <c r="K218" s="20"/>
    </row>
    <row r="219" customFormat="false" ht="15" hidden="false" customHeight="false" outlineLevel="0" collapsed="false">
      <c r="A219" s="20"/>
      <c r="B219" s="18" t="str">
        <f aca="false">IF(A219="","",IFERROR(INDEX(Products!$A:$A,MATCH(A219,Products!$B:$B,0)),"Not found"))</f>
        <v/>
      </c>
      <c r="C219" s="20"/>
      <c r="D219" s="18" t="str">
        <f aca="false">IF(C219="","",IFERROR(INDEX(Dimensions!$A:$A,MATCH(C219,Dimensions!$B:$B,0)),"Not found"))</f>
        <v/>
      </c>
      <c r="E219" s="20"/>
      <c r="F219" s="18" t="str">
        <f aca="false">IF(E219="","",IFERROR(INDEX(Tables!$A:$A,MATCH(E219,Tables!$B:$B,0)),"Not found"))</f>
        <v/>
      </c>
      <c r="G219" s="21" t="str">
        <f aca="false">IF(OR(D219="",F219=""),"",IF(IFERROR(INDEX(Dimensions!$D:$D,MATCH(D219,Dimensions!$A:$A,0)),"")="","",IF(INDEX(Dimensions!$D:$D,MATCH(D219,Dimensions!$A:$A,0))=F219,"Yes","No")))</f>
        <v/>
      </c>
      <c r="H219" s="20"/>
      <c r="I219" s="20"/>
      <c r="J219" s="20"/>
      <c r="K219" s="20"/>
    </row>
    <row r="220" customFormat="false" ht="15" hidden="false" customHeight="false" outlineLevel="0" collapsed="false">
      <c r="A220" s="20"/>
      <c r="B220" s="18" t="str">
        <f aca="false">IF(A220="","",IFERROR(INDEX(Products!$A:$A,MATCH(A220,Products!$B:$B,0)),"Not found"))</f>
        <v/>
      </c>
      <c r="C220" s="20"/>
      <c r="D220" s="18" t="str">
        <f aca="false">IF(C220="","",IFERROR(INDEX(Dimensions!$A:$A,MATCH(C220,Dimensions!$B:$B,0)),"Not found"))</f>
        <v/>
      </c>
      <c r="E220" s="20"/>
      <c r="F220" s="18" t="str">
        <f aca="false">IF(E220="","",IFERROR(INDEX(Tables!$A:$A,MATCH(E220,Tables!$B:$B,0)),"Not found"))</f>
        <v/>
      </c>
      <c r="G220" s="21" t="str">
        <f aca="false">IF(OR(D220="",F220=""),"",IF(IFERROR(INDEX(Dimensions!$D:$D,MATCH(D220,Dimensions!$A:$A,0)),"")="","",IF(INDEX(Dimensions!$D:$D,MATCH(D220,Dimensions!$A:$A,0))=F220,"Yes","No")))</f>
        <v/>
      </c>
      <c r="H220" s="20"/>
      <c r="I220" s="20"/>
      <c r="J220" s="20"/>
      <c r="K220" s="20"/>
    </row>
    <row r="221" customFormat="false" ht="15" hidden="false" customHeight="false" outlineLevel="0" collapsed="false">
      <c r="A221" s="20"/>
      <c r="B221" s="18" t="str">
        <f aca="false">IF(A221="","",IFERROR(INDEX(Products!$A:$A,MATCH(A221,Products!$B:$B,0)),"Not found"))</f>
        <v/>
      </c>
      <c r="C221" s="20"/>
      <c r="D221" s="18" t="str">
        <f aca="false">IF(C221="","",IFERROR(INDEX(Dimensions!$A:$A,MATCH(C221,Dimensions!$B:$B,0)),"Not found"))</f>
        <v/>
      </c>
      <c r="E221" s="20"/>
      <c r="F221" s="18" t="str">
        <f aca="false">IF(E221="","",IFERROR(INDEX(Tables!$A:$A,MATCH(E221,Tables!$B:$B,0)),"Not found"))</f>
        <v/>
      </c>
      <c r="G221" s="21" t="str">
        <f aca="false">IF(OR(D221="",F221=""),"",IF(IFERROR(INDEX(Dimensions!$D:$D,MATCH(D221,Dimensions!$A:$A,0)),"")="","",IF(INDEX(Dimensions!$D:$D,MATCH(D221,Dimensions!$A:$A,0))=F221,"Yes","No")))</f>
        <v/>
      </c>
      <c r="H221" s="20"/>
      <c r="I221" s="20"/>
      <c r="J221" s="20"/>
      <c r="K221" s="20"/>
    </row>
    <row r="222" customFormat="false" ht="15" hidden="false" customHeight="false" outlineLevel="0" collapsed="false">
      <c r="A222" s="20"/>
      <c r="B222" s="18" t="str">
        <f aca="false">IF(A222="","",IFERROR(INDEX(Products!$A:$A,MATCH(A222,Products!$B:$B,0)),"Not found"))</f>
        <v/>
      </c>
      <c r="C222" s="20"/>
      <c r="D222" s="18" t="str">
        <f aca="false">IF(C222="","",IFERROR(INDEX(Dimensions!$A:$A,MATCH(C222,Dimensions!$B:$B,0)),"Not found"))</f>
        <v/>
      </c>
      <c r="E222" s="20"/>
      <c r="F222" s="18" t="str">
        <f aca="false">IF(E222="","",IFERROR(INDEX(Tables!$A:$A,MATCH(E222,Tables!$B:$B,0)),"Not found"))</f>
        <v/>
      </c>
      <c r="G222" s="21" t="str">
        <f aca="false">IF(OR(D222="",F222=""),"",IF(IFERROR(INDEX(Dimensions!$D:$D,MATCH(D222,Dimensions!$A:$A,0)),"")="","",IF(INDEX(Dimensions!$D:$D,MATCH(D222,Dimensions!$A:$A,0))=F222,"Yes","No")))</f>
        <v/>
      </c>
      <c r="H222" s="20"/>
      <c r="I222" s="20"/>
      <c r="J222" s="20"/>
      <c r="K222" s="20"/>
    </row>
    <row r="223" customFormat="false" ht="15" hidden="false" customHeight="false" outlineLevel="0" collapsed="false">
      <c r="A223" s="20"/>
      <c r="B223" s="18" t="str">
        <f aca="false">IF(A223="","",IFERROR(INDEX(Products!$A:$A,MATCH(A223,Products!$B:$B,0)),"Not found"))</f>
        <v/>
      </c>
      <c r="C223" s="20"/>
      <c r="D223" s="18" t="str">
        <f aca="false">IF(C223="","",IFERROR(INDEX(Dimensions!$A:$A,MATCH(C223,Dimensions!$B:$B,0)),"Not found"))</f>
        <v/>
      </c>
      <c r="E223" s="20"/>
      <c r="F223" s="18" t="str">
        <f aca="false">IF(E223="","",IFERROR(INDEX(Tables!$A:$A,MATCH(E223,Tables!$B:$B,0)),"Not found"))</f>
        <v/>
      </c>
      <c r="G223" s="21" t="str">
        <f aca="false">IF(OR(D223="",F223=""),"",IF(IFERROR(INDEX(Dimensions!$D:$D,MATCH(D223,Dimensions!$A:$A,0)),"")="","",IF(INDEX(Dimensions!$D:$D,MATCH(D223,Dimensions!$A:$A,0))=F223,"Yes","No")))</f>
        <v/>
      </c>
      <c r="H223" s="20"/>
      <c r="I223" s="20"/>
      <c r="J223" s="20"/>
      <c r="K223" s="20"/>
    </row>
    <row r="224" customFormat="false" ht="15" hidden="false" customHeight="false" outlineLevel="0" collapsed="false">
      <c r="A224" s="20"/>
      <c r="B224" s="18" t="str">
        <f aca="false">IF(A224="","",IFERROR(INDEX(Products!$A:$A,MATCH(A224,Products!$B:$B,0)),"Not found"))</f>
        <v/>
      </c>
      <c r="C224" s="20"/>
      <c r="D224" s="18" t="str">
        <f aca="false">IF(C224="","",IFERROR(INDEX(Dimensions!$A:$A,MATCH(C224,Dimensions!$B:$B,0)),"Not found"))</f>
        <v/>
      </c>
      <c r="E224" s="20"/>
      <c r="F224" s="18" t="str">
        <f aca="false">IF(E224="","",IFERROR(INDEX(Tables!$A:$A,MATCH(E224,Tables!$B:$B,0)),"Not found"))</f>
        <v/>
      </c>
      <c r="G224" s="21" t="str">
        <f aca="false">IF(OR(D224="",F224=""),"",IF(IFERROR(INDEX(Dimensions!$D:$D,MATCH(D224,Dimensions!$A:$A,0)),"")="","",IF(INDEX(Dimensions!$D:$D,MATCH(D224,Dimensions!$A:$A,0))=F224,"Yes","No")))</f>
        <v/>
      </c>
      <c r="H224" s="20"/>
      <c r="I224" s="20"/>
      <c r="J224" s="20"/>
      <c r="K224" s="20"/>
    </row>
    <row r="225" customFormat="false" ht="15" hidden="false" customHeight="false" outlineLevel="0" collapsed="false">
      <c r="A225" s="20"/>
      <c r="B225" s="18" t="str">
        <f aca="false">IF(A225="","",IFERROR(INDEX(Products!$A:$A,MATCH(A225,Products!$B:$B,0)),"Not found"))</f>
        <v/>
      </c>
      <c r="C225" s="20"/>
      <c r="D225" s="18" t="str">
        <f aca="false">IF(C225="","",IFERROR(INDEX(Dimensions!$A:$A,MATCH(C225,Dimensions!$B:$B,0)),"Not found"))</f>
        <v/>
      </c>
      <c r="E225" s="20"/>
      <c r="F225" s="18" t="str">
        <f aca="false">IF(E225="","",IFERROR(INDEX(Tables!$A:$A,MATCH(E225,Tables!$B:$B,0)),"Not found"))</f>
        <v/>
      </c>
      <c r="G225" s="21" t="str">
        <f aca="false">IF(OR(D225="",F225=""),"",IF(IFERROR(INDEX(Dimensions!$D:$D,MATCH(D225,Dimensions!$A:$A,0)),"")="","",IF(INDEX(Dimensions!$D:$D,MATCH(D225,Dimensions!$A:$A,0))=F225,"Yes","No")))</f>
        <v/>
      </c>
      <c r="H225" s="20"/>
      <c r="I225" s="20"/>
      <c r="J225" s="20"/>
      <c r="K225" s="20"/>
    </row>
    <row r="226" customFormat="false" ht="15" hidden="false" customHeight="false" outlineLevel="0" collapsed="false">
      <c r="A226" s="20"/>
      <c r="B226" s="18" t="str">
        <f aca="false">IF(A226="","",IFERROR(INDEX(Products!$A:$A,MATCH(A226,Products!$B:$B,0)),"Not found"))</f>
        <v/>
      </c>
      <c r="C226" s="20"/>
      <c r="D226" s="18" t="str">
        <f aca="false">IF(C226="","",IFERROR(INDEX(Dimensions!$A:$A,MATCH(C226,Dimensions!$B:$B,0)),"Not found"))</f>
        <v/>
      </c>
      <c r="E226" s="20"/>
      <c r="F226" s="18" t="str">
        <f aca="false">IF(E226="","",IFERROR(INDEX(Tables!$A:$A,MATCH(E226,Tables!$B:$B,0)),"Not found"))</f>
        <v/>
      </c>
      <c r="G226" s="21" t="str">
        <f aca="false">IF(OR(D226="",F226=""),"",IF(IFERROR(INDEX(Dimensions!$D:$D,MATCH(D226,Dimensions!$A:$A,0)),"")="","",IF(INDEX(Dimensions!$D:$D,MATCH(D226,Dimensions!$A:$A,0))=F226,"Yes","No")))</f>
        <v/>
      </c>
      <c r="H226" s="20"/>
      <c r="I226" s="20"/>
      <c r="J226" s="20"/>
      <c r="K226" s="20"/>
    </row>
    <row r="227" customFormat="false" ht="15" hidden="false" customHeight="false" outlineLevel="0" collapsed="false">
      <c r="A227" s="20"/>
      <c r="B227" s="18" t="str">
        <f aca="false">IF(A227="","",IFERROR(INDEX(Products!$A:$A,MATCH(A227,Products!$B:$B,0)),"Not found"))</f>
        <v/>
      </c>
      <c r="C227" s="20"/>
      <c r="D227" s="18" t="str">
        <f aca="false">IF(C227="","",IFERROR(INDEX(Dimensions!$A:$A,MATCH(C227,Dimensions!$B:$B,0)),"Not found"))</f>
        <v/>
      </c>
      <c r="E227" s="20"/>
      <c r="F227" s="18" t="str">
        <f aca="false">IF(E227="","",IFERROR(INDEX(Tables!$A:$A,MATCH(E227,Tables!$B:$B,0)),"Not found"))</f>
        <v/>
      </c>
      <c r="G227" s="21" t="str">
        <f aca="false">IF(OR(D227="",F227=""),"",IF(IFERROR(INDEX(Dimensions!$D:$D,MATCH(D227,Dimensions!$A:$A,0)),"")="","",IF(INDEX(Dimensions!$D:$D,MATCH(D227,Dimensions!$A:$A,0))=F227,"Yes","No")))</f>
        <v/>
      </c>
      <c r="H227" s="20"/>
      <c r="I227" s="20"/>
      <c r="J227" s="20"/>
      <c r="K227" s="20"/>
    </row>
    <row r="228" customFormat="false" ht="15" hidden="false" customHeight="false" outlineLevel="0" collapsed="false">
      <c r="A228" s="20"/>
      <c r="B228" s="18" t="str">
        <f aca="false">IF(A228="","",IFERROR(INDEX(Products!$A:$A,MATCH(A228,Products!$B:$B,0)),"Not found"))</f>
        <v/>
      </c>
      <c r="C228" s="20"/>
      <c r="D228" s="18" t="str">
        <f aca="false">IF(C228="","",IFERROR(INDEX(Dimensions!$A:$A,MATCH(C228,Dimensions!$B:$B,0)),"Not found"))</f>
        <v/>
      </c>
      <c r="E228" s="20"/>
      <c r="F228" s="18" t="str">
        <f aca="false">IF(E228="","",IFERROR(INDEX(Tables!$A:$A,MATCH(E228,Tables!$B:$B,0)),"Not found"))</f>
        <v/>
      </c>
      <c r="G228" s="21" t="str">
        <f aca="false">IF(OR(D228="",F228=""),"",IF(IFERROR(INDEX(Dimensions!$D:$D,MATCH(D228,Dimensions!$A:$A,0)),"")="","",IF(INDEX(Dimensions!$D:$D,MATCH(D228,Dimensions!$A:$A,0))=F228,"Yes","No")))</f>
        <v/>
      </c>
      <c r="H228" s="20"/>
      <c r="I228" s="20"/>
      <c r="J228" s="20"/>
      <c r="K228" s="20"/>
    </row>
    <row r="229" customFormat="false" ht="15" hidden="false" customHeight="false" outlineLevel="0" collapsed="false">
      <c r="A229" s="20"/>
      <c r="B229" s="18" t="str">
        <f aca="false">IF(A229="","",IFERROR(INDEX(Products!$A:$A,MATCH(A229,Products!$B:$B,0)),"Not found"))</f>
        <v/>
      </c>
      <c r="C229" s="20"/>
      <c r="D229" s="18" t="str">
        <f aca="false">IF(C229="","",IFERROR(INDEX(Dimensions!$A:$A,MATCH(C229,Dimensions!$B:$B,0)),"Not found"))</f>
        <v/>
      </c>
      <c r="E229" s="20"/>
      <c r="F229" s="18" t="str">
        <f aca="false">IF(E229="","",IFERROR(INDEX(Tables!$A:$A,MATCH(E229,Tables!$B:$B,0)),"Not found"))</f>
        <v/>
      </c>
      <c r="G229" s="21" t="str">
        <f aca="false">IF(OR(D229="",F229=""),"",IF(IFERROR(INDEX(Dimensions!$D:$D,MATCH(D229,Dimensions!$A:$A,0)),"")="","",IF(INDEX(Dimensions!$D:$D,MATCH(D229,Dimensions!$A:$A,0))=F229,"Yes","No")))</f>
        <v/>
      </c>
      <c r="H229" s="20"/>
      <c r="I229" s="20"/>
      <c r="J229" s="20"/>
      <c r="K229" s="20"/>
    </row>
    <row r="230" customFormat="false" ht="15" hidden="false" customHeight="false" outlineLevel="0" collapsed="false">
      <c r="A230" s="20"/>
      <c r="B230" s="18" t="str">
        <f aca="false">IF(A230="","",IFERROR(INDEX(Products!$A:$A,MATCH(A230,Products!$B:$B,0)),"Not found"))</f>
        <v/>
      </c>
      <c r="C230" s="20"/>
      <c r="D230" s="18" t="str">
        <f aca="false">IF(C230="","",IFERROR(INDEX(Dimensions!$A:$A,MATCH(C230,Dimensions!$B:$B,0)),"Not found"))</f>
        <v/>
      </c>
      <c r="E230" s="20"/>
      <c r="F230" s="18" t="str">
        <f aca="false">IF(E230="","",IFERROR(INDEX(Tables!$A:$A,MATCH(E230,Tables!$B:$B,0)),"Not found"))</f>
        <v/>
      </c>
      <c r="G230" s="21" t="str">
        <f aca="false">IF(OR(D230="",F230=""),"",IF(IFERROR(INDEX(Dimensions!$D:$D,MATCH(D230,Dimensions!$A:$A,0)),"")="","",IF(INDEX(Dimensions!$D:$D,MATCH(D230,Dimensions!$A:$A,0))=F230,"Yes","No")))</f>
        <v/>
      </c>
      <c r="H230" s="20"/>
      <c r="I230" s="20"/>
      <c r="J230" s="20"/>
      <c r="K230" s="20"/>
    </row>
    <row r="231" customFormat="false" ht="15" hidden="false" customHeight="false" outlineLevel="0" collapsed="false">
      <c r="A231" s="20"/>
      <c r="B231" s="18" t="str">
        <f aca="false">IF(A231="","",IFERROR(INDEX(Products!$A:$A,MATCH(A231,Products!$B:$B,0)),"Not found"))</f>
        <v/>
      </c>
      <c r="C231" s="20"/>
      <c r="D231" s="18" t="str">
        <f aca="false">IF(C231="","",IFERROR(INDEX(Dimensions!$A:$A,MATCH(C231,Dimensions!$B:$B,0)),"Not found"))</f>
        <v/>
      </c>
      <c r="E231" s="20"/>
      <c r="F231" s="18" t="str">
        <f aca="false">IF(E231="","",IFERROR(INDEX(Tables!$A:$A,MATCH(E231,Tables!$B:$B,0)),"Not found"))</f>
        <v/>
      </c>
      <c r="G231" s="21" t="str">
        <f aca="false">IF(OR(D231="",F231=""),"",IF(IFERROR(INDEX(Dimensions!$D:$D,MATCH(D231,Dimensions!$A:$A,0)),"")="","",IF(INDEX(Dimensions!$D:$D,MATCH(D231,Dimensions!$A:$A,0))=F231,"Yes","No")))</f>
        <v/>
      </c>
      <c r="H231" s="20"/>
      <c r="I231" s="20"/>
      <c r="J231" s="20"/>
      <c r="K231" s="20"/>
    </row>
    <row r="232" customFormat="false" ht="15" hidden="false" customHeight="false" outlineLevel="0" collapsed="false">
      <c r="A232" s="20"/>
      <c r="B232" s="18" t="str">
        <f aca="false">IF(A232="","",IFERROR(INDEX(Products!$A:$A,MATCH(A232,Products!$B:$B,0)),"Not found"))</f>
        <v/>
      </c>
      <c r="C232" s="20"/>
      <c r="D232" s="18" t="str">
        <f aca="false">IF(C232="","",IFERROR(INDEX(Dimensions!$A:$A,MATCH(C232,Dimensions!$B:$B,0)),"Not found"))</f>
        <v/>
      </c>
      <c r="E232" s="20"/>
      <c r="F232" s="18" t="str">
        <f aca="false">IF(E232="","",IFERROR(INDEX(Tables!$A:$A,MATCH(E232,Tables!$B:$B,0)),"Not found"))</f>
        <v/>
      </c>
      <c r="G232" s="21" t="str">
        <f aca="false">IF(OR(D232="",F232=""),"",IF(IFERROR(INDEX(Dimensions!$D:$D,MATCH(D232,Dimensions!$A:$A,0)),"")="","",IF(INDEX(Dimensions!$D:$D,MATCH(D232,Dimensions!$A:$A,0))=F232,"Yes","No")))</f>
        <v/>
      </c>
      <c r="H232" s="20"/>
      <c r="I232" s="20"/>
      <c r="J232" s="20"/>
      <c r="K232" s="20"/>
    </row>
    <row r="233" customFormat="false" ht="15" hidden="false" customHeight="false" outlineLevel="0" collapsed="false">
      <c r="A233" s="20"/>
      <c r="B233" s="18" t="str">
        <f aca="false">IF(A233="","",IFERROR(INDEX(Products!$A:$A,MATCH(A233,Products!$B:$B,0)),"Not found"))</f>
        <v/>
      </c>
      <c r="C233" s="20"/>
      <c r="D233" s="18" t="str">
        <f aca="false">IF(C233="","",IFERROR(INDEX(Dimensions!$A:$A,MATCH(C233,Dimensions!$B:$B,0)),"Not found"))</f>
        <v/>
      </c>
      <c r="E233" s="20"/>
      <c r="F233" s="18" t="str">
        <f aca="false">IF(E233="","",IFERROR(INDEX(Tables!$A:$A,MATCH(E233,Tables!$B:$B,0)),"Not found"))</f>
        <v/>
      </c>
      <c r="G233" s="21" t="str">
        <f aca="false">IF(OR(D233="",F233=""),"",IF(IFERROR(INDEX(Dimensions!$D:$D,MATCH(D233,Dimensions!$A:$A,0)),"")="","",IF(INDEX(Dimensions!$D:$D,MATCH(D233,Dimensions!$A:$A,0))=F233,"Yes","No")))</f>
        <v/>
      </c>
      <c r="H233" s="20"/>
      <c r="I233" s="20"/>
      <c r="J233" s="20"/>
      <c r="K233" s="20"/>
    </row>
    <row r="234" customFormat="false" ht="15" hidden="false" customHeight="false" outlineLevel="0" collapsed="false">
      <c r="A234" s="20"/>
      <c r="B234" s="18" t="str">
        <f aca="false">IF(A234="","",IFERROR(INDEX(Products!$A:$A,MATCH(A234,Products!$B:$B,0)),"Not found"))</f>
        <v/>
      </c>
      <c r="C234" s="20"/>
      <c r="D234" s="18" t="str">
        <f aca="false">IF(C234="","",IFERROR(INDEX(Dimensions!$A:$A,MATCH(C234,Dimensions!$B:$B,0)),"Not found"))</f>
        <v/>
      </c>
      <c r="E234" s="20"/>
      <c r="F234" s="18" t="str">
        <f aca="false">IF(E234="","",IFERROR(INDEX(Tables!$A:$A,MATCH(E234,Tables!$B:$B,0)),"Not found"))</f>
        <v/>
      </c>
      <c r="G234" s="21" t="str">
        <f aca="false">IF(OR(D234="",F234=""),"",IF(IFERROR(INDEX(Dimensions!$D:$D,MATCH(D234,Dimensions!$A:$A,0)),"")="","",IF(INDEX(Dimensions!$D:$D,MATCH(D234,Dimensions!$A:$A,0))=F234,"Yes","No")))</f>
        <v/>
      </c>
      <c r="H234" s="20"/>
      <c r="I234" s="20"/>
      <c r="J234" s="20"/>
      <c r="K234" s="20"/>
    </row>
    <row r="235" customFormat="false" ht="15" hidden="false" customHeight="false" outlineLevel="0" collapsed="false">
      <c r="A235" s="20"/>
      <c r="B235" s="18" t="str">
        <f aca="false">IF(A235="","",IFERROR(INDEX(Products!$A:$A,MATCH(A235,Products!$B:$B,0)),"Not found"))</f>
        <v/>
      </c>
      <c r="C235" s="20"/>
      <c r="D235" s="18" t="str">
        <f aca="false">IF(C235="","",IFERROR(INDEX(Dimensions!$A:$A,MATCH(C235,Dimensions!$B:$B,0)),"Not found"))</f>
        <v/>
      </c>
      <c r="E235" s="20"/>
      <c r="F235" s="18" t="str">
        <f aca="false">IF(E235="","",IFERROR(INDEX(Tables!$A:$A,MATCH(E235,Tables!$B:$B,0)),"Not found"))</f>
        <v/>
      </c>
      <c r="G235" s="21" t="str">
        <f aca="false">IF(OR(D235="",F235=""),"",IF(IFERROR(INDEX(Dimensions!$D:$D,MATCH(D235,Dimensions!$A:$A,0)),"")="","",IF(INDEX(Dimensions!$D:$D,MATCH(D235,Dimensions!$A:$A,0))=F235,"Yes","No")))</f>
        <v/>
      </c>
      <c r="H235" s="20"/>
      <c r="I235" s="20"/>
      <c r="J235" s="20"/>
      <c r="K235" s="20"/>
    </row>
    <row r="236" customFormat="false" ht="15" hidden="false" customHeight="false" outlineLevel="0" collapsed="false">
      <c r="A236" s="20"/>
      <c r="B236" s="18" t="str">
        <f aca="false">IF(A236="","",IFERROR(INDEX(Products!$A:$A,MATCH(A236,Products!$B:$B,0)),"Not found"))</f>
        <v/>
      </c>
      <c r="C236" s="20"/>
      <c r="D236" s="18" t="str">
        <f aca="false">IF(C236="","",IFERROR(INDEX(Dimensions!$A:$A,MATCH(C236,Dimensions!$B:$B,0)),"Not found"))</f>
        <v/>
      </c>
      <c r="E236" s="20"/>
      <c r="F236" s="18" t="str">
        <f aca="false">IF(E236="","",IFERROR(INDEX(Tables!$A:$A,MATCH(E236,Tables!$B:$B,0)),"Not found"))</f>
        <v/>
      </c>
      <c r="G236" s="21" t="str">
        <f aca="false">IF(OR(D236="",F236=""),"",IF(IFERROR(INDEX(Dimensions!$D:$D,MATCH(D236,Dimensions!$A:$A,0)),"")="","",IF(INDEX(Dimensions!$D:$D,MATCH(D236,Dimensions!$A:$A,0))=F236,"Yes","No")))</f>
        <v/>
      </c>
      <c r="H236" s="20"/>
      <c r="I236" s="20"/>
      <c r="J236" s="20"/>
      <c r="K236" s="20"/>
    </row>
    <row r="237" customFormat="false" ht="15" hidden="false" customHeight="false" outlineLevel="0" collapsed="false">
      <c r="A237" s="20"/>
      <c r="B237" s="18" t="str">
        <f aca="false">IF(A237="","",IFERROR(INDEX(Products!$A:$A,MATCH(A237,Products!$B:$B,0)),"Not found"))</f>
        <v/>
      </c>
      <c r="C237" s="20"/>
      <c r="D237" s="18" t="str">
        <f aca="false">IF(C237="","",IFERROR(INDEX(Dimensions!$A:$A,MATCH(C237,Dimensions!$B:$B,0)),"Not found"))</f>
        <v/>
      </c>
      <c r="E237" s="20"/>
      <c r="F237" s="18" t="str">
        <f aca="false">IF(E237="","",IFERROR(INDEX(Tables!$A:$A,MATCH(E237,Tables!$B:$B,0)),"Not found"))</f>
        <v/>
      </c>
      <c r="G237" s="21" t="str">
        <f aca="false">IF(OR(D237="",F237=""),"",IF(IFERROR(INDEX(Dimensions!$D:$D,MATCH(D237,Dimensions!$A:$A,0)),"")="","",IF(INDEX(Dimensions!$D:$D,MATCH(D237,Dimensions!$A:$A,0))=F237,"Yes","No")))</f>
        <v/>
      </c>
      <c r="H237" s="20"/>
      <c r="I237" s="20"/>
      <c r="J237" s="20"/>
      <c r="K237" s="20"/>
    </row>
    <row r="238" customFormat="false" ht="15" hidden="false" customHeight="false" outlineLevel="0" collapsed="false">
      <c r="A238" s="20"/>
      <c r="B238" s="18" t="str">
        <f aca="false">IF(A238="","",IFERROR(INDEX(Products!$A:$A,MATCH(A238,Products!$B:$B,0)),"Not found"))</f>
        <v/>
      </c>
      <c r="C238" s="20"/>
      <c r="D238" s="18" t="str">
        <f aca="false">IF(C238="","",IFERROR(INDEX(Dimensions!$A:$A,MATCH(C238,Dimensions!$B:$B,0)),"Not found"))</f>
        <v/>
      </c>
      <c r="E238" s="20"/>
      <c r="F238" s="18" t="str">
        <f aca="false">IF(E238="","",IFERROR(INDEX(Tables!$A:$A,MATCH(E238,Tables!$B:$B,0)),"Not found"))</f>
        <v/>
      </c>
      <c r="G238" s="21" t="str">
        <f aca="false">IF(OR(D238="",F238=""),"",IF(IFERROR(INDEX(Dimensions!$D:$D,MATCH(D238,Dimensions!$A:$A,0)),"")="","",IF(INDEX(Dimensions!$D:$D,MATCH(D238,Dimensions!$A:$A,0))=F238,"Yes","No")))</f>
        <v/>
      </c>
      <c r="H238" s="20"/>
      <c r="I238" s="20"/>
      <c r="J238" s="20"/>
      <c r="K238" s="20"/>
    </row>
    <row r="239" customFormat="false" ht="15" hidden="false" customHeight="false" outlineLevel="0" collapsed="false">
      <c r="A239" s="20"/>
      <c r="B239" s="18" t="str">
        <f aca="false">IF(A239="","",IFERROR(INDEX(Products!$A:$A,MATCH(A239,Products!$B:$B,0)),"Not found"))</f>
        <v/>
      </c>
      <c r="C239" s="20"/>
      <c r="D239" s="18" t="str">
        <f aca="false">IF(C239="","",IFERROR(INDEX(Dimensions!$A:$A,MATCH(C239,Dimensions!$B:$B,0)),"Not found"))</f>
        <v/>
      </c>
      <c r="E239" s="20"/>
      <c r="F239" s="18" t="str">
        <f aca="false">IF(E239="","",IFERROR(INDEX(Tables!$A:$A,MATCH(E239,Tables!$B:$B,0)),"Not found"))</f>
        <v/>
      </c>
      <c r="G239" s="21" t="str">
        <f aca="false">IF(OR(D239="",F239=""),"",IF(IFERROR(INDEX(Dimensions!$D:$D,MATCH(D239,Dimensions!$A:$A,0)),"")="","",IF(INDEX(Dimensions!$D:$D,MATCH(D239,Dimensions!$A:$A,0))=F239,"Yes","No")))</f>
        <v/>
      </c>
      <c r="H239" s="20"/>
      <c r="I239" s="20"/>
      <c r="J239" s="20"/>
      <c r="K239" s="20"/>
    </row>
    <row r="240" customFormat="false" ht="15" hidden="false" customHeight="false" outlineLevel="0" collapsed="false">
      <c r="A240" s="20"/>
      <c r="B240" s="18" t="str">
        <f aca="false">IF(A240="","",IFERROR(INDEX(Products!$A:$A,MATCH(A240,Products!$B:$B,0)),"Not found"))</f>
        <v/>
      </c>
      <c r="C240" s="20"/>
      <c r="D240" s="18" t="str">
        <f aca="false">IF(C240="","",IFERROR(INDEX(Dimensions!$A:$A,MATCH(C240,Dimensions!$B:$B,0)),"Not found"))</f>
        <v/>
      </c>
      <c r="E240" s="20"/>
      <c r="F240" s="18" t="str">
        <f aca="false">IF(E240="","",IFERROR(INDEX(Tables!$A:$A,MATCH(E240,Tables!$B:$B,0)),"Not found"))</f>
        <v/>
      </c>
      <c r="G240" s="21" t="str">
        <f aca="false">IF(OR(D240="",F240=""),"",IF(IFERROR(INDEX(Dimensions!$D:$D,MATCH(D240,Dimensions!$A:$A,0)),"")="","",IF(INDEX(Dimensions!$D:$D,MATCH(D240,Dimensions!$A:$A,0))=F240,"Yes","No")))</f>
        <v/>
      </c>
      <c r="H240" s="20"/>
      <c r="I240" s="20"/>
      <c r="J240" s="20"/>
      <c r="K240" s="20"/>
    </row>
    <row r="241" customFormat="false" ht="15" hidden="false" customHeight="false" outlineLevel="0" collapsed="false">
      <c r="A241" s="20"/>
      <c r="B241" s="18" t="str">
        <f aca="false">IF(A241="","",IFERROR(INDEX(Products!$A:$A,MATCH(A241,Products!$B:$B,0)),"Not found"))</f>
        <v/>
      </c>
      <c r="C241" s="20"/>
      <c r="D241" s="18" t="str">
        <f aca="false">IF(C241="","",IFERROR(INDEX(Dimensions!$A:$A,MATCH(C241,Dimensions!$B:$B,0)),"Not found"))</f>
        <v/>
      </c>
      <c r="E241" s="20"/>
      <c r="F241" s="18" t="str">
        <f aca="false">IF(E241="","",IFERROR(INDEX(Tables!$A:$A,MATCH(E241,Tables!$B:$B,0)),"Not found"))</f>
        <v/>
      </c>
      <c r="G241" s="21" t="str">
        <f aca="false">IF(OR(D241="",F241=""),"",IF(IFERROR(INDEX(Dimensions!$D:$D,MATCH(D241,Dimensions!$A:$A,0)),"")="","",IF(INDEX(Dimensions!$D:$D,MATCH(D241,Dimensions!$A:$A,0))=F241,"Yes","No")))</f>
        <v/>
      </c>
      <c r="H241" s="20"/>
      <c r="I241" s="20"/>
      <c r="J241" s="20"/>
      <c r="K241" s="20"/>
    </row>
    <row r="242" customFormat="false" ht="15" hidden="false" customHeight="false" outlineLevel="0" collapsed="false">
      <c r="A242" s="20"/>
      <c r="B242" s="18" t="str">
        <f aca="false">IF(A242="","",IFERROR(INDEX(Products!$A:$A,MATCH(A242,Products!$B:$B,0)),"Not found"))</f>
        <v/>
      </c>
      <c r="C242" s="20"/>
      <c r="D242" s="18" t="str">
        <f aca="false">IF(C242="","",IFERROR(INDEX(Dimensions!$A:$A,MATCH(C242,Dimensions!$B:$B,0)),"Not found"))</f>
        <v/>
      </c>
      <c r="E242" s="20"/>
      <c r="F242" s="18" t="str">
        <f aca="false">IF(E242="","",IFERROR(INDEX(Tables!$A:$A,MATCH(E242,Tables!$B:$B,0)),"Not found"))</f>
        <v/>
      </c>
      <c r="G242" s="21" t="str">
        <f aca="false">IF(OR(D242="",F242=""),"",IF(IFERROR(INDEX(Dimensions!$D:$D,MATCH(D242,Dimensions!$A:$A,0)),"")="","",IF(INDEX(Dimensions!$D:$D,MATCH(D242,Dimensions!$A:$A,0))=F242,"Yes","No")))</f>
        <v/>
      </c>
      <c r="H242" s="20"/>
      <c r="I242" s="20"/>
      <c r="J242" s="20"/>
      <c r="K242" s="20"/>
    </row>
    <row r="243" customFormat="false" ht="15" hidden="false" customHeight="false" outlineLevel="0" collapsed="false">
      <c r="A243" s="20"/>
      <c r="B243" s="18" t="str">
        <f aca="false">IF(A243="","",IFERROR(INDEX(Products!$A:$A,MATCH(A243,Products!$B:$B,0)),"Not found"))</f>
        <v/>
      </c>
      <c r="C243" s="20"/>
      <c r="D243" s="18" t="str">
        <f aca="false">IF(C243="","",IFERROR(INDEX(Dimensions!$A:$A,MATCH(C243,Dimensions!$B:$B,0)),"Not found"))</f>
        <v/>
      </c>
      <c r="E243" s="20"/>
      <c r="F243" s="18" t="str">
        <f aca="false">IF(E243="","",IFERROR(INDEX(Tables!$A:$A,MATCH(E243,Tables!$B:$B,0)),"Not found"))</f>
        <v/>
      </c>
      <c r="G243" s="21" t="str">
        <f aca="false">IF(OR(D243="",F243=""),"",IF(IFERROR(INDEX(Dimensions!$D:$D,MATCH(D243,Dimensions!$A:$A,0)),"")="","",IF(INDEX(Dimensions!$D:$D,MATCH(D243,Dimensions!$A:$A,0))=F243,"Yes","No")))</f>
        <v/>
      </c>
      <c r="H243" s="20"/>
      <c r="I243" s="20"/>
      <c r="J243" s="20"/>
      <c r="K243" s="20"/>
    </row>
    <row r="244" customFormat="false" ht="15" hidden="false" customHeight="false" outlineLevel="0" collapsed="false">
      <c r="A244" s="20"/>
      <c r="B244" s="18" t="str">
        <f aca="false">IF(A244="","",IFERROR(INDEX(Products!$A:$A,MATCH(A244,Products!$B:$B,0)),"Not found"))</f>
        <v/>
      </c>
      <c r="C244" s="20"/>
      <c r="D244" s="18" t="str">
        <f aca="false">IF(C244="","",IFERROR(INDEX(Dimensions!$A:$A,MATCH(C244,Dimensions!$B:$B,0)),"Not found"))</f>
        <v/>
      </c>
      <c r="E244" s="20"/>
      <c r="F244" s="18" t="str">
        <f aca="false">IF(E244="","",IFERROR(INDEX(Tables!$A:$A,MATCH(E244,Tables!$B:$B,0)),"Not found"))</f>
        <v/>
      </c>
      <c r="G244" s="21" t="str">
        <f aca="false">IF(OR(D244="",F244=""),"",IF(IFERROR(INDEX(Dimensions!$D:$D,MATCH(D244,Dimensions!$A:$A,0)),"")="","",IF(INDEX(Dimensions!$D:$D,MATCH(D244,Dimensions!$A:$A,0))=F244,"Yes","No")))</f>
        <v/>
      </c>
      <c r="H244" s="20"/>
      <c r="I244" s="20"/>
      <c r="J244" s="20"/>
      <c r="K244" s="20"/>
    </row>
    <row r="245" customFormat="false" ht="15" hidden="false" customHeight="false" outlineLevel="0" collapsed="false">
      <c r="A245" s="20"/>
      <c r="B245" s="18" t="str">
        <f aca="false">IF(A245="","",IFERROR(INDEX(Products!$A:$A,MATCH(A245,Products!$B:$B,0)),"Not found"))</f>
        <v/>
      </c>
      <c r="C245" s="20"/>
      <c r="D245" s="18" t="str">
        <f aca="false">IF(C245="","",IFERROR(INDEX(Dimensions!$A:$A,MATCH(C245,Dimensions!$B:$B,0)),"Not found"))</f>
        <v/>
      </c>
      <c r="E245" s="20"/>
      <c r="F245" s="18" t="str">
        <f aca="false">IF(E245="","",IFERROR(INDEX(Tables!$A:$A,MATCH(E245,Tables!$B:$B,0)),"Not found"))</f>
        <v/>
      </c>
      <c r="G245" s="21" t="str">
        <f aca="false">IF(OR(D245="",F245=""),"",IF(IFERROR(INDEX(Dimensions!$D:$D,MATCH(D245,Dimensions!$A:$A,0)),"")="","",IF(INDEX(Dimensions!$D:$D,MATCH(D245,Dimensions!$A:$A,0))=F245,"Yes","No")))</f>
        <v/>
      </c>
      <c r="H245" s="20"/>
      <c r="I245" s="20"/>
      <c r="J245" s="20"/>
      <c r="K245" s="20"/>
    </row>
    <row r="246" customFormat="false" ht="15" hidden="false" customHeight="false" outlineLevel="0" collapsed="false">
      <c r="A246" s="20"/>
      <c r="B246" s="18" t="str">
        <f aca="false">IF(A246="","",IFERROR(INDEX(Products!$A:$A,MATCH(A246,Products!$B:$B,0)),"Not found"))</f>
        <v/>
      </c>
      <c r="C246" s="20"/>
      <c r="D246" s="18" t="str">
        <f aca="false">IF(C246="","",IFERROR(INDEX(Dimensions!$A:$A,MATCH(C246,Dimensions!$B:$B,0)),"Not found"))</f>
        <v/>
      </c>
      <c r="E246" s="20"/>
      <c r="F246" s="18" t="str">
        <f aca="false">IF(E246="","",IFERROR(INDEX(Tables!$A:$A,MATCH(E246,Tables!$B:$B,0)),"Not found"))</f>
        <v/>
      </c>
      <c r="G246" s="21" t="str">
        <f aca="false">IF(OR(D246="",F246=""),"",IF(IFERROR(INDEX(Dimensions!$D:$D,MATCH(D246,Dimensions!$A:$A,0)),"")="","",IF(INDEX(Dimensions!$D:$D,MATCH(D246,Dimensions!$A:$A,0))=F246,"Yes","No")))</f>
        <v/>
      </c>
      <c r="H246" s="20"/>
      <c r="I246" s="20"/>
      <c r="J246" s="20"/>
      <c r="K246" s="20"/>
    </row>
    <row r="247" customFormat="false" ht="15" hidden="false" customHeight="false" outlineLevel="0" collapsed="false">
      <c r="A247" s="20"/>
      <c r="B247" s="18" t="str">
        <f aca="false">IF(A247="","",IFERROR(INDEX(Products!$A:$A,MATCH(A247,Products!$B:$B,0)),"Not found"))</f>
        <v/>
      </c>
      <c r="C247" s="20"/>
      <c r="D247" s="18" t="str">
        <f aca="false">IF(C247="","",IFERROR(INDEX(Dimensions!$A:$A,MATCH(C247,Dimensions!$B:$B,0)),"Not found"))</f>
        <v/>
      </c>
      <c r="E247" s="20"/>
      <c r="F247" s="18" t="str">
        <f aca="false">IF(E247="","",IFERROR(INDEX(Tables!$A:$A,MATCH(E247,Tables!$B:$B,0)),"Not found"))</f>
        <v/>
      </c>
      <c r="G247" s="21" t="str">
        <f aca="false">IF(OR(D247="",F247=""),"",IF(IFERROR(INDEX(Dimensions!$D:$D,MATCH(D247,Dimensions!$A:$A,0)),"")="","",IF(INDEX(Dimensions!$D:$D,MATCH(D247,Dimensions!$A:$A,0))=F247,"Yes","No")))</f>
        <v/>
      </c>
      <c r="H247" s="20"/>
      <c r="I247" s="20"/>
      <c r="J247" s="20"/>
      <c r="K247" s="20"/>
    </row>
    <row r="248" customFormat="false" ht="15" hidden="false" customHeight="false" outlineLevel="0" collapsed="false">
      <c r="A248" s="20"/>
      <c r="B248" s="18" t="str">
        <f aca="false">IF(A248="","",IFERROR(INDEX(Products!$A:$A,MATCH(A248,Products!$B:$B,0)),"Not found"))</f>
        <v/>
      </c>
      <c r="C248" s="20"/>
      <c r="D248" s="18" t="str">
        <f aca="false">IF(C248="","",IFERROR(INDEX(Dimensions!$A:$A,MATCH(C248,Dimensions!$B:$B,0)),"Not found"))</f>
        <v/>
      </c>
      <c r="E248" s="20"/>
      <c r="F248" s="18" t="str">
        <f aca="false">IF(E248="","",IFERROR(INDEX(Tables!$A:$A,MATCH(E248,Tables!$B:$B,0)),"Not found"))</f>
        <v/>
      </c>
      <c r="G248" s="21" t="str">
        <f aca="false">IF(OR(D248="",F248=""),"",IF(IFERROR(INDEX(Dimensions!$D:$D,MATCH(D248,Dimensions!$A:$A,0)),"")="","",IF(INDEX(Dimensions!$D:$D,MATCH(D248,Dimensions!$A:$A,0))=F248,"Yes","No")))</f>
        <v/>
      </c>
      <c r="H248" s="20"/>
      <c r="I248" s="20"/>
      <c r="J248" s="20"/>
      <c r="K248" s="20"/>
    </row>
    <row r="249" customFormat="false" ht="15" hidden="false" customHeight="false" outlineLevel="0" collapsed="false">
      <c r="A249" s="20"/>
      <c r="B249" s="18" t="str">
        <f aca="false">IF(A249="","",IFERROR(INDEX(Products!$A:$A,MATCH(A249,Products!$B:$B,0)),"Not found"))</f>
        <v/>
      </c>
      <c r="C249" s="20"/>
      <c r="D249" s="18" t="str">
        <f aca="false">IF(C249="","",IFERROR(INDEX(Dimensions!$A:$A,MATCH(C249,Dimensions!$B:$B,0)),"Not found"))</f>
        <v/>
      </c>
      <c r="E249" s="20"/>
      <c r="F249" s="18" t="str">
        <f aca="false">IF(E249="","",IFERROR(INDEX(Tables!$A:$A,MATCH(E249,Tables!$B:$B,0)),"Not found"))</f>
        <v/>
      </c>
      <c r="G249" s="21" t="str">
        <f aca="false">IF(OR(D249="",F249=""),"",IF(IFERROR(INDEX(Dimensions!$D:$D,MATCH(D249,Dimensions!$A:$A,0)),"")="","",IF(INDEX(Dimensions!$D:$D,MATCH(D249,Dimensions!$A:$A,0))=F249,"Yes","No")))</f>
        <v/>
      </c>
      <c r="H249" s="20"/>
      <c r="I249" s="20"/>
      <c r="J249" s="20"/>
      <c r="K249" s="20"/>
    </row>
    <row r="250" customFormat="false" ht="15" hidden="false" customHeight="false" outlineLevel="0" collapsed="false">
      <c r="A250" s="20"/>
      <c r="B250" s="18" t="str">
        <f aca="false">IF(A250="","",IFERROR(INDEX(Products!$A:$A,MATCH(A250,Products!$B:$B,0)),"Not found"))</f>
        <v/>
      </c>
      <c r="C250" s="20"/>
      <c r="D250" s="18" t="str">
        <f aca="false">IF(C250="","",IFERROR(INDEX(Dimensions!$A:$A,MATCH(C250,Dimensions!$B:$B,0)),"Not found"))</f>
        <v/>
      </c>
      <c r="E250" s="20"/>
      <c r="F250" s="18" t="str">
        <f aca="false">IF(E250="","",IFERROR(INDEX(Tables!$A:$A,MATCH(E250,Tables!$B:$B,0)),"Not found"))</f>
        <v/>
      </c>
      <c r="G250" s="21" t="str">
        <f aca="false">IF(OR(D250="",F250=""),"",IF(IFERROR(INDEX(Dimensions!$D:$D,MATCH(D250,Dimensions!$A:$A,0)),"")="","",IF(INDEX(Dimensions!$D:$D,MATCH(D250,Dimensions!$A:$A,0))=F250,"Yes","No")))</f>
        <v/>
      </c>
      <c r="H250" s="20"/>
      <c r="I250" s="20"/>
      <c r="J250" s="20"/>
      <c r="K250" s="20"/>
    </row>
    <row r="251" customFormat="false" ht="15" hidden="false" customHeight="false" outlineLevel="0" collapsed="false">
      <c r="A251" s="20"/>
      <c r="B251" s="18" t="str">
        <f aca="false">IF(A251="","",IFERROR(INDEX(Products!$A:$A,MATCH(A251,Products!$B:$B,0)),"Not found"))</f>
        <v/>
      </c>
      <c r="C251" s="20"/>
      <c r="D251" s="18" t="str">
        <f aca="false">IF(C251="","",IFERROR(INDEX(Dimensions!$A:$A,MATCH(C251,Dimensions!$B:$B,0)),"Not found"))</f>
        <v/>
      </c>
      <c r="E251" s="20"/>
      <c r="F251" s="18" t="str">
        <f aca="false">IF(E251="","",IFERROR(INDEX(Tables!$A:$A,MATCH(E251,Tables!$B:$B,0)),"Not found"))</f>
        <v/>
      </c>
      <c r="G251" s="21" t="str">
        <f aca="false">IF(OR(D251="",F251=""),"",IF(IFERROR(INDEX(Dimensions!$D:$D,MATCH(D251,Dimensions!$A:$A,0)),"")="","",IF(INDEX(Dimensions!$D:$D,MATCH(D251,Dimensions!$A:$A,0))=F251,"Yes","No")))</f>
        <v/>
      </c>
      <c r="H251" s="20"/>
      <c r="I251" s="20"/>
      <c r="J251" s="20"/>
      <c r="K251" s="20"/>
    </row>
    <row r="252" customFormat="false" ht="15" hidden="false" customHeight="false" outlineLevel="0" collapsed="false">
      <c r="A252" s="20"/>
      <c r="B252" s="18" t="str">
        <f aca="false">IF(A252="","",IFERROR(INDEX(Products!$A:$A,MATCH(A252,Products!$B:$B,0)),"Not found"))</f>
        <v/>
      </c>
      <c r="C252" s="20"/>
      <c r="D252" s="18" t="str">
        <f aca="false">IF(C252="","",IFERROR(INDEX(Dimensions!$A:$A,MATCH(C252,Dimensions!$B:$B,0)),"Not found"))</f>
        <v/>
      </c>
      <c r="E252" s="20"/>
      <c r="F252" s="18" t="str">
        <f aca="false">IF(E252="","",IFERROR(INDEX(Tables!$A:$A,MATCH(E252,Tables!$B:$B,0)),"Not found"))</f>
        <v/>
      </c>
      <c r="G252" s="21" t="str">
        <f aca="false">IF(OR(D252="",F252=""),"",IF(IFERROR(INDEX(Dimensions!$D:$D,MATCH(D252,Dimensions!$A:$A,0)),"")="","",IF(INDEX(Dimensions!$D:$D,MATCH(D252,Dimensions!$A:$A,0))=F252,"Yes","No")))</f>
        <v/>
      </c>
      <c r="H252" s="20"/>
      <c r="I252" s="20"/>
      <c r="J252" s="20"/>
      <c r="K252" s="20"/>
    </row>
    <row r="253" customFormat="false" ht="15" hidden="false" customHeight="false" outlineLevel="0" collapsed="false">
      <c r="A253" s="20"/>
      <c r="B253" s="18" t="str">
        <f aca="false">IF(A253="","",IFERROR(INDEX(Products!$A:$A,MATCH(A253,Products!$B:$B,0)),"Not found"))</f>
        <v/>
      </c>
      <c r="C253" s="20"/>
      <c r="D253" s="18" t="str">
        <f aca="false">IF(C253="","",IFERROR(INDEX(Dimensions!$A:$A,MATCH(C253,Dimensions!$B:$B,0)),"Not found"))</f>
        <v/>
      </c>
      <c r="E253" s="20"/>
      <c r="F253" s="18" t="str">
        <f aca="false">IF(E253="","",IFERROR(INDEX(Tables!$A:$A,MATCH(E253,Tables!$B:$B,0)),"Not found"))</f>
        <v/>
      </c>
      <c r="G253" s="21" t="str">
        <f aca="false">IF(OR(D253="",F253=""),"",IF(IFERROR(INDEX(Dimensions!$D:$D,MATCH(D253,Dimensions!$A:$A,0)),"")="","",IF(INDEX(Dimensions!$D:$D,MATCH(D253,Dimensions!$A:$A,0))=F253,"Yes","No")))</f>
        <v/>
      </c>
      <c r="H253" s="20"/>
      <c r="I253" s="20"/>
      <c r="J253" s="20"/>
      <c r="K253" s="20"/>
    </row>
    <row r="254" customFormat="false" ht="15" hidden="false" customHeight="false" outlineLevel="0" collapsed="false">
      <c r="A254" s="20"/>
      <c r="B254" s="18" t="str">
        <f aca="false">IF(A254="","",IFERROR(INDEX(Products!$A:$A,MATCH(A254,Products!$B:$B,0)),"Not found"))</f>
        <v/>
      </c>
      <c r="C254" s="20"/>
      <c r="D254" s="18" t="str">
        <f aca="false">IF(C254="","",IFERROR(INDEX(Dimensions!$A:$A,MATCH(C254,Dimensions!$B:$B,0)),"Not found"))</f>
        <v/>
      </c>
      <c r="E254" s="20"/>
      <c r="F254" s="18" t="str">
        <f aca="false">IF(E254="","",IFERROR(INDEX(Tables!$A:$A,MATCH(E254,Tables!$B:$B,0)),"Not found"))</f>
        <v/>
      </c>
      <c r="G254" s="21" t="str">
        <f aca="false">IF(OR(D254="",F254=""),"",IF(IFERROR(INDEX(Dimensions!$D:$D,MATCH(D254,Dimensions!$A:$A,0)),"")="","",IF(INDEX(Dimensions!$D:$D,MATCH(D254,Dimensions!$A:$A,0))=F254,"Yes","No")))</f>
        <v/>
      </c>
      <c r="H254" s="20"/>
      <c r="I254" s="20"/>
      <c r="J254" s="20"/>
      <c r="K254" s="20"/>
    </row>
    <row r="255" customFormat="false" ht="15" hidden="false" customHeight="false" outlineLevel="0" collapsed="false">
      <c r="A255" s="20"/>
      <c r="B255" s="18" t="str">
        <f aca="false">IF(A255="","",IFERROR(INDEX(Products!$A:$A,MATCH(A255,Products!$B:$B,0)),"Not found"))</f>
        <v/>
      </c>
      <c r="C255" s="20"/>
      <c r="D255" s="18" t="str">
        <f aca="false">IF(C255="","",IFERROR(INDEX(Dimensions!$A:$A,MATCH(C255,Dimensions!$B:$B,0)),"Not found"))</f>
        <v/>
      </c>
      <c r="E255" s="20"/>
      <c r="F255" s="18" t="str">
        <f aca="false">IF(E255="","",IFERROR(INDEX(Tables!$A:$A,MATCH(E255,Tables!$B:$B,0)),"Not found"))</f>
        <v/>
      </c>
      <c r="G255" s="21" t="str">
        <f aca="false">IF(OR(D255="",F255=""),"",IF(IFERROR(INDEX(Dimensions!$D:$D,MATCH(D255,Dimensions!$A:$A,0)),"")="","",IF(INDEX(Dimensions!$D:$D,MATCH(D255,Dimensions!$A:$A,0))=F255,"Yes","No")))</f>
        <v/>
      </c>
      <c r="H255" s="20"/>
      <c r="I255" s="20"/>
      <c r="J255" s="20"/>
      <c r="K255" s="20"/>
    </row>
    <row r="256" customFormat="false" ht="15" hidden="false" customHeight="false" outlineLevel="0" collapsed="false">
      <c r="A256" s="20"/>
      <c r="B256" s="18" t="str">
        <f aca="false">IF(A256="","",IFERROR(INDEX(Products!$A:$A,MATCH(A256,Products!$B:$B,0)),"Not found"))</f>
        <v/>
      </c>
      <c r="C256" s="20"/>
      <c r="D256" s="18" t="str">
        <f aca="false">IF(C256="","",IFERROR(INDEX(Dimensions!$A:$A,MATCH(C256,Dimensions!$B:$B,0)),"Not found"))</f>
        <v/>
      </c>
      <c r="E256" s="20"/>
      <c r="F256" s="18" t="str">
        <f aca="false">IF(E256="","",IFERROR(INDEX(Tables!$A:$A,MATCH(E256,Tables!$B:$B,0)),"Not found"))</f>
        <v/>
      </c>
      <c r="G256" s="21" t="str">
        <f aca="false">IF(OR(D256="",F256=""),"",IF(IFERROR(INDEX(Dimensions!$D:$D,MATCH(D256,Dimensions!$A:$A,0)),"")="","",IF(INDEX(Dimensions!$D:$D,MATCH(D256,Dimensions!$A:$A,0))=F256,"Yes","No")))</f>
        <v/>
      </c>
      <c r="H256" s="20"/>
      <c r="I256" s="20"/>
      <c r="J256" s="20"/>
      <c r="K256" s="20"/>
    </row>
    <row r="257" customFormat="false" ht="15" hidden="false" customHeight="false" outlineLevel="0" collapsed="false">
      <c r="A257" s="20"/>
      <c r="B257" s="18" t="str">
        <f aca="false">IF(A257="","",IFERROR(INDEX(Products!$A:$A,MATCH(A257,Products!$B:$B,0)),"Not found"))</f>
        <v/>
      </c>
      <c r="C257" s="20"/>
      <c r="D257" s="18" t="str">
        <f aca="false">IF(C257="","",IFERROR(INDEX(Dimensions!$A:$A,MATCH(C257,Dimensions!$B:$B,0)),"Not found"))</f>
        <v/>
      </c>
      <c r="E257" s="20"/>
      <c r="F257" s="18" t="str">
        <f aca="false">IF(E257="","",IFERROR(INDEX(Tables!$A:$A,MATCH(E257,Tables!$B:$B,0)),"Not found"))</f>
        <v/>
      </c>
      <c r="G257" s="21" t="str">
        <f aca="false">IF(OR(D257="",F257=""),"",IF(IFERROR(INDEX(Dimensions!$D:$D,MATCH(D257,Dimensions!$A:$A,0)),"")="","",IF(INDEX(Dimensions!$D:$D,MATCH(D257,Dimensions!$A:$A,0))=F257,"Yes","No")))</f>
        <v/>
      </c>
      <c r="H257" s="20"/>
      <c r="I257" s="20"/>
      <c r="J257" s="20"/>
      <c r="K257" s="20"/>
    </row>
    <row r="258" customFormat="false" ht="15" hidden="false" customHeight="false" outlineLevel="0" collapsed="false">
      <c r="A258" s="20"/>
      <c r="B258" s="18" t="str">
        <f aca="false">IF(A258="","",IFERROR(INDEX(Products!$A:$A,MATCH(A258,Products!$B:$B,0)),"Not found"))</f>
        <v/>
      </c>
      <c r="C258" s="20"/>
      <c r="D258" s="18" t="str">
        <f aca="false">IF(C258="","",IFERROR(INDEX(Dimensions!$A:$A,MATCH(C258,Dimensions!$B:$B,0)),"Not found"))</f>
        <v/>
      </c>
      <c r="E258" s="20"/>
      <c r="F258" s="18" t="str">
        <f aca="false">IF(E258="","",IFERROR(INDEX(Tables!$A:$A,MATCH(E258,Tables!$B:$B,0)),"Not found"))</f>
        <v/>
      </c>
      <c r="G258" s="21" t="str">
        <f aca="false">IF(OR(D258="",F258=""),"",IF(IFERROR(INDEX(Dimensions!$D:$D,MATCH(D258,Dimensions!$A:$A,0)),"")="","",IF(INDEX(Dimensions!$D:$D,MATCH(D258,Dimensions!$A:$A,0))=F258,"Yes","No")))</f>
        <v/>
      </c>
      <c r="H258" s="20"/>
      <c r="I258" s="20"/>
      <c r="J258" s="20"/>
      <c r="K258" s="20"/>
    </row>
    <row r="259" customFormat="false" ht="15" hidden="false" customHeight="false" outlineLevel="0" collapsed="false">
      <c r="A259" s="20"/>
      <c r="B259" s="18" t="str">
        <f aca="false">IF(A259="","",IFERROR(INDEX(Products!$A:$A,MATCH(A259,Products!$B:$B,0)),"Not found"))</f>
        <v/>
      </c>
      <c r="C259" s="20"/>
      <c r="D259" s="18" t="str">
        <f aca="false">IF(C259="","",IFERROR(INDEX(Dimensions!$A:$A,MATCH(C259,Dimensions!$B:$B,0)),"Not found"))</f>
        <v/>
      </c>
      <c r="E259" s="20"/>
      <c r="F259" s="18" t="str">
        <f aca="false">IF(E259="","",IFERROR(INDEX(Tables!$A:$A,MATCH(E259,Tables!$B:$B,0)),"Not found"))</f>
        <v/>
      </c>
      <c r="G259" s="21" t="str">
        <f aca="false">IF(OR(D259="",F259=""),"",IF(IFERROR(INDEX(Dimensions!$D:$D,MATCH(D259,Dimensions!$A:$A,0)),"")="","",IF(INDEX(Dimensions!$D:$D,MATCH(D259,Dimensions!$A:$A,0))=F259,"Yes","No")))</f>
        <v/>
      </c>
      <c r="H259" s="20"/>
      <c r="I259" s="20"/>
      <c r="J259" s="20"/>
      <c r="K259" s="20"/>
    </row>
    <row r="260" customFormat="false" ht="15" hidden="false" customHeight="false" outlineLevel="0" collapsed="false">
      <c r="A260" s="20"/>
      <c r="B260" s="18" t="str">
        <f aca="false">IF(A260="","",IFERROR(INDEX(Products!$A:$A,MATCH(A260,Products!$B:$B,0)),"Not found"))</f>
        <v/>
      </c>
      <c r="C260" s="20"/>
      <c r="D260" s="18" t="str">
        <f aca="false">IF(C260="","",IFERROR(INDEX(Dimensions!$A:$A,MATCH(C260,Dimensions!$B:$B,0)),"Not found"))</f>
        <v/>
      </c>
      <c r="E260" s="20"/>
      <c r="F260" s="18" t="str">
        <f aca="false">IF(E260="","",IFERROR(INDEX(Tables!$A:$A,MATCH(E260,Tables!$B:$B,0)),"Not found"))</f>
        <v/>
      </c>
      <c r="G260" s="21" t="str">
        <f aca="false">IF(OR(D260="",F260=""),"",IF(IFERROR(INDEX(Dimensions!$D:$D,MATCH(D260,Dimensions!$A:$A,0)),"")="","",IF(INDEX(Dimensions!$D:$D,MATCH(D260,Dimensions!$A:$A,0))=F260,"Yes","No")))</f>
        <v/>
      </c>
      <c r="H260" s="20"/>
      <c r="I260" s="20"/>
      <c r="J260" s="20"/>
      <c r="K260" s="20"/>
    </row>
    <row r="261" customFormat="false" ht="15" hidden="false" customHeight="false" outlineLevel="0" collapsed="false">
      <c r="A261" s="20"/>
      <c r="B261" s="18" t="str">
        <f aca="false">IF(A261="","",IFERROR(INDEX(Products!$A:$A,MATCH(A261,Products!$B:$B,0)),"Not found"))</f>
        <v/>
      </c>
      <c r="C261" s="20"/>
      <c r="D261" s="18" t="str">
        <f aca="false">IF(C261="","",IFERROR(INDEX(Dimensions!$A:$A,MATCH(C261,Dimensions!$B:$B,0)),"Not found"))</f>
        <v/>
      </c>
      <c r="E261" s="20"/>
      <c r="F261" s="18" t="str">
        <f aca="false">IF(E261="","",IFERROR(INDEX(Tables!$A:$A,MATCH(E261,Tables!$B:$B,0)),"Not found"))</f>
        <v/>
      </c>
      <c r="G261" s="21" t="str">
        <f aca="false">IF(OR(D261="",F261=""),"",IF(IFERROR(INDEX(Dimensions!$D:$D,MATCH(D261,Dimensions!$A:$A,0)),"")="","",IF(INDEX(Dimensions!$D:$D,MATCH(D261,Dimensions!$A:$A,0))=F261,"Yes","No")))</f>
        <v/>
      </c>
      <c r="H261" s="20"/>
      <c r="I261" s="20"/>
      <c r="J261" s="20"/>
      <c r="K261" s="20"/>
    </row>
    <row r="262" customFormat="false" ht="15" hidden="false" customHeight="false" outlineLevel="0" collapsed="false">
      <c r="A262" s="20"/>
      <c r="B262" s="18" t="str">
        <f aca="false">IF(A262="","",IFERROR(INDEX(Products!$A:$A,MATCH(A262,Products!$B:$B,0)),"Not found"))</f>
        <v/>
      </c>
      <c r="C262" s="20"/>
      <c r="D262" s="18" t="str">
        <f aca="false">IF(C262="","",IFERROR(INDEX(Dimensions!$A:$A,MATCH(C262,Dimensions!$B:$B,0)),"Not found"))</f>
        <v/>
      </c>
      <c r="E262" s="20"/>
      <c r="F262" s="18" t="str">
        <f aca="false">IF(E262="","",IFERROR(INDEX(Tables!$A:$A,MATCH(E262,Tables!$B:$B,0)),"Not found"))</f>
        <v/>
      </c>
      <c r="G262" s="21" t="str">
        <f aca="false">IF(OR(D262="",F262=""),"",IF(IFERROR(INDEX(Dimensions!$D:$D,MATCH(D262,Dimensions!$A:$A,0)),"")="","",IF(INDEX(Dimensions!$D:$D,MATCH(D262,Dimensions!$A:$A,0))=F262,"Yes","No")))</f>
        <v/>
      </c>
      <c r="H262" s="20"/>
      <c r="I262" s="20"/>
      <c r="J262" s="20"/>
      <c r="K262" s="20"/>
    </row>
    <row r="263" customFormat="false" ht="15" hidden="false" customHeight="false" outlineLevel="0" collapsed="false">
      <c r="A263" s="20"/>
      <c r="B263" s="18" t="str">
        <f aca="false">IF(A263="","",IFERROR(INDEX(Products!$A:$A,MATCH(A263,Products!$B:$B,0)),"Not found"))</f>
        <v/>
      </c>
      <c r="C263" s="20"/>
      <c r="D263" s="18" t="str">
        <f aca="false">IF(C263="","",IFERROR(INDEX(Dimensions!$A:$A,MATCH(C263,Dimensions!$B:$B,0)),"Not found"))</f>
        <v/>
      </c>
      <c r="E263" s="20"/>
      <c r="F263" s="18" t="str">
        <f aca="false">IF(E263="","",IFERROR(INDEX(Tables!$A:$A,MATCH(E263,Tables!$B:$B,0)),"Not found"))</f>
        <v/>
      </c>
      <c r="G263" s="21" t="str">
        <f aca="false">IF(OR(D263="",F263=""),"",IF(IFERROR(INDEX(Dimensions!$D:$D,MATCH(D263,Dimensions!$A:$A,0)),"")="","",IF(INDEX(Dimensions!$D:$D,MATCH(D263,Dimensions!$A:$A,0))=F263,"Yes","No")))</f>
        <v/>
      </c>
      <c r="H263" s="20"/>
      <c r="I263" s="20"/>
      <c r="J263" s="20"/>
      <c r="K263" s="20"/>
    </row>
    <row r="264" customFormat="false" ht="15" hidden="false" customHeight="false" outlineLevel="0" collapsed="false">
      <c r="A264" s="20"/>
      <c r="B264" s="18" t="str">
        <f aca="false">IF(A264="","",IFERROR(INDEX(Products!$A:$A,MATCH(A264,Products!$B:$B,0)),"Not found"))</f>
        <v/>
      </c>
      <c r="C264" s="20"/>
      <c r="D264" s="18" t="str">
        <f aca="false">IF(C264="","",IFERROR(INDEX(Dimensions!$A:$A,MATCH(C264,Dimensions!$B:$B,0)),"Not found"))</f>
        <v/>
      </c>
      <c r="E264" s="20"/>
      <c r="F264" s="18" t="str">
        <f aca="false">IF(E264="","",IFERROR(INDEX(Tables!$A:$A,MATCH(E264,Tables!$B:$B,0)),"Not found"))</f>
        <v/>
      </c>
      <c r="G264" s="21" t="str">
        <f aca="false">IF(OR(D264="",F264=""),"",IF(IFERROR(INDEX(Dimensions!$D:$D,MATCH(D264,Dimensions!$A:$A,0)),"")="","",IF(INDEX(Dimensions!$D:$D,MATCH(D264,Dimensions!$A:$A,0))=F264,"Yes","No")))</f>
        <v/>
      </c>
      <c r="H264" s="20"/>
      <c r="I264" s="20"/>
      <c r="J264" s="20"/>
      <c r="K264" s="20"/>
    </row>
    <row r="265" customFormat="false" ht="15" hidden="false" customHeight="false" outlineLevel="0" collapsed="false">
      <c r="A265" s="20"/>
      <c r="B265" s="18" t="str">
        <f aca="false">IF(A265="","",IFERROR(INDEX(Products!$A:$A,MATCH(A265,Products!$B:$B,0)),"Not found"))</f>
        <v/>
      </c>
      <c r="C265" s="20"/>
      <c r="D265" s="18" t="str">
        <f aca="false">IF(C265="","",IFERROR(INDEX(Dimensions!$A:$A,MATCH(C265,Dimensions!$B:$B,0)),"Not found"))</f>
        <v/>
      </c>
      <c r="E265" s="20"/>
      <c r="F265" s="18" t="str">
        <f aca="false">IF(E265="","",IFERROR(INDEX(Tables!$A:$A,MATCH(E265,Tables!$B:$B,0)),"Not found"))</f>
        <v/>
      </c>
      <c r="G265" s="21" t="str">
        <f aca="false">IF(OR(D265="",F265=""),"",IF(IFERROR(INDEX(Dimensions!$D:$D,MATCH(D265,Dimensions!$A:$A,0)),"")="","",IF(INDEX(Dimensions!$D:$D,MATCH(D265,Dimensions!$A:$A,0))=F265,"Yes","No")))</f>
        <v/>
      </c>
      <c r="H265" s="20"/>
      <c r="I265" s="20"/>
      <c r="J265" s="20"/>
      <c r="K265" s="20"/>
    </row>
    <row r="266" customFormat="false" ht="15" hidden="false" customHeight="false" outlineLevel="0" collapsed="false">
      <c r="A266" s="20"/>
      <c r="B266" s="18" t="str">
        <f aca="false">IF(A266="","",IFERROR(INDEX(Products!$A:$A,MATCH(A266,Products!$B:$B,0)),"Not found"))</f>
        <v/>
      </c>
      <c r="C266" s="20"/>
      <c r="D266" s="18" t="str">
        <f aca="false">IF(C266="","",IFERROR(INDEX(Dimensions!$A:$A,MATCH(C266,Dimensions!$B:$B,0)),"Not found"))</f>
        <v/>
      </c>
      <c r="E266" s="20"/>
      <c r="F266" s="18" t="str">
        <f aca="false">IF(E266="","",IFERROR(INDEX(Tables!$A:$A,MATCH(E266,Tables!$B:$B,0)),"Not found"))</f>
        <v/>
      </c>
      <c r="G266" s="21" t="str">
        <f aca="false">IF(OR(D266="",F266=""),"",IF(IFERROR(INDEX(Dimensions!$D:$D,MATCH(D266,Dimensions!$A:$A,0)),"")="","",IF(INDEX(Dimensions!$D:$D,MATCH(D266,Dimensions!$A:$A,0))=F266,"Yes","No")))</f>
        <v/>
      </c>
      <c r="H266" s="20"/>
      <c r="I266" s="20"/>
      <c r="J266" s="20"/>
      <c r="K266" s="20"/>
    </row>
    <row r="267" customFormat="false" ht="15" hidden="false" customHeight="false" outlineLevel="0" collapsed="false">
      <c r="A267" s="20"/>
      <c r="B267" s="18" t="str">
        <f aca="false">IF(A267="","",IFERROR(INDEX(Products!$A:$A,MATCH(A267,Products!$B:$B,0)),"Not found"))</f>
        <v/>
      </c>
      <c r="C267" s="20"/>
      <c r="D267" s="18" t="str">
        <f aca="false">IF(C267="","",IFERROR(INDEX(Dimensions!$A:$A,MATCH(C267,Dimensions!$B:$B,0)),"Not found"))</f>
        <v/>
      </c>
      <c r="E267" s="20"/>
      <c r="F267" s="18" t="str">
        <f aca="false">IF(E267="","",IFERROR(INDEX(Tables!$A:$A,MATCH(E267,Tables!$B:$B,0)),"Not found"))</f>
        <v/>
      </c>
      <c r="G267" s="21" t="str">
        <f aca="false">IF(OR(D267="",F267=""),"",IF(IFERROR(INDEX(Dimensions!$D:$D,MATCH(D267,Dimensions!$A:$A,0)),"")="","",IF(INDEX(Dimensions!$D:$D,MATCH(D267,Dimensions!$A:$A,0))=F267,"Yes","No")))</f>
        <v/>
      </c>
      <c r="H267" s="20"/>
      <c r="I267" s="20"/>
      <c r="J267" s="20"/>
      <c r="K267" s="20"/>
    </row>
    <row r="268" customFormat="false" ht="15" hidden="false" customHeight="false" outlineLevel="0" collapsed="false">
      <c r="A268" s="20"/>
      <c r="B268" s="18" t="str">
        <f aca="false">IF(A268="","",IFERROR(INDEX(Products!$A:$A,MATCH(A268,Products!$B:$B,0)),"Not found"))</f>
        <v/>
      </c>
      <c r="C268" s="20"/>
      <c r="D268" s="18" t="str">
        <f aca="false">IF(C268="","",IFERROR(INDEX(Dimensions!$A:$A,MATCH(C268,Dimensions!$B:$B,0)),"Not found"))</f>
        <v/>
      </c>
      <c r="E268" s="20"/>
      <c r="F268" s="18" t="str">
        <f aca="false">IF(E268="","",IFERROR(INDEX(Tables!$A:$A,MATCH(E268,Tables!$B:$B,0)),"Not found"))</f>
        <v/>
      </c>
      <c r="G268" s="21" t="str">
        <f aca="false">IF(OR(D268="",F268=""),"",IF(IFERROR(INDEX(Dimensions!$D:$D,MATCH(D268,Dimensions!$A:$A,0)),"")="","",IF(INDEX(Dimensions!$D:$D,MATCH(D268,Dimensions!$A:$A,0))=F268,"Yes","No")))</f>
        <v/>
      </c>
      <c r="H268" s="20"/>
      <c r="I268" s="20"/>
      <c r="J268" s="20"/>
      <c r="K268" s="20"/>
    </row>
    <row r="269" customFormat="false" ht="15" hidden="false" customHeight="false" outlineLevel="0" collapsed="false">
      <c r="A269" s="20"/>
      <c r="B269" s="18" t="str">
        <f aca="false">IF(A269="","",IFERROR(INDEX(Products!$A:$A,MATCH(A269,Products!$B:$B,0)),"Not found"))</f>
        <v/>
      </c>
      <c r="C269" s="20"/>
      <c r="D269" s="18" t="str">
        <f aca="false">IF(C269="","",IFERROR(INDEX(Dimensions!$A:$A,MATCH(C269,Dimensions!$B:$B,0)),"Not found"))</f>
        <v/>
      </c>
      <c r="E269" s="20"/>
      <c r="F269" s="18" t="str">
        <f aca="false">IF(E269="","",IFERROR(INDEX(Tables!$A:$A,MATCH(E269,Tables!$B:$B,0)),"Not found"))</f>
        <v/>
      </c>
      <c r="G269" s="21" t="str">
        <f aca="false">IF(OR(D269="",F269=""),"",IF(IFERROR(INDEX(Dimensions!$D:$D,MATCH(D269,Dimensions!$A:$A,0)),"")="","",IF(INDEX(Dimensions!$D:$D,MATCH(D269,Dimensions!$A:$A,0))=F269,"Yes","No")))</f>
        <v/>
      </c>
      <c r="H269" s="20"/>
      <c r="I269" s="20"/>
      <c r="J269" s="20"/>
      <c r="K269" s="20"/>
    </row>
    <row r="270" customFormat="false" ht="15" hidden="false" customHeight="false" outlineLevel="0" collapsed="false">
      <c r="A270" s="20"/>
      <c r="B270" s="18" t="str">
        <f aca="false">IF(A270="","",IFERROR(INDEX(Products!$A:$A,MATCH(A270,Products!$B:$B,0)),"Not found"))</f>
        <v/>
      </c>
      <c r="C270" s="20"/>
      <c r="D270" s="18" t="str">
        <f aca="false">IF(C270="","",IFERROR(INDEX(Dimensions!$A:$A,MATCH(C270,Dimensions!$B:$B,0)),"Not found"))</f>
        <v/>
      </c>
      <c r="E270" s="20"/>
      <c r="F270" s="18" t="str">
        <f aca="false">IF(E270="","",IFERROR(INDEX(Tables!$A:$A,MATCH(E270,Tables!$B:$B,0)),"Not found"))</f>
        <v/>
      </c>
      <c r="G270" s="21" t="str">
        <f aca="false">IF(OR(D270="",F270=""),"",IF(IFERROR(INDEX(Dimensions!$D:$D,MATCH(D270,Dimensions!$A:$A,0)),"")="","",IF(INDEX(Dimensions!$D:$D,MATCH(D270,Dimensions!$A:$A,0))=F270,"Yes","No")))</f>
        <v/>
      </c>
      <c r="H270" s="20"/>
      <c r="I270" s="20"/>
      <c r="J270" s="20"/>
      <c r="K270" s="20"/>
    </row>
    <row r="271" customFormat="false" ht="15" hidden="false" customHeight="false" outlineLevel="0" collapsed="false">
      <c r="A271" s="20"/>
      <c r="B271" s="18" t="str">
        <f aca="false">IF(A271="","",IFERROR(INDEX(Products!$A:$A,MATCH(A271,Products!$B:$B,0)),"Not found"))</f>
        <v/>
      </c>
      <c r="C271" s="20"/>
      <c r="D271" s="18" t="str">
        <f aca="false">IF(C271="","",IFERROR(INDEX(Dimensions!$A:$A,MATCH(C271,Dimensions!$B:$B,0)),"Not found"))</f>
        <v/>
      </c>
      <c r="E271" s="20"/>
      <c r="F271" s="18" t="str">
        <f aca="false">IF(E271="","",IFERROR(INDEX(Tables!$A:$A,MATCH(E271,Tables!$B:$B,0)),"Not found"))</f>
        <v/>
      </c>
      <c r="G271" s="21" t="str">
        <f aca="false">IF(OR(D271="",F271=""),"",IF(IFERROR(INDEX(Dimensions!$D:$D,MATCH(D271,Dimensions!$A:$A,0)),"")="","",IF(INDEX(Dimensions!$D:$D,MATCH(D271,Dimensions!$A:$A,0))=F271,"Yes","No")))</f>
        <v/>
      </c>
      <c r="H271" s="20"/>
      <c r="I271" s="20"/>
      <c r="J271" s="20"/>
      <c r="K271" s="20"/>
    </row>
    <row r="272" customFormat="false" ht="15" hidden="false" customHeight="false" outlineLevel="0" collapsed="false">
      <c r="A272" s="20"/>
      <c r="B272" s="18" t="str">
        <f aca="false">IF(A272="","",IFERROR(INDEX(Products!$A:$A,MATCH(A272,Products!$B:$B,0)),"Not found"))</f>
        <v/>
      </c>
      <c r="C272" s="20"/>
      <c r="D272" s="18" t="str">
        <f aca="false">IF(C272="","",IFERROR(INDEX(Dimensions!$A:$A,MATCH(C272,Dimensions!$B:$B,0)),"Not found"))</f>
        <v/>
      </c>
      <c r="E272" s="20"/>
      <c r="F272" s="18" t="str">
        <f aca="false">IF(E272="","",IFERROR(INDEX(Tables!$A:$A,MATCH(E272,Tables!$B:$B,0)),"Not found"))</f>
        <v/>
      </c>
      <c r="G272" s="21" t="str">
        <f aca="false">IF(OR(D272="",F272=""),"",IF(IFERROR(INDEX(Dimensions!$D:$D,MATCH(D272,Dimensions!$A:$A,0)),"")="","",IF(INDEX(Dimensions!$D:$D,MATCH(D272,Dimensions!$A:$A,0))=F272,"Yes","No")))</f>
        <v/>
      </c>
      <c r="H272" s="20"/>
      <c r="I272" s="20"/>
      <c r="J272" s="20"/>
      <c r="K272" s="20"/>
    </row>
    <row r="273" customFormat="false" ht="15" hidden="false" customHeight="false" outlineLevel="0" collapsed="false">
      <c r="A273" s="20"/>
      <c r="B273" s="18" t="str">
        <f aca="false">IF(A273="","",IFERROR(INDEX(Products!$A:$A,MATCH(A273,Products!$B:$B,0)),"Not found"))</f>
        <v/>
      </c>
      <c r="C273" s="20"/>
      <c r="D273" s="18" t="str">
        <f aca="false">IF(C273="","",IFERROR(INDEX(Dimensions!$A:$A,MATCH(C273,Dimensions!$B:$B,0)),"Not found"))</f>
        <v/>
      </c>
      <c r="E273" s="20"/>
      <c r="F273" s="18" t="str">
        <f aca="false">IF(E273="","",IFERROR(INDEX(Tables!$A:$A,MATCH(E273,Tables!$B:$B,0)),"Not found"))</f>
        <v/>
      </c>
      <c r="G273" s="21" t="str">
        <f aca="false">IF(OR(D273="",F273=""),"",IF(IFERROR(INDEX(Dimensions!$D:$D,MATCH(D273,Dimensions!$A:$A,0)),"")="","",IF(INDEX(Dimensions!$D:$D,MATCH(D273,Dimensions!$A:$A,0))=F273,"Yes","No")))</f>
        <v/>
      </c>
      <c r="H273" s="20"/>
      <c r="I273" s="20"/>
      <c r="J273" s="20"/>
      <c r="K273" s="20"/>
    </row>
    <row r="274" customFormat="false" ht="15" hidden="false" customHeight="false" outlineLevel="0" collapsed="false">
      <c r="A274" s="20"/>
      <c r="B274" s="18" t="str">
        <f aca="false">IF(A274="","",IFERROR(INDEX(Products!$A:$A,MATCH(A274,Products!$B:$B,0)),"Not found"))</f>
        <v/>
      </c>
      <c r="C274" s="20"/>
      <c r="D274" s="18" t="str">
        <f aca="false">IF(C274="","",IFERROR(INDEX(Dimensions!$A:$A,MATCH(C274,Dimensions!$B:$B,0)),"Not found"))</f>
        <v/>
      </c>
      <c r="E274" s="20"/>
      <c r="F274" s="18" t="str">
        <f aca="false">IF(E274="","",IFERROR(INDEX(Tables!$A:$A,MATCH(E274,Tables!$B:$B,0)),"Not found"))</f>
        <v/>
      </c>
      <c r="G274" s="21" t="str">
        <f aca="false">IF(OR(D274="",F274=""),"",IF(IFERROR(INDEX(Dimensions!$D:$D,MATCH(D274,Dimensions!$A:$A,0)),"")="","",IF(INDEX(Dimensions!$D:$D,MATCH(D274,Dimensions!$A:$A,0))=F274,"Yes","No")))</f>
        <v/>
      </c>
      <c r="H274" s="20"/>
      <c r="I274" s="20"/>
      <c r="J274" s="20"/>
      <c r="K274" s="20"/>
    </row>
    <row r="275" customFormat="false" ht="15" hidden="false" customHeight="false" outlineLevel="0" collapsed="false">
      <c r="A275" s="20"/>
      <c r="B275" s="18" t="str">
        <f aca="false">IF(A275="","",IFERROR(INDEX(Products!$A:$A,MATCH(A275,Products!$B:$B,0)),"Not found"))</f>
        <v/>
      </c>
      <c r="C275" s="20"/>
      <c r="D275" s="18" t="str">
        <f aca="false">IF(C275="","",IFERROR(INDEX(Dimensions!$A:$A,MATCH(C275,Dimensions!$B:$B,0)),"Not found"))</f>
        <v/>
      </c>
      <c r="E275" s="20"/>
      <c r="F275" s="18" t="str">
        <f aca="false">IF(E275="","",IFERROR(INDEX(Tables!$A:$A,MATCH(E275,Tables!$B:$B,0)),"Not found"))</f>
        <v/>
      </c>
      <c r="G275" s="21" t="str">
        <f aca="false">IF(OR(D275="",F275=""),"",IF(IFERROR(INDEX(Dimensions!$D:$D,MATCH(D275,Dimensions!$A:$A,0)),"")="","",IF(INDEX(Dimensions!$D:$D,MATCH(D275,Dimensions!$A:$A,0))=F275,"Yes","No")))</f>
        <v/>
      </c>
      <c r="H275" s="20"/>
      <c r="I275" s="20"/>
      <c r="J275" s="20"/>
      <c r="K275" s="20"/>
    </row>
    <row r="276" customFormat="false" ht="15" hidden="false" customHeight="false" outlineLevel="0" collapsed="false">
      <c r="A276" s="20"/>
      <c r="B276" s="18" t="str">
        <f aca="false">IF(A276="","",IFERROR(INDEX(Products!$A:$A,MATCH(A276,Products!$B:$B,0)),"Not found"))</f>
        <v/>
      </c>
      <c r="C276" s="20"/>
      <c r="D276" s="18" t="str">
        <f aca="false">IF(C276="","",IFERROR(INDEX(Dimensions!$A:$A,MATCH(C276,Dimensions!$B:$B,0)),"Not found"))</f>
        <v/>
      </c>
      <c r="E276" s="20"/>
      <c r="F276" s="18" t="str">
        <f aca="false">IF(E276="","",IFERROR(INDEX(Tables!$A:$A,MATCH(E276,Tables!$B:$B,0)),"Not found"))</f>
        <v/>
      </c>
      <c r="G276" s="21" t="str">
        <f aca="false">IF(OR(D276="",F276=""),"",IF(IFERROR(INDEX(Dimensions!$D:$D,MATCH(D276,Dimensions!$A:$A,0)),"")="","",IF(INDEX(Dimensions!$D:$D,MATCH(D276,Dimensions!$A:$A,0))=F276,"Yes","No")))</f>
        <v/>
      </c>
      <c r="H276" s="20"/>
      <c r="I276" s="20"/>
      <c r="J276" s="20"/>
      <c r="K276" s="20"/>
    </row>
    <row r="277" customFormat="false" ht="15" hidden="false" customHeight="false" outlineLevel="0" collapsed="false">
      <c r="A277" s="20"/>
      <c r="B277" s="18" t="str">
        <f aca="false">IF(A277="","",IFERROR(INDEX(Products!$A:$A,MATCH(A277,Products!$B:$B,0)),"Not found"))</f>
        <v/>
      </c>
      <c r="C277" s="20"/>
      <c r="D277" s="18" t="str">
        <f aca="false">IF(C277="","",IFERROR(INDEX(Dimensions!$A:$A,MATCH(C277,Dimensions!$B:$B,0)),"Not found"))</f>
        <v/>
      </c>
      <c r="E277" s="20"/>
      <c r="F277" s="18" t="str">
        <f aca="false">IF(E277="","",IFERROR(INDEX(Tables!$A:$A,MATCH(E277,Tables!$B:$B,0)),"Not found"))</f>
        <v/>
      </c>
      <c r="G277" s="21" t="str">
        <f aca="false">IF(OR(D277="",F277=""),"",IF(IFERROR(INDEX(Dimensions!$D:$D,MATCH(D277,Dimensions!$A:$A,0)),"")="","",IF(INDEX(Dimensions!$D:$D,MATCH(D277,Dimensions!$A:$A,0))=F277,"Yes","No")))</f>
        <v/>
      </c>
      <c r="H277" s="20"/>
      <c r="I277" s="20"/>
      <c r="J277" s="20"/>
      <c r="K277" s="20"/>
    </row>
    <row r="278" customFormat="false" ht="15" hidden="false" customHeight="false" outlineLevel="0" collapsed="false">
      <c r="A278" s="20"/>
      <c r="B278" s="18" t="str">
        <f aca="false">IF(A278="","",IFERROR(INDEX(Products!$A:$A,MATCH(A278,Products!$B:$B,0)),"Not found"))</f>
        <v/>
      </c>
      <c r="C278" s="20"/>
      <c r="D278" s="18" t="str">
        <f aca="false">IF(C278="","",IFERROR(INDEX(Dimensions!$A:$A,MATCH(C278,Dimensions!$B:$B,0)),"Not found"))</f>
        <v/>
      </c>
      <c r="E278" s="20"/>
      <c r="F278" s="18" t="str">
        <f aca="false">IF(E278="","",IFERROR(INDEX(Tables!$A:$A,MATCH(E278,Tables!$B:$B,0)),"Not found"))</f>
        <v/>
      </c>
      <c r="G278" s="21" t="str">
        <f aca="false">IF(OR(D278="",F278=""),"",IF(IFERROR(INDEX(Dimensions!$D:$D,MATCH(D278,Dimensions!$A:$A,0)),"")="","",IF(INDEX(Dimensions!$D:$D,MATCH(D278,Dimensions!$A:$A,0))=F278,"Yes","No")))</f>
        <v/>
      </c>
      <c r="H278" s="20"/>
      <c r="I278" s="20"/>
      <c r="J278" s="20"/>
      <c r="K278" s="20"/>
    </row>
    <row r="279" customFormat="false" ht="15" hidden="false" customHeight="false" outlineLevel="0" collapsed="false">
      <c r="A279" s="20"/>
      <c r="B279" s="18" t="str">
        <f aca="false">IF(A279="","",IFERROR(INDEX(Products!$A:$A,MATCH(A279,Products!$B:$B,0)),"Not found"))</f>
        <v/>
      </c>
      <c r="C279" s="20"/>
      <c r="D279" s="18" t="str">
        <f aca="false">IF(C279="","",IFERROR(INDEX(Dimensions!$A:$A,MATCH(C279,Dimensions!$B:$B,0)),"Not found"))</f>
        <v/>
      </c>
      <c r="E279" s="20"/>
      <c r="F279" s="18" t="str">
        <f aca="false">IF(E279="","",IFERROR(INDEX(Tables!$A:$A,MATCH(E279,Tables!$B:$B,0)),"Not found"))</f>
        <v/>
      </c>
      <c r="G279" s="21" t="str">
        <f aca="false">IF(OR(D279="",F279=""),"",IF(IFERROR(INDEX(Dimensions!$D:$D,MATCH(D279,Dimensions!$A:$A,0)),"")="","",IF(INDEX(Dimensions!$D:$D,MATCH(D279,Dimensions!$A:$A,0))=F279,"Yes","No")))</f>
        <v/>
      </c>
      <c r="H279" s="20"/>
      <c r="I279" s="20"/>
      <c r="J279" s="20"/>
      <c r="K279" s="20"/>
    </row>
    <row r="280" customFormat="false" ht="15" hidden="false" customHeight="false" outlineLevel="0" collapsed="false">
      <c r="A280" s="20"/>
      <c r="B280" s="18" t="str">
        <f aca="false">IF(A280="","",IFERROR(INDEX(Products!$A:$A,MATCH(A280,Products!$B:$B,0)),"Not found"))</f>
        <v/>
      </c>
      <c r="C280" s="20"/>
      <c r="D280" s="18" t="str">
        <f aca="false">IF(C280="","",IFERROR(INDEX(Dimensions!$A:$A,MATCH(C280,Dimensions!$B:$B,0)),"Not found"))</f>
        <v/>
      </c>
      <c r="E280" s="20"/>
      <c r="F280" s="18" t="str">
        <f aca="false">IF(E280="","",IFERROR(INDEX(Tables!$A:$A,MATCH(E280,Tables!$B:$B,0)),"Not found"))</f>
        <v/>
      </c>
      <c r="G280" s="21" t="str">
        <f aca="false">IF(OR(D280="",F280=""),"",IF(IFERROR(INDEX(Dimensions!$D:$D,MATCH(D280,Dimensions!$A:$A,0)),"")="","",IF(INDEX(Dimensions!$D:$D,MATCH(D280,Dimensions!$A:$A,0))=F280,"Yes","No")))</f>
        <v/>
      </c>
      <c r="H280" s="20"/>
      <c r="I280" s="20"/>
      <c r="J280" s="20"/>
      <c r="K280" s="20"/>
    </row>
    <row r="281" customFormat="false" ht="15" hidden="false" customHeight="false" outlineLevel="0" collapsed="false">
      <c r="A281" s="20"/>
      <c r="B281" s="18" t="str">
        <f aca="false">IF(A281="","",IFERROR(INDEX(Products!$A:$A,MATCH(A281,Products!$B:$B,0)),"Not found"))</f>
        <v/>
      </c>
      <c r="C281" s="20"/>
      <c r="D281" s="18" t="str">
        <f aca="false">IF(C281="","",IFERROR(INDEX(Dimensions!$A:$A,MATCH(C281,Dimensions!$B:$B,0)),"Not found"))</f>
        <v/>
      </c>
      <c r="E281" s="20"/>
      <c r="F281" s="18" t="str">
        <f aca="false">IF(E281="","",IFERROR(INDEX(Tables!$A:$A,MATCH(E281,Tables!$B:$B,0)),"Not found"))</f>
        <v/>
      </c>
      <c r="G281" s="21" t="str">
        <f aca="false">IF(OR(D281="",F281=""),"",IF(IFERROR(INDEX(Dimensions!$D:$D,MATCH(D281,Dimensions!$A:$A,0)),"")="","",IF(INDEX(Dimensions!$D:$D,MATCH(D281,Dimensions!$A:$A,0))=F281,"Yes","No")))</f>
        <v/>
      </c>
      <c r="H281" s="20"/>
      <c r="I281" s="20"/>
      <c r="J281" s="20"/>
      <c r="K281" s="20"/>
    </row>
    <row r="282" customFormat="false" ht="15" hidden="false" customHeight="false" outlineLevel="0" collapsed="false">
      <c r="A282" s="20"/>
      <c r="B282" s="18" t="str">
        <f aca="false">IF(A282="","",IFERROR(INDEX(Products!$A:$A,MATCH(A282,Products!$B:$B,0)),"Not found"))</f>
        <v/>
      </c>
      <c r="C282" s="20"/>
      <c r="D282" s="18" t="str">
        <f aca="false">IF(C282="","",IFERROR(INDEX(Dimensions!$A:$A,MATCH(C282,Dimensions!$B:$B,0)),"Not found"))</f>
        <v/>
      </c>
      <c r="E282" s="20"/>
      <c r="F282" s="18" t="str">
        <f aca="false">IF(E282="","",IFERROR(INDEX(Tables!$A:$A,MATCH(E282,Tables!$B:$B,0)),"Not found"))</f>
        <v/>
      </c>
      <c r="G282" s="21" t="str">
        <f aca="false">IF(OR(D282="",F282=""),"",IF(IFERROR(INDEX(Dimensions!$D:$D,MATCH(D282,Dimensions!$A:$A,0)),"")="","",IF(INDEX(Dimensions!$D:$D,MATCH(D282,Dimensions!$A:$A,0))=F282,"Yes","No")))</f>
        <v/>
      </c>
      <c r="H282" s="20"/>
      <c r="I282" s="20"/>
      <c r="J282" s="20"/>
      <c r="K282" s="20"/>
    </row>
    <row r="283" customFormat="false" ht="15" hidden="false" customHeight="false" outlineLevel="0" collapsed="false">
      <c r="A283" s="20"/>
      <c r="B283" s="18" t="str">
        <f aca="false">IF(A283="","",IFERROR(INDEX(Products!$A:$A,MATCH(A283,Products!$B:$B,0)),"Not found"))</f>
        <v/>
      </c>
      <c r="C283" s="20"/>
      <c r="D283" s="18" t="str">
        <f aca="false">IF(C283="","",IFERROR(INDEX(Dimensions!$A:$A,MATCH(C283,Dimensions!$B:$B,0)),"Not found"))</f>
        <v/>
      </c>
      <c r="E283" s="20"/>
      <c r="F283" s="18" t="str">
        <f aca="false">IF(E283="","",IFERROR(INDEX(Tables!$A:$A,MATCH(E283,Tables!$B:$B,0)),"Not found"))</f>
        <v/>
      </c>
      <c r="G283" s="21" t="str">
        <f aca="false">IF(OR(D283="",F283=""),"",IF(IFERROR(INDEX(Dimensions!$D:$D,MATCH(D283,Dimensions!$A:$A,0)),"")="","",IF(INDEX(Dimensions!$D:$D,MATCH(D283,Dimensions!$A:$A,0))=F283,"Yes","No")))</f>
        <v/>
      </c>
      <c r="H283" s="20"/>
      <c r="I283" s="20"/>
      <c r="J283" s="20"/>
      <c r="K283" s="20"/>
    </row>
    <row r="284" customFormat="false" ht="15" hidden="false" customHeight="false" outlineLevel="0" collapsed="false">
      <c r="A284" s="20"/>
      <c r="B284" s="18" t="str">
        <f aca="false">IF(A284="","",IFERROR(INDEX(Products!$A:$A,MATCH(A284,Products!$B:$B,0)),"Not found"))</f>
        <v/>
      </c>
      <c r="C284" s="20"/>
      <c r="D284" s="18" t="str">
        <f aca="false">IF(C284="","",IFERROR(INDEX(Dimensions!$A:$A,MATCH(C284,Dimensions!$B:$B,0)),"Not found"))</f>
        <v/>
      </c>
      <c r="E284" s="20"/>
      <c r="F284" s="18" t="str">
        <f aca="false">IF(E284="","",IFERROR(INDEX(Tables!$A:$A,MATCH(E284,Tables!$B:$B,0)),"Not found"))</f>
        <v/>
      </c>
      <c r="G284" s="21" t="str">
        <f aca="false">IF(OR(D284="",F284=""),"",IF(IFERROR(INDEX(Dimensions!$D:$D,MATCH(D284,Dimensions!$A:$A,0)),"")="","",IF(INDEX(Dimensions!$D:$D,MATCH(D284,Dimensions!$A:$A,0))=F284,"Yes","No")))</f>
        <v/>
      </c>
      <c r="H284" s="20"/>
      <c r="I284" s="20"/>
      <c r="J284" s="20"/>
      <c r="K284" s="20"/>
    </row>
    <row r="285" customFormat="false" ht="15" hidden="false" customHeight="false" outlineLevel="0" collapsed="false">
      <c r="A285" s="20"/>
      <c r="B285" s="18" t="str">
        <f aca="false">IF(A285="","",IFERROR(INDEX(Products!$A:$A,MATCH(A285,Products!$B:$B,0)),"Not found"))</f>
        <v/>
      </c>
      <c r="C285" s="20"/>
      <c r="D285" s="18" t="str">
        <f aca="false">IF(C285="","",IFERROR(INDEX(Dimensions!$A:$A,MATCH(C285,Dimensions!$B:$B,0)),"Not found"))</f>
        <v/>
      </c>
      <c r="E285" s="20"/>
      <c r="F285" s="18" t="str">
        <f aca="false">IF(E285="","",IFERROR(INDEX(Tables!$A:$A,MATCH(E285,Tables!$B:$B,0)),"Not found"))</f>
        <v/>
      </c>
      <c r="G285" s="21" t="str">
        <f aca="false">IF(OR(D285="",F285=""),"",IF(IFERROR(INDEX(Dimensions!$D:$D,MATCH(D285,Dimensions!$A:$A,0)),"")="","",IF(INDEX(Dimensions!$D:$D,MATCH(D285,Dimensions!$A:$A,0))=F285,"Yes","No")))</f>
        <v/>
      </c>
      <c r="H285" s="20"/>
      <c r="I285" s="20"/>
      <c r="J285" s="20"/>
      <c r="K285" s="20"/>
    </row>
    <row r="286" customFormat="false" ht="15" hidden="false" customHeight="false" outlineLevel="0" collapsed="false">
      <c r="A286" s="20"/>
      <c r="B286" s="18" t="str">
        <f aca="false">IF(A286="","",IFERROR(INDEX(Products!$A:$A,MATCH(A286,Products!$B:$B,0)),"Not found"))</f>
        <v/>
      </c>
      <c r="C286" s="20"/>
      <c r="D286" s="18" t="str">
        <f aca="false">IF(C286="","",IFERROR(INDEX(Dimensions!$A:$A,MATCH(C286,Dimensions!$B:$B,0)),"Not found"))</f>
        <v/>
      </c>
      <c r="E286" s="20"/>
      <c r="F286" s="18" t="str">
        <f aca="false">IF(E286="","",IFERROR(INDEX(Tables!$A:$A,MATCH(E286,Tables!$B:$B,0)),"Not found"))</f>
        <v/>
      </c>
      <c r="G286" s="21" t="str">
        <f aca="false">IF(OR(D286="",F286=""),"",IF(IFERROR(INDEX(Dimensions!$D:$D,MATCH(D286,Dimensions!$A:$A,0)),"")="","",IF(INDEX(Dimensions!$D:$D,MATCH(D286,Dimensions!$A:$A,0))=F286,"Yes","No")))</f>
        <v/>
      </c>
      <c r="H286" s="20"/>
      <c r="I286" s="20"/>
      <c r="J286" s="20"/>
      <c r="K286" s="20"/>
    </row>
    <row r="287" customFormat="false" ht="15" hidden="false" customHeight="false" outlineLevel="0" collapsed="false">
      <c r="A287" s="20"/>
      <c r="B287" s="18" t="str">
        <f aca="false">IF(A287="","",IFERROR(INDEX(Products!$A:$A,MATCH(A287,Products!$B:$B,0)),"Not found"))</f>
        <v/>
      </c>
      <c r="C287" s="20"/>
      <c r="D287" s="18" t="str">
        <f aca="false">IF(C287="","",IFERROR(INDEX(Dimensions!$A:$A,MATCH(C287,Dimensions!$B:$B,0)),"Not found"))</f>
        <v/>
      </c>
      <c r="E287" s="20"/>
      <c r="F287" s="18" t="str">
        <f aca="false">IF(E287="","",IFERROR(INDEX(Tables!$A:$A,MATCH(E287,Tables!$B:$B,0)),"Not found"))</f>
        <v/>
      </c>
      <c r="G287" s="21" t="str">
        <f aca="false">IF(OR(D287="",F287=""),"",IF(IFERROR(INDEX(Dimensions!$D:$D,MATCH(D287,Dimensions!$A:$A,0)),"")="","",IF(INDEX(Dimensions!$D:$D,MATCH(D287,Dimensions!$A:$A,0))=F287,"Yes","No")))</f>
        <v/>
      </c>
      <c r="H287" s="20"/>
      <c r="I287" s="20"/>
      <c r="J287" s="20"/>
      <c r="K287" s="20"/>
    </row>
    <row r="288" customFormat="false" ht="15" hidden="false" customHeight="false" outlineLevel="0" collapsed="false">
      <c r="A288" s="20"/>
      <c r="B288" s="18" t="str">
        <f aca="false">IF(A288="","",IFERROR(INDEX(Products!$A:$A,MATCH(A288,Products!$B:$B,0)),"Not found"))</f>
        <v/>
      </c>
      <c r="C288" s="20"/>
      <c r="D288" s="18" t="str">
        <f aca="false">IF(C288="","",IFERROR(INDEX(Dimensions!$A:$A,MATCH(C288,Dimensions!$B:$B,0)),"Not found"))</f>
        <v/>
      </c>
      <c r="E288" s="20"/>
      <c r="F288" s="18" t="str">
        <f aca="false">IF(E288="","",IFERROR(INDEX(Tables!$A:$A,MATCH(E288,Tables!$B:$B,0)),"Not found"))</f>
        <v/>
      </c>
      <c r="G288" s="21" t="str">
        <f aca="false">IF(OR(D288="",F288=""),"",IF(IFERROR(INDEX(Dimensions!$D:$D,MATCH(D288,Dimensions!$A:$A,0)),"")="","",IF(INDEX(Dimensions!$D:$D,MATCH(D288,Dimensions!$A:$A,0))=F288,"Yes","No")))</f>
        <v/>
      </c>
      <c r="H288" s="20"/>
      <c r="I288" s="20"/>
      <c r="J288" s="20"/>
      <c r="K288" s="20"/>
    </row>
    <row r="289" customFormat="false" ht="15" hidden="false" customHeight="false" outlineLevel="0" collapsed="false">
      <c r="A289" s="20"/>
      <c r="B289" s="18" t="str">
        <f aca="false">IF(A289="","",IFERROR(INDEX(Products!$A:$A,MATCH(A289,Products!$B:$B,0)),"Not found"))</f>
        <v/>
      </c>
      <c r="C289" s="20"/>
      <c r="D289" s="18" t="str">
        <f aca="false">IF(C289="","",IFERROR(INDEX(Dimensions!$A:$A,MATCH(C289,Dimensions!$B:$B,0)),"Not found"))</f>
        <v/>
      </c>
      <c r="E289" s="20"/>
      <c r="F289" s="18" t="str">
        <f aca="false">IF(E289="","",IFERROR(INDEX(Tables!$A:$A,MATCH(E289,Tables!$B:$B,0)),"Not found"))</f>
        <v/>
      </c>
      <c r="G289" s="21" t="str">
        <f aca="false">IF(OR(D289="",F289=""),"",IF(IFERROR(INDEX(Dimensions!$D:$D,MATCH(D289,Dimensions!$A:$A,0)),"")="","",IF(INDEX(Dimensions!$D:$D,MATCH(D289,Dimensions!$A:$A,0))=F289,"Yes","No")))</f>
        <v/>
      </c>
      <c r="H289" s="20"/>
      <c r="I289" s="20"/>
      <c r="J289" s="20"/>
      <c r="K289" s="20"/>
    </row>
    <row r="290" customFormat="false" ht="15" hidden="false" customHeight="false" outlineLevel="0" collapsed="false">
      <c r="A290" s="20"/>
      <c r="B290" s="18" t="str">
        <f aca="false">IF(A290="","",IFERROR(INDEX(Products!$A:$A,MATCH(A290,Products!$B:$B,0)),"Not found"))</f>
        <v/>
      </c>
      <c r="C290" s="20"/>
      <c r="D290" s="18" t="str">
        <f aca="false">IF(C290="","",IFERROR(INDEX(Dimensions!$A:$A,MATCH(C290,Dimensions!$B:$B,0)),"Not found"))</f>
        <v/>
      </c>
      <c r="E290" s="20"/>
      <c r="F290" s="18" t="str">
        <f aca="false">IF(E290="","",IFERROR(INDEX(Tables!$A:$A,MATCH(E290,Tables!$B:$B,0)),"Not found"))</f>
        <v/>
      </c>
      <c r="G290" s="21" t="str">
        <f aca="false">IF(OR(D290="",F290=""),"",IF(IFERROR(INDEX(Dimensions!$D:$D,MATCH(D290,Dimensions!$A:$A,0)),"")="","",IF(INDEX(Dimensions!$D:$D,MATCH(D290,Dimensions!$A:$A,0))=F290,"Yes","No")))</f>
        <v/>
      </c>
      <c r="H290" s="20"/>
      <c r="I290" s="20"/>
      <c r="J290" s="20"/>
      <c r="K290" s="20"/>
    </row>
    <row r="291" customFormat="false" ht="15" hidden="false" customHeight="false" outlineLevel="0" collapsed="false">
      <c r="A291" s="20"/>
      <c r="B291" s="18" t="str">
        <f aca="false">IF(A291="","",IFERROR(INDEX(Products!$A:$A,MATCH(A291,Products!$B:$B,0)),"Not found"))</f>
        <v/>
      </c>
      <c r="C291" s="20"/>
      <c r="D291" s="18" t="str">
        <f aca="false">IF(C291="","",IFERROR(INDEX(Dimensions!$A:$A,MATCH(C291,Dimensions!$B:$B,0)),"Not found"))</f>
        <v/>
      </c>
      <c r="E291" s="20"/>
      <c r="F291" s="18" t="str">
        <f aca="false">IF(E291="","",IFERROR(INDEX(Tables!$A:$A,MATCH(E291,Tables!$B:$B,0)),"Not found"))</f>
        <v/>
      </c>
      <c r="G291" s="21" t="str">
        <f aca="false">IF(OR(D291="",F291=""),"",IF(IFERROR(INDEX(Dimensions!$D:$D,MATCH(D291,Dimensions!$A:$A,0)),"")="","",IF(INDEX(Dimensions!$D:$D,MATCH(D291,Dimensions!$A:$A,0))=F291,"Yes","No")))</f>
        <v/>
      </c>
      <c r="H291" s="20"/>
      <c r="I291" s="20"/>
      <c r="J291" s="20"/>
      <c r="K291" s="20"/>
    </row>
    <row r="292" customFormat="false" ht="15" hidden="false" customHeight="false" outlineLevel="0" collapsed="false">
      <c r="A292" s="20"/>
      <c r="B292" s="18" t="str">
        <f aca="false">IF(A292="","",IFERROR(INDEX(Products!$A:$A,MATCH(A292,Products!$B:$B,0)),"Not found"))</f>
        <v/>
      </c>
      <c r="C292" s="20"/>
      <c r="D292" s="18" t="str">
        <f aca="false">IF(C292="","",IFERROR(INDEX(Dimensions!$A:$A,MATCH(C292,Dimensions!$B:$B,0)),"Not found"))</f>
        <v/>
      </c>
      <c r="E292" s="20"/>
      <c r="F292" s="18" t="str">
        <f aca="false">IF(E292="","",IFERROR(INDEX(Tables!$A:$A,MATCH(E292,Tables!$B:$B,0)),"Not found"))</f>
        <v/>
      </c>
      <c r="G292" s="21" t="str">
        <f aca="false">IF(OR(D292="",F292=""),"",IF(IFERROR(INDEX(Dimensions!$D:$D,MATCH(D292,Dimensions!$A:$A,0)),"")="","",IF(INDEX(Dimensions!$D:$D,MATCH(D292,Dimensions!$A:$A,0))=F292,"Yes","No")))</f>
        <v/>
      </c>
      <c r="H292" s="20"/>
      <c r="I292" s="20"/>
      <c r="J292" s="20"/>
      <c r="K292" s="20"/>
    </row>
    <row r="293" customFormat="false" ht="15" hidden="false" customHeight="false" outlineLevel="0" collapsed="false">
      <c r="A293" s="20"/>
      <c r="B293" s="18" t="str">
        <f aca="false">IF(A293="","",IFERROR(INDEX(Products!$A:$A,MATCH(A293,Products!$B:$B,0)),"Not found"))</f>
        <v/>
      </c>
      <c r="C293" s="20"/>
      <c r="D293" s="18" t="str">
        <f aca="false">IF(C293="","",IFERROR(INDEX(Dimensions!$A:$A,MATCH(C293,Dimensions!$B:$B,0)),"Not found"))</f>
        <v/>
      </c>
      <c r="E293" s="20"/>
      <c r="F293" s="18" t="str">
        <f aca="false">IF(E293="","",IFERROR(INDEX(Tables!$A:$A,MATCH(E293,Tables!$B:$B,0)),"Not found"))</f>
        <v/>
      </c>
      <c r="G293" s="21" t="str">
        <f aca="false">IF(OR(D293="",F293=""),"",IF(IFERROR(INDEX(Dimensions!$D:$D,MATCH(D293,Dimensions!$A:$A,0)),"")="","",IF(INDEX(Dimensions!$D:$D,MATCH(D293,Dimensions!$A:$A,0))=F293,"Yes","No")))</f>
        <v/>
      </c>
      <c r="H293" s="20"/>
      <c r="I293" s="20"/>
      <c r="J293" s="20"/>
      <c r="K293" s="20"/>
    </row>
    <row r="294" customFormat="false" ht="15" hidden="false" customHeight="false" outlineLevel="0" collapsed="false">
      <c r="A294" s="20"/>
      <c r="B294" s="18" t="str">
        <f aca="false">IF(A294="","",IFERROR(INDEX(Products!$A:$A,MATCH(A294,Products!$B:$B,0)),"Not found"))</f>
        <v/>
      </c>
      <c r="C294" s="20"/>
      <c r="D294" s="18" t="str">
        <f aca="false">IF(C294="","",IFERROR(INDEX(Dimensions!$A:$A,MATCH(C294,Dimensions!$B:$B,0)),"Not found"))</f>
        <v/>
      </c>
      <c r="E294" s="20"/>
      <c r="F294" s="18" t="str">
        <f aca="false">IF(E294="","",IFERROR(INDEX(Tables!$A:$A,MATCH(E294,Tables!$B:$B,0)),"Not found"))</f>
        <v/>
      </c>
      <c r="G294" s="21" t="str">
        <f aca="false">IF(OR(D294="",F294=""),"",IF(IFERROR(INDEX(Dimensions!$D:$D,MATCH(D294,Dimensions!$A:$A,0)),"")="","",IF(INDEX(Dimensions!$D:$D,MATCH(D294,Dimensions!$A:$A,0))=F294,"Yes","No")))</f>
        <v/>
      </c>
      <c r="H294" s="20"/>
      <c r="I294" s="20"/>
      <c r="J294" s="20"/>
      <c r="K294" s="20"/>
    </row>
    <row r="295" customFormat="false" ht="15" hidden="false" customHeight="false" outlineLevel="0" collapsed="false">
      <c r="A295" s="20"/>
      <c r="B295" s="18" t="str">
        <f aca="false">IF(A295="","",IFERROR(INDEX(Products!$A:$A,MATCH(A295,Products!$B:$B,0)),"Not found"))</f>
        <v/>
      </c>
      <c r="C295" s="20"/>
      <c r="D295" s="18" t="str">
        <f aca="false">IF(C295="","",IFERROR(INDEX(Dimensions!$A:$A,MATCH(C295,Dimensions!$B:$B,0)),"Not found"))</f>
        <v/>
      </c>
      <c r="E295" s="20"/>
      <c r="F295" s="18" t="str">
        <f aca="false">IF(E295="","",IFERROR(INDEX(Tables!$A:$A,MATCH(E295,Tables!$B:$B,0)),"Not found"))</f>
        <v/>
      </c>
      <c r="G295" s="21" t="str">
        <f aca="false">IF(OR(D295="",F295=""),"",IF(IFERROR(INDEX(Dimensions!$D:$D,MATCH(D295,Dimensions!$A:$A,0)),"")="","",IF(INDEX(Dimensions!$D:$D,MATCH(D295,Dimensions!$A:$A,0))=F295,"Yes","No")))</f>
        <v/>
      </c>
      <c r="H295" s="20"/>
      <c r="I295" s="20"/>
      <c r="J295" s="20"/>
      <c r="K295" s="20"/>
    </row>
    <row r="296" customFormat="false" ht="15" hidden="false" customHeight="false" outlineLevel="0" collapsed="false">
      <c r="A296" s="20"/>
      <c r="B296" s="18" t="str">
        <f aca="false">IF(A296="","",IFERROR(INDEX(Products!$A:$A,MATCH(A296,Products!$B:$B,0)),"Not found"))</f>
        <v/>
      </c>
      <c r="C296" s="20"/>
      <c r="D296" s="18" t="str">
        <f aca="false">IF(C296="","",IFERROR(INDEX(Dimensions!$A:$A,MATCH(C296,Dimensions!$B:$B,0)),"Not found"))</f>
        <v/>
      </c>
      <c r="E296" s="20"/>
      <c r="F296" s="18" t="str">
        <f aca="false">IF(E296="","",IFERROR(INDEX(Tables!$A:$A,MATCH(E296,Tables!$B:$B,0)),"Not found"))</f>
        <v/>
      </c>
      <c r="G296" s="21" t="str">
        <f aca="false">IF(OR(D296="",F296=""),"",IF(IFERROR(INDEX(Dimensions!$D:$D,MATCH(D296,Dimensions!$A:$A,0)),"")="","",IF(INDEX(Dimensions!$D:$D,MATCH(D296,Dimensions!$A:$A,0))=F296,"Yes","No")))</f>
        <v/>
      </c>
      <c r="H296" s="20"/>
      <c r="I296" s="20"/>
      <c r="J296" s="20"/>
      <c r="K296" s="20"/>
    </row>
    <row r="297" customFormat="false" ht="15" hidden="false" customHeight="false" outlineLevel="0" collapsed="false">
      <c r="A297" s="20"/>
      <c r="B297" s="18" t="str">
        <f aca="false">IF(A297="","",IFERROR(INDEX(Products!$A:$A,MATCH(A297,Products!$B:$B,0)),"Not found"))</f>
        <v/>
      </c>
      <c r="C297" s="20"/>
      <c r="D297" s="18" t="str">
        <f aca="false">IF(C297="","",IFERROR(INDEX(Dimensions!$A:$A,MATCH(C297,Dimensions!$B:$B,0)),"Not found"))</f>
        <v/>
      </c>
      <c r="E297" s="20"/>
      <c r="F297" s="18" t="str">
        <f aca="false">IF(E297="","",IFERROR(INDEX(Tables!$A:$A,MATCH(E297,Tables!$B:$B,0)),"Not found"))</f>
        <v/>
      </c>
      <c r="G297" s="21" t="str">
        <f aca="false">IF(OR(D297="",F297=""),"",IF(IFERROR(INDEX(Dimensions!$D:$D,MATCH(D297,Dimensions!$A:$A,0)),"")="","",IF(INDEX(Dimensions!$D:$D,MATCH(D297,Dimensions!$A:$A,0))=F297,"Yes","No")))</f>
        <v/>
      </c>
      <c r="H297" s="20"/>
      <c r="I297" s="20"/>
      <c r="J297" s="20"/>
      <c r="K297" s="20"/>
    </row>
    <row r="298" customFormat="false" ht="15" hidden="false" customHeight="false" outlineLevel="0" collapsed="false">
      <c r="A298" s="20"/>
      <c r="B298" s="18" t="str">
        <f aca="false">IF(A298="","",IFERROR(INDEX(Products!$A:$A,MATCH(A298,Products!$B:$B,0)),"Not found"))</f>
        <v/>
      </c>
      <c r="C298" s="20"/>
      <c r="D298" s="18" t="str">
        <f aca="false">IF(C298="","",IFERROR(INDEX(Dimensions!$A:$A,MATCH(C298,Dimensions!$B:$B,0)),"Not found"))</f>
        <v/>
      </c>
      <c r="E298" s="20"/>
      <c r="F298" s="18" t="str">
        <f aca="false">IF(E298="","",IFERROR(INDEX(Tables!$A:$A,MATCH(E298,Tables!$B:$B,0)),"Not found"))</f>
        <v/>
      </c>
      <c r="G298" s="21" t="str">
        <f aca="false">IF(OR(D298="",F298=""),"",IF(IFERROR(INDEX(Dimensions!$D:$D,MATCH(D298,Dimensions!$A:$A,0)),"")="","",IF(INDEX(Dimensions!$D:$D,MATCH(D298,Dimensions!$A:$A,0))=F298,"Yes","No")))</f>
        <v/>
      </c>
      <c r="H298" s="20"/>
      <c r="I298" s="20"/>
      <c r="J298" s="20"/>
      <c r="K298" s="20"/>
    </row>
    <row r="299" customFormat="false" ht="15" hidden="false" customHeight="false" outlineLevel="0" collapsed="false">
      <c r="A299" s="20"/>
      <c r="B299" s="18" t="str">
        <f aca="false">IF(A299="","",IFERROR(INDEX(Products!$A:$A,MATCH(A299,Products!$B:$B,0)),"Not found"))</f>
        <v/>
      </c>
      <c r="C299" s="20"/>
      <c r="D299" s="18" t="str">
        <f aca="false">IF(C299="","",IFERROR(INDEX(Dimensions!$A:$A,MATCH(C299,Dimensions!$B:$B,0)),"Not found"))</f>
        <v/>
      </c>
      <c r="E299" s="20"/>
      <c r="F299" s="18" t="str">
        <f aca="false">IF(E299="","",IFERROR(INDEX(Tables!$A:$A,MATCH(E299,Tables!$B:$B,0)),"Not found"))</f>
        <v/>
      </c>
      <c r="G299" s="21" t="str">
        <f aca="false">IF(OR(D299="",F299=""),"",IF(IFERROR(INDEX(Dimensions!$D:$D,MATCH(D299,Dimensions!$A:$A,0)),"")="","",IF(INDEX(Dimensions!$D:$D,MATCH(D299,Dimensions!$A:$A,0))=F299,"Yes","No")))</f>
        <v/>
      </c>
      <c r="H299" s="20"/>
      <c r="I299" s="20"/>
      <c r="J299" s="20"/>
      <c r="K299" s="20"/>
    </row>
    <row r="300" customFormat="false" ht="15" hidden="false" customHeight="false" outlineLevel="0" collapsed="false">
      <c r="A300" s="20"/>
      <c r="B300" s="18" t="str">
        <f aca="false">IF(A300="","",IFERROR(INDEX(Products!$A:$A,MATCH(A300,Products!$B:$B,0)),"Not found"))</f>
        <v/>
      </c>
      <c r="C300" s="20"/>
      <c r="D300" s="18" t="str">
        <f aca="false">IF(C300="","",IFERROR(INDEX(Dimensions!$A:$A,MATCH(C300,Dimensions!$B:$B,0)),"Not found"))</f>
        <v/>
      </c>
      <c r="E300" s="20"/>
      <c r="F300" s="18" t="str">
        <f aca="false">IF(E300="","",IFERROR(INDEX(Tables!$A:$A,MATCH(E300,Tables!$B:$B,0)),"Not found"))</f>
        <v/>
      </c>
      <c r="G300" s="21" t="str">
        <f aca="false">IF(OR(D300="",F300=""),"",IF(IFERROR(INDEX(Dimensions!$D:$D,MATCH(D300,Dimensions!$A:$A,0)),"")="","",IF(INDEX(Dimensions!$D:$D,MATCH(D300,Dimensions!$A:$A,0))=F300,"Yes","No")))</f>
        <v/>
      </c>
      <c r="H300" s="20"/>
      <c r="I300" s="20"/>
      <c r="J300" s="20"/>
      <c r="K300" s="20"/>
    </row>
    <row r="301" customFormat="false" ht="15" hidden="false" customHeight="false" outlineLevel="0" collapsed="false">
      <c r="A301" s="20"/>
      <c r="B301" s="18" t="str">
        <f aca="false">IF(A301="","",IFERROR(INDEX(Products!$A:$A,MATCH(A301,Products!$B:$B,0)),"Not found"))</f>
        <v/>
      </c>
      <c r="C301" s="20"/>
      <c r="D301" s="18" t="str">
        <f aca="false">IF(C301="","",IFERROR(INDEX(Dimensions!$A:$A,MATCH(C301,Dimensions!$B:$B,0)),"Not found"))</f>
        <v/>
      </c>
      <c r="E301" s="20"/>
      <c r="F301" s="18" t="str">
        <f aca="false">IF(E301="","",IFERROR(INDEX(Tables!$A:$A,MATCH(E301,Tables!$B:$B,0)),"Not found"))</f>
        <v/>
      </c>
      <c r="G301" s="21" t="str">
        <f aca="false">IF(OR(D301="",F301=""),"",IF(IFERROR(INDEX(Dimensions!$D:$D,MATCH(D301,Dimensions!$A:$A,0)),"")="","",IF(INDEX(Dimensions!$D:$D,MATCH(D301,Dimensions!$A:$A,0))=F301,"Yes","No")))</f>
        <v/>
      </c>
      <c r="H301" s="20"/>
      <c r="I301" s="20"/>
      <c r="J301" s="20"/>
      <c r="K301" s="20"/>
    </row>
    <row r="302" customFormat="false" ht="15" hidden="false" customHeight="false" outlineLevel="0" collapsed="false">
      <c r="A302" s="20"/>
      <c r="B302" s="18" t="str">
        <f aca="false">IF(A302="","",IFERROR(INDEX(Products!$A:$A,MATCH(A302,Products!$B:$B,0)),"Not found"))</f>
        <v/>
      </c>
      <c r="C302" s="20"/>
      <c r="D302" s="18" t="str">
        <f aca="false">IF(C302="","",IFERROR(INDEX(Dimensions!$A:$A,MATCH(C302,Dimensions!$B:$B,0)),"Not found"))</f>
        <v/>
      </c>
      <c r="E302" s="20"/>
      <c r="F302" s="18" t="str">
        <f aca="false">IF(E302="","",IFERROR(INDEX(Tables!$A:$A,MATCH(E302,Tables!$B:$B,0)),"Not found"))</f>
        <v/>
      </c>
      <c r="G302" s="21" t="str">
        <f aca="false">IF(OR(D302="",F302=""),"",IF(IFERROR(INDEX(Dimensions!$D:$D,MATCH(D302,Dimensions!$A:$A,0)),"")="","",IF(INDEX(Dimensions!$D:$D,MATCH(D302,Dimensions!$A:$A,0))=F302,"Yes","No")))</f>
        <v/>
      </c>
      <c r="H302" s="20"/>
      <c r="I302" s="20"/>
      <c r="J302" s="20"/>
      <c r="K302" s="20"/>
    </row>
    <row r="303" customFormat="false" ht="15" hidden="false" customHeight="false" outlineLevel="0" collapsed="false">
      <c r="A303" s="20"/>
      <c r="B303" s="18" t="str">
        <f aca="false">IF(A303="","",IFERROR(INDEX(Products!$A:$A,MATCH(A303,Products!$B:$B,0)),"Not found"))</f>
        <v/>
      </c>
      <c r="C303" s="20"/>
      <c r="D303" s="18" t="str">
        <f aca="false">IF(C303="","",IFERROR(INDEX(Dimensions!$A:$A,MATCH(C303,Dimensions!$B:$B,0)),"Not found"))</f>
        <v/>
      </c>
      <c r="E303" s="20"/>
      <c r="F303" s="18" t="str">
        <f aca="false">IF(E303="","",IFERROR(INDEX(Tables!$A:$A,MATCH(E303,Tables!$B:$B,0)),"Not found"))</f>
        <v/>
      </c>
      <c r="G303" s="21" t="str">
        <f aca="false">IF(OR(D303="",F303=""),"",IF(IFERROR(INDEX(Dimensions!$D:$D,MATCH(D303,Dimensions!$A:$A,0)),"")="","",IF(INDEX(Dimensions!$D:$D,MATCH(D303,Dimensions!$A:$A,0))=F303,"Yes","No")))</f>
        <v/>
      </c>
      <c r="H303" s="20"/>
      <c r="I303" s="20"/>
      <c r="J303" s="20"/>
      <c r="K303" s="20"/>
    </row>
    <row r="304" customFormat="false" ht="15" hidden="false" customHeight="false" outlineLevel="0" collapsed="false">
      <c r="A304" s="20"/>
      <c r="B304" s="18" t="str">
        <f aca="false">IF(A304="","",IFERROR(INDEX(Products!$A:$A,MATCH(A304,Products!$B:$B,0)),"Not found"))</f>
        <v/>
      </c>
      <c r="C304" s="20"/>
      <c r="D304" s="18" t="str">
        <f aca="false">IF(C304="","",IFERROR(INDEX(Dimensions!$A:$A,MATCH(C304,Dimensions!$B:$B,0)),"Not found"))</f>
        <v/>
      </c>
      <c r="E304" s="20"/>
      <c r="F304" s="18" t="str">
        <f aca="false">IF(E304="","",IFERROR(INDEX(Tables!$A:$A,MATCH(E304,Tables!$B:$B,0)),"Not found"))</f>
        <v/>
      </c>
      <c r="G304" s="21" t="str">
        <f aca="false">IF(OR(D304="",F304=""),"",IF(IFERROR(INDEX(Dimensions!$D:$D,MATCH(D304,Dimensions!$A:$A,0)),"")="","",IF(INDEX(Dimensions!$D:$D,MATCH(D304,Dimensions!$A:$A,0))=F304,"Yes","No")))</f>
        <v/>
      </c>
      <c r="H304" s="20"/>
      <c r="I304" s="20"/>
      <c r="J304" s="20"/>
      <c r="K304" s="20"/>
    </row>
    <row r="305" customFormat="false" ht="15" hidden="false" customHeight="false" outlineLevel="0" collapsed="false">
      <c r="A305" s="20"/>
      <c r="B305" s="18" t="str">
        <f aca="false">IF(A305="","",IFERROR(INDEX(Products!$A:$A,MATCH(A305,Products!$B:$B,0)),"Not found"))</f>
        <v/>
      </c>
      <c r="C305" s="20"/>
      <c r="D305" s="18" t="str">
        <f aca="false">IF(C305="","",IFERROR(INDEX(Dimensions!$A:$A,MATCH(C305,Dimensions!$B:$B,0)),"Not found"))</f>
        <v/>
      </c>
      <c r="E305" s="20"/>
      <c r="F305" s="18" t="str">
        <f aca="false">IF(E305="","",IFERROR(INDEX(Tables!$A:$A,MATCH(E305,Tables!$B:$B,0)),"Not found"))</f>
        <v/>
      </c>
      <c r="G305" s="21" t="str">
        <f aca="false">IF(OR(D305="",F305=""),"",IF(IFERROR(INDEX(Dimensions!$D:$D,MATCH(D305,Dimensions!$A:$A,0)),"")="","",IF(INDEX(Dimensions!$D:$D,MATCH(D305,Dimensions!$A:$A,0))=F305,"Yes","No")))</f>
        <v/>
      </c>
      <c r="H305" s="20"/>
      <c r="I305" s="20"/>
      <c r="J305" s="20"/>
      <c r="K305" s="20"/>
    </row>
    <row r="306" customFormat="false" ht="15" hidden="false" customHeight="false" outlineLevel="0" collapsed="false">
      <c r="A306" s="20"/>
      <c r="B306" s="18" t="str">
        <f aca="false">IF(A306="","",IFERROR(INDEX(Products!$A:$A,MATCH(A306,Products!$B:$B,0)),"Not found"))</f>
        <v/>
      </c>
      <c r="C306" s="20"/>
      <c r="D306" s="18" t="str">
        <f aca="false">IF(C306="","",IFERROR(INDEX(Dimensions!$A:$A,MATCH(C306,Dimensions!$B:$B,0)),"Not found"))</f>
        <v/>
      </c>
      <c r="E306" s="20"/>
      <c r="F306" s="18" t="str">
        <f aca="false">IF(E306="","",IFERROR(INDEX(Tables!$A:$A,MATCH(E306,Tables!$B:$B,0)),"Not found"))</f>
        <v/>
      </c>
      <c r="G306" s="21" t="str">
        <f aca="false">IF(OR(D306="",F306=""),"",IF(IFERROR(INDEX(Dimensions!$D:$D,MATCH(D306,Dimensions!$A:$A,0)),"")="","",IF(INDEX(Dimensions!$D:$D,MATCH(D306,Dimensions!$A:$A,0))=F306,"Yes","No")))</f>
        <v/>
      </c>
      <c r="H306" s="20"/>
      <c r="I306" s="20"/>
      <c r="J306" s="20"/>
      <c r="K306" s="20"/>
    </row>
    <row r="307" customFormat="false" ht="15" hidden="false" customHeight="false" outlineLevel="0" collapsed="false">
      <c r="A307" s="20"/>
      <c r="B307" s="18" t="str">
        <f aca="false">IF(A307="","",IFERROR(INDEX(Products!$A:$A,MATCH(A307,Products!$B:$B,0)),"Not found"))</f>
        <v/>
      </c>
      <c r="C307" s="20"/>
      <c r="D307" s="18" t="str">
        <f aca="false">IF(C307="","",IFERROR(INDEX(Dimensions!$A:$A,MATCH(C307,Dimensions!$B:$B,0)),"Not found"))</f>
        <v/>
      </c>
      <c r="E307" s="20"/>
      <c r="F307" s="18" t="str">
        <f aca="false">IF(E307="","",IFERROR(INDEX(Tables!$A:$A,MATCH(E307,Tables!$B:$B,0)),"Not found"))</f>
        <v/>
      </c>
      <c r="G307" s="21" t="str">
        <f aca="false">IF(OR(D307="",F307=""),"",IF(IFERROR(INDEX(Dimensions!$D:$D,MATCH(D307,Dimensions!$A:$A,0)),"")="","",IF(INDEX(Dimensions!$D:$D,MATCH(D307,Dimensions!$A:$A,0))=F307,"Yes","No")))</f>
        <v/>
      </c>
      <c r="H307" s="20"/>
      <c r="I307" s="20"/>
      <c r="J307" s="20"/>
      <c r="K307" s="20"/>
    </row>
    <row r="308" customFormat="false" ht="15" hidden="false" customHeight="false" outlineLevel="0" collapsed="false">
      <c r="A308" s="20"/>
      <c r="B308" s="18" t="str">
        <f aca="false">IF(A308="","",IFERROR(INDEX(Products!$A:$A,MATCH(A308,Products!$B:$B,0)),"Not found"))</f>
        <v/>
      </c>
      <c r="C308" s="20"/>
      <c r="D308" s="18" t="str">
        <f aca="false">IF(C308="","",IFERROR(INDEX(Dimensions!$A:$A,MATCH(C308,Dimensions!$B:$B,0)),"Not found"))</f>
        <v/>
      </c>
      <c r="E308" s="20"/>
      <c r="F308" s="18" t="str">
        <f aca="false">IF(E308="","",IFERROR(INDEX(Tables!$A:$A,MATCH(E308,Tables!$B:$B,0)),"Not found"))</f>
        <v/>
      </c>
      <c r="G308" s="21" t="str">
        <f aca="false">IF(OR(D308="",F308=""),"",IF(IFERROR(INDEX(Dimensions!$D:$D,MATCH(D308,Dimensions!$A:$A,0)),"")="","",IF(INDEX(Dimensions!$D:$D,MATCH(D308,Dimensions!$A:$A,0))=F308,"Yes","No")))</f>
        <v/>
      </c>
      <c r="H308" s="20"/>
      <c r="I308" s="20"/>
      <c r="J308" s="20"/>
      <c r="K308" s="20"/>
    </row>
    <row r="309" customFormat="false" ht="15" hidden="false" customHeight="false" outlineLevel="0" collapsed="false">
      <c r="A309" s="20"/>
      <c r="B309" s="18" t="str">
        <f aca="false">IF(A309="","",IFERROR(INDEX(Products!$A:$A,MATCH(A309,Products!$B:$B,0)),"Not found"))</f>
        <v/>
      </c>
      <c r="C309" s="20"/>
      <c r="D309" s="18" t="str">
        <f aca="false">IF(C309="","",IFERROR(INDEX(Dimensions!$A:$A,MATCH(C309,Dimensions!$B:$B,0)),"Not found"))</f>
        <v/>
      </c>
      <c r="E309" s="20"/>
      <c r="F309" s="18" t="str">
        <f aca="false">IF(E309="","",IFERROR(INDEX(Tables!$A:$A,MATCH(E309,Tables!$B:$B,0)),"Not found"))</f>
        <v/>
      </c>
      <c r="G309" s="21" t="str">
        <f aca="false">IF(OR(D309="",F309=""),"",IF(IFERROR(INDEX(Dimensions!$D:$D,MATCH(D309,Dimensions!$A:$A,0)),"")="","",IF(INDEX(Dimensions!$D:$D,MATCH(D309,Dimensions!$A:$A,0))=F309,"Yes","No")))</f>
        <v/>
      </c>
      <c r="H309" s="20"/>
      <c r="I309" s="20"/>
      <c r="J309" s="20"/>
      <c r="K309" s="20"/>
    </row>
    <row r="310" customFormat="false" ht="15" hidden="false" customHeight="false" outlineLevel="0" collapsed="false">
      <c r="A310" s="20"/>
      <c r="B310" s="18" t="str">
        <f aca="false">IF(A310="","",IFERROR(INDEX(Products!$A:$A,MATCH(A310,Products!$B:$B,0)),"Not found"))</f>
        <v/>
      </c>
      <c r="C310" s="20"/>
      <c r="D310" s="18" t="str">
        <f aca="false">IF(C310="","",IFERROR(INDEX(Dimensions!$A:$A,MATCH(C310,Dimensions!$B:$B,0)),"Not found"))</f>
        <v/>
      </c>
      <c r="E310" s="20"/>
      <c r="F310" s="18" t="str">
        <f aca="false">IF(E310="","",IFERROR(INDEX(Tables!$A:$A,MATCH(E310,Tables!$B:$B,0)),"Not found"))</f>
        <v/>
      </c>
      <c r="G310" s="21" t="str">
        <f aca="false">IF(OR(D310="",F310=""),"",IF(IFERROR(INDEX(Dimensions!$D:$D,MATCH(D310,Dimensions!$A:$A,0)),"")="","",IF(INDEX(Dimensions!$D:$D,MATCH(D310,Dimensions!$A:$A,0))=F310,"Yes","No")))</f>
        <v/>
      </c>
      <c r="H310" s="20"/>
      <c r="I310" s="20"/>
      <c r="J310" s="20"/>
      <c r="K310" s="20"/>
    </row>
    <row r="311" customFormat="false" ht="15" hidden="false" customHeight="false" outlineLevel="0" collapsed="false">
      <c r="A311" s="20"/>
      <c r="B311" s="18" t="str">
        <f aca="false">IF(A311="","",IFERROR(INDEX(Products!$A:$A,MATCH(A311,Products!$B:$B,0)),"Not found"))</f>
        <v/>
      </c>
      <c r="C311" s="20"/>
      <c r="D311" s="18" t="str">
        <f aca="false">IF(C311="","",IFERROR(INDEX(Dimensions!$A:$A,MATCH(C311,Dimensions!$B:$B,0)),"Not found"))</f>
        <v/>
      </c>
      <c r="E311" s="20"/>
      <c r="F311" s="18" t="str">
        <f aca="false">IF(E311="","",IFERROR(INDEX(Tables!$A:$A,MATCH(E311,Tables!$B:$B,0)),"Not found"))</f>
        <v/>
      </c>
      <c r="G311" s="21" t="str">
        <f aca="false">IF(OR(D311="",F311=""),"",IF(IFERROR(INDEX(Dimensions!$D:$D,MATCH(D311,Dimensions!$A:$A,0)),"")="","",IF(INDEX(Dimensions!$D:$D,MATCH(D311,Dimensions!$A:$A,0))=F311,"Yes","No")))</f>
        <v/>
      </c>
      <c r="H311" s="20"/>
      <c r="I311" s="20"/>
      <c r="J311" s="20"/>
      <c r="K311" s="20"/>
    </row>
    <row r="312" customFormat="false" ht="15" hidden="false" customHeight="false" outlineLevel="0" collapsed="false">
      <c r="A312" s="20"/>
      <c r="B312" s="18" t="str">
        <f aca="false">IF(A312="","",IFERROR(INDEX(Products!$A:$A,MATCH(A312,Products!$B:$B,0)),"Not found"))</f>
        <v/>
      </c>
      <c r="C312" s="20"/>
      <c r="D312" s="18" t="str">
        <f aca="false">IF(C312="","",IFERROR(INDEX(Dimensions!$A:$A,MATCH(C312,Dimensions!$B:$B,0)),"Not found"))</f>
        <v/>
      </c>
      <c r="E312" s="20"/>
      <c r="F312" s="18" t="str">
        <f aca="false">IF(E312="","",IFERROR(INDEX(Tables!$A:$A,MATCH(E312,Tables!$B:$B,0)),"Not found"))</f>
        <v/>
      </c>
      <c r="G312" s="21" t="str">
        <f aca="false">IF(OR(D312="",F312=""),"",IF(IFERROR(INDEX(Dimensions!$D:$D,MATCH(D312,Dimensions!$A:$A,0)),"")="","",IF(INDEX(Dimensions!$D:$D,MATCH(D312,Dimensions!$A:$A,0))=F312,"Yes","No")))</f>
        <v/>
      </c>
      <c r="H312" s="20"/>
      <c r="I312" s="20"/>
      <c r="J312" s="20"/>
      <c r="K312" s="20"/>
    </row>
    <row r="313" customFormat="false" ht="15" hidden="false" customHeight="false" outlineLevel="0" collapsed="false">
      <c r="A313" s="20"/>
      <c r="B313" s="18" t="str">
        <f aca="false">IF(A313="","",IFERROR(INDEX(Products!$A:$A,MATCH(A313,Products!$B:$B,0)),"Not found"))</f>
        <v/>
      </c>
      <c r="C313" s="20"/>
      <c r="D313" s="18" t="str">
        <f aca="false">IF(C313="","",IFERROR(INDEX(Dimensions!$A:$A,MATCH(C313,Dimensions!$B:$B,0)),"Not found"))</f>
        <v/>
      </c>
      <c r="E313" s="20"/>
      <c r="F313" s="18" t="str">
        <f aca="false">IF(E313="","",IFERROR(INDEX(Tables!$A:$A,MATCH(E313,Tables!$B:$B,0)),"Not found"))</f>
        <v/>
      </c>
      <c r="G313" s="21" t="str">
        <f aca="false">IF(OR(D313="",F313=""),"",IF(IFERROR(INDEX(Dimensions!$D:$D,MATCH(D313,Dimensions!$A:$A,0)),"")="","",IF(INDEX(Dimensions!$D:$D,MATCH(D313,Dimensions!$A:$A,0))=F313,"Yes","No")))</f>
        <v/>
      </c>
      <c r="H313" s="20"/>
      <c r="I313" s="20"/>
      <c r="J313" s="20"/>
      <c r="K313" s="20"/>
    </row>
    <row r="314" customFormat="false" ht="15" hidden="false" customHeight="false" outlineLevel="0" collapsed="false">
      <c r="A314" s="20"/>
      <c r="B314" s="18" t="str">
        <f aca="false">IF(A314="","",IFERROR(INDEX(Products!$A:$A,MATCH(A314,Products!$B:$B,0)),"Not found"))</f>
        <v/>
      </c>
      <c r="C314" s="20"/>
      <c r="D314" s="18" t="str">
        <f aca="false">IF(C314="","",IFERROR(INDEX(Dimensions!$A:$A,MATCH(C314,Dimensions!$B:$B,0)),"Not found"))</f>
        <v/>
      </c>
      <c r="E314" s="20"/>
      <c r="F314" s="18" t="str">
        <f aca="false">IF(E314="","",IFERROR(INDEX(Tables!$A:$A,MATCH(E314,Tables!$B:$B,0)),"Not found"))</f>
        <v/>
      </c>
      <c r="G314" s="21" t="str">
        <f aca="false">IF(OR(D314="",F314=""),"",IF(IFERROR(INDEX(Dimensions!$D:$D,MATCH(D314,Dimensions!$A:$A,0)),"")="","",IF(INDEX(Dimensions!$D:$D,MATCH(D314,Dimensions!$A:$A,0))=F314,"Yes","No")))</f>
        <v/>
      </c>
      <c r="H314" s="20"/>
      <c r="I314" s="20"/>
      <c r="J314" s="20"/>
      <c r="K314" s="20"/>
    </row>
    <row r="315" customFormat="false" ht="15" hidden="false" customHeight="false" outlineLevel="0" collapsed="false">
      <c r="A315" s="20"/>
      <c r="B315" s="18" t="str">
        <f aca="false">IF(A315="","",IFERROR(INDEX(Products!$A:$A,MATCH(A315,Products!$B:$B,0)),"Not found"))</f>
        <v/>
      </c>
      <c r="C315" s="20"/>
      <c r="D315" s="18" t="str">
        <f aca="false">IF(C315="","",IFERROR(INDEX(Dimensions!$A:$A,MATCH(C315,Dimensions!$B:$B,0)),"Not found"))</f>
        <v/>
      </c>
      <c r="E315" s="20"/>
      <c r="F315" s="18" t="str">
        <f aca="false">IF(E315="","",IFERROR(INDEX(Tables!$A:$A,MATCH(E315,Tables!$B:$B,0)),"Not found"))</f>
        <v/>
      </c>
      <c r="G315" s="21" t="str">
        <f aca="false">IF(OR(D315="",F315=""),"",IF(IFERROR(INDEX(Dimensions!$D:$D,MATCH(D315,Dimensions!$A:$A,0)),"")="","",IF(INDEX(Dimensions!$D:$D,MATCH(D315,Dimensions!$A:$A,0))=F315,"Yes","No")))</f>
        <v/>
      </c>
      <c r="H315" s="20"/>
      <c r="I315" s="20"/>
      <c r="J315" s="20"/>
      <c r="K315" s="20"/>
    </row>
    <row r="316" customFormat="false" ht="15" hidden="false" customHeight="false" outlineLevel="0" collapsed="false">
      <c r="A316" s="20"/>
      <c r="B316" s="18" t="str">
        <f aca="false">IF(A316="","",IFERROR(INDEX(Products!$A:$A,MATCH(A316,Products!$B:$B,0)),"Not found"))</f>
        <v/>
      </c>
      <c r="C316" s="20"/>
      <c r="D316" s="18" t="str">
        <f aca="false">IF(C316="","",IFERROR(INDEX(Dimensions!$A:$A,MATCH(C316,Dimensions!$B:$B,0)),"Not found"))</f>
        <v/>
      </c>
      <c r="E316" s="20"/>
      <c r="F316" s="18" t="str">
        <f aca="false">IF(E316="","",IFERROR(INDEX(Tables!$A:$A,MATCH(E316,Tables!$B:$B,0)),"Not found"))</f>
        <v/>
      </c>
      <c r="G316" s="21" t="str">
        <f aca="false">IF(OR(D316="",F316=""),"",IF(IFERROR(INDEX(Dimensions!$D:$D,MATCH(D316,Dimensions!$A:$A,0)),"")="","",IF(INDEX(Dimensions!$D:$D,MATCH(D316,Dimensions!$A:$A,0))=F316,"Yes","No")))</f>
        <v/>
      </c>
      <c r="H316" s="20"/>
      <c r="I316" s="20"/>
      <c r="J316" s="20"/>
      <c r="K316" s="20"/>
    </row>
    <row r="317" customFormat="false" ht="15" hidden="false" customHeight="false" outlineLevel="0" collapsed="false">
      <c r="A317" s="20"/>
      <c r="B317" s="18" t="str">
        <f aca="false">IF(A317="","",IFERROR(INDEX(Products!$A:$A,MATCH(A317,Products!$B:$B,0)),"Not found"))</f>
        <v/>
      </c>
      <c r="C317" s="20"/>
      <c r="D317" s="18" t="str">
        <f aca="false">IF(C317="","",IFERROR(INDEX(Dimensions!$A:$A,MATCH(C317,Dimensions!$B:$B,0)),"Not found"))</f>
        <v/>
      </c>
      <c r="E317" s="20"/>
      <c r="F317" s="18" t="str">
        <f aca="false">IF(E317="","",IFERROR(INDEX(Tables!$A:$A,MATCH(E317,Tables!$B:$B,0)),"Not found"))</f>
        <v/>
      </c>
      <c r="G317" s="21" t="str">
        <f aca="false">IF(OR(D317="",F317=""),"",IF(IFERROR(INDEX(Dimensions!$D:$D,MATCH(D317,Dimensions!$A:$A,0)),"")="","",IF(INDEX(Dimensions!$D:$D,MATCH(D317,Dimensions!$A:$A,0))=F317,"Yes","No")))</f>
        <v/>
      </c>
      <c r="H317" s="20"/>
      <c r="I317" s="20"/>
      <c r="J317" s="20"/>
      <c r="K317" s="20"/>
    </row>
    <row r="318" customFormat="false" ht="15" hidden="false" customHeight="false" outlineLevel="0" collapsed="false">
      <c r="A318" s="20"/>
      <c r="B318" s="18" t="str">
        <f aca="false">IF(A318="","",IFERROR(INDEX(Products!$A:$A,MATCH(A318,Products!$B:$B,0)),"Not found"))</f>
        <v/>
      </c>
      <c r="C318" s="20"/>
      <c r="D318" s="18" t="str">
        <f aca="false">IF(C318="","",IFERROR(INDEX(Dimensions!$A:$A,MATCH(C318,Dimensions!$B:$B,0)),"Not found"))</f>
        <v/>
      </c>
      <c r="E318" s="20"/>
      <c r="F318" s="18" t="str">
        <f aca="false">IF(E318="","",IFERROR(INDEX(Tables!$A:$A,MATCH(E318,Tables!$B:$B,0)),"Not found"))</f>
        <v/>
      </c>
      <c r="G318" s="21" t="str">
        <f aca="false">IF(OR(D318="",F318=""),"",IF(IFERROR(INDEX(Dimensions!$D:$D,MATCH(D318,Dimensions!$A:$A,0)),"")="","",IF(INDEX(Dimensions!$D:$D,MATCH(D318,Dimensions!$A:$A,0))=F318,"Yes","No")))</f>
        <v/>
      </c>
      <c r="H318" s="20"/>
      <c r="I318" s="20"/>
      <c r="J318" s="20"/>
      <c r="K318" s="20"/>
    </row>
    <row r="319" customFormat="false" ht="15" hidden="false" customHeight="false" outlineLevel="0" collapsed="false">
      <c r="A319" s="20"/>
      <c r="B319" s="18" t="str">
        <f aca="false">IF(A319="","",IFERROR(INDEX(Products!$A:$A,MATCH(A319,Products!$B:$B,0)),"Not found"))</f>
        <v/>
      </c>
      <c r="C319" s="20"/>
      <c r="D319" s="18" t="str">
        <f aca="false">IF(C319="","",IFERROR(INDEX(Dimensions!$A:$A,MATCH(C319,Dimensions!$B:$B,0)),"Not found"))</f>
        <v/>
      </c>
      <c r="E319" s="20"/>
      <c r="F319" s="18" t="str">
        <f aca="false">IF(E319="","",IFERROR(INDEX(Tables!$A:$A,MATCH(E319,Tables!$B:$B,0)),"Not found"))</f>
        <v/>
      </c>
      <c r="G319" s="21" t="str">
        <f aca="false">IF(OR(D319="",F319=""),"",IF(IFERROR(INDEX(Dimensions!$D:$D,MATCH(D319,Dimensions!$A:$A,0)),"")="","",IF(INDEX(Dimensions!$D:$D,MATCH(D319,Dimensions!$A:$A,0))=F319,"Yes","No")))</f>
        <v/>
      </c>
      <c r="H319" s="20"/>
      <c r="I319" s="20"/>
      <c r="J319" s="20"/>
      <c r="K319" s="20"/>
    </row>
    <row r="320" customFormat="false" ht="15" hidden="false" customHeight="false" outlineLevel="0" collapsed="false">
      <c r="A320" s="20"/>
      <c r="B320" s="18" t="str">
        <f aca="false">IF(A320="","",IFERROR(INDEX(Products!$A:$A,MATCH(A320,Products!$B:$B,0)),"Not found"))</f>
        <v/>
      </c>
      <c r="C320" s="20"/>
      <c r="D320" s="18" t="str">
        <f aca="false">IF(C320="","",IFERROR(INDEX(Dimensions!$A:$A,MATCH(C320,Dimensions!$B:$B,0)),"Not found"))</f>
        <v/>
      </c>
      <c r="E320" s="20"/>
      <c r="F320" s="18" t="str">
        <f aca="false">IF(E320="","",IFERROR(INDEX(Tables!$A:$A,MATCH(E320,Tables!$B:$B,0)),"Not found"))</f>
        <v/>
      </c>
      <c r="G320" s="21" t="str">
        <f aca="false">IF(OR(D320="",F320=""),"",IF(IFERROR(INDEX(Dimensions!$D:$D,MATCH(D320,Dimensions!$A:$A,0)),"")="","",IF(INDEX(Dimensions!$D:$D,MATCH(D320,Dimensions!$A:$A,0))=F320,"Yes","No")))</f>
        <v/>
      </c>
      <c r="H320" s="20"/>
      <c r="I320" s="20"/>
      <c r="J320" s="20"/>
      <c r="K320" s="20"/>
    </row>
    <row r="321" customFormat="false" ht="15" hidden="false" customHeight="false" outlineLevel="0" collapsed="false">
      <c r="A321" s="20"/>
      <c r="B321" s="18" t="str">
        <f aca="false">IF(A321="","",IFERROR(INDEX(Products!$A:$A,MATCH(A321,Products!$B:$B,0)),"Not found"))</f>
        <v/>
      </c>
      <c r="C321" s="20"/>
      <c r="D321" s="18" t="str">
        <f aca="false">IF(C321="","",IFERROR(INDEX(Dimensions!$A:$A,MATCH(C321,Dimensions!$B:$B,0)),"Not found"))</f>
        <v/>
      </c>
      <c r="E321" s="20"/>
      <c r="F321" s="18" t="str">
        <f aca="false">IF(E321="","",IFERROR(INDEX(Tables!$A:$A,MATCH(E321,Tables!$B:$B,0)),"Not found"))</f>
        <v/>
      </c>
      <c r="G321" s="21" t="str">
        <f aca="false">IF(OR(D321="",F321=""),"",IF(IFERROR(INDEX(Dimensions!$D:$D,MATCH(D321,Dimensions!$A:$A,0)),"")="","",IF(INDEX(Dimensions!$D:$D,MATCH(D321,Dimensions!$A:$A,0))=F321,"Yes","No")))</f>
        <v/>
      </c>
      <c r="H321" s="20"/>
      <c r="I321" s="20"/>
      <c r="J321" s="20"/>
      <c r="K321" s="20"/>
    </row>
    <row r="322" customFormat="false" ht="15" hidden="false" customHeight="false" outlineLevel="0" collapsed="false">
      <c r="A322" s="20"/>
      <c r="B322" s="18" t="str">
        <f aca="false">IF(A322="","",IFERROR(INDEX(Products!$A:$A,MATCH(A322,Products!$B:$B,0)),"Not found"))</f>
        <v/>
      </c>
      <c r="C322" s="20"/>
      <c r="D322" s="18" t="str">
        <f aca="false">IF(C322="","",IFERROR(INDEX(Dimensions!$A:$A,MATCH(C322,Dimensions!$B:$B,0)),"Not found"))</f>
        <v/>
      </c>
      <c r="E322" s="20"/>
      <c r="F322" s="18" t="str">
        <f aca="false">IF(E322="","",IFERROR(INDEX(Tables!$A:$A,MATCH(E322,Tables!$B:$B,0)),"Not found"))</f>
        <v/>
      </c>
      <c r="G322" s="21" t="str">
        <f aca="false">IF(OR(D322="",F322=""),"",IF(IFERROR(INDEX(Dimensions!$D:$D,MATCH(D322,Dimensions!$A:$A,0)),"")="","",IF(INDEX(Dimensions!$D:$D,MATCH(D322,Dimensions!$A:$A,0))=F322,"Yes","No")))</f>
        <v/>
      </c>
      <c r="H322" s="20"/>
      <c r="I322" s="20"/>
      <c r="J322" s="20"/>
      <c r="K322" s="20"/>
    </row>
    <row r="323" customFormat="false" ht="15" hidden="false" customHeight="false" outlineLevel="0" collapsed="false">
      <c r="A323" s="20"/>
      <c r="B323" s="18" t="str">
        <f aca="false">IF(A323="","",IFERROR(INDEX(Products!$A:$A,MATCH(A323,Products!$B:$B,0)),"Not found"))</f>
        <v/>
      </c>
      <c r="C323" s="20"/>
      <c r="D323" s="18" t="str">
        <f aca="false">IF(C323="","",IFERROR(INDEX(Dimensions!$A:$A,MATCH(C323,Dimensions!$B:$B,0)),"Not found"))</f>
        <v/>
      </c>
      <c r="E323" s="20"/>
      <c r="F323" s="18" t="str">
        <f aca="false">IF(E323="","",IFERROR(INDEX(Tables!$A:$A,MATCH(E323,Tables!$B:$B,0)),"Not found"))</f>
        <v/>
      </c>
      <c r="G323" s="21" t="str">
        <f aca="false">IF(OR(D323="",F323=""),"",IF(IFERROR(INDEX(Dimensions!$D:$D,MATCH(D323,Dimensions!$A:$A,0)),"")="","",IF(INDEX(Dimensions!$D:$D,MATCH(D323,Dimensions!$A:$A,0))=F323,"Yes","No")))</f>
        <v/>
      </c>
      <c r="H323" s="20"/>
      <c r="I323" s="20"/>
      <c r="J323" s="20"/>
      <c r="K323" s="20"/>
    </row>
    <row r="324" customFormat="false" ht="15" hidden="false" customHeight="false" outlineLevel="0" collapsed="false">
      <c r="A324" s="20"/>
      <c r="B324" s="18" t="str">
        <f aca="false">IF(A324="","",IFERROR(INDEX(Products!$A:$A,MATCH(A324,Products!$B:$B,0)),"Not found"))</f>
        <v/>
      </c>
      <c r="C324" s="20"/>
      <c r="D324" s="18" t="str">
        <f aca="false">IF(C324="","",IFERROR(INDEX(Dimensions!$A:$A,MATCH(C324,Dimensions!$B:$B,0)),"Not found"))</f>
        <v/>
      </c>
      <c r="E324" s="20"/>
      <c r="F324" s="18" t="str">
        <f aca="false">IF(E324="","",IFERROR(INDEX(Tables!$A:$A,MATCH(E324,Tables!$B:$B,0)),"Not found"))</f>
        <v/>
      </c>
      <c r="G324" s="21" t="str">
        <f aca="false">IF(OR(D324="",F324=""),"",IF(IFERROR(INDEX(Dimensions!$D:$D,MATCH(D324,Dimensions!$A:$A,0)),"")="","",IF(INDEX(Dimensions!$D:$D,MATCH(D324,Dimensions!$A:$A,0))=F324,"Yes","No")))</f>
        <v/>
      </c>
      <c r="H324" s="20"/>
      <c r="I324" s="20"/>
      <c r="J324" s="20"/>
      <c r="K324" s="20"/>
    </row>
    <row r="325" customFormat="false" ht="15" hidden="false" customHeight="false" outlineLevel="0" collapsed="false">
      <c r="A325" s="20"/>
      <c r="B325" s="18" t="str">
        <f aca="false">IF(A325="","",IFERROR(INDEX(Products!$A:$A,MATCH(A325,Products!$B:$B,0)),"Not found"))</f>
        <v/>
      </c>
      <c r="C325" s="20"/>
      <c r="D325" s="18" t="str">
        <f aca="false">IF(C325="","",IFERROR(INDEX(Dimensions!$A:$A,MATCH(C325,Dimensions!$B:$B,0)),"Not found"))</f>
        <v/>
      </c>
      <c r="E325" s="20"/>
      <c r="F325" s="18" t="str">
        <f aca="false">IF(E325="","",IFERROR(INDEX(Tables!$A:$A,MATCH(E325,Tables!$B:$B,0)),"Not found"))</f>
        <v/>
      </c>
      <c r="G325" s="21" t="str">
        <f aca="false">IF(OR(D325="",F325=""),"",IF(IFERROR(INDEX(Dimensions!$D:$D,MATCH(D325,Dimensions!$A:$A,0)),"")="","",IF(INDEX(Dimensions!$D:$D,MATCH(D325,Dimensions!$A:$A,0))=F325,"Yes","No")))</f>
        <v/>
      </c>
      <c r="H325" s="20"/>
      <c r="I325" s="20"/>
      <c r="J325" s="20"/>
      <c r="K325" s="20"/>
    </row>
    <row r="326" customFormat="false" ht="15" hidden="false" customHeight="false" outlineLevel="0" collapsed="false">
      <c r="A326" s="20"/>
      <c r="B326" s="18" t="str">
        <f aca="false">IF(A326="","",IFERROR(INDEX(Products!$A:$A,MATCH(A326,Products!$B:$B,0)),"Not found"))</f>
        <v/>
      </c>
      <c r="C326" s="20"/>
      <c r="D326" s="18" t="str">
        <f aca="false">IF(C326="","",IFERROR(INDEX(Dimensions!$A:$A,MATCH(C326,Dimensions!$B:$B,0)),"Not found"))</f>
        <v/>
      </c>
      <c r="E326" s="20"/>
      <c r="F326" s="18" t="str">
        <f aca="false">IF(E326="","",IFERROR(INDEX(Tables!$A:$A,MATCH(E326,Tables!$B:$B,0)),"Not found"))</f>
        <v/>
      </c>
      <c r="G326" s="21" t="str">
        <f aca="false">IF(OR(D326="",F326=""),"",IF(IFERROR(INDEX(Dimensions!$D:$D,MATCH(D326,Dimensions!$A:$A,0)),"")="","",IF(INDEX(Dimensions!$D:$D,MATCH(D326,Dimensions!$A:$A,0))=F326,"Yes","No")))</f>
        <v/>
      </c>
      <c r="H326" s="20"/>
      <c r="I326" s="20"/>
      <c r="J326" s="20"/>
      <c r="K326" s="20"/>
    </row>
    <row r="327" customFormat="false" ht="15" hidden="false" customHeight="false" outlineLevel="0" collapsed="false">
      <c r="A327" s="20"/>
      <c r="B327" s="18" t="str">
        <f aca="false">IF(A327="","",IFERROR(INDEX(Products!$A:$A,MATCH(A327,Products!$B:$B,0)),"Not found"))</f>
        <v/>
      </c>
      <c r="C327" s="20"/>
      <c r="D327" s="18" t="str">
        <f aca="false">IF(C327="","",IFERROR(INDEX(Dimensions!$A:$A,MATCH(C327,Dimensions!$B:$B,0)),"Not found"))</f>
        <v/>
      </c>
      <c r="E327" s="20"/>
      <c r="F327" s="18" t="str">
        <f aca="false">IF(E327="","",IFERROR(INDEX(Tables!$A:$A,MATCH(E327,Tables!$B:$B,0)),"Not found"))</f>
        <v/>
      </c>
      <c r="G327" s="21" t="str">
        <f aca="false">IF(OR(D327="",F327=""),"",IF(IFERROR(INDEX(Dimensions!$D:$D,MATCH(D327,Dimensions!$A:$A,0)),"")="","",IF(INDEX(Dimensions!$D:$D,MATCH(D327,Dimensions!$A:$A,0))=F327,"Yes","No")))</f>
        <v/>
      </c>
      <c r="H327" s="20"/>
      <c r="I327" s="20"/>
      <c r="J327" s="20"/>
      <c r="K327" s="20"/>
    </row>
    <row r="328" customFormat="false" ht="15" hidden="false" customHeight="false" outlineLevel="0" collapsed="false">
      <c r="A328" s="20"/>
      <c r="B328" s="18" t="str">
        <f aca="false">IF(A328="","",IFERROR(INDEX(Products!$A:$A,MATCH(A328,Products!$B:$B,0)),"Not found"))</f>
        <v/>
      </c>
      <c r="C328" s="20"/>
      <c r="D328" s="18" t="str">
        <f aca="false">IF(C328="","",IFERROR(INDEX(Dimensions!$A:$A,MATCH(C328,Dimensions!$B:$B,0)),"Not found"))</f>
        <v/>
      </c>
      <c r="E328" s="20"/>
      <c r="F328" s="18" t="str">
        <f aca="false">IF(E328="","",IFERROR(INDEX(Tables!$A:$A,MATCH(E328,Tables!$B:$B,0)),"Not found"))</f>
        <v/>
      </c>
      <c r="G328" s="21" t="str">
        <f aca="false">IF(OR(D328="",F328=""),"",IF(IFERROR(INDEX(Dimensions!$D:$D,MATCH(D328,Dimensions!$A:$A,0)),"")="","",IF(INDEX(Dimensions!$D:$D,MATCH(D328,Dimensions!$A:$A,0))=F328,"Yes","No")))</f>
        <v/>
      </c>
      <c r="H328" s="20"/>
      <c r="I328" s="20"/>
      <c r="J328" s="20"/>
      <c r="K328" s="20"/>
    </row>
    <row r="329" customFormat="false" ht="15" hidden="false" customHeight="false" outlineLevel="0" collapsed="false">
      <c r="A329" s="20"/>
      <c r="B329" s="18" t="str">
        <f aca="false">IF(A329="","",IFERROR(INDEX(Products!$A:$A,MATCH(A329,Products!$B:$B,0)),"Not found"))</f>
        <v/>
      </c>
      <c r="C329" s="20"/>
      <c r="D329" s="18" t="str">
        <f aca="false">IF(C329="","",IFERROR(INDEX(Dimensions!$A:$A,MATCH(C329,Dimensions!$B:$B,0)),"Not found"))</f>
        <v/>
      </c>
      <c r="E329" s="20"/>
      <c r="F329" s="18" t="str">
        <f aca="false">IF(E329="","",IFERROR(INDEX(Tables!$A:$A,MATCH(E329,Tables!$B:$B,0)),"Not found"))</f>
        <v/>
      </c>
      <c r="G329" s="21" t="str">
        <f aca="false">IF(OR(D329="",F329=""),"",IF(IFERROR(INDEX(Dimensions!$D:$D,MATCH(D329,Dimensions!$A:$A,0)),"")="","",IF(INDEX(Dimensions!$D:$D,MATCH(D329,Dimensions!$A:$A,0))=F329,"Yes","No")))</f>
        <v/>
      </c>
      <c r="H329" s="20"/>
      <c r="I329" s="20"/>
      <c r="J329" s="20"/>
      <c r="K329" s="20"/>
    </row>
    <row r="330" customFormat="false" ht="15" hidden="false" customHeight="false" outlineLevel="0" collapsed="false">
      <c r="A330" s="20"/>
      <c r="B330" s="18" t="str">
        <f aca="false">IF(A330="","",IFERROR(INDEX(Products!$A:$A,MATCH(A330,Products!$B:$B,0)),"Not found"))</f>
        <v/>
      </c>
      <c r="C330" s="20"/>
      <c r="D330" s="18" t="str">
        <f aca="false">IF(C330="","",IFERROR(INDEX(Dimensions!$A:$A,MATCH(C330,Dimensions!$B:$B,0)),"Not found"))</f>
        <v/>
      </c>
      <c r="E330" s="20"/>
      <c r="F330" s="18" t="str">
        <f aca="false">IF(E330="","",IFERROR(INDEX(Tables!$A:$A,MATCH(E330,Tables!$B:$B,0)),"Not found"))</f>
        <v/>
      </c>
      <c r="G330" s="21" t="str">
        <f aca="false">IF(OR(D330="",F330=""),"",IF(IFERROR(INDEX(Dimensions!$D:$D,MATCH(D330,Dimensions!$A:$A,0)),"")="","",IF(INDEX(Dimensions!$D:$D,MATCH(D330,Dimensions!$A:$A,0))=F330,"Yes","No")))</f>
        <v/>
      </c>
      <c r="H330" s="20"/>
      <c r="I330" s="20"/>
      <c r="J330" s="20"/>
      <c r="K330" s="20"/>
    </row>
    <row r="331" customFormat="false" ht="15" hidden="false" customHeight="false" outlineLevel="0" collapsed="false">
      <c r="A331" s="20"/>
      <c r="B331" s="18" t="str">
        <f aca="false">IF(A331="","",IFERROR(INDEX(Products!$A:$A,MATCH(A331,Products!$B:$B,0)),"Not found"))</f>
        <v/>
      </c>
      <c r="C331" s="20"/>
      <c r="D331" s="18" t="str">
        <f aca="false">IF(C331="","",IFERROR(INDEX(Dimensions!$A:$A,MATCH(C331,Dimensions!$B:$B,0)),"Not found"))</f>
        <v/>
      </c>
      <c r="E331" s="20"/>
      <c r="F331" s="18" t="str">
        <f aca="false">IF(E331="","",IFERROR(INDEX(Tables!$A:$A,MATCH(E331,Tables!$B:$B,0)),"Not found"))</f>
        <v/>
      </c>
      <c r="G331" s="21" t="str">
        <f aca="false">IF(OR(D331="",F331=""),"",IF(IFERROR(INDEX(Dimensions!$D:$D,MATCH(D331,Dimensions!$A:$A,0)),"")="","",IF(INDEX(Dimensions!$D:$D,MATCH(D331,Dimensions!$A:$A,0))=F331,"Yes","No")))</f>
        <v/>
      </c>
      <c r="H331" s="20"/>
      <c r="I331" s="20"/>
      <c r="J331" s="20"/>
      <c r="K331" s="20"/>
    </row>
    <row r="332" customFormat="false" ht="15" hidden="false" customHeight="false" outlineLevel="0" collapsed="false">
      <c r="A332" s="20"/>
      <c r="B332" s="18" t="str">
        <f aca="false">IF(A332="","",IFERROR(INDEX(Products!$A:$A,MATCH(A332,Products!$B:$B,0)),"Not found"))</f>
        <v/>
      </c>
      <c r="C332" s="20"/>
      <c r="D332" s="18" t="str">
        <f aca="false">IF(C332="","",IFERROR(INDEX(Dimensions!$A:$A,MATCH(C332,Dimensions!$B:$B,0)),"Not found"))</f>
        <v/>
      </c>
      <c r="E332" s="20"/>
      <c r="F332" s="18" t="str">
        <f aca="false">IF(E332="","",IFERROR(INDEX(Tables!$A:$A,MATCH(E332,Tables!$B:$B,0)),"Not found"))</f>
        <v/>
      </c>
      <c r="G332" s="21" t="str">
        <f aca="false">IF(OR(D332="",F332=""),"",IF(IFERROR(INDEX(Dimensions!$D:$D,MATCH(D332,Dimensions!$A:$A,0)),"")="","",IF(INDEX(Dimensions!$D:$D,MATCH(D332,Dimensions!$A:$A,0))=F332,"Yes","No")))</f>
        <v/>
      </c>
      <c r="H332" s="20"/>
      <c r="I332" s="20"/>
      <c r="J332" s="20"/>
      <c r="K332" s="20"/>
    </row>
    <row r="333" customFormat="false" ht="15" hidden="false" customHeight="false" outlineLevel="0" collapsed="false">
      <c r="A333" s="20"/>
      <c r="B333" s="18" t="str">
        <f aca="false">IF(A333="","",IFERROR(INDEX(Products!$A:$A,MATCH(A333,Products!$B:$B,0)),"Not found"))</f>
        <v/>
      </c>
      <c r="C333" s="20"/>
      <c r="D333" s="18" t="str">
        <f aca="false">IF(C333="","",IFERROR(INDEX(Dimensions!$A:$A,MATCH(C333,Dimensions!$B:$B,0)),"Not found"))</f>
        <v/>
      </c>
      <c r="E333" s="20"/>
      <c r="F333" s="18" t="str">
        <f aca="false">IF(E333="","",IFERROR(INDEX(Tables!$A:$A,MATCH(E333,Tables!$B:$B,0)),"Not found"))</f>
        <v/>
      </c>
      <c r="G333" s="21" t="str">
        <f aca="false">IF(OR(D333="",F333=""),"",IF(IFERROR(INDEX(Dimensions!$D:$D,MATCH(D333,Dimensions!$A:$A,0)),"")="","",IF(INDEX(Dimensions!$D:$D,MATCH(D333,Dimensions!$A:$A,0))=F333,"Yes","No")))</f>
        <v/>
      </c>
      <c r="H333" s="20"/>
      <c r="I333" s="20"/>
      <c r="J333" s="20"/>
      <c r="K333" s="20"/>
    </row>
    <row r="334" customFormat="false" ht="15" hidden="false" customHeight="false" outlineLevel="0" collapsed="false">
      <c r="A334" s="20"/>
      <c r="B334" s="18" t="str">
        <f aca="false">IF(A334="","",IFERROR(INDEX(Products!$A:$A,MATCH(A334,Products!$B:$B,0)),"Not found"))</f>
        <v/>
      </c>
      <c r="C334" s="20"/>
      <c r="D334" s="18" t="str">
        <f aca="false">IF(C334="","",IFERROR(INDEX(Dimensions!$A:$A,MATCH(C334,Dimensions!$B:$B,0)),"Not found"))</f>
        <v/>
      </c>
      <c r="E334" s="20"/>
      <c r="F334" s="18" t="str">
        <f aca="false">IF(E334="","",IFERROR(INDEX(Tables!$A:$A,MATCH(E334,Tables!$B:$B,0)),"Not found"))</f>
        <v/>
      </c>
      <c r="G334" s="21" t="str">
        <f aca="false">IF(OR(D334="",F334=""),"",IF(IFERROR(INDEX(Dimensions!$D:$D,MATCH(D334,Dimensions!$A:$A,0)),"")="","",IF(INDEX(Dimensions!$D:$D,MATCH(D334,Dimensions!$A:$A,0))=F334,"Yes","No")))</f>
        <v/>
      </c>
      <c r="H334" s="20"/>
      <c r="I334" s="20"/>
      <c r="J334" s="20"/>
      <c r="K334" s="20"/>
    </row>
    <row r="335" customFormat="false" ht="15" hidden="false" customHeight="false" outlineLevel="0" collapsed="false">
      <c r="A335" s="20"/>
      <c r="B335" s="18" t="str">
        <f aca="false">IF(A335="","",IFERROR(INDEX(Products!$A:$A,MATCH(A335,Products!$B:$B,0)),"Not found"))</f>
        <v/>
      </c>
      <c r="C335" s="20"/>
      <c r="D335" s="18" t="str">
        <f aca="false">IF(C335="","",IFERROR(INDEX(Dimensions!$A:$A,MATCH(C335,Dimensions!$B:$B,0)),"Not found"))</f>
        <v/>
      </c>
      <c r="E335" s="20"/>
      <c r="F335" s="18" t="str">
        <f aca="false">IF(E335="","",IFERROR(INDEX(Tables!$A:$A,MATCH(E335,Tables!$B:$B,0)),"Not found"))</f>
        <v/>
      </c>
      <c r="G335" s="21" t="str">
        <f aca="false">IF(OR(D335="",F335=""),"",IF(IFERROR(INDEX(Dimensions!$D:$D,MATCH(D335,Dimensions!$A:$A,0)),"")="","",IF(INDEX(Dimensions!$D:$D,MATCH(D335,Dimensions!$A:$A,0))=F335,"Yes","No")))</f>
        <v/>
      </c>
      <c r="H335" s="20"/>
      <c r="I335" s="20"/>
      <c r="J335" s="20"/>
      <c r="K335" s="20"/>
    </row>
    <row r="336" customFormat="false" ht="15" hidden="false" customHeight="false" outlineLevel="0" collapsed="false">
      <c r="A336" s="20"/>
      <c r="B336" s="18" t="str">
        <f aca="false">IF(A336="","",IFERROR(INDEX(Products!$A:$A,MATCH(A336,Products!$B:$B,0)),"Not found"))</f>
        <v/>
      </c>
      <c r="C336" s="20"/>
      <c r="D336" s="18" t="str">
        <f aca="false">IF(C336="","",IFERROR(INDEX(Dimensions!$A:$A,MATCH(C336,Dimensions!$B:$B,0)),"Not found"))</f>
        <v/>
      </c>
      <c r="E336" s="20"/>
      <c r="F336" s="18" t="str">
        <f aca="false">IF(E336="","",IFERROR(INDEX(Tables!$A:$A,MATCH(E336,Tables!$B:$B,0)),"Not found"))</f>
        <v/>
      </c>
      <c r="G336" s="21" t="str">
        <f aca="false">IF(OR(D336="",F336=""),"",IF(IFERROR(INDEX(Dimensions!$D:$D,MATCH(D336,Dimensions!$A:$A,0)),"")="","",IF(INDEX(Dimensions!$D:$D,MATCH(D336,Dimensions!$A:$A,0))=F336,"Yes","No")))</f>
        <v/>
      </c>
      <c r="H336" s="20"/>
      <c r="I336" s="20"/>
      <c r="J336" s="20"/>
      <c r="K336" s="20"/>
    </row>
    <row r="337" customFormat="false" ht="15" hidden="false" customHeight="false" outlineLevel="0" collapsed="false">
      <c r="A337" s="20"/>
      <c r="B337" s="18" t="str">
        <f aca="false">IF(A337="","",IFERROR(INDEX(Products!$A:$A,MATCH(A337,Products!$B:$B,0)),"Not found"))</f>
        <v/>
      </c>
      <c r="C337" s="20"/>
      <c r="D337" s="18" t="str">
        <f aca="false">IF(C337="","",IFERROR(INDEX(Dimensions!$A:$A,MATCH(C337,Dimensions!$B:$B,0)),"Not found"))</f>
        <v/>
      </c>
      <c r="E337" s="20"/>
      <c r="F337" s="18" t="str">
        <f aca="false">IF(E337="","",IFERROR(INDEX(Tables!$A:$A,MATCH(E337,Tables!$B:$B,0)),"Not found"))</f>
        <v/>
      </c>
      <c r="G337" s="21" t="str">
        <f aca="false">IF(OR(D337="",F337=""),"",IF(IFERROR(INDEX(Dimensions!$D:$D,MATCH(D337,Dimensions!$A:$A,0)),"")="","",IF(INDEX(Dimensions!$D:$D,MATCH(D337,Dimensions!$A:$A,0))=F337,"Yes","No")))</f>
        <v/>
      </c>
      <c r="H337" s="20"/>
      <c r="I337" s="20"/>
      <c r="J337" s="20"/>
      <c r="K337" s="20"/>
    </row>
    <row r="338" customFormat="false" ht="15" hidden="false" customHeight="false" outlineLevel="0" collapsed="false">
      <c r="A338" s="20"/>
      <c r="B338" s="18" t="str">
        <f aca="false">IF(A338="","",IFERROR(INDEX(Products!$A:$A,MATCH(A338,Products!$B:$B,0)),"Not found"))</f>
        <v/>
      </c>
      <c r="C338" s="20"/>
      <c r="D338" s="18" t="str">
        <f aca="false">IF(C338="","",IFERROR(INDEX(Dimensions!$A:$A,MATCH(C338,Dimensions!$B:$B,0)),"Not found"))</f>
        <v/>
      </c>
      <c r="E338" s="20"/>
      <c r="F338" s="18" t="str">
        <f aca="false">IF(E338="","",IFERROR(INDEX(Tables!$A:$A,MATCH(E338,Tables!$B:$B,0)),"Not found"))</f>
        <v/>
      </c>
      <c r="G338" s="21" t="str">
        <f aca="false">IF(OR(D338="",F338=""),"",IF(IFERROR(INDEX(Dimensions!$D:$D,MATCH(D338,Dimensions!$A:$A,0)),"")="","",IF(INDEX(Dimensions!$D:$D,MATCH(D338,Dimensions!$A:$A,0))=F338,"Yes","No")))</f>
        <v/>
      </c>
      <c r="H338" s="20"/>
      <c r="I338" s="20"/>
      <c r="J338" s="20"/>
      <c r="K338" s="20"/>
    </row>
    <row r="339" customFormat="false" ht="15" hidden="false" customHeight="false" outlineLevel="0" collapsed="false">
      <c r="A339" s="20"/>
      <c r="B339" s="18" t="str">
        <f aca="false">IF(A339="","",IFERROR(INDEX(Products!$A:$A,MATCH(A339,Products!$B:$B,0)),"Not found"))</f>
        <v/>
      </c>
      <c r="C339" s="20"/>
      <c r="D339" s="18" t="str">
        <f aca="false">IF(C339="","",IFERROR(INDEX(Dimensions!$A:$A,MATCH(C339,Dimensions!$B:$B,0)),"Not found"))</f>
        <v/>
      </c>
      <c r="E339" s="20"/>
      <c r="F339" s="18" t="str">
        <f aca="false">IF(E339="","",IFERROR(INDEX(Tables!$A:$A,MATCH(E339,Tables!$B:$B,0)),"Not found"))</f>
        <v/>
      </c>
      <c r="G339" s="21" t="str">
        <f aca="false">IF(OR(D339="",F339=""),"",IF(IFERROR(INDEX(Dimensions!$D:$D,MATCH(D339,Dimensions!$A:$A,0)),"")="","",IF(INDEX(Dimensions!$D:$D,MATCH(D339,Dimensions!$A:$A,0))=F339,"Yes","No")))</f>
        <v/>
      </c>
      <c r="H339" s="20"/>
      <c r="I339" s="20"/>
      <c r="J339" s="20"/>
      <c r="K339" s="20"/>
    </row>
    <row r="340" customFormat="false" ht="15" hidden="false" customHeight="false" outlineLevel="0" collapsed="false">
      <c r="A340" s="20"/>
      <c r="B340" s="18" t="str">
        <f aca="false">IF(A340="","",IFERROR(INDEX(Products!$A:$A,MATCH(A340,Products!$B:$B,0)),"Not found"))</f>
        <v/>
      </c>
      <c r="C340" s="20"/>
      <c r="D340" s="18" t="str">
        <f aca="false">IF(C340="","",IFERROR(INDEX(Dimensions!$A:$A,MATCH(C340,Dimensions!$B:$B,0)),"Not found"))</f>
        <v/>
      </c>
      <c r="E340" s="20"/>
      <c r="F340" s="18" t="str">
        <f aca="false">IF(E340="","",IFERROR(INDEX(Tables!$A:$A,MATCH(E340,Tables!$B:$B,0)),"Not found"))</f>
        <v/>
      </c>
      <c r="G340" s="21" t="str">
        <f aca="false">IF(OR(D340="",F340=""),"",IF(IFERROR(INDEX(Dimensions!$D:$D,MATCH(D340,Dimensions!$A:$A,0)),"")="","",IF(INDEX(Dimensions!$D:$D,MATCH(D340,Dimensions!$A:$A,0))=F340,"Yes","No")))</f>
        <v/>
      </c>
      <c r="H340" s="20"/>
      <c r="I340" s="20"/>
      <c r="J340" s="20"/>
      <c r="K340" s="20"/>
    </row>
    <row r="341" customFormat="false" ht="15" hidden="false" customHeight="false" outlineLevel="0" collapsed="false">
      <c r="A341" s="20"/>
      <c r="B341" s="18" t="str">
        <f aca="false">IF(A341="","",IFERROR(INDEX(Products!$A:$A,MATCH(A341,Products!$B:$B,0)),"Not found"))</f>
        <v/>
      </c>
      <c r="C341" s="20"/>
      <c r="D341" s="18" t="str">
        <f aca="false">IF(C341="","",IFERROR(INDEX(Dimensions!$A:$A,MATCH(C341,Dimensions!$B:$B,0)),"Not found"))</f>
        <v/>
      </c>
      <c r="E341" s="20"/>
      <c r="F341" s="18" t="str">
        <f aca="false">IF(E341="","",IFERROR(INDEX(Tables!$A:$A,MATCH(E341,Tables!$B:$B,0)),"Not found"))</f>
        <v/>
      </c>
      <c r="G341" s="21" t="str">
        <f aca="false">IF(OR(D341="",F341=""),"",IF(IFERROR(INDEX(Dimensions!$D:$D,MATCH(D341,Dimensions!$A:$A,0)),"")="","",IF(INDEX(Dimensions!$D:$D,MATCH(D341,Dimensions!$A:$A,0))=F341,"Yes","No")))</f>
        <v/>
      </c>
      <c r="H341" s="20"/>
      <c r="I341" s="20"/>
      <c r="J341" s="20"/>
      <c r="K341" s="20"/>
    </row>
    <row r="342" customFormat="false" ht="15" hidden="false" customHeight="false" outlineLevel="0" collapsed="false">
      <c r="A342" s="20"/>
      <c r="B342" s="18" t="str">
        <f aca="false">IF(A342="","",IFERROR(INDEX(Products!$A:$A,MATCH(A342,Products!$B:$B,0)),"Not found"))</f>
        <v/>
      </c>
      <c r="C342" s="20"/>
      <c r="D342" s="18" t="str">
        <f aca="false">IF(C342="","",IFERROR(INDEX(Dimensions!$A:$A,MATCH(C342,Dimensions!$B:$B,0)),"Not found"))</f>
        <v/>
      </c>
      <c r="E342" s="20"/>
      <c r="F342" s="18" t="str">
        <f aca="false">IF(E342="","",IFERROR(INDEX(Tables!$A:$A,MATCH(E342,Tables!$B:$B,0)),"Not found"))</f>
        <v/>
      </c>
      <c r="G342" s="21" t="str">
        <f aca="false">IF(OR(D342="",F342=""),"",IF(IFERROR(INDEX(Dimensions!$D:$D,MATCH(D342,Dimensions!$A:$A,0)),"")="","",IF(INDEX(Dimensions!$D:$D,MATCH(D342,Dimensions!$A:$A,0))=F342,"Yes","No")))</f>
        <v/>
      </c>
      <c r="H342" s="20"/>
      <c r="I342" s="20"/>
      <c r="J342" s="20"/>
      <c r="K342" s="20"/>
    </row>
    <row r="343" customFormat="false" ht="15" hidden="false" customHeight="false" outlineLevel="0" collapsed="false">
      <c r="A343" s="20"/>
      <c r="B343" s="18" t="str">
        <f aca="false">IF(A343="","",IFERROR(INDEX(Products!$A:$A,MATCH(A343,Products!$B:$B,0)),"Not found"))</f>
        <v/>
      </c>
      <c r="C343" s="20"/>
      <c r="D343" s="18" t="str">
        <f aca="false">IF(C343="","",IFERROR(INDEX(Dimensions!$A:$A,MATCH(C343,Dimensions!$B:$B,0)),"Not found"))</f>
        <v/>
      </c>
      <c r="E343" s="20"/>
      <c r="F343" s="18" t="str">
        <f aca="false">IF(E343="","",IFERROR(INDEX(Tables!$A:$A,MATCH(E343,Tables!$B:$B,0)),"Not found"))</f>
        <v/>
      </c>
      <c r="G343" s="21" t="str">
        <f aca="false">IF(OR(D343="",F343=""),"",IF(IFERROR(INDEX(Dimensions!$D:$D,MATCH(D343,Dimensions!$A:$A,0)),"")="","",IF(INDEX(Dimensions!$D:$D,MATCH(D343,Dimensions!$A:$A,0))=F343,"Yes","No")))</f>
        <v/>
      </c>
      <c r="H343" s="20"/>
      <c r="I343" s="20"/>
      <c r="J343" s="20"/>
      <c r="K343" s="20"/>
    </row>
    <row r="344" customFormat="false" ht="15" hidden="false" customHeight="false" outlineLevel="0" collapsed="false">
      <c r="A344" s="20"/>
      <c r="B344" s="18" t="str">
        <f aca="false">IF(A344="","",IFERROR(INDEX(Products!$A:$A,MATCH(A344,Products!$B:$B,0)),"Not found"))</f>
        <v/>
      </c>
      <c r="C344" s="20"/>
      <c r="D344" s="18" t="str">
        <f aca="false">IF(C344="","",IFERROR(INDEX(Dimensions!$A:$A,MATCH(C344,Dimensions!$B:$B,0)),"Not found"))</f>
        <v/>
      </c>
      <c r="E344" s="20"/>
      <c r="F344" s="18" t="str">
        <f aca="false">IF(E344="","",IFERROR(INDEX(Tables!$A:$A,MATCH(E344,Tables!$B:$B,0)),"Not found"))</f>
        <v/>
      </c>
      <c r="G344" s="21" t="str">
        <f aca="false">IF(OR(D344="",F344=""),"",IF(IFERROR(INDEX(Dimensions!$D:$D,MATCH(D344,Dimensions!$A:$A,0)),"")="","",IF(INDEX(Dimensions!$D:$D,MATCH(D344,Dimensions!$A:$A,0))=F344,"Yes","No")))</f>
        <v/>
      </c>
      <c r="H344" s="20"/>
      <c r="I344" s="20"/>
      <c r="J344" s="20"/>
      <c r="K344" s="20"/>
    </row>
    <row r="345" customFormat="false" ht="15" hidden="false" customHeight="false" outlineLevel="0" collapsed="false">
      <c r="A345" s="20"/>
      <c r="B345" s="18" t="str">
        <f aca="false">IF(A345="","",IFERROR(INDEX(Products!$A:$A,MATCH(A345,Products!$B:$B,0)),"Not found"))</f>
        <v/>
      </c>
      <c r="C345" s="20"/>
      <c r="D345" s="18" t="str">
        <f aca="false">IF(C345="","",IFERROR(INDEX(Dimensions!$A:$A,MATCH(C345,Dimensions!$B:$B,0)),"Not found"))</f>
        <v/>
      </c>
      <c r="E345" s="20"/>
      <c r="F345" s="18" t="str">
        <f aca="false">IF(E345="","",IFERROR(INDEX(Tables!$A:$A,MATCH(E345,Tables!$B:$B,0)),"Not found"))</f>
        <v/>
      </c>
      <c r="G345" s="21" t="str">
        <f aca="false">IF(OR(D345="",F345=""),"",IF(IFERROR(INDEX(Dimensions!$D:$D,MATCH(D345,Dimensions!$A:$A,0)),"")="","",IF(INDEX(Dimensions!$D:$D,MATCH(D345,Dimensions!$A:$A,0))=F345,"Yes","No")))</f>
        <v/>
      </c>
      <c r="H345" s="20"/>
      <c r="I345" s="20"/>
      <c r="J345" s="20"/>
      <c r="K345" s="20"/>
    </row>
    <row r="346" customFormat="false" ht="15" hidden="false" customHeight="false" outlineLevel="0" collapsed="false">
      <c r="A346" s="20"/>
      <c r="B346" s="18" t="str">
        <f aca="false">IF(A346="","",IFERROR(INDEX(Products!$A:$A,MATCH(A346,Products!$B:$B,0)),"Not found"))</f>
        <v/>
      </c>
      <c r="C346" s="20"/>
      <c r="D346" s="18" t="str">
        <f aca="false">IF(C346="","",IFERROR(INDEX(Dimensions!$A:$A,MATCH(C346,Dimensions!$B:$B,0)),"Not found"))</f>
        <v/>
      </c>
      <c r="E346" s="20"/>
      <c r="F346" s="18" t="str">
        <f aca="false">IF(E346="","",IFERROR(INDEX(Tables!$A:$A,MATCH(E346,Tables!$B:$B,0)),"Not found"))</f>
        <v/>
      </c>
      <c r="G346" s="21" t="str">
        <f aca="false">IF(OR(D346="",F346=""),"",IF(IFERROR(INDEX(Dimensions!$D:$D,MATCH(D346,Dimensions!$A:$A,0)),"")="","",IF(INDEX(Dimensions!$D:$D,MATCH(D346,Dimensions!$A:$A,0))=F346,"Yes","No")))</f>
        <v/>
      </c>
      <c r="H346" s="20"/>
      <c r="I346" s="20"/>
      <c r="J346" s="20"/>
      <c r="K346" s="20"/>
    </row>
    <row r="347" customFormat="false" ht="15" hidden="false" customHeight="false" outlineLevel="0" collapsed="false">
      <c r="A347" s="20"/>
      <c r="B347" s="18" t="str">
        <f aca="false">IF(A347="","",IFERROR(INDEX(Products!$A:$A,MATCH(A347,Products!$B:$B,0)),"Not found"))</f>
        <v/>
      </c>
      <c r="C347" s="20"/>
      <c r="D347" s="18" t="str">
        <f aca="false">IF(C347="","",IFERROR(INDEX(Dimensions!$A:$A,MATCH(C347,Dimensions!$B:$B,0)),"Not found"))</f>
        <v/>
      </c>
      <c r="E347" s="20"/>
      <c r="F347" s="18" t="str">
        <f aca="false">IF(E347="","",IFERROR(INDEX(Tables!$A:$A,MATCH(E347,Tables!$B:$B,0)),"Not found"))</f>
        <v/>
      </c>
      <c r="G347" s="21" t="str">
        <f aca="false">IF(OR(D347="",F347=""),"",IF(IFERROR(INDEX(Dimensions!$D:$D,MATCH(D347,Dimensions!$A:$A,0)),"")="","",IF(INDEX(Dimensions!$D:$D,MATCH(D347,Dimensions!$A:$A,0))=F347,"Yes","No")))</f>
        <v/>
      </c>
      <c r="H347" s="20"/>
      <c r="I347" s="20"/>
      <c r="J347" s="20"/>
      <c r="K347" s="20"/>
    </row>
    <row r="348" customFormat="false" ht="15" hidden="false" customHeight="false" outlineLevel="0" collapsed="false">
      <c r="A348" s="20"/>
      <c r="B348" s="18" t="str">
        <f aca="false">IF(A348="","",IFERROR(INDEX(Products!$A:$A,MATCH(A348,Products!$B:$B,0)),"Not found"))</f>
        <v/>
      </c>
      <c r="C348" s="20"/>
      <c r="D348" s="18" t="str">
        <f aca="false">IF(C348="","",IFERROR(INDEX(Dimensions!$A:$A,MATCH(C348,Dimensions!$B:$B,0)),"Not found"))</f>
        <v/>
      </c>
      <c r="E348" s="20"/>
      <c r="F348" s="18" t="str">
        <f aca="false">IF(E348="","",IFERROR(INDEX(Tables!$A:$A,MATCH(E348,Tables!$B:$B,0)),"Not found"))</f>
        <v/>
      </c>
      <c r="G348" s="21" t="str">
        <f aca="false">IF(OR(D348="",F348=""),"",IF(IFERROR(INDEX(Dimensions!$D:$D,MATCH(D348,Dimensions!$A:$A,0)),"")="","",IF(INDEX(Dimensions!$D:$D,MATCH(D348,Dimensions!$A:$A,0))=F348,"Yes","No")))</f>
        <v/>
      </c>
      <c r="H348" s="20"/>
      <c r="I348" s="20"/>
      <c r="J348" s="20"/>
      <c r="K348" s="20"/>
    </row>
    <row r="349" customFormat="false" ht="15" hidden="false" customHeight="false" outlineLevel="0" collapsed="false">
      <c r="A349" s="20"/>
      <c r="B349" s="18" t="str">
        <f aca="false">IF(A349="","",IFERROR(INDEX(Products!$A:$A,MATCH(A349,Products!$B:$B,0)),"Not found"))</f>
        <v/>
      </c>
      <c r="C349" s="20"/>
      <c r="D349" s="18" t="str">
        <f aca="false">IF(C349="","",IFERROR(INDEX(Dimensions!$A:$A,MATCH(C349,Dimensions!$B:$B,0)),"Not found"))</f>
        <v/>
      </c>
      <c r="E349" s="20"/>
      <c r="F349" s="18" t="str">
        <f aca="false">IF(E349="","",IFERROR(INDEX(Tables!$A:$A,MATCH(E349,Tables!$B:$B,0)),"Not found"))</f>
        <v/>
      </c>
      <c r="G349" s="21" t="str">
        <f aca="false">IF(OR(D349="",F349=""),"",IF(IFERROR(INDEX(Dimensions!$D:$D,MATCH(D349,Dimensions!$A:$A,0)),"")="","",IF(INDEX(Dimensions!$D:$D,MATCH(D349,Dimensions!$A:$A,0))=F349,"Yes","No")))</f>
        <v/>
      </c>
      <c r="H349" s="20"/>
      <c r="I349" s="20"/>
      <c r="J349" s="20"/>
      <c r="K349" s="20"/>
    </row>
    <row r="350" customFormat="false" ht="15" hidden="false" customHeight="false" outlineLevel="0" collapsed="false">
      <c r="A350" s="20"/>
      <c r="B350" s="18" t="str">
        <f aca="false">IF(A350="","",IFERROR(INDEX(Products!$A:$A,MATCH(A350,Products!$B:$B,0)),"Not found"))</f>
        <v/>
      </c>
      <c r="C350" s="20"/>
      <c r="D350" s="18" t="str">
        <f aca="false">IF(C350="","",IFERROR(INDEX(Dimensions!$A:$A,MATCH(C350,Dimensions!$B:$B,0)),"Not found"))</f>
        <v/>
      </c>
      <c r="E350" s="20"/>
      <c r="F350" s="18" t="str">
        <f aca="false">IF(E350="","",IFERROR(INDEX(Tables!$A:$A,MATCH(E350,Tables!$B:$B,0)),"Not found"))</f>
        <v/>
      </c>
      <c r="G350" s="21" t="str">
        <f aca="false">IF(OR(D350="",F350=""),"",IF(IFERROR(INDEX(Dimensions!$D:$D,MATCH(D350,Dimensions!$A:$A,0)),"")="","",IF(INDEX(Dimensions!$D:$D,MATCH(D350,Dimensions!$A:$A,0))=F350,"Yes","No")))</f>
        <v/>
      </c>
      <c r="H350" s="20"/>
      <c r="I350" s="20"/>
      <c r="J350" s="20"/>
      <c r="K350" s="20"/>
    </row>
    <row r="351" customFormat="false" ht="15" hidden="false" customHeight="false" outlineLevel="0" collapsed="false">
      <c r="A351" s="20"/>
      <c r="B351" s="18" t="str">
        <f aca="false">IF(A351="","",IFERROR(INDEX(Products!$A:$A,MATCH(A351,Products!$B:$B,0)),"Not found"))</f>
        <v/>
      </c>
      <c r="C351" s="20"/>
      <c r="D351" s="18" t="str">
        <f aca="false">IF(C351="","",IFERROR(INDEX(Dimensions!$A:$A,MATCH(C351,Dimensions!$B:$B,0)),"Not found"))</f>
        <v/>
      </c>
      <c r="E351" s="20"/>
      <c r="F351" s="18" t="str">
        <f aca="false">IF(E351="","",IFERROR(INDEX(Tables!$A:$A,MATCH(E351,Tables!$B:$B,0)),"Not found"))</f>
        <v/>
      </c>
      <c r="G351" s="21" t="str">
        <f aca="false">IF(OR(D351="",F351=""),"",IF(IFERROR(INDEX(Dimensions!$D:$D,MATCH(D351,Dimensions!$A:$A,0)),"")="","",IF(INDEX(Dimensions!$D:$D,MATCH(D351,Dimensions!$A:$A,0))=F351,"Yes","No")))</f>
        <v/>
      </c>
      <c r="H351" s="20"/>
      <c r="I351" s="20"/>
      <c r="J351" s="20"/>
      <c r="K351" s="20"/>
    </row>
    <row r="352" customFormat="false" ht="15" hidden="false" customHeight="false" outlineLevel="0" collapsed="false">
      <c r="A352" s="20"/>
      <c r="B352" s="18" t="str">
        <f aca="false">IF(A352="","",IFERROR(INDEX(Products!$A:$A,MATCH(A352,Products!$B:$B,0)),"Not found"))</f>
        <v/>
      </c>
      <c r="C352" s="20"/>
      <c r="D352" s="18" t="str">
        <f aca="false">IF(C352="","",IFERROR(INDEX(Dimensions!$A:$A,MATCH(C352,Dimensions!$B:$B,0)),"Not found"))</f>
        <v/>
      </c>
      <c r="E352" s="20"/>
      <c r="F352" s="18" t="str">
        <f aca="false">IF(E352="","",IFERROR(INDEX(Tables!$A:$A,MATCH(E352,Tables!$B:$B,0)),"Not found"))</f>
        <v/>
      </c>
      <c r="G352" s="21" t="str">
        <f aca="false">IF(OR(D352="",F352=""),"",IF(IFERROR(INDEX(Dimensions!$D:$D,MATCH(D352,Dimensions!$A:$A,0)),"")="","",IF(INDEX(Dimensions!$D:$D,MATCH(D352,Dimensions!$A:$A,0))=F352,"Yes","No")))</f>
        <v/>
      </c>
      <c r="H352" s="20"/>
      <c r="I352" s="20"/>
      <c r="J352" s="20"/>
      <c r="K352" s="20"/>
    </row>
    <row r="353" customFormat="false" ht="15" hidden="false" customHeight="false" outlineLevel="0" collapsed="false">
      <c r="A353" s="20"/>
      <c r="B353" s="18" t="str">
        <f aca="false">IF(A353="","",IFERROR(INDEX(Products!$A:$A,MATCH(A353,Products!$B:$B,0)),"Not found"))</f>
        <v/>
      </c>
      <c r="C353" s="20"/>
      <c r="D353" s="18" t="str">
        <f aca="false">IF(C353="","",IFERROR(INDEX(Dimensions!$A:$A,MATCH(C353,Dimensions!$B:$B,0)),"Not found"))</f>
        <v/>
      </c>
      <c r="E353" s="20"/>
      <c r="F353" s="18" t="str">
        <f aca="false">IF(E353="","",IFERROR(INDEX(Tables!$A:$A,MATCH(E353,Tables!$B:$B,0)),"Not found"))</f>
        <v/>
      </c>
      <c r="G353" s="21" t="str">
        <f aca="false">IF(OR(D353="",F353=""),"",IF(IFERROR(INDEX(Dimensions!$D:$D,MATCH(D353,Dimensions!$A:$A,0)),"")="","",IF(INDEX(Dimensions!$D:$D,MATCH(D353,Dimensions!$A:$A,0))=F353,"Yes","No")))</f>
        <v/>
      </c>
      <c r="H353" s="20"/>
      <c r="I353" s="20"/>
      <c r="J353" s="20"/>
      <c r="K353" s="20"/>
    </row>
    <row r="354" customFormat="false" ht="15" hidden="false" customHeight="false" outlineLevel="0" collapsed="false">
      <c r="A354" s="20"/>
      <c r="B354" s="18" t="str">
        <f aca="false">IF(A354="","",IFERROR(INDEX(Products!$A:$A,MATCH(A354,Products!$B:$B,0)),"Not found"))</f>
        <v/>
      </c>
      <c r="C354" s="20"/>
      <c r="D354" s="18" t="str">
        <f aca="false">IF(C354="","",IFERROR(INDEX(Dimensions!$A:$A,MATCH(C354,Dimensions!$B:$B,0)),"Not found"))</f>
        <v/>
      </c>
      <c r="E354" s="20"/>
      <c r="F354" s="18" t="str">
        <f aca="false">IF(E354="","",IFERROR(INDEX(Tables!$A:$A,MATCH(E354,Tables!$B:$B,0)),"Not found"))</f>
        <v/>
      </c>
      <c r="G354" s="21" t="str">
        <f aca="false">IF(OR(D354="",F354=""),"",IF(IFERROR(INDEX(Dimensions!$D:$D,MATCH(D354,Dimensions!$A:$A,0)),"")="","",IF(INDEX(Dimensions!$D:$D,MATCH(D354,Dimensions!$A:$A,0))=F354,"Yes","No")))</f>
        <v/>
      </c>
      <c r="H354" s="20"/>
      <c r="I354" s="20"/>
      <c r="J354" s="20"/>
      <c r="K354" s="20"/>
    </row>
    <row r="355" customFormat="false" ht="15" hidden="false" customHeight="false" outlineLevel="0" collapsed="false">
      <c r="A355" s="20"/>
      <c r="B355" s="18" t="str">
        <f aca="false">IF(A355="","",IFERROR(INDEX(Products!$A:$A,MATCH(A355,Products!$B:$B,0)),"Not found"))</f>
        <v/>
      </c>
      <c r="C355" s="20"/>
      <c r="D355" s="18" t="str">
        <f aca="false">IF(C355="","",IFERROR(INDEX(Dimensions!$A:$A,MATCH(C355,Dimensions!$B:$B,0)),"Not found"))</f>
        <v/>
      </c>
      <c r="E355" s="20"/>
      <c r="F355" s="18" t="str">
        <f aca="false">IF(E355="","",IFERROR(INDEX(Tables!$A:$A,MATCH(E355,Tables!$B:$B,0)),"Not found"))</f>
        <v/>
      </c>
      <c r="G355" s="21" t="str">
        <f aca="false">IF(OR(D355="",F355=""),"",IF(IFERROR(INDEX(Dimensions!$D:$D,MATCH(D355,Dimensions!$A:$A,0)),"")="","",IF(INDEX(Dimensions!$D:$D,MATCH(D355,Dimensions!$A:$A,0))=F355,"Yes","No")))</f>
        <v/>
      </c>
      <c r="H355" s="20"/>
      <c r="I355" s="20"/>
      <c r="J355" s="20"/>
      <c r="K355" s="20"/>
    </row>
    <row r="356" customFormat="false" ht="15" hidden="false" customHeight="false" outlineLevel="0" collapsed="false">
      <c r="A356" s="20"/>
      <c r="B356" s="18" t="str">
        <f aca="false">IF(A356="","",IFERROR(INDEX(Products!$A:$A,MATCH(A356,Products!$B:$B,0)),"Not found"))</f>
        <v/>
      </c>
      <c r="C356" s="20"/>
      <c r="D356" s="18" t="str">
        <f aca="false">IF(C356="","",IFERROR(INDEX(Dimensions!$A:$A,MATCH(C356,Dimensions!$B:$B,0)),"Not found"))</f>
        <v/>
      </c>
      <c r="E356" s="20"/>
      <c r="F356" s="18" t="str">
        <f aca="false">IF(E356="","",IFERROR(INDEX(Tables!$A:$A,MATCH(E356,Tables!$B:$B,0)),"Not found"))</f>
        <v/>
      </c>
      <c r="G356" s="21" t="str">
        <f aca="false">IF(OR(D356="",F356=""),"",IF(IFERROR(INDEX(Dimensions!$D:$D,MATCH(D356,Dimensions!$A:$A,0)),"")="","",IF(INDEX(Dimensions!$D:$D,MATCH(D356,Dimensions!$A:$A,0))=F356,"Yes","No")))</f>
        <v/>
      </c>
      <c r="H356" s="20"/>
      <c r="I356" s="20"/>
      <c r="J356" s="20"/>
      <c r="K356" s="20"/>
    </row>
    <row r="357" customFormat="false" ht="15" hidden="false" customHeight="false" outlineLevel="0" collapsed="false">
      <c r="A357" s="20"/>
      <c r="B357" s="18" t="str">
        <f aca="false">IF(A357="","",IFERROR(INDEX(Products!$A:$A,MATCH(A357,Products!$B:$B,0)),"Not found"))</f>
        <v/>
      </c>
      <c r="C357" s="20"/>
      <c r="D357" s="18" t="str">
        <f aca="false">IF(C357="","",IFERROR(INDEX(Dimensions!$A:$A,MATCH(C357,Dimensions!$B:$B,0)),"Not found"))</f>
        <v/>
      </c>
      <c r="E357" s="20"/>
      <c r="F357" s="18" t="str">
        <f aca="false">IF(E357="","",IFERROR(INDEX(Tables!$A:$A,MATCH(E357,Tables!$B:$B,0)),"Not found"))</f>
        <v/>
      </c>
      <c r="G357" s="21" t="str">
        <f aca="false">IF(OR(D357="",F357=""),"",IF(IFERROR(INDEX(Dimensions!$D:$D,MATCH(D357,Dimensions!$A:$A,0)),"")="","",IF(INDEX(Dimensions!$D:$D,MATCH(D357,Dimensions!$A:$A,0))=F357,"Yes","No")))</f>
        <v/>
      </c>
      <c r="H357" s="20"/>
      <c r="I357" s="20"/>
      <c r="J357" s="20"/>
      <c r="K357" s="20"/>
    </row>
    <row r="358" customFormat="false" ht="15" hidden="false" customHeight="false" outlineLevel="0" collapsed="false">
      <c r="A358" s="20"/>
      <c r="B358" s="18" t="str">
        <f aca="false">IF(A358="","",IFERROR(INDEX(Products!$A:$A,MATCH(A358,Products!$B:$B,0)),"Not found"))</f>
        <v/>
      </c>
      <c r="C358" s="20"/>
      <c r="D358" s="18" t="str">
        <f aca="false">IF(C358="","",IFERROR(INDEX(Dimensions!$A:$A,MATCH(C358,Dimensions!$B:$B,0)),"Not found"))</f>
        <v/>
      </c>
      <c r="E358" s="20"/>
      <c r="F358" s="18" t="str">
        <f aca="false">IF(E358="","",IFERROR(INDEX(Tables!$A:$A,MATCH(E358,Tables!$B:$B,0)),"Not found"))</f>
        <v/>
      </c>
      <c r="G358" s="21" t="str">
        <f aca="false">IF(OR(D358="",F358=""),"",IF(IFERROR(INDEX(Dimensions!$D:$D,MATCH(D358,Dimensions!$A:$A,0)),"")="","",IF(INDEX(Dimensions!$D:$D,MATCH(D358,Dimensions!$A:$A,0))=F358,"Yes","No")))</f>
        <v/>
      </c>
      <c r="H358" s="20"/>
      <c r="I358" s="20"/>
      <c r="J358" s="20"/>
      <c r="K358" s="20"/>
    </row>
    <row r="359" customFormat="false" ht="15" hidden="false" customHeight="false" outlineLevel="0" collapsed="false">
      <c r="A359" s="20"/>
      <c r="B359" s="18" t="str">
        <f aca="false">IF(A359="","",IFERROR(INDEX(Products!$A:$A,MATCH(A359,Products!$B:$B,0)),"Not found"))</f>
        <v/>
      </c>
      <c r="C359" s="20"/>
      <c r="D359" s="18" t="str">
        <f aca="false">IF(C359="","",IFERROR(INDEX(Dimensions!$A:$A,MATCH(C359,Dimensions!$B:$B,0)),"Not found"))</f>
        <v/>
      </c>
      <c r="E359" s="20"/>
      <c r="F359" s="18" t="str">
        <f aca="false">IF(E359="","",IFERROR(INDEX(Tables!$A:$A,MATCH(E359,Tables!$B:$B,0)),"Not found"))</f>
        <v/>
      </c>
      <c r="G359" s="21" t="str">
        <f aca="false">IF(OR(D359="",F359=""),"",IF(IFERROR(INDEX(Dimensions!$D:$D,MATCH(D359,Dimensions!$A:$A,0)),"")="","",IF(INDEX(Dimensions!$D:$D,MATCH(D359,Dimensions!$A:$A,0))=F359,"Yes","No")))</f>
        <v/>
      </c>
      <c r="H359" s="20"/>
      <c r="I359" s="20"/>
      <c r="J359" s="20"/>
      <c r="K359" s="20"/>
    </row>
    <row r="360" customFormat="false" ht="15" hidden="false" customHeight="false" outlineLevel="0" collapsed="false">
      <c r="A360" s="20"/>
      <c r="B360" s="18" t="str">
        <f aca="false">IF(A360="","",IFERROR(INDEX(Products!$A:$A,MATCH(A360,Products!$B:$B,0)),"Not found"))</f>
        <v/>
      </c>
      <c r="C360" s="20"/>
      <c r="D360" s="18" t="str">
        <f aca="false">IF(C360="","",IFERROR(INDEX(Dimensions!$A:$A,MATCH(C360,Dimensions!$B:$B,0)),"Not found"))</f>
        <v/>
      </c>
      <c r="E360" s="20"/>
      <c r="F360" s="18" t="str">
        <f aca="false">IF(E360="","",IFERROR(INDEX(Tables!$A:$A,MATCH(E360,Tables!$B:$B,0)),"Not found"))</f>
        <v/>
      </c>
      <c r="G360" s="21" t="str">
        <f aca="false">IF(OR(D360="",F360=""),"",IF(IFERROR(INDEX(Dimensions!$D:$D,MATCH(D360,Dimensions!$A:$A,0)),"")="","",IF(INDEX(Dimensions!$D:$D,MATCH(D360,Dimensions!$A:$A,0))=F360,"Yes","No")))</f>
        <v/>
      </c>
      <c r="H360" s="20"/>
      <c r="I360" s="20"/>
      <c r="J360" s="20"/>
      <c r="K360" s="20"/>
    </row>
    <row r="361" customFormat="false" ht="15" hidden="false" customHeight="false" outlineLevel="0" collapsed="false">
      <c r="A361" s="20"/>
      <c r="B361" s="18" t="str">
        <f aca="false">IF(A361="","",IFERROR(INDEX(Products!$A:$A,MATCH(A361,Products!$B:$B,0)),"Not found"))</f>
        <v/>
      </c>
      <c r="C361" s="20"/>
      <c r="D361" s="18" t="str">
        <f aca="false">IF(C361="","",IFERROR(INDEX(Dimensions!$A:$A,MATCH(C361,Dimensions!$B:$B,0)),"Not found"))</f>
        <v/>
      </c>
      <c r="E361" s="20"/>
      <c r="F361" s="18" t="str">
        <f aca="false">IF(E361="","",IFERROR(INDEX(Tables!$A:$A,MATCH(E361,Tables!$B:$B,0)),"Not found"))</f>
        <v/>
      </c>
      <c r="G361" s="21" t="str">
        <f aca="false">IF(OR(D361="",F361=""),"",IF(IFERROR(INDEX(Dimensions!$D:$D,MATCH(D361,Dimensions!$A:$A,0)),"")="","",IF(INDEX(Dimensions!$D:$D,MATCH(D361,Dimensions!$A:$A,0))=F361,"Yes","No")))</f>
        <v/>
      </c>
      <c r="H361" s="20"/>
      <c r="I361" s="20"/>
      <c r="J361" s="20"/>
      <c r="K361" s="20"/>
    </row>
    <row r="362" customFormat="false" ht="15" hidden="false" customHeight="false" outlineLevel="0" collapsed="false">
      <c r="A362" s="20"/>
      <c r="B362" s="18" t="str">
        <f aca="false">IF(A362="","",IFERROR(INDEX(Products!$A:$A,MATCH(A362,Products!$B:$B,0)),"Not found"))</f>
        <v/>
      </c>
      <c r="C362" s="20"/>
      <c r="D362" s="18" t="str">
        <f aca="false">IF(C362="","",IFERROR(INDEX(Dimensions!$A:$A,MATCH(C362,Dimensions!$B:$B,0)),"Not found"))</f>
        <v/>
      </c>
      <c r="E362" s="20"/>
      <c r="F362" s="18" t="str">
        <f aca="false">IF(E362="","",IFERROR(INDEX(Tables!$A:$A,MATCH(E362,Tables!$B:$B,0)),"Not found"))</f>
        <v/>
      </c>
      <c r="G362" s="21" t="str">
        <f aca="false">IF(OR(D362="",F362=""),"",IF(IFERROR(INDEX(Dimensions!$D:$D,MATCH(D362,Dimensions!$A:$A,0)),"")="","",IF(INDEX(Dimensions!$D:$D,MATCH(D362,Dimensions!$A:$A,0))=F362,"Yes","No")))</f>
        <v/>
      </c>
      <c r="H362" s="20"/>
      <c r="I362" s="20"/>
      <c r="J362" s="20"/>
      <c r="K362" s="20"/>
    </row>
    <row r="363" customFormat="false" ht="15" hidden="false" customHeight="false" outlineLevel="0" collapsed="false">
      <c r="A363" s="20"/>
      <c r="B363" s="18" t="str">
        <f aca="false">IF(A363="","",IFERROR(INDEX(Products!$A:$A,MATCH(A363,Products!$B:$B,0)),"Not found"))</f>
        <v/>
      </c>
      <c r="C363" s="20"/>
      <c r="D363" s="18" t="str">
        <f aca="false">IF(C363="","",IFERROR(INDEX(Dimensions!$A:$A,MATCH(C363,Dimensions!$B:$B,0)),"Not found"))</f>
        <v/>
      </c>
      <c r="E363" s="20"/>
      <c r="F363" s="18" t="str">
        <f aca="false">IF(E363="","",IFERROR(INDEX(Tables!$A:$A,MATCH(E363,Tables!$B:$B,0)),"Not found"))</f>
        <v/>
      </c>
      <c r="G363" s="21" t="str">
        <f aca="false">IF(OR(D363="",F363=""),"",IF(IFERROR(INDEX(Dimensions!$D:$D,MATCH(D363,Dimensions!$A:$A,0)),"")="","",IF(INDEX(Dimensions!$D:$D,MATCH(D363,Dimensions!$A:$A,0))=F363,"Yes","No")))</f>
        <v/>
      </c>
      <c r="H363" s="20"/>
      <c r="I363" s="20"/>
      <c r="J363" s="20"/>
      <c r="K363" s="20"/>
    </row>
    <row r="364" customFormat="false" ht="15" hidden="false" customHeight="false" outlineLevel="0" collapsed="false">
      <c r="A364" s="20"/>
      <c r="B364" s="18" t="str">
        <f aca="false">IF(A364="","",IFERROR(INDEX(Products!$A:$A,MATCH(A364,Products!$B:$B,0)),"Not found"))</f>
        <v/>
      </c>
      <c r="C364" s="20"/>
      <c r="D364" s="18" t="str">
        <f aca="false">IF(C364="","",IFERROR(INDEX(Dimensions!$A:$A,MATCH(C364,Dimensions!$B:$B,0)),"Not found"))</f>
        <v/>
      </c>
      <c r="E364" s="20"/>
      <c r="F364" s="18" t="str">
        <f aca="false">IF(E364="","",IFERROR(INDEX(Tables!$A:$A,MATCH(E364,Tables!$B:$B,0)),"Not found"))</f>
        <v/>
      </c>
      <c r="G364" s="21" t="str">
        <f aca="false">IF(OR(D364="",F364=""),"",IF(IFERROR(INDEX(Dimensions!$D:$D,MATCH(D364,Dimensions!$A:$A,0)),"")="","",IF(INDEX(Dimensions!$D:$D,MATCH(D364,Dimensions!$A:$A,0))=F364,"Yes","No")))</f>
        <v/>
      </c>
      <c r="H364" s="20"/>
      <c r="I364" s="20"/>
      <c r="J364" s="20"/>
      <c r="K364" s="20"/>
    </row>
    <row r="365" customFormat="false" ht="15" hidden="false" customHeight="false" outlineLevel="0" collapsed="false">
      <c r="A365" s="20"/>
      <c r="B365" s="18" t="str">
        <f aca="false">IF(A365="","",IFERROR(INDEX(Products!$A:$A,MATCH(A365,Products!$B:$B,0)),"Not found"))</f>
        <v/>
      </c>
      <c r="C365" s="20"/>
      <c r="D365" s="18" t="str">
        <f aca="false">IF(C365="","",IFERROR(INDEX(Dimensions!$A:$A,MATCH(C365,Dimensions!$B:$B,0)),"Not found"))</f>
        <v/>
      </c>
      <c r="E365" s="20"/>
      <c r="F365" s="18" t="str">
        <f aca="false">IF(E365="","",IFERROR(INDEX(Tables!$A:$A,MATCH(E365,Tables!$B:$B,0)),"Not found"))</f>
        <v/>
      </c>
      <c r="G365" s="21" t="str">
        <f aca="false">IF(OR(D365="",F365=""),"",IF(IFERROR(INDEX(Dimensions!$D:$D,MATCH(D365,Dimensions!$A:$A,0)),"")="","",IF(INDEX(Dimensions!$D:$D,MATCH(D365,Dimensions!$A:$A,0))=F365,"Yes","No")))</f>
        <v/>
      </c>
      <c r="H365" s="20"/>
      <c r="I365" s="20"/>
      <c r="J365" s="20"/>
      <c r="K365" s="20"/>
    </row>
    <row r="366" customFormat="false" ht="15" hidden="false" customHeight="false" outlineLevel="0" collapsed="false">
      <c r="A366" s="20"/>
      <c r="B366" s="18" t="str">
        <f aca="false">IF(A366="","",IFERROR(INDEX(Products!$A:$A,MATCH(A366,Products!$B:$B,0)),"Not found"))</f>
        <v/>
      </c>
      <c r="C366" s="20"/>
      <c r="D366" s="18" t="str">
        <f aca="false">IF(C366="","",IFERROR(INDEX(Dimensions!$A:$A,MATCH(C366,Dimensions!$B:$B,0)),"Not found"))</f>
        <v/>
      </c>
      <c r="E366" s="20"/>
      <c r="F366" s="18" t="str">
        <f aca="false">IF(E366="","",IFERROR(INDEX(Tables!$A:$A,MATCH(E366,Tables!$B:$B,0)),"Not found"))</f>
        <v/>
      </c>
      <c r="G366" s="21" t="str">
        <f aca="false">IF(OR(D366="",F366=""),"",IF(IFERROR(INDEX(Dimensions!$D:$D,MATCH(D366,Dimensions!$A:$A,0)),"")="","",IF(INDEX(Dimensions!$D:$D,MATCH(D366,Dimensions!$A:$A,0))=F366,"Yes","No")))</f>
        <v/>
      </c>
      <c r="H366" s="20"/>
      <c r="I366" s="20"/>
      <c r="J366" s="20"/>
      <c r="K366" s="20"/>
    </row>
    <row r="367" customFormat="false" ht="15" hidden="false" customHeight="false" outlineLevel="0" collapsed="false">
      <c r="A367" s="20"/>
      <c r="B367" s="18" t="str">
        <f aca="false">IF(A367="","",IFERROR(INDEX(Products!$A:$A,MATCH(A367,Products!$B:$B,0)),"Not found"))</f>
        <v/>
      </c>
      <c r="C367" s="20"/>
      <c r="D367" s="18" t="str">
        <f aca="false">IF(C367="","",IFERROR(INDEX(Dimensions!$A:$A,MATCH(C367,Dimensions!$B:$B,0)),"Not found"))</f>
        <v/>
      </c>
      <c r="E367" s="20"/>
      <c r="F367" s="18" t="str">
        <f aca="false">IF(E367="","",IFERROR(INDEX(Tables!$A:$A,MATCH(E367,Tables!$B:$B,0)),"Not found"))</f>
        <v/>
      </c>
      <c r="G367" s="21" t="str">
        <f aca="false">IF(OR(D367="",F367=""),"",IF(IFERROR(INDEX(Dimensions!$D:$D,MATCH(D367,Dimensions!$A:$A,0)),"")="","",IF(INDEX(Dimensions!$D:$D,MATCH(D367,Dimensions!$A:$A,0))=F367,"Yes","No")))</f>
        <v/>
      </c>
      <c r="H367" s="20"/>
      <c r="I367" s="20"/>
      <c r="J367" s="20"/>
      <c r="K367" s="20"/>
    </row>
    <row r="368" customFormat="false" ht="15" hidden="false" customHeight="false" outlineLevel="0" collapsed="false">
      <c r="A368" s="20"/>
      <c r="B368" s="18" t="str">
        <f aca="false">IF(A368="","",IFERROR(INDEX(Products!$A:$A,MATCH(A368,Products!$B:$B,0)),"Not found"))</f>
        <v/>
      </c>
      <c r="C368" s="20"/>
      <c r="D368" s="18" t="str">
        <f aca="false">IF(C368="","",IFERROR(INDEX(Dimensions!$A:$A,MATCH(C368,Dimensions!$B:$B,0)),"Not found"))</f>
        <v/>
      </c>
      <c r="E368" s="20"/>
      <c r="F368" s="18" t="str">
        <f aca="false">IF(E368="","",IFERROR(INDEX(Tables!$A:$A,MATCH(E368,Tables!$B:$B,0)),"Not found"))</f>
        <v/>
      </c>
      <c r="G368" s="21" t="str">
        <f aca="false">IF(OR(D368="",F368=""),"",IF(IFERROR(INDEX(Dimensions!$D:$D,MATCH(D368,Dimensions!$A:$A,0)),"")="","",IF(INDEX(Dimensions!$D:$D,MATCH(D368,Dimensions!$A:$A,0))=F368,"Yes","No")))</f>
        <v/>
      </c>
      <c r="H368" s="20"/>
      <c r="I368" s="20"/>
      <c r="J368" s="20"/>
      <c r="K368" s="20"/>
    </row>
    <row r="369" customFormat="false" ht="15" hidden="false" customHeight="false" outlineLevel="0" collapsed="false">
      <c r="A369" s="20"/>
      <c r="B369" s="18" t="str">
        <f aca="false">IF(A369="","",IFERROR(INDEX(Products!$A:$A,MATCH(A369,Products!$B:$B,0)),"Not found"))</f>
        <v/>
      </c>
      <c r="C369" s="20"/>
      <c r="D369" s="18" t="str">
        <f aca="false">IF(C369="","",IFERROR(INDEX(Dimensions!$A:$A,MATCH(C369,Dimensions!$B:$B,0)),"Not found"))</f>
        <v/>
      </c>
      <c r="E369" s="20"/>
      <c r="F369" s="18" t="str">
        <f aca="false">IF(E369="","",IFERROR(INDEX(Tables!$A:$A,MATCH(E369,Tables!$B:$B,0)),"Not found"))</f>
        <v/>
      </c>
      <c r="G369" s="21" t="str">
        <f aca="false">IF(OR(D369="",F369=""),"",IF(IFERROR(INDEX(Dimensions!$D:$D,MATCH(D369,Dimensions!$A:$A,0)),"")="","",IF(INDEX(Dimensions!$D:$D,MATCH(D369,Dimensions!$A:$A,0))=F369,"Yes","No")))</f>
        <v/>
      </c>
      <c r="H369" s="20"/>
      <c r="I369" s="20"/>
      <c r="J369" s="20"/>
      <c r="K369" s="20"/>
    </row>
    <row r="370" customFormat="false" ht="15" hidden="false" customHeight="false" outlineLevel="0" collapsed="false">
      <c r="A370" s="20"/>
      <c r="B370" s="18" t="str">
        <f aca="false">IF(A370="","",IFERROR(INDEX(Products!$A:$A,MATCH(A370,Products!$B:$B,0)),"Not found"))</f>
        <v/>
      </c>
      <c r="C370" s="20"/>
      <c r="D370" s="18" t="str">
        <f aca="false">IF(C370="","",IFERROR(INDEX(Dimensions!$A:$A,MATCH(C370,Dimensions!$B:$B,0)),"Not found"))</f>
        <v/>
      </c>
      <c r="E370" s="20"/>
      <c r="F370" s="18" t="str">
        <f aca="false">IF(E370="","",IFERROR(INDEX(Tables!$A:$A,MATCH(E370,Tables!$B:$B,0)),"Not found"))</f>
        <v/>
      </c>
      <c r="G370" s="21" t="str">
        <f aca="false">IF(OR(D370="",F370=""),"",IF(IFERROR(INDEX(Dimensions!$D:$D,MATCH(D370,Dimensions!$A:$A,0)),"")="","",IF(INDEX(Dimensions!$D:$D,MATCH(D370,Dimensions!$A:$A,0))=F370,"Yes","No")))</f>
        <v/>
      </c>
      <c r="H370" s="20"/>
      <c r="I370" s="20"/>
      <c r="J370" s="20"/>
      <c r="K370" s="20"/>
    </row>
    <row r="371" customFormat="false" ht="15" hidden="false" customHeight="false" outlineLevel="0" collapsed="false">
      <c r="A371" s="20"/>
      <c r="B371" s="18" t="str">
        <f aca="false">IF(A371="","",IFERROR(INDEX(Products!$A:$A,MATCH(A371,Products!$B:$B,0)),"Not found"))</f>
        <v/>
      </c>
      <c r="C371" s="20"/>
      <c r="D371" s="18" t="str">
        <f aca="false">IF(C371="","",IFERROR(INDEX(Dimensions!$A:$A,MATCH(C371,Dimensions!$B:$B,0)),"Not found"))</f>
        <v/>
      </c>
      <c r="E371" s="20"/>
      <c r="F371" s="18" t="str">
        <f aca="false">IF(E371="","",IFERROR(INDEX(Tables!$A:$A,MATCH(E371,Tables!$B:$B,0)),"Not found"))</f>
        <v/>
      </c>
      <c r="G371" s="21" t="str">
        <f aca="false">IF(OR(D371="",F371=""),"",IF(IFERROR(INDEX(Dimensions!$D:$D,MATCH(D371,Dimensions!$A:$A,0)),"")="","",IF(INDEX(Dimensions!$D:$D,MATCH(D371,Dimensions!$A:$A,0))=F371,"Yes","No")))</f>
        <v/>
      </c>
      <c r="H371" s="20"/>
      <c r="I371" s="20"/>
      <c r="J371" s="20"/>
      <c r="K371" s="20"/>
    </row>
    <row r="372" customFormat="false" ht="15" hidden="false" customHeight="false" outlineLevel="0" collapsed="false">
      <c r="A372" s="20"/>
      <c r="B372" s="18" t="str">
        <f aca="false">IF(A372="","",IFERROR(INDEX(Products!$A:$A,MATCH(A372,Products!$B:$B,0)),"Not found"))</f>
        <v/>
      </c>
      <c r="C372" s="20"/>
      <c r="D372" s="18" t="str">
        <f aca="false">IF(C372="","",IFERROR(INDEX(Dimensions!$A:$A,MATCH(C372,Dimensions!$B:$B,0)),"Not found"))</f>
        <v/>
      </c>
      <c r="E372" s="20"/>
      <c r="F372" s="18" t="str">
        <f aca="false">IF(E372="","",IFERROR(INDEX(Tables!$A:$A,MATCH(E372,Tables!$B:$B,0)),"Not found"))</f>
        <v/>
      </c>
      <c r="G372" s="21" t="str">
        <f aca="false">IF(OR(D372="",F372=""),"",IF(IFERROR(INDEX(Dimensions!$D:$D,MATCH(D372,Dimensions!$A:$A,0)),"")="","",IF(INDEX(Dimensions!$D:$D,MATCH(D372,Dimensions!$A:$A,0))=F372,"Yes","No")))</f>
        <v/>
      </c>
      <c r="H372" s="20"/>
      <c r="I372" s="20"/>
      <c r="J372" s="20"/>
      <c r="K372" s="20"/>
    </row>
    <row r="373" customFormat="false" ht="15" hidden="false" customHeight="false" outlineLevel="0" collapsed="false">
      <c r="A373" s="20"/>
      <c r="B373" s="18" t="str">
        <f aca="false">IF(A373="","",IFERROR(INDEX(Products!$A:$A,MATCH(A373,Products!$B:$B,0)),"Not found"))</f>
        <v/>
      </c>
      <c r="C373" s="20"/>
      <c r="D373" s="18" t="str">
        <f aca="false">IF(C373="","",IFERROR(INDEX(Dimensions!$A:$A,MATCH(C373,Dimensions!$B:$B,0)),"Not found"))</f>
        <v/>
      </c>
      <c r="E373" s="20"/>
      <c r="F373" s="18" t="str">
        <f aca="false">IF(E373="","",IFERROR(INDEX(Tables!$A:$A,MATCH(E373,Tables!$B:$B,0)),"Not found"))</f>
        <v/>
      </c>
      <c r="G373" s="21" t="str">
        <f aca="false">IF(OR(D373="",F373=""),"",IF(IFERROR(INDEX(Dimensions!$D:$D,MATCH(D373,Dimensions!$A:$A,0)),"")="","",IF(INDEX(Dimensions!$D:$D,MATCH(D373,Dimensions!$A:$A,0))=F373,"Yes","No")))</f>
        <v/>
      </c>
      <c r="H373" s="20"/>
      <c r="I373" s="20"/>
      <c r="J373" s="20"/>
      <c r="K373" s="20"/>
    </row>
    <row r="374" customFormat="false" ht="15" hidden="false" customHeight="false" outlineLevel="0" collapsed="false">
      <c r="A374" s="20"/>
      <c r="B374" s="18" t="str">
        <f aca="false">IF(A374="","",IFERROR(INDEX(Products!$A:$A,MATCH(A374,Products!$B:$B,0)),"Not found"))</f>
        <v/>
      </c>
      <c r="C374" s="20"/>
      <c r="D374" s="18" t="str">
        <f aca="false">IF(C374="","",IFERROR(INDEX(Dimensions!$A:$A,MATCH(C374,Dimensions!$B:$B,0)),"Not found"))</f>
        <v/>
      </c>
      <c r="E374" s="20"/>
      <c r="F374" s="18" t="str">
        <f aca="false">IF(E374="","",IFERROR(INDEX(Tables!$A:$A,MATCH(E374,Tables!$B:$B,0)),"Not found"))</f>
        <v/>
      </c>
      <c r="G374" s="21" t="str">
        <f aca="false">IF(OR(D374="",F374=""),"",IF(IFERROR(INDEX(Dimensions!$D:$D,MATCH(D374,Dimensions!$A:$A,0)),"")="","",IF(INDEX(Dimensions!$D:$D,MATCH(D374,Dimensions!$A:$A,0))=F374,"Yes","No")))</f>
        <v/>
      </c>
      <c r="H374" s="20"/>
      <c r="I374" s="20"/>
      <c r="J374" s="20"/>
      <c r="K374" s="20"/>
    </row>
    <row r="375" customFormat="false" ht="15" hidden="false" customHeight="false" outlineLevel="0" collapsed="false">
      <c r="A375" s="20"/>
      <c r="B375" s="18" t="str">
        <f aca="false">IF(A375="","",IFERROR(INDEX(Products!$A:$A,MATCH(A375,Products!$B:$B,0)),"Not found"))</f>
        <v/>
      </c>
      <c r="C375" s="20"/>
      <c r="D375" s="18" t="str">
        <f aca="false">IF(C375="","",IFERROR(INDEX(Dimensions!$A:$A,MATCH(C375,Dimensions!$B:$B,0)),"Not found"))</f>
        <v/>
      </c>
      <c r="E375" s="20"/>
      <c r="F375" s="18" t="str">
        <f aca="false">IF(E375="","",IFERROR(INDEX(Tables!$A:$A,MATCH(E375,Tables!$B:$B,0)),"Not found"))</f>
        <v/>
      </c>
      <c r="G375" s="21" t="str">
        <f aca="false">IF(OR(D375="",F375=""),"",IF(IFERROR(INDEX(Dimensions!$D:$D,MATCH(D375,Dimensions!$A:$A,0)),"")="","",IF(INDEX(Dimensions!$D:$D,MATCH(D375,Dimensions!$A:$A,0))=F375,"Yes","No")))</f>
        <v/>
      </c>
      <c r="H375" s="20"/>
      <c r="I375" s="20"/>
      <c r="J375" s="20"/>
      <c r="K375" s="20"/>
    </row>
    <row r="376" customFormat="false" ht="15" hidden="false" customHeight="false" outlineLevel="0" collapsed="false">
      <c r="A376" s="20"/>
      <c r="B376" s="18" t="str">
        <f aca="false">IF(A376="","",IFERROR(INDEX(Products!$A:$A,MATCH(A376,Products!$B:$B,0)),"Not found"))</f>
        <v/>
      </c>
      <c r="C376" s="20"/>
      <c r="D376" s="18" t="str">
        <f aca="false">IF(C376="","",IFERROR(INDEX(Dimensions!$A:$A,MATCH(C376,Dimensions!$B:$B,0)),"Not found"))</f>
        <v/>
      </c>
      <c r="E376" s="20"/>
      <c r="F376" s="18" t="str">
        <f aca="false">IF(E376="","",IFERROR(INDEX(Tables!$A:$A,MATCH(E376,Tables!$B:$B,0)),"Not found"))</f>
        <v/>
      </c>
      <c r="G376" s="21" t="str">
        <f aca="false">IF(OR(D376="",F376=""),"",IF(IFERROR(INDEX(Dimensions!$D:$D,MATCH(D376,Dimensions!$A:$A,0)),"")="","",IF(INDEX(Dimensions!$D:$D,MATCH(D376,Dimensions!$A:$A,0))=F376,"Yes","No")))</f>
        <v/>
      </c>
      <c r="H376" s="20"/>
      <c r="I376" s="20"/>
      <c r="J376" s="20"/>
      <c r="K376" s="20"/>
    </row>
    <row r="377" customFormat="false" ht="15" hidden="false" customHeight="false" outlineLevel="0" collapsed="false">
      <c r="A377" s="20"/>
      <c r="B377" s="18" t="str">
        <f aca="false">IF(A377="","",IFERROR(INDEX(Products!$A:$A,MATCH(A377,Products!$B:$B,0)),"Not found"))</f>
        <v/>
      </c>
      <c r="C377" s="20"/>
      <c r="D377" s="18" t="str">
        <f aca="false">IF(C377="","",IFERROR(INDEX(Dimensions!$A:$A,MATCH(C377,Dimensions!$B:$B,0)),"Not found"))</f>
        <v/>
      </c>
      <c r="E377" s="20"/>
      <c r="F377" s="18" t="str">
        <f aca="false">IF(E377="","",IFERROR(INDEX(Tables!$A:$A,MATCH(E377,Tables!$B:$B,0)),"Not found"))</f>
        <v/>
      </c>
      <c r="G377" s="21" t="str">
        <f aca="false">IF(OR(D377="",F377=""),"",IF(IFERROR(INDEX(Dimensions!$D:$D,MATCH(D377,Dimensions!$A:$A,0)),"")="","",IF(INDEX(Dimensions!$D:$D,MATCH(D377,Dimensions!$A:$A,0))=F377,"Yes","No")))</f>
        <v/>
      </c>
      <c r="H377" s="20"/>
      <c r="I377" s="20"/>
      <c r="J377" s="20"/>
      <c r="K377" s="20"/>
    </row>
    <row r="378" customFormat="false" ht="15" hidden="false" customHeight="false" outlineLevel="0" collapsed="false">
      <c r="A378" s="20"/>
      <c r="B378" s="18" t="str">
        <f aca="false">IF(A378="","",IFERROR(INDEX(Products!$A:$A,MATCH(A378,Products!$B:$B,0)),"Not found"))</f>
        <v/>
      </c>
      <c r="C378" s="20"/>
      <c r="D378" s="18" t="str">
        <f aca="false">IF(C378="","",IFERROR(INDEX(Dimensions!$A:$A,MATCH(C378,Dimensions!$B:$B,0)),"Not found"))</f>
        <v/>
      </c>
      <c r="E378" s="20"/>
      <c r="F378" s="18" t="str">
        <f aca="false">IF(E378="","",IFERROR(INDEX(Tables!$A:$A,MATCH(E378,Tables!$B:$B,0)),"Not found"))</f>
        <v/>
      </c>
      <c r="G378" s="21" t="str">
        <f aca="false">IF(OR(D378="",F378=""),"",IF(IFERROR(INDEX(Dimensions!$D:$D,MATCH(D378,Dimensions!$A:$A,0)),"")="","",IF(INDEX(Dimensions!$D:$D,MATCH(D378,Dimensions!$A:$A,0))=F378,"Yes","No")))</f>
        <v/>
      </c>
      <c r="H378" s="20"/>
      <c r="I378" s="20"/>
      <c r="J378" s="20"/>
      <c r="K378" s="20"/>
    </row>
    <row r="379" customFormat="false" ht="15" hidden="false" customHeight="false" outlineLevel="0" collapsed="false">
      <c r="A379" s="20"/>
      <c r="B379" s="18" t="str">
        <f aca="false">IF(A379="","",IFERROR(INDEX(Products!$A:$A,MATCH(A379,Products!$B:$B,0)),"Not found"))</f>
        <v/>
      </c>
      <c r="C379" s="20"/>
      <c r="D379" s="18" t="str">
        <f aca="false">IF(C379="","",IFERROR(INDEX(Dimensions!$A:$A,MATCH(C379,Dimensions!$B:$B,0)),"Not found"))</f>
        <v/>
      </c>
      <c r="E379" s="20"/>
      <c r="F379" s="18" t="str">
        <f aca="false">IF(E379="","",IFERROR(INDEX(Tables!$A:$A,MATCH(E379,Tables!$B:$B,0)),"Not found"))</f>
        <v/>
      </c>
      <c r="G379" s="21" t="str">
        <f aca="false">IF(OR(D379="",F379=""),"",IF(IFERROR(INDEX(Dimensions!$D:$D,MATCH(D379,Dimensions!$A:$A,0)),"")="","",IF(INDEX(Dimensions!$D:$D,MATCH(D379,Dimensions!$A:$A,0))=F379,"Yes","No")))</f>
        <v/>
      </c>
      <c r="H379" s="20"/>
      <c r="I379" s="20"/>
      <c r="J379" s="20"/>
      <c r="K379" s="20"/>
    </row>
    <row r="380" customFormat="false" ht="15" hidden="false" customHeight="false" outlineLevel="0" collapsed="false">
      <c r="A380" s="20"/>
      <c r="B380" s="18" t="str">
        <f aca="false">IF(A380="","",IFERROR(INDEX(Products!$A:$A,MATCH(A380,Products!$B:$B,0)),"Not found"))</f>
        <v/>
      </c>
      <c r="C380" s="20"/>
      <c r="D380" s="18" t="str">
        <f aca="false">IF(C380="","",IFERROR(INDEX(Dimensions!$A:$A,MATCH(C380,Dimensions!$B:$B,0)),"Not found"))</f>
        <v/>
      </c>
      <c r="E380" s="20"/>
      <c r="F380" s="18" t="str">
        <f aca="false">IF(E380="","",IFERROR(INDEX(Tables!$A:$A,MATCH(E380,Tables!$B:$B,0)),"Not found"))</f>
        <v/>
      </c>
      <c r="G380" s="21" t="str">
        <f aca="false">IF(OR(D380="",F380=""),"",IF(IFERROR(INDEX(Dimensions!$D:$D,MATCH(D380,Dimensions!$A:$A,0)),"")="","",IF(INDEX(Dimensions!$D:$D,MATCH(D380,Dimensions!$A:$A,0))=F380,"Yes","No")))</f>
        <v/>
      </c>
      <c r="H380" s="20"/>
      <c r="I380" s="20"/>
      <c r="J380" s="20"/>
      <c r="K380" s="20"/>
    </row>
    <row r="381" customFormat="false" ht="15" hidden="false" customHeight="false" outlineLevel="0" collapsed="false">
      <c r="A381" s="20"/>
      <c r="B381" s="18" t="str">
        <f aca="false">IF(A381="","",IFERROR(INDEX(Products!$A:$A,MATCH(A381,Products!$B:$B,0)),"Not found"))</f>
        <v/>
      </c>
      <c r="C381" s="20"/>
      <c r="D381" s="18" t="str">
        <f aca="false">IF(C381="","",IFERROR(INDEX(Dimensions!$A:$A,MATCH(C381,Dimensions!$B:$B,0)),"Not found"))</f>
        <v/>
      </c>
      <c r="E381" s="20"/>
      <c r="F381" s="18" t="str">
        <f aca="false">IF(E381="","",IFERROR(INDEX(Tables!$A:$A,MATCH(E381,Tables!$B:$B,0)),"Not found"))</f>
        <v/>
      </c>
      <c r="G381" s="21" t="str">
        <f aca="false">IF(OR(D381="",F381=""),"",IF(IFERROR(INDEX(Dimensions!$D:$D,MATCH(D381,Dimensions!$A:$A,0)),"")="","",IF(INDEX(Dimensions!$D:$D,MATCH(D381,Dimensions!$A:$A,0))=F381,"Yes","No")))</f>
        <v/>
      </c>
      <c r="H381" s="20"/>
      <c r="I381" s="20"/>
      <c r="J381" s="20"/>
      <c r="K381" s="20"/>
    </row>
    <row r="382" customFormat="false" ht="15" hidden="false" customHeight="false" outlineLevel="0" collapsed="false">
      <c r="A382" s="20"/>
      <c r="B382" s="18" t="str">
        <f aca="false">IF(A382="","",IFERROR(INDEX(Products!$A:$A,MATCH(A382,Products!$B:$B,0)),"Not found"))</f>
        <v/>
      </c>
      <c r="C382" s="20"/>
      <c r="D382" s="18" t="str">
        <f aca="false">IF(C382="","",IFERROR(INDEX(Dimensions!$A:$A,MATCH(C382,Dimensions!$B:$B,0)),"Not found"))</f>
        <v/>
      </c>
      <c r="E382" s="20"/>
      <c r="F382" s="18" t="str">
        <f aca="false">IF(E382="","",IFERROR(INDEX(Tables!$A:$A,MATCH(E382,Tables!$B:$B,0)),"Not found"))</f>
        <v/>
      </c>
      <c r="G382" s="21" t="str">
        <f aca="false">IF(OR(D382="",F382=""),"",IF(IFERROR(INDEX(Dimensions!$D:$D,MATCH(D382,Dimensions!$A:$A,0)),"")="","",IF(INDEX(Dimensions!$D:$D,MATCH(D382,Dimensions!$A:$A,0))=F382,"Yes","No")))</f>
        <v/>
      </c>
      <c r="H382" s="20"/>
      <c r="I382" s="20"/>
      <c r="J382" s="20"/>
      <c r="K382" s="20"/>
    </row>
    <row r="383" customFormat="false" ht="15" hidden="false" customHeight="false" outlineLevel="0" collapsed="false">
      <c r="A383" s="20"/>
      <c r="B383" s="18" t="str">
        <f aca="false">IF(A383="","",IFERROR(INDEX(Products!$A:$A,MATCH(A383,Products!$B:$B,0)),"Not found"))</f>
        <v/>
      </c>
      <c r="C383" s="20"/>
      <c r="D383" s="18" t="str">
        <f aca="false">IF(C383="","",IFERROR(INDEX(Dimensions!$A:$A,MATCH(C383,Dimensions!$B:$B,0)),"Not found"))</f>
        <v/>
      </c>
      <c r="E383" s="20"/>
      <c r="F383" s="18" t="str">
        <f aca="false">IF(E383="","",IFERROR(INDEX(Tables!$A:$A,MATCH(E383,Tables!$B:$B,0)),"Not found"))</f>
        <v/>
      </c>
      <c r="G383" s="21" t="str">
        <f aca="false">IF(OR(D383="",F383=""),"",IF(IFERROR(INDEX(Dimensions!$D:$D,MATCH(D383,Dimensions!$A:$A,0)),"")="","",IF(INDEX(Dimensions!$D:$D,MATCH(D383,Dimensions!$A:$A,0))=F383,"Yes","No")))</f>
        <v/>
      </c>
      <c r="H383" s="20"/>
      <c r="I383" s="20"/>
      <c r="J383" s="20"/>
      <c r="K383" s="20"/>
    </row>
    <row r="384" customFormat="false" ht="15" hidden="false" customHeight="false" outlineLevel="0" collapsed="false">
      <c r="A384" s="20"/>
      <c r="B384" s="18" t="str">
        <f aca="false">IF(A384="","",IFERROR(INDEX(Products!$A:$A,MATCH(A384,Products!$B:$B,0)),"Not found"))</f>
        <v/>
      </c>
      <c r="C384" s="20"/>
      <c r="D384" s="18" t="str">
        <f aca="false">IF(C384="","",IFERROR(INDEX(Dimensions!$A:$A,MATCH(C384,Dimensions!$B:$B,0)),"Not found"))</f>
        <v/>
      </c>
      <c r="E384" s="20"/>
      <c r="F384" s="18" t="str">
        <f aca="false">IF(E384="","",IFERROR(INDEX(Tables!$A:$A,MATCH(E384,Tables!$B:$B,0)),"Not found"))</f>
        <v/>
      </c>
      <c r="G384" s="21" t="str">
        <f aca="false">IF(OR(D384="",F384=""),"",IF(IFERROR(INDEX(Dimensions!$D:$D,MATCH(D384,Dimensions!$A:$A,0)),"")="","",IF(INDEX(Dimensions!$D:$D,MATCH(D384,Dimensions!$A:$A,0))=F384,"Yes","No")))</f>
        <v/>
      </c>
      <c r="H384" s="20"/>
      <c r="I384" s="20"/>
      <c r="J384" s="20"/>
      <c r="K384" s="20"/>
    </row>
    <row r="385" customFormat="false" ht="15" hidden="false" customHeight="false" outlineLevel="0" collapsed="false">
      <c r="A385" s="20"/>
      <c r="B385" s="18" t="str">
        <f aca="false">IF(A385="","",IFERROR(INDEX(Products!$A:$A,MATCH(A385,Products!$B:$B,0)),"Not found"))</f>
        <v/>
      </c>
      <c r="C385" s="20"/>
      <c r="D385" s="18" t="str">
        <f aca="false">IF(C385="","",IFERROR(INDEX(Dimensions!$A:$A,MATCH(C385,Dimensions!$B:$B,0)),"Not found"))</f>
        <v/>
      </c>
      <c r="E385" s="20"/>
      <c r="F385" s="18" t="str">
        <f aca="false">IF(E385="","",IFERROR(INDEX(Tables!$A:$A,MATCH(E385,Tables!$B:$B,0)),"Not found"))</f>
        <v/>
      </c>
      <c r="G385" s="21" t="str">
        <f aca="false">IF(OR(D385="",F385=""),"",IF(IFERROR(INDEX(Dimensions!$D:$D,MATCH(D385,Dimensions!$A:$A,0)),"")="","",IF(INDEX(Dimensions!$D:$D,MATCH(D385,Dimensions!$A:$A,0))=F385,"Yes","No")))</f>
        <v/>
      </c>
      <c r="H385" s="20"/>
      <c r="I385" s="20"/>
      <c r="J385" s="20"/>
      <c r="K385" s="20"/>
    </row>
    <row r="386" customFormat="false" ht="15" hidden="false" customHeight="false" outlineLevel="0" collapsed="false">
      <c r="A386" s="20"/>
      <c r="B386" s="18" t="str">
        <f aca="false">IF(A386="","",IFERROR(INDEX(Products!$A:$A,MATCH(A386,Products!$B:$B,0)),"Not found"))</f>
        <v/>
      </c>
      <c r="C386" s="20"/>
      <c r="D386" s="18" t="str">
        <f aca="false">IF(C386="","",IFERROR(INDEX(Dimensions!$A:$A,MATCH(C386,Dimensions!$B:$B,0)),"Not found"))</f>
        <v/>
      </c>
      <c r="E386" s="20"/>
      <c r="F386" s="18" t="str">
        <f aca="false">IF(E386="","",IFERROR(INDEX(Tables!$A:$A,MATCH(E386,Tables!$B:$B,0)),"Not found"))</f>
        <v/>
      </c>
      <c r="G386" s="21" t="str">
        <f aca="false">IF(OR(D386="",F386=""),"",IF(IFERROR(INDEX(Dimensions!$D:$D,MATCH(D386,Dimensions!$A:$A,0)),"")="","",IF(INDEX(Dimensions!$D:$D,MATCH(D386,Dimensions!$A:$A,0))=F386,"Yes","No")))</f>
        <v/>
      </c>
      <c r="H386" s="20"/>
      <c r="I386" s="20"/>
      <c r="J386" s="20"/>
      <c r="K386" s="20"/>
    </row>
    <row r="387" customFormat="false" ht="15" hidden="false" customHeight="false" outlineLevel="0" collapsed="false">
      <c r="A387" s="20"/>
      <c r="B387" s="18" t="str">
        <f aca="false">IF(A387="","",IFERROR(INDEX(Products!$A:$A,MATCH(A387,Products!$B:$B,0)),"Not found"))</f>
        <v/>
      </c>
      <c r="C387" s="20"/>
      <c r="D387" s="18" t="str">
        <f aca="false">IF(C387="","",IFERROR(INDEX(Dimensions!$A:$A,MATCH(C387,Dimensions!$B:$B,0)),"Not found"))</f>
        <v/>
      </c>
      <c r="E387" s="20"/>
      <c r="F387" s="18" t="str">
        <f aca="false">IF(E387="","",IFERROR(INDEX(Tables!$A:$A,MATCH(E387,Tables!$B:$B,0)),"Not found"))</f>
        <v/>
      </c>
      <c r="G387" s="21" t="str">
        <f aca="false">IF(OR(D387="",F387=""),"",IF(IFERROR(INDEX(Dimensions!$D:$D,MATCH(D387,Dimensions!$A:$A,0)),"")="","",IF(INDEX(Dimensions!$D:$D,MATCH(D387,Dimensions!$A:$A,0))=F387,"Yes","No")))</f>
        <v/>
      </c>
      <c r="H387" s="20"/>
      <c r="I387" s="20"/>
      <c r="J387" s="20"/>
      <c r="K387" s="20"/>
    </row>
    <row r="388" customFormat="false" ht="15" hidden="false" customHeight="false" outlineLevel="0" collapsed="false">
      <c r="A388" s="20"/>
      <c r="B388" s="18" t="str">
        <f aca="false">IF(A388="","",IFERROR(INDEX(Products!$A:$A,MATCH(A388,Products!$B:$B,0)),"Not found"))</f>
        <v/>
      </c>
      <c r="C388" s="20"/>
      <c r="D388" s="18" t="str">
        <f aca="false">IF(C388="","",IFERROR(INDEX(Dimensions!$A:$A,MATCH(C388,Dimensions!$B:$B,0)),"Not found"))</f>
        <v/>
      </c>
      <c r="E388" s="20"/>
      <c r="F388" s="18" t="str">
        <f aca="false">IF(E388="","",IFERROR(INDEX(Tables!$A:$A,MATCH(E388,Tables!$B:$B,0)),"Not found"))</f>
        <v/>
      </c>
      <c r="G388" s="21" t="str">
        <f aca="false">IF(OR(D388="",F388=""),"",IF(IFERROR(INDEX(Dimensions!$D:$D,MATCH(D388,Dimensions!$A:$A,0)),"")="","",IF(INDEX(Dimensions!$D:$D,MATCH(D388,Dimensions!$A:$A,0))=F388,"Yes","No")))</f>
        <v/>
      </c>
      <c r="H388" s="20"/>
      <c r="I388" s="20"/>
      <c r="J388" s="20"/>
      <c r="K388" s="20"/>
    </row>
    <row r="389" customFormat="false" ht="15" hidden="false" customHeight="false" outlineLevel="0" collapsed="false">
      <c r="A389" s="20"/>
      <c r="B389" s="18" t="str">
        <f aca="false">IF(A389="","",IFERROR(INDEX(Products!$A:$A,MATCH(A389,Products!$B:$B,0)),"Not found"))</f>
        <v/>
      </c>
      <c r="C389" s="20"/>
      <c r="D389" s="18" t="str">
        <f aca="false">IF(C389="","",IFERROR(INDEX(Dimensions!$A:$A,MATCH(C389,Dimensions!$B:$B,0)),"Not found"))</f>
        <v/>
      </c>
      <c r="E389" s="20"/>
      <c r="F389" s="18" t="str">
        <f aca="false">IF(E389="","",IFERROR(INDEX(Tables!$A:$A,MATCH(E389,Tables!$B:$B,0)),"Not found"))</f>
        <v/>
      </c>
      <c r="G389" s="21" t="str">
        <f aca="false">IF(OR(D389="",F389=""),"",IF(IFERROR(INDEX(Dimensions!$D:$D,MATCH(D389,Dimensions!$A:$A,0)),"")="","",IF(INDEX(Dimensions!$D:$D,MATCH(D389,Dimensions!$A:$A,0))=F389,"Yes","No")))</f>
        <v/>
      </c>
      <c r="H389" s="20"/>
      <c r="I389" s="20"/>
      <c r="J389" s="20"/>
      <c r="K389" s="20"/>
    </row>
    <row r="390" customFormat="false" ht="15" hidden="false" customHeight="false" outlineLevel="0" collapsed="false">
      <c r="A390" s="20"/>
      <c r="B390" s="18" t="str">
        <f aca="false">IF(A390="","",IFERROR(INDEX(Products!$A:$A,MATCH(A390,Products!$B:$B,0)),"Not found"))</f>
        <v/>
      </c>
      <c r="C390" s="20"/>
      <c r="D390" s="18" t="str">
        <f aca="false">IF(C390="","",IFERROR(INDEX(Dimensions!$A:$A,MATCH(C390,Dimensions!$B:$B,0)),"Not found"))</f>
        <v/>
      </c>
      <c r="E390" s="20"/>
      <c r="F390" s="18" t="str">
        <f aca="false">IF(E390="","",IFERROR(INDEX(Tables!$A:$A,MATCH(E390,Tables!$B:$B,0)),"Not found"))</f>
        <v/>
      </c>
      <c r="G390" s="21" t="str">
        <f aca="false">IF(OR(D390="",F390=""),"",IF(IFERROR(INDEX(Dimensions!$D:$D,MATCH(D390,Dimensions!$A:$A,0)),"")="","",IF(INDEX(Dimensions!$D:$D,MATCH(D390,Dimensions!$A:$A,0))=F390,"Yes","No")))</f>
        <v/>
      </c>
      <c r="H390" s="20"/>
      <c r="I390" s="20"/>
      <c r="J390" s="20"/>
      <c r="K390" s="20"/>
    </row>
    <row r="391" customFormat="false" ht="15" hidden="false" customHeight="false" outlineLevel="0" collapsed="false">
      <c r="A391" s="20"/>
      <c r="B391" s="18" t="str">
        <f aca="false">IF(A391="","",IFERROR(INDEX(Products!$A:$A,MATCH(A391,Products!$B:$B,0)),"Not found"))</f>
        <v/>
      </c>
      <c r="C391" s="20"/>
      <c r="D391" s="18" t="str">
        <f aca="false">IF(C391="","",IFERROR(INDEX(Dimensions!$A:$A,MATCH(C391,Dimensions!$B:$B,0)),"Not found"))</f>
        <v/>
      </c>
      <c r="E391" s="20"/>
      <c r="F391" s="18" t="str">
        <f aca="false">IF(E391="","",IFERROR(INDEX(Tables!$A:$A,MATCH(E391,Tables!$B:$B,0)),"Not found"))</f>
        <v/>
      </c>
      <c r="G391" s="21" t="str">
        <f aca="false">IF(OR(D391="",F391=""),"",IF(IFERROR(INDEX(Dimensions!$D:$D,MATCH(D391,Dimensions!$A:$A,0)),"")="","",IF(INDEX(Dimensions!$D:$D,MATCH(D391,Dimensions!$A:$A,0))=F391,"Yes","No")))</f>
        <v/>
      </c>
      <c r="H391" s="20"/>
      <c r="I391" s="20"/>
      <c r="J391" s="20"/>
      <c r="K391" s="20"/>
    </row>
    <row r="392" customFormat="false" ht="15" hidden="false" customHeight="false" outlineLevel="0" collapsed="false">
      <c r="A392" s="20"/>
      <c r="B392" s="18" t="str">
        <f aca="false">IF(A392="","",IFERROR(INDEX(Products!$A:$A,MATCH(A392,Products!$B:$B,0)),"Not found"))</f>
        <v/>
      </c>
      <c r="C392" s="20"/>
      <c r="D392" s="18" t="str">
        <f aca="false">IF(C392="","",IFERROR(INDEX(Dimensions!$A:$A,MATCH(C392,Dimensions!$B:$B,0)),"Not found"))</f>
        <v/>
      </c>
      <c r="E392" s="20"/>
      <c r="F392" s="18" t="str">
        <f aca="false">IF(E392="","",IFERROR(INDEX(Tables!$A:$A,MATCH(E392,Tables!$B:$B,0)),"Not found"))</f>
        <v/>
      </c>
      <c r="G392" s="21" t="str">
        <f aca="false">IF(OR(D392="",F392=""),"",IF(IFERROR(INDEX(Dimensions!$D:$D,MATCH(D392,Dimensions!$A:$A,0)),"")="","",IF(INDEX(Dimensions!$D:$D,MATCH(D392,Dimensions!$A:$A,0))=F392,"Yes","No")))</f>
        <v/>
      </c>
      <c r="H392" s="20"/>
      <c r="I392" s="20"/>
      <c r="J392" s="20"/>
      <c r="K392" s="20"/>
    </row>
    <row r="393" customFormat="false" ht="15" hidden="false" customHeight="false" outlineLevel="0" collapsed="false">
      <c r="A393" s="20"/>
      <c r="B393" s="18" t="str">
        <f aca="false">IF(A393="","",IFERROR(INDEX(Products!$A:$A,MATCH(A393,Products!$B:$B,0)),"Not found"))</f>
        <v/>
      </c>
      <c r="C393" s="20"/>
      <c r="D393" s="18" t="str">
        <f aca="false">IF(C393="","",IFERROR(INDEX(Dimensions!$A:$A,MATCH(C393,Dimensions!$B:$B,0)),"Not found"))</f>
        <v/>
      </c>
      <c r="E393" s="20"/>
      <c r="F393" s="18" t="str">
        <f aca="false">IF(E393="","",IFERROR(INDEX(Tables!$A:$A,MATCH(E393,Tables!$B:$B,0)),"Not found"))</f>
        <v/>
      </c>
      <c r="G393" s="21" t="str">
        <f aca="false">IF(OR(D393="",F393=""),"",IF(IFERROR(INDEX(Dimensions!$D:$D,MATCH(D393,Dimensions!$A:$A,0)),"")="","",IF(INDEX(Dimensions!$D:$D,MATCH(D393,Dimensions!$A:$A,0))=F393,"Yes","No")))</f>
        <v/>
      </c>
      <c r="H393" s="20"/>
      <c r="I393" s="20"/>
      <c r="J393" s="20"/>
      <c r="K393" s="20"/>
    </row>
    <row r="394" customFormat="false" ht="15" hidden="false" customHeight="false" outlineLevel="0" collapsed="false">
      <c r="A394" s="20"/>
      <c r="B394" s="18" t="str">
        <f aca="false">IF(A394="","",IFERROR(INDEX(Products!$A:$A,MATCH(A394,Products!$B:$B,0)),"Not found"))</f>
        <v/>
      </c>
      <c r="C394" s="20"/>
      <c r="D394" s="18" t="str">
        <f aca="false">IF(C394="","",IFERROR(INDEX(Dimensions!$A:$A,MATCH(C394,Dimensions!$B:$B,0)),"Not found"))</f>
        <v/>
      </c>
      <c r="E394" s="20"/>
      <c r="F394" s="18" t="str">
        <f aca="false">IF(E394="","",IFERROR(INDEX(Tables!$A:$A,MATCH(E394,Tables!$B:$B,0)),"Not found"))</f>
        <v/>
      </c>
      <c r="G394" s="21" t="str">
        <f aca="false">IF(OR(D394="",F394=""),"",IF(IFERROR(INDEX(Dimensions!$D:$D,MATCH(D394,Dimensions!$A:$A,0)),"")="","",IF(INDEX(Dimensions!$D:$D,MATCH(D394,Dimensions!$A:$A,0))=F394,"Yes","No")))</f>
        <v/>
      </c>
      <c r="H394" s="20"/>
      <c r="I394" s="20"/>
      <c r="J394" s="20"/>
      <c r="K394" s="20"/>
    </row>
    <row r="395" customFormat="false" ht="15" hidden="false" customHeight="false" outlineLevel="0" collapsed="false">
      <c r="A395" s="20"/>
      <c r="B395" s="18" t="str">
        <f aca="false">IF(A395="","",IFERROR(INDEX(Products!$A:$A,MATCH(A395,Products!$B:$B,0)),"Not found"))</f>
        <v/>
      </c>
      <c r="C395" s="20"/>
      <c r="D395" s="18" t="str">
        <f aca="false">IF(C395="","",IFERROR(INDEX(Dimensions!$A:$A,MATCH(C395,Dimensions!$B:$B,0)),"Not found"))</f>
        <v/>
      </c>
      <c r="E395" s="20"/>
      <c r="F395" s="18" t="str">
        <f aca="false">IF(E395="","",IFERROR(INDEX(Tables!$A:$A,MATCH(E395,Tables!$B:$B,0)),"Not found"))</f>
        <v/>
      </c>
      <c r="G395" s="21" t="str">
        <f aca="false">IF(OR(D395="",F395=""),"",IF(IFERROR(INDEX(Dimensions!$D:$D,MATCH(D395,Dimensions!$A:$A,0)),"")="","",IF(INDEX(Dimensions!$D:$D,MATCH(D395,Dimensions!$A:$A,0))=F395,"Yes","No")))</f>
        <v/>
      </c>
      <c r="H395" s="20"/>
      <c r="I395" s="20"/>
      <c r="J395" s="20"/>
      <c r="K395" s="20"/>
    </row>
    <row r="396" customFormat="false" ht="15" hidden="false" customHeight="false" outlineLevel="0" collapsed="false">
      <c r="A396" s="20"/>
      <c r="B396" s="18" t="str">
        <f aca="false">IF(A396="","",IFERROR(INDEX(Products!$A:$A,MATCH(A396,Products!$B:$B,0)),"Not found"))</f>
        <v/>
      </c>
      <c r="C396" s="20"/>
      <c r="D396" s="18" t="str">
        <f aca="false">IF(C396="","",IFERROR(INDEX(Dimensions!$A:$A,MATCH(C396,Dimensions!$B:$B,0)),"Not found"))</f>
        <v/>
      </c>
      <c r="E396" s="20"/>
      <c r="F396" s="18" t="str">
        <f aca="false">IF(E396="","",IFERROR(INDEX(Tables!$A:$A,MATCH(E396,Tables!$B:$B,0)),"Not found"))</f>
        <v/>
      </c>
      <c r="G396" s="21" t="str">
        <f aca="false">IF(OR(D396="",F396=""),"",IF(IFERROR(INDEX(Dimensions!$D:$D,MATCH(D396,Dimensions!$A:$A,0)),"")="","",IF(INDEX(Dimensions!$D:$D,MATCH(D396,Dimensions!$A:$A,0))=F396,"Yes","No")))</f>
        <v/>
      </c>
      <c r="H396" s="20"/>
      <c r="I396" s="20"/>
      <c r="J396" s="20"/>
      <c r="K396" s="20"/>
    </row>
    <row r="397" customFormat="false" ht="15" hidden="false" customHeight="false" outlineLevel="0" collapsed="false">
      <c r="A397" s="20"/>
      <c r="B397" s="18" t="str">
        <f aca="false">IF(A397="","",IFERROR(INDEX(Products!$A:$A,MATCH(A397,Products!$B:$B,0)),"Not found"))</f>
        <v/>
      </c>
      <c r="C397" s="20"/>
      <c r="D397" s="18" t="str">
        <f aca="false">IF(C397="","",IFERROR(INDEX(Dimensions!$A:$A,MATCH(C397,Dimensions!$B:$B,0)),"Not found"))</f>
        <v/>
      </c>
      <c r="E397" s="20"/>
      <c r="F397" s="18" t="str">
        <f aca="false">IF(E397="","",IFERROR(INDEX(Tables!$A:$A,MATCH(E397,Tables!$B:$B,0)),"Not found"))</f>
        <v/>
      </c>
      <c r="G397" s="21" t="str">
        <f aca="false">IF(OR(D397="",F397=""),"",IF(IFERROR(INDEX(Dimensions!$D:$D,MATCH(D397,Dimensions!$A:$A,0)),"")="","",IF(INDEX(Dimensions!$D:$D,MATCH(D397,Dimensions!$A:$A,0))=F397,"Yes","No")))</f>
        <v/>
      </c>
      <c r="H397" s="20"/>
      <c r="I397" s="20"/>
      <c r="J397" s="20"/>
      <c r="K397" s="20"/>
    </row>
    <row r="398" customFormat="false" ht="15" hidden="false" customHeight="false" outlineLevel="0" collapsed="false">
      <c r="A398" s="20"/>
      <c r="B398" s="18" t="str">
        <f aca="false">IF(A398="","",IFERROR(INDEX(Products!$A:$A,MATCH(A398,Products!$B:$B,0)),"Not found"))</f>
        <v/>
      </c>
      <c r="C398" s="20"/>
      <c r="D398" s="18" t="str">
        <f aca="false">IF(C398="","",IFERROR(INDEX(Dimensions!$A:$A,MATCH(C398,Dimensions!$B:$B,0)),"Not found"))</f>
        <v/>
      </c>
      <c r="E398" s="20"/>
      <c r="F398" s="18" t="str">
        <f aca="false">IF(E398="","",IFERROR(INDEX(Tables!$A:$A,MATCH(E398,Tables!$B:$B,0)),"Not found"))</f>
        <v/>
      </c>
      <c r="G398" s="21" t="str">
        <f aca="false">IF(OR(D398="",F398=""),"",IF(IFERROR(INDEX(Dimensions!$D:$D,MATCH(D398,Dimensions!$A:$A,0)),"")="","",IF(INDEX(Dimensions!$D:$D,MATCH(D398,Dimensions!$A:$A,0))=F398,"Yes","No")))</f>
        <v/>
      </c>
      <c r="H398" s="20"/>
      <c r="I398" s="20"/>
      <c r="J398" s="20"/>
      <c r="K398" s="20"/>
    </row>
    <row r="399" customFormat="false" ht="15" hidden="false" customHeight="false" outlineLevel="0" collapsed="false">
      <c r="A399" s="20"/>
      <c r="B399" s="18" t="str">
        <f aca="false">IF(A399="","",IFERROR(INDEX(Products!$A:$A,MATCH(A399,Products!$B:$B,0)),"Not found"))</f>
        <v/>
      </c>
      <c r="C399" s="20"/>
      <c r="D399" s="18" t="str">
        <f aca="false">IF(C399="","",IFERROR(INDEX(Dimensions!$A:$A,MATCH(C399,Dimensions!$B:$B,0)),"Not found"))</f>
        <v/>
      </c>
      <c r="E399" s="20"/>
      <c r="F399" s="18" t="str">
        <f aca="false">IF(E399="","",IFERROR(INDEX(Tables!$A:$A,MATCH(E399,Tables!$B:$B,0)),"Not found"))</f>
        <v/>
      </c>
      <c r="G399" s="21" t="str">
        <f aca="false">IF(OR(D399="",F399=""),"",IF(IFERROR(INDEX(Dimensions!$D:$D,MATCH(D399,Dimensions!$A:$A,0)),"")="","",IF(INDEX(Dimensions!$D:$D,MATCH(D399,Dimensions!$A:$A,0))=F399,"Yes","No")))</f>
        <v/>
      </c>
      <c r="H399" s="20"/>
      <c r="I399" s="20"/>
      <c r="J399" s="20"/>
      <c r="K399" s="20"/>
    </row>
    <row r="400" customFormat="false" ht="15" hidden="false" customHeight="false" outlineLevel="0" collapsed="false">
      <c r="A400" s="20"/>
      <c r="B400" s="18" t="str">
        <f aca="false">IF(A400="","",IFERROR(INDEX(Products!$A:$A,MATCH(A400,Products!$B:$B,0)),"Not found"))</f>
        <v/>
      </c>
      <c r="C400" s="20"/>
      <c r="D400" s="18" t="str">
        <f aca="false">IF(C400="","",IFERROR(INDEX(Dimensions!$A:$A,MATCH(C400,Dimensions!$B:$B,0)),"Not found"))</f>
        <v/>
      </c>
      <c r="E400" s="20"/>
      <c r="F400" s="18" t="str">
        <f aca="false">IF(E400="","",IFERROR(INDEX(Tables!$A:$A,MATCH(E400,Tables!$B:$B,0)),"Not found"))</f>
        <v/>
      </c>
      <c r="G400" s="21" t="str">
        <f aca="false">IF(OR(D400="",F400=""),"",IF(IFERROR(INDEX(Dimensions!$D:$D,MATCH(D400,Dimensions!$A:$A,0)),"")="","",IF(INDEX(Dimensions!$D:$D,MATCH(D400,Dimensions!$A:$A,0))=F400,"Yes","No")))</f>
        <v/>
      </c>
      <c r="H400" s="20"/>
      <c r="I400" s="20"/>
      <c r="J400" s="20"/>
      <c r="K400" s="20"/>
    </row>
    <row r="401" customFormat="false" ht="15" hidden="false" customHeight="false" outlineLevel="0" collapsed="false">
      <c r="A401" s="20"/>
      <c r="B401" s="18" t="str">
        <f aca="false">IF(A401="","",IFERROR(INDEX(Products!$A:$A,MATCH(A401,Products!$B:$B,0)),"Not found"))</f>
        <v/>
      </c>
      <c r="C401" s="20"/>
      <c r="D401" s="18" t="str">
        <f aca="false">IF(C401="","",IFERROR(INDEX(Dimensions!$A:$A,MATCH(C401,Dimensions!$B:$B,0)),"Not found"))</f>
        <v/>
      </c>
      <c r="E401" s="20"/>
      <c r="F401" s="18" t="str">
        <f aca="false">IF(E401="","",IFERROR(INDEX(Tables!$A:$A,MATCH(E401,Tables!$B:$B,0)),"Not found"))</f>
        <v/>
      </c>
      <c r="G401" s="21" t="str">
        <f aca="false">IF(OR(D401="",F401=""),"",IF(IFERROR(INDEX(Dimensions!$D:$D,MATCH(D401,Dimensions!$A:$A,0)),"")="","",IF(INDEX(Dimensions!$D:$D,MATCH(D401,Dimensions!$A:$A,0))=F401,"Yes","No")))</f>
        <v/>
      </c>
      <c r="H401" s="20"/>
      <c r="I401" s="20"/>
      <c r="J401" s="20"/>
      <c r="K401" s="20"/>
    </row>
    <row r="402" customFormat="false" ht="15" hidden="false" customHeight="false" outlineLevel="0" collapsed="false">
      <c r="A402" s="20"/>
      <c r="B402" s="18" t="str">
        <f aca="false">IF(A402="","",IFERROR(INDEX(Products!$A:$A,MATCH(A402,Products!$B:$B,0)),"Not found"))</f>
        <v/>
      </c>
      <c r="C402" s="20"/>
      <c r="D402" s="18" t="str">
        <f aca="false">IF(C402="","",IFERROR(INDEX(Dimensions!$A:$A,MATCH(C402,Dimensions!$B:$B,0)),"Not found"))</f>
        <v/>
      </c>
      <c r="E402" s="20"/>
      <c r="F402" s="18" t="str">
        <f aca="false">IF(E402="","",IFERROR(INDEX(Tables!$A:$A,MATCH(E402,Tables!$B:$B,0)),"Not found"))</f>
        <v/>
      </c>
      <c r="G402" s="21" t="str">
        <f aca="false">IF(OR(D402="",F402=""),"",IF(IFERROR(INDEX(Dimensions!$D:$D,MATCH(D402,Dimensions!$A:$A,0)),"")="","",IF(INDEX(Dimensions!$D:$D,MATCH(D402,Dimensions!$A:$A,0))=F402,"Yes","No")))</f>
        <v/>
      </c>
      <c r="H402" s="20"/>
      <c r="I402" s="20"/>
      <c r="J402" s="20"/>
      <c r="K402" s="20"/>
    </row>
    <row r="403" customFormat="false" ht="15" hidden="false" customHeight="false" outlineLevel="0" collapsed="false">
      <c r="A403" s="20"/>
      <c r="B403" s="18" t="str">
        <f aca="false">IF(A403="","",IFERROR(INDEX(Products!$A:$A,MATCH(A403,Products!$B:$B,0)),"Not found"))</f>
        <v/>
      </c>
      <c r="C403" s="20"/>
      <c r="D403" s="18" t="str">
        <f aca="false">IF(C403="","",IFERROR(INDEX(Dimensions!$A:$A,MATCH(C403,Dimensions!$B:$B,0)),"Not found"))</f>
        <v/>
      </c>
      <c r="E403" s="20"/>
      <c r="F403" s="18" t="str">
        <f aca="false">IF(E403="","",IFERROR(INDEX(Tables!$A:$A,MATCH(E403,Tables!$B:$B,0)),"Not found"))</f>
        <v/>
      </c>
      <c r="G403" s="21" t="str">
        <f aca="false">IF(OR(D403="",F403=""),"",IF(IFERROR(INDEX(Dimensions!$D:$D,MATCH(D403,Dimensions!$A:$A,0)),"")="","",IF(INDEX(Dimensions!$D:$D,MATCH(D403,Dimensions!$A:$A,0))=F403,"Yes","No")))</f>
        <v/>
      </c>
      <c r="H403" s="20"/>
      <c r="I403" s="20"/>
      <c r="J403" s="20"/>
      <c r="K403" s="20"/>
    </row>
    <row r="404" customFormat="false" ht="15" hidden="false" customHeight="false" outlineLevel="0" collapsed="false">
      <c r="A404" s="20"/>
      <c r="B404" s="18" t="str">
        <f aca="false">IF(A404="","",IFERROR(INDEX(Products!$A:$A,MATCH(A404,Products!$B:$B,0)),"Not found"))</f>
        <v/>
      </c>
      <c r="C404" s="20"/>
      <c r="D404" s="18" t="str">
        <f aca="false">IF(C404="","",IFERROR(INDEX(Dimensions!$A:$A,MATCH(C404,Dimensions!$B:$B,0)),"Not found"))</f>
        <v/>
      </c>
      <c r="E404" s="20"/>
      <c r="F404" s="18" t="str">
        <f aca="false">IF(E404="","",IFERROR(INDEX(Tables!$A:$A,MATCH(E404,Tables!$B:$B,0)),"Not found"))</f>
        <v/>
      </c>
      <c r="G404" s="21" t="str">
        <f aca="false">IF(OR(D404="",F404=""),"",IF(IFERROR(INDEX(Dimensions!$D:$D,MATCH(D404,Dimensions!$A:$A,0)),"")="","",IF(INDEX(Dimensions!$D:$D,MATCH(D404,Dimensions!$A:$A,0))=F404,"Yes","No")))</f>
        <v/>
      </c>
      <c r="H404" s="20"/>
      <c r="I404" s="20"/>
      <c r="J404" s="20"/>
      <c r="K404" s="20"/>
    </row>
  </sheetData>
  <autoFilter ref="A4:K404"/>
  <conditionalFormatting sqref="G5:G404">
    <cfRule type="cellIs" priority="2" operator="equal" aboveAverage="0" equalAverage="0" bottom="0" percent="0" rank="0" text="" dxfId="9">
      <formula>"No"</formula>
    </cfRule>
  </conditionalFormatting>
  <dataValidations count="5">
    <dataValidation allowBlank="true" errorStyle="stop" operator="between" showDropDown="false" showErrorMessage="false" showInputMessage="false" sqref="A5:A404" type="list">
      <formula1>Products!$B$5:$B$154</formula1>
      <formula2>0</formula2>
    </dataValidation>
    <dataValidation allowBlank="true" errorStyle="stop" operator="between" showDropDown="false" showErrorMessage="false" showInputMessage="false" sqref="C5:C404" type="list">
      <formula1>Dimensions!$B$5:$B$104</formula1>
      <formula2>0</formula2>
    </dataValidation>
    <dataValidation allowBlank="true" errorStyle="stop" operator="between" showDropDown="false" showErrorMessage="false" showInputMessage="false" sqref="E5:E404" type="list">
      <formula1>Tables!$B$5:$B$304</formula1>
      <formula2>0</formula2>
    </dataValidation>
    <dataValidation allowBlank="true" errorStyle="stop" operator="between" showDropDown="false" showErrorMessage="false" showInputMessage="false" sqref="I5:I404" type="list">
      <formula1>"Proposed,Accepted,Corrected,Rejected"</formula1>
      <formula2>0</formula2>
    </dataValidation>
    <dataValidation allowBlank="true" errorStyle="stop" operator="between" showDropDown="false" showErrorMessage="false" showInputMessage="false" sqref="K5:K404" type="list">
      <formula1>"Found,Inferred,Proposed,Human"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482</v>
      </c>
    </row>
    <row r="4" customFormat="false" ht="33.75" hidden="false" customHeight="true" outlineLevel="0" collapsed="false">
      <c r="A4" s="17" t="s">
        <v>61</v>
      </c>
      <c r="B4" s="17" t="s">
        <v>65</v>
      </c>
      <c r="C4" s="17" t="s">
        <v>68</v>
      </c>
      <c r="D4" s="17" t="s">
        <v>71</v>
      </c>
      <c r="E4" s="17" t="s">
        <v>75</v>
      </c>
    </row>
    <row r="5" customFormat="false" ht="15" hidden="false" customHeight="false" outlineLevel="0" collapsed="false">
      <c r="A5" s="19"/>
      <c r="B5" s="20"/>
      <c r="C5" s="20"/>
      <c r="D5" s="21" t="str">
        <f aca="false">IF(A5="","",COUNTIF(Tables!$E:$E,A5))</f>
        <v/>
      </c>
      <c r="E5" s="20"/>
    </row>
    <row r="6" customFormat="false" ht="15" hidden="false" customHeight="false" outlineLevel="0" collapsed="false">
      <c r="A6" s="19"/>
      <c r="B6" s="20"/>
      <c r="C6" s="20"/>
      <c r="D6" s="21" t="str">
        <f aca="false">IF(A6="","",COUNTIF(Tables!$E:$E,A6))</f>
        <v/>
      </c>
      <c r="E6" s="20"/>
    </row>
    <row r="7" customFormat="false" ht="15" hidden="false" customHeight="false" outlineLevel="0" collapsed="false">
      <c r="A7" s="19"/>
      <c r="B7" s="20"/>
      <c r="C7" s="20"/>
      <c r="D7" s="21" t="str">
        <f aca="false">IF(A7="","",COUNTIF(Tables!$E:$E,A7))</f>
        <v/>
      </c>
      <c r="E7" s="20"/>
    </row>
    <row r="8" customFormat="false" ht="15" hidden="false" customHeight="false" outlineLevel="0" collapsed="false">
      <c r="A8" s="19"/>
      <c r="B8" s="20"/>
      <c r="C8" s="20"/>
      <c r="D8" s="21" t="str">
        <f aca="false">IF(A8="","",COUNTIF(Tables!$E:$E,A8))</f>
        <v/>
      </c>
      <c r="E8" s="20"/>
    </row>
    <row r="9" customFormat="false" ht="15" hidden="false" customHeight="false" outlineLevel="0" collapsed="false">
      <c r="A9" s="19"/>
      <c r="B9" s="20"/>
      <c r="C9" s="20"/>
      <c r="D9" s="21" t="str">
        <f aca="false">IF(A9="","",COUNTIF(Tables!$E:$E,A9))</f>
        <v/>
      </c>
      <c r="E9" s="20"/>
    </row>
    <row r="10" customFormat="false" ht="15" hidden="false" customHeight="false" outlineLevel="0" collapsed="false">
      <c r="A10" s="19"/>
      <c r="B10" s="20"/>
      <c r="C10" s="20"/>
      <c r="D10" s="21" t="str">
        <f aca="false">IF(A10="","",COUNTIF(Tables!$E:$E,A10))</f>
        <v/>
      </c>
      <c r="E10" s="20"/>
    </row>
    <row r="11" customFormat="false" ht="15" hidden="false" customHeight="false" outlineLevel="0" collapsed="false">
      <c r="A11" s="19"/>
      <c r="B11" s="20"/>
      <c r="C11" s="20"/>
      <c r="D11" s="21" t="str">
        <f aca="false">IF(A11="","",COUNTIF(Tables!$E:$E,A11))</f>
        <v/>
      </c>
      <c r="E11" s="20"/>
    </row>
    <row r="12" customFormat="false" ht="15" hidden="false" customHeight="false" outlineLevel="0" collapsed="false">
      <c r="A12" s="19"/>
      <c r="B12" s="20"/>
      <c r="C12" s="20"/>
      <c r="D12" s="21" t="str">
        <f aca="false">IF(A12="","",COUNTIF(Tables!$E:$E,A12))</f>
        <v/>
      </c>
      <c r="E12" s="20"/>
    </row>
    <row r="13" customFormat="false" ht="15" hidden="false" customHeight="false" outlineLevel="0" collapsed="false">
      <c r="A13" s="19"/>
      <c r="B13" s="20"/>
      <c r="C13" s="20"/>
      <c r="D13" s="21" t="str">
        <f aca="false">IF(A13="","",COUNTIF(Tables!$E:$E,A13))</f>
        <v/>
      </c>
      <c r="E13" s="20"/>
    </row>
    <row r="14" customFormat="false" ht="15" hidden="false" customHeight="false" outlineLevel="0" collapsed="false">
      <c r="A14" s="19"/>
      <c r="B14" s="20"/>
      <c r="C14" s="20"/>
      <c r="D14" s="21" t="str">
        <f aca="false">IF(A14="","",COUNTIF(Tables!$E:$E,A14))</f>
        <v/>
      </c>
      <c r="E14" s="20"/>
    </row>
    <row r="15" customFormat="false" ht="15" hidden="false" customHeight="false" outlineLevel="0" collapsed="false">
      <c r="A15" s="19"/>
      <c r="B15" s="20"/>
      <c r="C15" s="20"/>
      <c r="D15" s="21" t="str">
        <f aca="false">IF(A15="","",COUNTIF(Tables!$E:$E,A15))</f>
        <v/>
      </c>
      <c r="E15" s="20"/>
    </row>
    <row r="16" customFormat="false" ht="15" hidden="false" customHeight="false" outlineLevel="0" collapsed="false">
      <c r="A16" s="19"/>
      <c r="B16" s="20"/>
      <c r="C16" s="20"/>
      <c r="D16" s="21" t="str">
        <f aca="false">IF(A16="","",COUNTIF(Tables!$E:$E,A16))</f>
        <v/>
      </c>
      <c r="E16" s="20"/>
    </row>
    <row r="17" customFormat="false" ht="15" hidden="false" customHeight="false" outlineLevel="0" collapsed="false">
      <c r="A17" s="19"/>
      <c r="B17" s="20"/>
      <c r="C17" s="20"/>
      <c r="D17" s="21" t="str">
        <f aca="false">IF(A17="","",COUNTIF(Tables!$E:$E,A17))</f>
        <v/>
      </c>
      <c r="E17" s="20"/>
    </row>
    <row r="18" customFormat="false" ht="15" hidden="false" customHeight="false" outlineLevel="0" collapsed="false">
      <c r="A18" s="19"/>
      <c r="B18" s="20"/>
      <c r="C18" s="20"/>
      <c r="D18" s="21" t="str">
        <f aca="false">IF(A18="","",COUNTIF(Tables!$E:$E,A18))</f>
        <v/>
      </c>
      <c r="E18" s="20"/>
    </row>
    <row r="19" customFormat="false" ht="15" hidden="false" customHeight="false" outlineLevel="0" collapsed="false">
      <c r="A19" s="19"/>
      <c r="B19" s="20"/>
      <c r="C19" s="20"/>
      <c r="D19" s="21" t="str">
        <f aca="false">IF(A19="","",COUNTIF(Tables!$E:$E,A19))</f>
        <v/>
      </c>
      <c r="E19" s="20"/>
    </row>
    <row r="20" customFormat="false" ht="15" hidden="false" customHeight="false" outlineLevel="0" collapsed="false">
      <c r="A20" s="19"/>
      <c r="B20" s="20"/>
      <c r="C20" s="20"/>
      <c r="D20" s="21" t="str">
        <f aca="false">IF(A20="","",COUNTIF(Tables!$E:$E,A20))</f>
        <v/>
      </c>
      <c r="E20" s="20"/>
    </row>
    <row r="21" customFormat="false" ht="15" hidden="false" customHeight="false" outlineLevel="0" collapsed="false">
      <c r="A21" s="19"/>
      <c r="B21" s="20"/>
      <c r="C21" s="20"/>
      <c r="D21" s="21" t="str">
        <f aca="false">IF(A21="","",COUNTIF(Tables!$E:$E,A21))</f>
        <v/>
      </c>
      <c r="E21" s="20"/>
    </row>
    <row r="22" customFormat="false" ht="15" hidden="false" customHeight="false" outlineLevel="0" collapsed="false">
      <c r="A22" s="19"/>
      <c r="B22" s="20"/>
      <c r="C22" s="20"/>
      <c r="D22" s="21" t="str">
        <f aca="false">IF(A22="","",COUNTIF(Tables!$E:$E,A22))</f>
        <v/>
      </c>
      <c r="E22" s="20"/>
    </row>
    <row r="23" customFormat="false" ht="15" hidden="false" customHeight="false" outlineLevel="0" collapsed="false">
      <c r="A23" s="19"/>
      <c r="B23" s="20"/>
      <c r="C23" s="20"/>
      <c r="D23" s="21" t="str">
        <f aca="false">IF(A23="","",COUNTIF(Tables!$E:$E,A23))</f>
        <v/>
      </c>
      <c r="E23" s="20"/>
    </row>
    <row r="24" customFormat="false" ht="15" hidden="false" customHeight="false" outlineLevel="0" collapsed="false">
      <c r="A24" s="19"/>
      <c r="B24" s="20"/>
      <c r="C24" s="20"/>
      <c r="D24" s="21" t="str">
        <f aca="false">IF(A24="","",COUNTIF(Tables!$E:$E,A24))</f>
        <v/>
      </c>
      <c r="E24" s="20"/>
    </row>
    <row r="25" customFormat="false" ht="15" hidden="false" customHeight="false" outlineLevel="0" collapsed="false">
      <c r="A25" s="19"/>
      <c r="B25" s="20"/>
      <c r="C25" s="20"/>
      <c r="D25" s="21" t="str">
        <f aca="false">IF(A25="","",COUNTIF(Tables!$E:$E,A25))</f>
        <v/>
      </c>
      <c r="E25" s="20"/>
    </row>
    <row r="26" customFormat="false" ht="15" hidden="false" customHeight="false" outlineLevel="0" collapsed="false">
      <c r="A26" s="19"/>
      <c r="B26" s="20"/>
      <c r="C26" s="20"/>
      <c r="D26" s="21" t="str">
        <f aca="false">IF(A26="","",COUNTIF(Tables!$E:$E,A26))</f>
        <v/>
      </c>
      <c r="E26" s="20"/>
    </row>
    <row r="27" customFormat="false" ht="15" hidden="false" customHeight="false" outlineLevel="0" collapsed="false">
      <c r="A27" s="19"/>
      <c r="B27" s="20"/>
      <c r="C27" s="20"/>
      <c r="D27" s="21" t="str">
        <f aca="false">IF(A27="","",COUNTIF(Tables!$E:$E,A27))</f>
        <v/>
      </c>
      <c r="E27" s="20"/>
    </row>
    <row r="28" customFormat="false" ht="15" hidden="false" customHeight="false" outlineLevel="0" collapsed="false">
      <c r="A28" s="19"/>
      <c r="B28" s="20"/>
      <c r="C28" s="20"/>
      <c r="D28" s="21" t="str">
        <f aca="false">IF(A28="","",COUNTIF(Tables!$E:$E,A28))</f>
        <v/>
      </c>
      <c r="E28" s="20"/>
    </row>
    <row r="29" customFormat="false" ht="15" hidden="false" customHeight="false" outlineLevel="0" collapsed="false">
      <c r="A29" s="19"/>
      <c r="B29" s="20"/>
      <c r="C29" s="20"/>
      <c r="D29" s="21" t="str">
        <f aca="false">IF(A29="","",COUNTIF(Tables!$E:$E,A29))</f>
        <v/>
      </c>
      <c r="E29" s="20"/>
    </row>
    <row r="30" customFormat="false" ht="15" hidden="false" customHeight="false" outlineLevel="0" collapsed="false">
      <c r="A30" s="19"/>
      <c r="B30" s="20"/>
      <c r="C30" s="20"/>
      <c r="D30" s="21" t="str">
        <f aca="false">IF(A30="","",COUNTIF(Tables!$E:$E,A30))</f>
        <v/>
      </c>
      <c r="E30" s="20"/>
    </row>
    <row r="31" customFormat="false" ht="15" hidden="false" customHeight="false" outlineLevel="0" collapsed="false">
      <c r="A31" s="19"/>
      <c r="B31" s="20"/>
      <c r="C31" s="20"/>
      <c r="D31" s="21" t="str">
        <f aca="false">IF(A31="","",COUNTIF(Tables!$E:$E,A31))</f>
        <v/>
      </c>
      <c r="E31" s="20"/>
    </row>
    <row r="32" customFormat="false" ht="15" hidden="false" customHeight="false" outlineLevel="0" collapsed="false">
      <c r="A32" s="19"/>
      <c r="B32" s="20"/>
      <c r="C32" s="20"/>
      <c r="D32" s="21" t="str">
        <f aca="false">IF(A32="","",COUNTIF(Tables!$E:$E,A32))</f>
        <v/>
      </c>
      <c r="E32" s="20"/>
    </row>
    <row r="33" customFormat="false" ht="15" hidden="false" customHeight="false" outlineLevel="0" collapsed="false">
      <c r="A33" s="19"/>
      <c r="B33" s="20"/>
      <c r="C33" s="20"/>
      <c r="D33" s="21" t="str">
        <f aca="false">IF(A33="","",COUNTIF(Tables!$E:$E,A33))</f>
        <v/>
      </c>
      <c r="E33" s="20"/>
    </row>
    <row r="34" customFormat="false" ht="15" hidden="false" customHeight="false" outlineLevel="0" collapsed="false">
      <c r="A34" s="19"/>
      <c r="B34" s="20"/>
      <c r="C34" s="20"/>
      <c r="D34" s="21" t="str">
        <f aca="false">IF(A34="","",COUNTIF(Tables!$E:$E,A34))</f>
        <v/>
      </c>
      <c r="E34" s="20"/>
    </row>
    <row r="35" customFormat="false" ht="15" hidden="false" customHeight="false" outlineLevel="0" collapsed="false">
      <c r="A35" s="19"/>
      <c r="B35" s="20"/>
      <c r="C35" s="20"/>
      <c r="D35" s="21" t="str">
        <f aca="false">IF(A35="","",COUNTIF(Tables!$E:$E,A35))</f>
        <v/>
      </c>
      <c r="E35" s="20"/>
    </row>
    <row r="36" customFormat="false" ht="15" hidden="false" customHeight="false" outlineLevel="0" collapsed="false">
      <c r="A36" s="19"/>
      <c r="B36" s="20"/>
      <c r="C36" s="20"/>
      <c r="D36" s="21" t="str">
        <f aca="false">IF(A36="","",COUNTIF(Tables!$E:$E,A36))</f>
        <v/>
      </c>
      <c r="E36" s="20"/>
    </row>
    <row r="37" customFormat="false" ht="15" hidden="false" customHeight="false" outlineLevel="0" collapsed="false">
      <c r="A37" s="19"/>
      <c r="B37" s="20"/>
      <c r="C37" s="20"/>
      <c r="D37" s="21" t="str">
        <f aca="false">IF(A37="","",COUNTIF(Tables!$E:$E,A37))</f>
        <v/>
      </c>
      <c r="E37" s="20"/>
    </row>
    <row r="38" customFormat="false" ht="15" hidden="false" customHeight="false" outlineLevel="0" collapsed="false">
      <c r="A38" s="19"/>
      <c r="B38" s="20"/>
      <c r="C38" s="20"/>
      <c r="D38" s="21" t="str">
        <f aca="false">IF(A38="","",COUNTIF(Tables!$E:$E,A38))</f>
        <v/>
      </c>
      <c r="E38" s="20"/>
    </row>
    <row r="39" customFormat="false" ht="15" hidden="false" customHeight="false" outlineLevel="0" collapsed="false">
      <c r="A39" s="19"/>
      <c r="B39" s="20"/>
      <c r="C39" s="20"/>
      <c r="D39" s="21" t="str">
        <f aca="false">IF(A39="","",COUNTIF(Tables!$E:$E,A39))</f>
        <v/>
      </c>
      <c r="E39" s="20"/>
    </row>
    <row r="40" customFormat="false" ht="15" hidden="false" customHeight="false" outlineLevel="0" collapsed="false">
      <c r="A40" s="19"/>
      <c r="B40" s="20"/>
      <c r="C40" s="20"/>
      <c r="D40" s="21" t="str">
        <f aca="false">IF(A40="","",COUNTIF(Tables!$E:$E,A40))</f>
        <v/>
      </c>
      <c r="E40" s="20"/>
    </row>
    <row r="41" customFormat="false" ht="15" hidden="false" customHeight="false" outlineLevel="0" collapsed="false">
      <c r="A41" s="19"/>
      <c r="B41" s="20"/>
      <c r="C41" s="20"/>
      <c r="D41" s="21" t="str">
        <f aca="false">IF(A41="","",COUNTIF(Tables!$E:$E,A41))</f>
        <v/>
      </c>
      <c r="E41" s="20"/>
    </row>
    <row r="42" customFormat="false" ht="15" hidden="false" customHeight="false" outlineLevel="0" collapsed="false">
      <c r="A42" s="19"/>
      <c r="B42" s="20"/>
      <c r="C42" s="20"/>
      <c r="D42" s="21" t="str">
        <f aca="false">IF(A42="","",COUNTIF(Tables!$E:$E,A42))</f>
        <v/>
      </c>
      <c r="E42" s="20"/>
    </row>
    <row r="43" customFormat="false" ht="15" hidden="false" customHeight="false" outlineLevel="0" collapsed="false">
      <c r="A43" s="19"/>
      <c r="B43" s="20"/>
      <c r="C43" s="20"/>
      <c r="D43" s="21" t="str">
        <f aca="false">IF(A43="","",COUNTIF(Tables!$E:$E,A43))</f>
        <v/>
      </c>
      <c r="E43" s="20"/>
    </row>
    <row r="44" customFormat="false" ht="15" hidden="false" customHeight="false" outlineLevel="0" collapsed="false">
      <c r="A44" s="19"/>
      <c r="B44" s="20"/>
      <c r="C44" s="20"/>
      <c r="D44" s="21" t="str">
        <f aca="false">IF(A44="","",COUNTIF(Tables!$E:$E,A44))</f>
        <v/>
      </c>
      <c r="E44" s="20"/>
    </row>
  </sheetData>
  <autoFilter ref="A4:E4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44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483</v>
      </c>
    </row>
    <row r="4" customFormat="false" ht="33.75" hidden="false" customHeight="true" outlineLevel="0" collapsed="false">
      <c r="A4" s="17" t="s">
        <v>78</v>
      </c>
      <c r="B4" s="17" t="s">
        <v>81</v>
      </c>
      <c r="C4" s="17" t="s">
        <v>84</v>
      </c>
      <c r="D4" s="17" t="s">
        <v>87</v>
      </c>
      <c r="E4" s="17" t="s">
        <v>90</v>
      </c>
    </row>
    <row r="5" customFormat="false" ht="15" hidden="false" customHeight="false" outlineLevel="0" collapsed="false">
      <c r="A5" s="19" t="s">
        <v>484</v>
      </c>
      <c r="B5" s="20" t="s">
        <v>485</v>
      </c>
      <c r="C5" s="20" t="s">
        <v>486</v>
      </c>
      <c r="D5" s="20" t="s">
        <v>487</v>
      </c>
      <c r="E5" s="21" t="n">
        <f aca="false">IF(A5="","",COUNTIF(Metrics!$B:$B,A5))</f>
        <v>0</v>
      </c>
    </row>
    <row r="6" customFormat="false" ht="15" hidden="false" customHeight="false" outlineLevel="0" collapsed="false">
      <c r="A6" s="19" t="s">
        <v>488</v>
      </c>
      <c r="B6" s="20" t="s">
        <v>489</v>
      </c>
      <c r="C6" s="20" t="s">
        <v>490</v>
      </c>
      <c r="D6" s="20" t="s">
        <v>491</v>
      </c>
      <c r="E6" s="21" t="n">
        <f aca="false">IF(A6="","",COUNTIF(Metrics!$B:$B,A6))</f>
        <v>0</v>
      </c>
    </row>
    <row r="7" customFormat="false" ht="15" hidden="false" customHeight="false" outlineLevel="0" collapsed="false">
      <c r="A7" s="19" t="s">
        <v>492</v>
      </c>
      <c r="B7" s="20" t="s">
        <v>493</v>
      </c>
      <c r="C7" s="20" t="s">
        <v>494</v>
      </c>
      <c r="D7" s="20" t="s">
        <v>495</v>
      </c>
      <c r="E7" s="21" t="n">
        <f aca="false">IF(A7="","",COUNTIF(Metrics!$B:$B,A7))</f>
        <v>0</v>
      </c>
    </row>
    <row r="8" customFormat="false" ht="15" hidden="false" customHeight="false" outlineLevel="0" collapsed="false">
      <c r="A8" s="19" t="s">
        <v>496</v>
      </c>
      <c r="B8" s="20" t="s">
        <v>497</v>
      </c>
      <c r="C8" s="20" t="s">
        <v>498</v>
      </c>
      <c r="D8" s="20" t="s">
        <v>499</v>
      </c>
      <c r="E8" s="21" t="n">
        <f aca="false">IF(A8="","",COUNTIF(Metrics!$B:$B,A8))</f>
        <v>0</v>
      </c>
    </row>
    <row r="9" customFormat="false" ht="15" hidden="false" customHeight="false" outlineLevel="0" collapsed="false">
      <c r="A9" s="19" t="s">
        <v>500</v>
      </c>
      <c r="B9" s="20" t="s">
        <v>501</v>
      </c>
      <c r="C9" s="20" t="s">
        <v>502</v>
      </c>
      <c r="D9" s="20" t="s">
        <v>503</v>
      </c>
      <c r="E9" s="21" t="n">
        <f aca="false">IF(A9="","",COUNTIF(Metrics!$B:$B,A9))</f>
        <v>0</v>
      </c>
    </row>
    <row r="10" customFormat="false" ht="15" hidden="false" customHeight="false" outlineLevel="0" collapsed="false">
      <c r="A10" s="19" t="s">
        <v>504</v>
      </c>
      <c r="B10" s="20" t="s">
        <v>505</v>
      </c>
      <c r="C10" s="20" t="s">
        <v>506</v>
      </c>
      <c r="D10" s="20" t="s">
        <v>507</v>
      </c>
      <c r="E10" s="21" t="n">
        <f aca="false">IF(A10="","",COUNTIF(Metrics!$B:$B,A10))</f>
        <v>0</v>
      </c>
    </row>
    <row r="11" customFormat="false" ht="15" hidden="false" customHeight="false" outlineLevel="0" collapsed="false">
      <c r="A11" s="19" t="s">
        <v>508</v>
      </c>
      <c r="B11" s="20" t="s">
        <v>509</v>
      </c>
      <c r="C11" s="20" t="s">
        <v>510</v>
      </c>
      <c r="D11" s="20" t="s">
        <v>511</v>
      </c>
      <c r="E11" s="21" t="n">
        <f aca="false">IF(A11="","",COUNTIF(Metrics!$B:$B,A11))</f>
        <v>0</v>
      </c>
    </row>
    <row r="12" customFormat="false" ht="15" hidden="false" customHeight="false" outlineLevel="0" collapsed="false">
      <c r="A12" s="19" t="s">
        <v>512</v>
      </c>
      <c r="B12" s="20" t="s">
        <v>513</v>
      </c>
      <c r="C12" s="20" t="s">
        <v>514</v>
      </c>
      <c r="D12" s="20" t="s">
        <v>515</v>
      </c>
      <c r="E12" s="21" t="n">
        <f aca="false">IF(A12="","",COUNTIF(Metrics!$B:$B,A12))</f>
        <v>0</v>
      </c>
    </row>
    <row r="13" customFormat="false" ht="15" hidden="false" customHeight="false" outlineLevel="0" collapsed="false">
      <c r="A13" s="19" t="s">
        <v>516</v>
      </c>
      <c r="B13" s="20" t="s">
        <v>517</v>
      </c>
      <c r="C13" s="20" t="s">
        <v>518</v>
      </c>
      <c r="D13" s="20" t="s">
        <v>519</v>
      </c>
      <c r="E13" s="21" t="n">
        <f aca="false">IF(A13="","",COUNTIF(Metrics!$B:$B,A13))</f>
        <v>0</v>
      </c>
    </row>
    <row r="14" customFormat="false" ht="15" hidden="false" customHeight="false" outlineLevel="0" collapsed="false">
      <c r="A14" s="19" t="s">
        <v>520</v>
      </c>
      <c r="B14" s="20" t="s">
        <v>521</v>
      </c>
      <c r="C14" s="20" t="s">
        <v>522</v>
      </c>
      <c r="D14" s="20" t="s">
        <v>523</v>
      </c>
      <c r="E14" s="21" t="n">
        <f aca="false">IF(A14="","",COUNTIF(Metrics!$B:$B,A14))</f>
        <v>0</v>
      </c>
    </row>
    <row r="15" customFormat="false" ht="15" hidden="false" customHeight="false" outlineLevel="0" collapsed="false">
      <c r="A15" s="19" t="s">
        <v>524</v>
      </c>
      <c r="B15" s="20" t="s">
        <v>525</v>
      </c>
      <c r="C15" s="20" t="s">
        <v>526</v>
      </c>
      <c r="D15" s="20" t="s">
        <v>527</v>
      </c>
      <c r="E15" s="21" t="n">
        <f aca="false">IF(A15="","",COUNTIF(Metrics!$B:$B,A15))</f>
        <v>0</v>
      </c>
    </row>
    <row r="16" customFormat="false" ht="23.85" hidden="false" customHeight="false" outlineLevel="0" collapsed="false">
      <c r="A16" s="19" t="s">
        <v>80</v>
      </c>
      <c r="B16" s="20" t="s">
        <v>83</v>
      </c>
      <c r="C16" s="20" t="s">
        <v>528</v>
      </c>
      <c r="D16" s="20" t="s">
        <v>529</v>
      </c>
      <c r="E16" s="21" t="n">
        <f aca="false">IF(A16="","",COUNTIF(Metrics!$B:$B,A16))</f>
        <v>0</v>
      </c>
    </row>
    <row r="17" customFormat="false" ht="15" hidden="false" customHeight="false" outlineLevel="0" collapsed="false">
      <c r="A17" s="19" t="s">
        <v>530</v>
      </c>
      <c r="B17" s="20" t="s">
        <v>531</v>
      </c>
      <c r="C17" s="20" t="s">
        <v>532</v>
      </c>
      <c r="D17" s="20" t="s">
        <v>533</v>
      </c>
      <c r="E17" s="21" t="n">
        <f aca="false">IF(A17="","",COUNTIF(Metrics!$B:$B,A17))</f>
        <v>0</v>
      </c>
    </row>
    <row r="18" customFormat="false" ht="15" hidden="false" customHeight="false" outlineLevel="0" collapsed="false">
      <c r="A18" s="19" t="s">
        <v>534</v>
      </c>
      <c r="B18" s="20" t="s">
        <v>535</v>
      </c>
      <c r="C18" s="20" t="s">
        <v>536</v>
      </c>
      <c r="D18" s="20" t="s">
        <v>537</v>
      </c>
      <c r="E18" s="21" t="n">
        <f aca="false">IF(A18="","",COUNTIF(Metrics!$B:$B,A18))</f>
        <v>0</v>
      </c>
    </row>
    <row r="19" customFormat="false" ht="15" hidden="false" customHeight="false" outlineLevel="0" collapsed="false">
      <c r="A19" s="19" t="s">
        <v>538</v>
      </c>
      <c r="B19" s="20" t="s">
        <v>539</v>
      </c>
      <c r="C19" s="20" t="s">
        <v>540</v>
      </c>
      <c r="D19" s="20" t="s">
        <v>541</v>
      </c>
      <c r="E19" s="21" t="n">
        <f aca="false">IF(A19="","",COUNTIF(Metrics!$B:$B,A19))</f>
        <v>0</v>
      </c>
    </row>
    <row r="20" customFormat="false" ht="15" hidden="false" customHeight="false" outlineLevel="0" collapsed="false">
      <c r="A20" s="19" t="s">
        <v>542</v>
      </c>
      <c r="B20" s="20" t="s">
        <v>543</v>
      </c>
      <c r="C20" s="20" t="s">
        <v>544</v>
      </c>
      <c r="D20" s="20" t="s">
        <v>545</v>
      </c>
      <c r="E20" s="21" t="n">
        <f aca="false">IF(A20="","",COUNTIF(Metrics!$B:$B,A20))</f>
        <v>0</v>
      </c>
    </row>
    <row r="21" customFormat="false" ht="15" hidden="false" customHeight="false" outlineLevel="0" collapsed="false">
      <c r="A21" s="19" t="s">
        <v>546</v>
      </c>
      <c r="B21" s="20" t="s">
        <v>547</v>
      </c>
      <c r="C21" s="20" t="s">
        <v>548</v>
      </c>
      <c r="D21" s="20" t="s">
        <v>549</v>
      </c>
      <c r="E21" s="21" t="n">
        <f aca="false">IF(A21="","",COUNTIF(Metrics!$B:$B,A21))</f>
        <v>0</v>
      </c>
    </row>
    <row r="22" customFormat="false" ht="15" hidden="false" customHeight="false" outlineLevel="0" collapsed="false">
      <c r="A22" s="19" t="s">
        <v>550</v>
      </c>
      <c r="B22" s="20" t="s">
        <v>551</v>
      </c>
      <c r="C22" s="20" t="s">
        <v>552</v>
      </c>
      <c r="D22" s="20" t="s">
        <v>553</v>
      </c>
      <c r="E22" s="21" t="n">
        <f aca="false">IF(A22="","",COUNTIF(Metrics!$B:$B,A22))</f>
        <v>0</v>
      </c>
    </row>
    <row r="23" customFormat="false" ht="15" hidden="false" customHeight="false" outlineLevel="0" collapsed="false">
      <c r="A23" s="19" t="s">
        <v>554</v>
      </c>
      <c r="B23" s="20" t="s">
        <v>555</v>
      </c>
      <c r="C23" s="20" t="s">
        <v>556</v>
      </c>
      <c r="D23" s="20" t="s">
        <v>557</v>
      </c>
      <c r="E23" s="21" t="n">
        <f aca="false">IF(A23="","",COUNTIF(Metrics!$B:$B,A23))</f>
        <v>0</v>
      </c>
    </row>
    <row r="24" customFormat="false" ht="15" hidden="false" customHeight="false" outlineLevel="0" collapsed="false">
      <c r="A24" s="19" t="s">
        <v>558</v>
      </c>
      <c r="B24" s="20" t="s">
        <v>559</v>
      </c>
      <c r="C24" s="20" t="s">
        <v>560</v>
      </c>
      <c r="D24" s="20" t="s">
        <v>561</v>
      </c>
      <c r="E24" s="21" t="n">
        <f aca="false">IF(A24="","",COUNTIF(Metrics!$B:$B,A24))</f>
        <v>0</v>
      </c>
    </row>
    <row r="25" customFormat="false" ht="15" hidden="false" customHeight="false" outlineLevel="0" collapsed="false">
      <c r="A25" s="19"/>
      <c r="B25" s="20"/>
      <c r="C25" s="20"/>
      <c r="D25" s="20"/>
      <c r="E25" s="21" t="str">
        <f aca="false">IF(A25="","",COUNTIF(Metrics!$B:$B,A25))</f>
        <v/>
      </c>
    </row>
    <row r="26" customFormat="false" ht="15" hidden="false" customHeight="false" outlineLevel="0" collapsed="false">
      <c r="A26" s="19"/>
      <c r="B26" s="20"/>
      <c r="C26" s="20"/>
      <c r="D26" s="20"/>
      <c r="E26" s="21" t="str">
        <f aca="false">IF(A26="","",COUNTIF(Metrics!$B:$B,A26))</f>
        <v/>
      </c>
    </row>
    <row r="27" customFormat="false" ht="15" hidden="false" customHeight="false" outlineLevel="0" collapsed="false">
      <c r="A27" s="19"/>
      <c r="B27" s="20"/>
      <c r="C27" s="20"/>
      <c r="D27" s="20"/>
      <c r="E27" s="21" t="str">
        <f aca="false">IF(A27="","",COUNTIF(Metrics!$B:$B,A27))</f>
        <v/>
      </c>
    </row>
    <row r="28" customFormat="false" ht="15" hidden="false" customHeight="false" outlineLevel="0" collapsed="false">
      <c r="A28" s="19"/>
      <c r="B28" s="20"/>
      <c r="C28" s="20"/>
      <c r="D28" s="20"/>
      <c r="E28" s="21" t="str">
        <f aca="false">IF(A28="","",COUNTIF(Metrics!$B:$B,A28))</f>
        <v/>
      </c>
    </row>
    <row r="29" customFormat="false" ht="15" hidden="false" customHeight="false" outlineLevel="0" collapsed="false">
      <c r="A29" s="19"/>
      <c r="B29" s="20"/>
      <c r="C29" s="20"/>
      <c r="D29" s="20"/>
      <c r="E29" s="21" t="str">
        <f aca="false">IF(A29="","",COUNTIF(Metrics!$B:$B,A29))</f>
        <v/>
      </c>
    </row>
    <row r="30" customFormat="false" ht="15" hidden="false" customHeight="false" outlineLevel="0" collapsed="false">
      <c r="A30" s="19"/>
      <c r="B30" s="20"/>
      <c r="C30" s="20"/>
      <c r="D30" s="20"/>
      <c r="E30" s="21" t="str">
        <f aca="false">IF(A30="","",COUNTIF(Metrics!$B:$B,A30))</f>
        <v/>
      </c>
    </row>
    <row r="31" customFormat="false" ht="15" hidden="false" customHeight="false" outlineLevel="0" collapsed="false">
      <c r="A31" s="19"/>
      <c r="B31" s="20"/>
      <c r="C31" s="20"/>
      <c r="D31" s="20"/>
      <c r="E31" s="21" t="str">
        <f aca="false">IF(A31="","",COUNTIF(Metrics!$B:$B,A31))</f>
        <v/>
      </c>
    </row>
    <row r="32" customFormat="false" ht="15" hidden="false" customHeight="false" outlineLevel="0" collapsed="false">
      <c r="A32" s="19"/>
      <c r="B32" s="20"/>
      <c r="C32" s="20"/>
      <c r="D32" s="20"/>
      <c r="E32" s="21" t="str">
        <f aca="false">IF(A32="","",COUNTIF(Metrics!$B:$B,A32))</f>
        <v/>
      </c>
    </row>
    <row r="33" customFormat="false" ht="15" hidden="false" customHeight="false" outlineLevel="0" collapsed="false">
      <c r="A33" s="19"/>
      <c r="B33" s="20"/>
      <c r="C33" s="20"/>
      <c r="D33" s="20"/>
      <c r="E33" s="21" t="str">
        <f aca="false">IF(A33="","",COUNTIF(Metrics!$B:$B,A33))</f>
        <v/>
      </c>
    </row>
    <row r="34" customFormat="false" ht="15" hidden="false" customHeight="false" outlineLevel="0" collapsed="false">
      <c r="A34" s="19"/>
      <c r="B34" s="20"/>
      <c r="C34" s="20"/>
      <c r="D34" s="20"/>
      <c r="E34" s="21" t="str">
        <f aca="false">IF(A34="","",COUNTIF(Metrics!$B:$B,A34))</f>
        <v/>
      </c>
    </row>
    <row r="35" customFormat="false" ht="15" hidden="false" customHeight="false" outlineLevel="0" collapsed="false">
      <c r="A35" s="19"/>
      <c r="B35" s="20"/>
      <c r="C35" s="20"/>
      <c r="D35" s="20"/>
      <c r="E35" s="21" t="str">
        <f aca="false">IF(A35="","",COUNTIF(Metrics!$B:$B,A35))</f>
        <v/>
      </c>
    </row>
    <row r="36" customFormat="false" ht="15" hidden="false" customHeight="false" outlineLevel="0" collapsed="false">
      <c r="A36" s="19"/>
      <c r="B36" s="20"/>
      <c r="C36" s="20"/>
      <c r="D36" s="20"/>
      <c r="E36" s="21" t="str">
        <f aca="false">IF(A36="","",COUNTIF(Metrics!$B:$B,A36))</f>
        <v/>
      </c>
    </row>
    <row r="37" customFormat="false" ht="15" hidden="false" customHeight="false" outlineLevel="0" collapsed="false">
      <c r="A37" s="19"/>
      <c r="B37" s="20"/>
      <c r="C37" s="20"/>
      <c r="D37" s="20"/>
      <c r="E37" s="21" t="str">
        <f aca="false">IF(A37="","",COUNTIF(Metrics!$B:$B,A37))</f>
        <v/>
      </c>
    </row>
    <row r="38" customFormat="false" ht="15" hidden="false" customHeight="false" outlineLevel="0" collapsed="false">
      <c r="A38" s="19"/>
      <c r="B38" s="20"/>
      <c r="C38" s="20"/>
      <c r="D38" s="20"/>
      <c r="E38" s="21" t="str">
        <f aca="false">IF(A38="","",COUNTIF(Metrics!$B:$B,A38))</f>
        <v/>
      </c>
    </row>
    <row r="39" customFormat="false" ht="15" hidden="false" customHeight="false" outlineLevel="0" collapsed="false">
      <c r="A39" s="19"/>
      <c r="B39" s="20"/>
      <c r="C39" s="20"/>
      <c r="D39" s="20"/>
      <c r="E39" s="21" t="str">
        <f aca="false">IF(A39="","",COUNTIF(Metrics!$B:$B,A39))</f>
        <v/>
      </c>
    </row>
    <row r="40" customFormat="false" ht="15" hidden="false" customHeight="false" outlineLevel="0" collapsed="false">
      <c r="A40" s="19"/>
      <c r="B40" s="20"/>
      <c r="C40" s="20"/>
      <c r="D40" s="20"/>
      <c r="E40" s="21" t="str">
        <f aca="false">IF(A40="","",COUNTIF(Metrics!$B:$B,A40))</f>
        <v/>
      </c>
    </row>
    <row r="41" customFormat="false" ht="15" hidden="false" customHeight="false" outlineLevel="0" collapsed="false">
      <c r="A41" s="19"/>
      <c r="B41" s="20"/>
      <c r="C41" s="20"/>
      <c r="D41" s="20"/>
      <c r="E41" s="21" t="str">
        <f aca="false">IF(A41="","",COUNTIF(Metrics!$B:$B,A41))</f>
        <v/>
      </c>
    </row>
    <row r="42" customFormat="false" ht="15" hidden="false" customHeight="false" outlineLevel="0" collapsed="false">
      <c r="A42" s="19"/>
      <c r="B42" s="20"/>
      <c r="C42" s="20"/>
      <c r="D42" s="20"/>
      <c r="E42" s="21" t="str">
        <f aca="false">IF(A42="","",COUNTIF(Metrics!$B:$B,A42))</f>
        <v/>
      </c>
    </row>
    <row r="43" customFormat="false" ht="15" hidden="false" customHeight="false" outlineLevel="0" collapsed="false">
      <c r="A43" s="19"/>
      <c r="B43" s="20"/>
      <c r="C43" s="20"/>
      <c r="D43" s="20"/>
      <c r="E43" s="21" t="str">
        <f aca="false">IF(A43="","",COUNTIF(Metrics!$B:$B,A43))</f>
        <v/>
      </c>
    </row>
    <row r="44" customFormat="false" ht="15" hidden="false" customHeight="false" outlineLevel="0" collapsed="false">
      <c r="A44" s="19"/>
      <c r="B44" s="20"/>
      <c r="C44" s="20"/>
      <c r="D44" s="20"/>
      <c r="E44" s="21" t="str">
        <f aca="false">IF(A44="","",COUNTIF(Metrics!$B:$B,A44))</f>
        <v/>
      </c>
    </row>
  </sheetData>
  <autoFilter ref="A4:E4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8" min="8" style="0" width="44"/>
    <col collapsed="false" customWidth="true" hidden="false" outlineLevel="0" max="9" min="9" style="0" width="30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3" min="12" style="0" width="16"/>
    <col collapsed="false" customWidth="true" hidden="false" outlineLevel="0" max="14" min="14" style="0" width="10"/>
    <col collapsed="false" customWidth="true" hidden="false" outlineLevel="0" max="15" min="15" style="0" width="30"/>
    <col collapsed="false" customWidth="true" hidden="false" outlineLevel="0" max="16" min="16" style="0" width="11"/>
    <col collapsed="false" customWidth="true" hidden="false" outlineLevel="0" max="17" min="17" style="0" width="26"/>
    <col collapsed="false" customWidth="true" hidden="false" outlineLevel="0" max="18" min="18" style="0" width="11"/>
  </cols>
  <sheetData>
    <row r="1" customFormat="false" ht="17.35" hidden="false" customHeight="false" outlineLevel="0" collapsed="false">
      <c r="A1" s="1" t="s">
        <v>386</v>
      </c>
    </row>
    <row r="2" customFormat="false" ht="15" hidden="false" customHeight="false" outlineLevel="0" collapsed="false">
      <c r="A2" s="2" t="s">
        <v>562</v>
      </c>
    </row>
    <row r="4" customFormat="false" ht="33.75" hidden="false" customHeight="true" outlineLevel="0" collapsed="false">
      <c r="A4" s="16" t="s">
        <v>387</v>
      </c>
      <c r="B4" s="17" t="s">
        <v>389</v>
      </c>
      <c r="C4" s="17" t="s">
        <v>168</v>
      </c>
      <c r="D4" s="16" t="s">
        <v>455</v>
      </c>
      <c r="E4" s="17" t="s">
        <v>393</v>
      </c>
      <c r="F4" s="17" t="s">
        <v>396</v>
      </c>
      <c r="G4" s="17" t="s">
        <v>399</v>
      </c>
      <c r="H4" s="17" t="s">
        <v>402</v>
      </c>
      <c r="I4" s="17" t="s">
        <v>404</v>
      </c>
      <c r="J4" s="16" t="s">
        <v>563</v>
      </c>
      <c r="K4" s="17" t="s">
        <v>407</v>
      </c>
      <c r="L4" s="17" t="s">
        <v>408</v>
      </c>
      <c r="M4" s="17" t="s">
        <v>410</v>
      </c>
      <c r="N4" s="17" t="s">
        <v>412</v>
      </c>
      <c r="O4" s="17" t="s">
        <v>75</v>
      </c>
      <c r="P4" s="17" t="s">
        <v>153</v>
      </c>
      <c r="Q4" s="17" t="s">
        <v>156</v>
      </c>
      <c r="R4" s="17" t="s">
        <v>159</v>
      </c>
    </row>
    <row r="5" customFormat="false" ht="15" hidden="false" customHeight="false" outlineLevel="0" collapsed="false">
      <c r="A5" s="18"/>
      <c r="B5" s="20"/>
      <c r="C5" s="20"/>
      <c r="D5" s="18" t="str">
        <f aca="false">IF(C5="","",IFERROR(INDEX(Products!$A:$A,MATCH(C5,Products!$B:$B,0)),"Not found"))</f>
        <v/>
      </c>
      <c r="E5" s="20"/>
      <c r="F5" s="20"/>
      <c r="G5" s="20"/>
      <c r="H5" s="20"/>
      <c r="I5" s="20"/>
      <c r="J5" s="18"/>
      <c r="K5" s="20"/>
      <c r="L5" s="20"/>
      <c r="M5" s="20"/>
      <c r="N5" s="20"/>
      <c r="O5" s="20"/>
      <c r="P5" s="20"/>
      <c r="Q5" s="20"/>
      <c r="R5" s="20"/>
    </row>
    <row r="6" customFormat="false" ht="15" hidden="false" customHeight="false" outlineLevel="0" collapsed="false">
      <c r="A6" s="18"/>
      <c r="B6" s="20"/>
      <c r="C6" s="20"/>
      <c r="D6" s="18" t="str">
        <f aca="false">IF(C6="","",IFERROR(INDEX(Products!$A:$A,MATCH(C6,Products!$B:$B,0)),"Not found"))</f>
        <v/>
      </c>
      <c r="E6" s="20"/>
      <c r="F6" s="20"/>
      <c r="G6" s="20"/>
      <c r="H6" s="20"/>
      <c r="I6" s="20"/>
      <c r="J6" s="18"/>
      <c r="K6" s="20"/>
      <c r="L6" s="20"/>
      <c r="M6" s="20"/>
      <c r="N6" s="20"/>
      <c r="O6" s="20"/>
      <c r="P6" s="20"/>
      <c r="Q6" s="20"/>
      <c r="R6" s="20"/>
    </row>
    <row r="7" customFormat="false" ht="15" hidden="false" customHeight="false" outlineLevel="0" collapsed="false">
      <c r="A7" s="18"/>
      <c r="B7" s="20"/>
      <c r="C7" s="20"/>
      <c r="D7" s="18" t="str">
        <f aca="false">IF(C7="","",IFERROR(INDEX(Products!$A:$A,MATCH(C7,Products!$B:$B,0)),"Not found"))</f>
        <v/>
      </c>
      <c r="E7" s="20"/>
      <c r="F7" s="20"/>
      <c r="G7" s="20"/>
      <c r="H7" s="20"/>
      <c r="I7" s="20"/>
      <c r="J7" s="18"/>
      <c r="K7" s="20"/>
      <c r="L7" s="20"/>
      <c r="M7" s="20"/>
      <c r="N7" s="20"/>
      <c r="O7" s="20"/>
      <c r="P7" s="20"/>
      <c r="Q7" s="20"/>
      <c r="R7" s="20"/>
    </row>
    <row r="8" customFormat="false" ht="15" hidden="false" customHeight="false" outlineLevel="0" collapsed="false">
      <c r="A8" s="18"/>
      <c r="B8" s="20"/>
      <c r="C8" s="20"/>
      <c r="D8" s="18" t="str">
        <f aca="false">IF(C8="","",IFERROR(INDEX(Products!$A:$A,MATCH(C8,Products!$B:$B,0)),"Not found"))</f>
        <v/>
      </c>
      <c r="E8" s="20"/>
      <c r="F8" s="20"/>
      <c r="G8" s="20"/>
      <c r="H8" s="20"/>
      <c r="I8" s="20"/>
      <c r="J8" s="18"/>
      <c r="K8" s="20"/>
      <c r="L8" s="20"/>
      <c r="M8" s="20"/>
      <c r="N8" s="20"/>
      <c r="O8" s="20"/>
      <c r="P8" s="20"/>
      <c r="Q8" s="20"/>
      <c r="R8" s="20"/>
    </row>
    <row r="9" customFormat="false" ht="15" hidden="false" customHeight="false" outlineLevel="0" collapsed="false">
      <c r="A9" s="18"/>
      <c r="B9" s="20"/>
      <c r="C9" s="20"/>
      <c r="D9" s="18" t="str">
        <f aca="false">IF(C9="","",IFERROR(INDEX(Products!$A:$A,MATCH(C9,Products!$B:$B,0)),"Not found"))</f>
        <v/>
      </c>
      <c r="E9" s="20"/>
      <c r="F9" s="20"/>
      <c r="G9" s="20"/>
      <c r="H9" s="20"/>
      <c r="I9" s="20"/>
      <c r="J9" s="18"/>
      <c r="K9" s="20"/>
      <c r="L9" s="20"/>
      <c r="M9" s="20"/>
      <c r="N9" s="20"/>
      <c r="O9" s="20"/>
      <c r="P9" s="20"/>
      <c r="Q9" s="20"/>
      <c r="R9" s="20"/>
    </row>
    <row r="10" customFormat="false" ht="15" hidden="false" customHeight="false" outlineLevel="0" collapsed="false">
      <c r="A10" s="18"/>
      <c r="B10" s="20"/>
      <c r="C10" s="20"/>
      <c r="D10" s="18" t="str">
        <f aca="false">IF(C10="","",IFERROR(INDEX(Products!$A:$A,MATCH(C10,Products!$B:$B,0)),"Not found"))</f>
        <v/>
      </c>
      <c r="E10" s="20"/>
      <c r="F10" s="20"/>
      <c r="G10" s="20"/>
      <c r="H10" s="20"/>
      <c r="I10" s="20"/>
      <c r="J10" s="18"/>
      <c r="K10" s="20"/>
      <c r="L10" s="20"/>
      <c r="M10" s="20"/>
      <c r="N10" s="20"/>
      <c r="O10" s="20"/>
      <c r="P10" s="20"/>
      <c r="Q10" s="20"/>
      <c r="R10" s="20"/>
    </row>
    <row r="11" customFormat="false" ht="15" hidden="false" customHeight="false" outlineLevel="0" collapsed="false">
      <c r="A11" s="18"/>
      <c r="B11" s="20"/>
      <c r="C11" s="20"/>
      <c r="D11" s="18" t="str">
        <f aca="false">IF(C11="","",IFERROR(INDEX(Products!$A:$A,MATCH(C11,Products!$B:$B,0)),"Not found"))</f>
        <v/>
      </c>
      <c r="E11" s="20"/>
      <c r="F11" s="20"/>
      <c r="G11" s="20"/>
      <c r="H11" s="20"/>
      <c r="I11" s="20"/>
      <c r="J11" s="18"/>
      <c r="K11" s="20"/>
      <c r="L11" s="20"/>
      <c r="M11" s="20"/>
      <c r="N11" s="20"/>
      <c r="O11" s="20"/>
      <c r="P11" s="20"/>
      <c r="Q11" s="20"/>
      <c r="R11" s="20"/>
    </row>
    <row r="12" customFormat="false" ht="15" hidden="false" customHeight="false" outlineLevel="0" collapsed="false">
      <c r="A12" s="18"/>
      <c r="B12" s="20"/>
      <c r="C12" s="20"/>
      <c r="D12" s="18" t="str">
        <f aca="false">IF(C12="","",IFERROR(INDEX(Products!$A:$A,MATCH(C12,Products!$B:$B,0)),"Not found"))</f>
        <v/>
      </c>
      <c r="E12" s="20"/>
      <c r="F12" s="20"/>
      <c r="G12" s="20"/>
      <c r="H12" s="20"/>
      <c r="I12" s="20"/>
      <c r="J12" s="18"/>
      <c r="K12" s="20"/>
      <c r="L12" s="20"/>
      <c r="M12" s="20"/>
      <c r="N12" s="20"/>
      <c r="O12" s="20"/>
      <c r="P12" s="20"/>
      <c r="Q12" s="20"/>
      <c r="R12" s="20"/>
    </row>
    <row r="13" customFormat="false" ht="15" hidden="false" customHeight="false" outlineLevel="0" collapsed="false">
      <c r="A13" s="18"/>
      <c r="B13" s="20"/>
      <c r="C13" s="20"/>
      <c r="D13" s="18" t="str">
        <f aca="false">IF(C13="","",IFERROR(INDEX(Products!$A:$A,MATCH(C13,Products!$B:$B,0)),"Not found"))</f>
        <v/>
      </c>
      <c r="E13" s="20"/>
      <c r="F13" s="20"/>
      <c r="G13" s="20"/>
      <c r="H13" s="20"/>
      <c r="I13" s="20"/>
      <c r="J13" s="18"/>
      <c r="K13" s="20"/>
      <c r="L13" s="20"/>
      <c r="M13" s="20"/>
      <c r="N13" s="20"/>
      <c r="O13" s="20"/>
      <c r="P13" s="20"/>
      <c r="Q13" s="20"/>
      <c r="R13" s="20"/>
    </row>
    <row r="14" customFormat="false" ht="15" hidden="false" customHeight="false" outlineLevel="0" collapsed="false">
      <c r="A14" s="18"/>
      <c r="B14" s="20"/>
      <c r="C14" s="20"/>
      <c r="D14" s="18" t="str">
        <f aca="false">IF(C14="","",IFERROR(INDEX(Products!$A:$A,MATCH(C14,Products!$B:$B,0)),"Not found"))</f>
        <v/>
      </c>
      <c r="E14" s="20"/>
      <c r="F14" s="20"/>
      <c r="G14" s="20"/>
      <c r="H14" s="20"/>
      <c r="I14" s="20"/>
      <c r="J14" s="18"/>
      <c r="K14" s="20"/>
      <c r="L14" s="20"/>
      <c r="M14" s="20"/>
      <c r="N14" s="20"/>
      <c r="O14" s="20"/>
      <c r="P14" s="20"/>
      <c r="Q14" s="20"/>
      <c r="R14" s="20"/>
    </row>
    <row r="15" customFormat="false" ht="15" hidden="false" customHeight="false" outlineLevel="0" collapsed="false">
      <c r="A15" s="18"/>
      <c r="B15" s="20"/>
      <c r="C15" s="20"/>
      <c r="D15" s="18" t="str">
        <f aca="false">IF(C15="","",IFERROR(INDEX(Products!$A:$A,MATCH(C15,Products!$B:$B,0)),"Not found"))</f>
        <v/>
      </c>
      <c r="E15" s="20"/>
      <c r="F15" s="20"/>
      <c r="G15" s="20"/>
      <c r="H15" s="20"/>
      <c r="I15" s="20"/>
      <c r="J15" s="18"/>
      <c r="K15" s="20"/>
      <c r="L15" s="20"/>
      <c r="M15" s="20"/>
      <c r="N15" s="20"/>
      <c r="O15" s="20"/>
      <c r="P15" s="20"/>
      <c r="Q15" s="20"/>
      <c r="R15" s="20"/>
    </row>
    <row r="16" customFormat="false" ht="15" hidden="false" customHeight="false" outlineLevel="0" collapsed="false">
      <c r="A16" s="18"/>
      <c r="B16" s="20"/>
      <c r="C16" s="20"/>
      <c r="D16" s="18" t="str">
        <f aca="false">IF(C16="","",IFERROR(INDEX(Products!$A:$A,MATCH(C16,Products!$B:$B,0)),"Not found"))</f>
        <v/>
      </c>
      <c r="E16" s="20"/>
      <c r="F16" s="20"/>
      <c r="G16" s="20"/>
      <c r="H16" s="20"/>
      <c r="I16" s="20"/>
      <c r="J16" s="18"/>
      <c r="K16" s="20"/>
      <c r="L16" s="20"/>
      <c r="M16" s="20"/>
      <c r="N16" s="20"/>
      <c r="O16" s="20"/>
      <c r="P16" s="20"/>
      <c r="Q16" s="20"/>
      <c r="R16" s="20"/>
    </row>
    <row r="17" customFormat="false" ht="15" hidden="false" customHeight="false" outlineLevel="0" collapsed="false">
      <c r="A17" s="18"/>
      <c r="B17" s="20"/>
      <c r="C17" s="20"/>
      <c r="D17" s="18" t="str">
        <f aca="false">IF(C17="","",IFERROR(INDEX(Products!$A:$A,MATCH(C17,Products!$B:$B,0)),"Not found"))</f>
        <v/>
      </c>
      <c r="E17" s="20"/>
      <c r="F17" s="20"/>
      <c r="G17" s="20"/>
      <c r="H17" s="20"/>
      <c r="I17" s="20"/>
      <c r="J17" s="18"/>
      <c r="K17" s="20"/>
      <c r="L17" s="20"/>
      <c r="M17" s="20"/>
      <c r="N17" s="20"/>
      <c r="O17" s="20"/>
      <c r="P17" s="20"/>
      <c r="Q17" s="20"/>
      <c r="R17" s="20"/>
    </row>
    <row r="18" customFormat="false" ht="15" hidden="false" customHeight="false" outlineLevel="0" collapsed="false">
      <c r="A18" s="18"/>
      <c r="B18" s="20"/>
      <c r="C18" s="20"/>
      <c r="D18" s="18" t="str">
        <f aca="false">IF(C18="","",IFERROR(INDEX(Products!$A:$A,MATCH(C18,Products!$B:$B,0)),"Not found"))</f>
        <v/>
      </c>
      <c r="E18" s="20"/>
      <c r="F18" s="20"/>
      <c r="G18" s="20"/>
      <c r="H18" s="20"/>
      <c r="I18" s="20"/>
      <c r="J18" s="18"/>
      <c r="K18" s="20"/>
      <c r="L18" s="20"/>
      <c r="M18" s="20"/>
      <c r="N18" s="20"/>
      <c r="O18" s="20"/>
      <c r="P18" s="20"/>
      <c r="Q18" s="20"/>
      <c r="R18" s="20"/>
    </row>
    <row r="19" customFormat="false" ht="15" hidden="false" customHeight="false" outlineLevel="0" collapsed="false">
      <c r="A19" s="18"/>
      <c r="B19" s="20"/>
      <c r="C19" s="20"/>
      <c r="D19" s="18" t="str">
        <f aca="false">IF(C19="","",IFERROR(INDEX(Products!$A:$A,MATCH(C19,Products!$B:$B,0)),"Not found"))</f>
        <v/>
      </c>
      <c r="E19" s="20"/>
      <c r="F19" s="20"/>
      <c r="G19" s="20"/>
      <c r="H19" s="20"/>
      <c r="I19" s="20"/>
      <c r="J19" s="18"/>
      <c r="K19" s="20"/>
      <c r="L19" s="20"/>
      <c r="M19" s="20"/>
      <c r="N19" s="20"/>
      <c r="O19" s="20"/>
      <c r="P19" s="20"/>
      <c r="Q19" s="20"/>
      <c r="R19" s="20"/>
    </row>
    <row r="20" customFormat="false" ht="15" hidden="false" customHeight="false" outlineLevel="0" collapsed="false">
      <c r="A20" s="18"/>
      <c r="B20" s="20"/>
      <c r="C20" s="20"/>
      <c r="D20" s="18" t="str">
        <f aca="false">IF(C20="","",IFERROR(INDEX(Products!$A:$A,MATCH(C20,Products!$B:$B,0)),"Not found"))</f>
        <v/>
      </c>
      <c r="E20" s="20"/>
      <c r="F20" s="20"/>
      <c r="G20" s="20"/>
      <c r="H20" s="20"/>
      <c r="I20" s="20"/>
      <c r="J20" s="18"/>
      <c r="K20" s="20"/>
      <c r="L20" s="20"/>
      <c r="M20" s="20"/>
      <c r="N20" s="20"/>
      <c r="O20" s="20"/>
      <c r="P20" s="20"/>
      <c r="Q20" s="20"/>
      <c r="R20" s="20"/>
    </row>
    <row r="21" customFormat="false" ht="15" hidden="false" customHeight="false" outlineLevel="0" collapsed="false">
      <c r="A21" s="18"/>
      <c r="B21" s="20"/>
      <c r="C21" s="20"/>
      <c r="D21" s="18" t="str">
        <f aca="false">IF(C21="","",IFERROR(INDEX(Products!$A:$A,MATCH(C21,Products!$B:$B,0)),"Not found"))</f>
        <v/>
      </c>
      <c r="E21" s="20"/>
      <c r="F21" s="20"/>
      <c r="G21" s="20"/>
      <c r="H21" s="20"/>
      <c r="I21" s="20"/>
      <c r="J21" s="18"/>
      <c r="K21" s="20"/>
      <c r="L21" s="20"/>
      <c r="M21" s="20"/>
      <c r="N21" s="20"/>
      <c r="O21" s="20"/>
      <c r="P21" s="20"/>
      <c r="Q21" s="20"/>
      <c r="R21" s="20"/>
    </row>
    <row r="22" customFormat="false" ht="15" hidden="false" customHeight="false" outlineLevel="0" collapsed="false">
      <c r="A22" s="18"/>
      <c r="B22" s="20"/>
      <c r="C22" s="20"/>
      <c r="D22" s="18" t="str">
        <f aca="false">IF(C22="","",IFERROR(INDEX(Products!$A:$A,MATCH(C22,Products!$B:$B,0)),"Not found"))</f>
        <v/>
      </c>
      <c r="E22" s="20"/>
      <c r="F22" s="20"/>
      <c r="G22" s="20"/>
      <c r="H22" s="20"/>
      <c r="I22" s="20"/>
      <c r="J22" s="18"/>
      <c r="K22" s="20"/>
      <c r="L22" s="20"/>
      <c r="M22" s="20"/>
      <c r="N22" s="20"/>
      <c r="O22" s="20"/>
      <c r="P22" s="20"/>
      <c r="Q22" s="20"/>
      <c r="R22" s="20"/>
    </row>
    <row r="23" customFormat="false" ht="15" hidden="false" customHeight="false" outlineLevel="0" collapsed="false">
      <c r="A23" s="18"/>
      <c r="B23" s="20"/>
      <c r="C23" s="20"/>
      <c r="D23" s="18" t="str">
        <f aca="false">IF(C23="","",IFERROR(INDEX(Products!$A:$A,MATCH(C23,Products!$B:$B,0)),"Not found"))</f>
        <v/>
      </c>
      <c r="E23" s="20"/>
      <c r="F23" s="20"/>
      <c r="G23" s="20"/>
      <c r="H23" s="20"/>
      <c r="I23" s="20"/>
      <c r="J23" s="18"/>
      <c r="K23" s="20"/>
      <c r="L23" s="20"/>
      <c r="M23" s="20"/>
      <c r="N23" s="20"/>
      <c r="O23" s="20"/>
      <c r="P23" s="20"/>
      <c r="Q23" s="20"/>
      <c r="R23" s="20"/>
    </row>
    <row r="24" customFormat="false" ht="15" hidden="false" customHeight="false" outlineLevel="0" collapsed="false">
      <c r="A24" s="18"/>
      <c r="B24" s="20"/>
      <c r="C24" s="20"/>
      <c r="D24" s="18" t="str">
        <f aca="false">IF(C24="","",IFERROR(INDEX(Products!$A:$A,MATCH(C24,Products!$B:$B,0)),"Not found"))</f>
        <v/>
      </c>
      <c r="E24" s="20"/>
      <c r="F24" s="20"/>
      <c r="G24" s="20"/>
      <c r="H24" s="20"/>
      <c r="I24" s="20"/>
      <c r="J24" s="18"/>
      <c r="K24" s="20"/>
      <c r="L24" s="20"/>
      <c r="M24" s="20"/>
      <c r="N24" s="20"/>
      <c r="O24" s="20"/>
      <c r="P24" s="20"/>
      <c r="Q24" s="20"/>
      <c r="R24" s="20"/>
    </row>
    <row r="25" customFormat="false" ht="15" hidden="false" customHeight="false" outlineLevel="0" collapsed="false">
      <c r="A25" s="18"/>
      <c r="B25" s="20"/>
      <c r="C25" s="20"/>
      <c r="D25" s="18" t="str">
        <f aca="false">IF(C25="","",IFERROR(INDEX(Products!$A:$A,MATCH(C25,Products!$B:$B,0)),"Not found"))</f>
        <v/>
      </c>
      <c r="E25" s="20"/>
      <c r="F25" s="20"/>
      <c r="G25" s="20"/>
      <c r="H25" s="20"/>
      <c r="I25" s="20"/>
      <c r="J25" s="18"/>
      <c r="K25" s="20"/>
      <c r="L25" s="20"/>
      <c r="M25" s="20"/>
      <c r="N25" s="20"/>
      <c r="O25" s="20"/>
      <c r="P25" s="20"/>
      <c r="Q25" s="20"/>
      <c r="R25" s="20"/>
    </row>
    <row r="26" customFormat="false" ht="15" hidden="false" customHeight="false" outlineLevel="0" collapsed="false">
      <c r="A26" s="18"/>
      <c r="B26" s="20"/>
      <c r="C26" s="20"/>
      <c r="D26" s="18" t="str">
        <f aca="false">IF(C26="","",IFERROR(INDEX(Products!$A:$A,MATCH(C26,Products!$B:$B,0)),"Not found"))</f>
        <v/>
      </c>
      <c r="E26" s="20"/>
      <c r="F26" s="20"/>
      <c r="G26" s="20"/>
      <c r="H26" s="20"/>
      <c r="I26" s="20"/>
      <c r="J26" s="18"/>
      <c r="K26" s="20"/>
      <c r="L26" s="20"/>
      <c r="M26" s="20"/>
      <c r="N26" s="20"/>
      <c r="O26" s="20"/>
      <c r="P26" s="20"/>
      <c r="Q26" s="20"/>
      <c r="R26" s="20"/>
    </row>
    <row r="27" customFormat="false" ht="15" hidden="false" customHeight="false" outlineLevel="0" collapsed="false">
      <c r="A27" s="18"/>
      <c r="B27" s="20"/>
      <c r="C27" s="20"/>
      <c r="D27" s="18" t="str">
        <f aca="false">IF(C27="","",IFERROR(INDEX(Products!$A:$A,MATCH(C27,Products!$B:$B,0)),"Not found"))</f>
        <v/>
      </c>
      <c r="E27" s="20"/>
      <c r="F27" s="20"/>
      <c r="G27" s="20"/>
      <c r="H27" s="20"/>
      <c r="I27" s="20"/>
      <c r="J27" s="18"/>
      <c r="K27" s="20"/>
      <c r="L27" s="20"/>
      <c r="M27" s="20"/>
      <c r="N27" s="20"/>
      <c r="O27" s="20"/>
      <c r="P27" s="20"/>
      <c r="Q27" s="20"/>
      <c r="R27" s="20"/>
    </row>
    <row r="28" customFormat="false" ht="15" hidden="false" customHeight="false" outlineLevel="0" collapsed="false">
      <c r="A28" s="18"/>
      <c r="B28" s="20"/>
      <c r="C28" s="20"/>
      <c r="D28" s="18" t="str">
        <f aca="false">IF(C28="","",IFERROR(INDEX(Products!$A:$A,MATCH(C28,Products!$B:$B,0)),"Not found"))</f>
        <v/>
      </c>
      <c r="E28" s="20"/>
      <c r="F28" s="20"/>
      <c r="G28" s="20"/>
      <c r="H28" s="20"/>
      <c r="I28" s="20"/>
      <c r="J28" s="18"/>
      <c r="K28" s="20"/>
      <c r="L28" s="20"/>
      <c r="M28" s="20"/>
      <c r="N28" s="20"/>
      <c r="O28" s="20"/>
      <c r="P28" s="20"/>
      <c r="Q28" s="20"/>
      <c r="R28" s="20"/>
    </row>
    <row r="29" customFormat="false" ht="15" hidden="false" customHeight="false" outlineLevel="0" collapsed="false">
      <c r="A29" s="18"/>
      <c r="B29" s="20"/>
      <c r="C29" s="20"/>
      <c r="D29" s="18" t="str">
        <f aca="false">IF(C29="","",IFERROR(INDEX(Products!$A:$A,MATCH(C29,Products!$B:$B,0)),"Not found"))</f>
        <v/>
      </c>
      <c r="E29" s="20"/>
      <c r="F29" s="20"/>
      <c r="G29" s="20"/>
      <c r="H29" s="20"/>
      <c r="I29" s="20"/>
      <c r="J29" s="18"/>
      <c r="K29" s="20"/>
      <c r="L29" s="20"/>
      <c r="M29" s="20"/>
      <c r="N29" s="20"/>
      <c r="O29" s="20"/>
      <c r="P29" s="20"/>
      <c r="Q29" s="20"/>
      <c r="R29" s="20"/>
    </row>
    <row r="30" customFormat="false" ht="15" hidden="false" customHeight="false" outlineLevel="0" collapsed="false">
      <c r="A30" s="18"/>
      <c r="B30" s="20"/>
      <c r="C30" s="20"/>
      <c r="D30" s="18" t="str">
        <f aca="false">IF(C30="","",IFERROR(INDEX(Products!$A:$A,MATCH(C30,Products!$B:$B,0)),"Not found"))</f>
        <v/>
      </c>
      <c r="E30" s="20"/>
      <c r="F30" s="20"/>
      <c r="G30" s="20"/>
      <c r="H30" s="20"/>
      <c r="I30" s="20"/>
      <c r="J30" s="18"/>
      <c r="K30" s="20"/>
      <c r="L30" s="20"/>
      <c r="M30" s="20"/>
      <c r="N30" s="20"/>
      <c r="O30" s="20"/>
      <c r="P30" s="20"/>
      <c r="Q30" s="20"/>
      <c r="R30" s="20"/>
    </row>
    <row r="31" customFormat="false" ht="15" hidden="false" customHeight="false" outlineLevel="0" collapsed="false">
      <c r="A31" s="18"/>
      <c r="B31" s="20"/>
      <c r="C31" s="20"/>
      <c r="D31" s="18" t="str">
        <f aca="false">IF(C31="","",IFERROR(INDEX(Products!$A:$A,MATCH(C31,Products!$B:$B,0)),"Not found"))</f>
        <v/>
      </c>
      <c r="E31" s="20"/>
      <c r="F31" s="20"/>
      <c r="G31" s="20"/>
      <c r="H31" s="20"/>
      <c r="I31" s="20"/>
      <c r="J31" s="18"/>
      <c r="K31" s="20"/>
      <c r="L31" s="20"/>
      <c r="M31" s="20"/>
      <c r="N31" s="20"/>
      <c r="O31" s="20"/>
      <c r="P31" s="20"/>
      <c r="Q31" s="20"/>
      <c r="R31" s="20"/>
    </row>
    <row r="32" customFormat="false" ht="15" hidden="false" customHeight="false" outlineLevel="0" collapsed="false">
      <c r="A32" s="18"/>
      <c r="B32" s="20"/>
      <c r="C32" s="20"/>
      <c r="D32" s="18" t="str">
        <f aca="false">IF(C32="","",IFERROR(INDEX(Products!$A:$A,MATCH(C32,Products!$B:$B,0)),"Not found"))</f>
        <v/>
      </c>
      <c r="E32" s="20"/>
      <c r="F32" s="20"/>
      <c r="G32" s="20"/>
      <c r="H32" s="20"/>
      <c r="I32" s="20"/>
      <c r="J32" s="18"/>
      <c r="K32" s="20"/>
      <c r="L32" s="20"/>
      <c r="M32" s="20"/>
      <c r="N32" s="20"/>
      <c r="O32" s="20"/>
      <c r="P32" s="20"/>
      <c r="Q32" s="20"/>
      <c r="R32" s="20"/>
    </row>
    <row r="33" customFormat="false" ht="15" hidden="false" customHeight="false" outlineLevel="0" collapsed="false">
      <c r="A33" s="18"/>
      <c r="B33" s="20"/>
      <c r="C33" s="20"/>
      <c r="D33" s="18" t="str">
        <f aca="false">IF(C33="","",IFERROR(INDEX(Products!$A:$A,MATCH(C33,Products!$B:$B,0)),"Not found"))</f>
        <v/>
      </c>
      <c r="E33" s="20"/>
      <c r="F33" s="20"/>
      <c r="G33" s="20"/>
      <c r="H33" s="20"/>
      <c r="I33" s="20"/>
      <c r="J33" s="18"/>
      <c r="K33" s="20"/>
      <c r="L33" s="20"/>
      <c r="M33" s="20"/>
      <c r="N33" s="20"/>
      <c r="O33" s="20"/>
      <c r="P33" s="20"/>
      <c r="Q33" s="20"/>
      <c r="R33" s="20"/>
    </row>
    <row r="34" customFormat="false" ht="15" hidden="false" customHeight="false" outlineLevel="0" collapsed="false">
      <c r="A34" s="18"/>
      <c r="B34" s="20"/>
      <c r="C34" s="20"/>
      <c r="D34" s="18" t="str">
        <f aca="false">IF(C34="","",IFERROR(INDEX(Products!$A:$A,MATCH(C34,Products!$B:$B,0)),"Not found"))</f>
        <v/>
      </c>
      <c r="E34" s="20"/>
      <c r="F34" s="20"/>
      <c r="G34" s="20"/>
      <c r="H34" s="20"/>
      <c r="I34" s="20"/>
      <c r="J34" s="18"/>
      <c r="K34" s="20"/>
      <c r="L34" s="20"/>
      <c r="M34" s="20"/>
      <c r="N34" s="20"/>
      <c r="O34" s="20"/>
      <c r="P34" s="20"/>
      <c r="Q34" s="20"/>
      <c r="R34" s="20"/>
    </row>
    <row r="35" customFormat="false" ht="15" hidden="false" customHeight="false" outlineLevel="0" collapsed="false">
      <c r="A35" s="18"/>
      <c r="B35" s="20"/>
      <c r="C35" s="20"/>
      <c r="D35" s="18" t="str">
        <f aca="false">IF(C35="","",IFERROR(INDEX(Products!$A:$A,MATCH(C35,Products!$B:$B,0)),"Not found"))</f>
        <v/>
      </c>
      <c r="E35" s="20"/>
      <c r="F35" s="20"/>
      <c r="G35" s="20"/>
      <c r="H35" s="20"/>
      <c r="I35" s="20"/>
      <c r="J35" s="18"/>
      <c r="K35" s="20"/>
      <c r="L35" s="20"/>
      <c r="M35" s="20"/>
      <c r="N35" s="20"/>
      <c r="O35" s="20"/>
      <c r="P35" s="20"/>
      <c r="Q35" s="20"/>
      <c r="R35" s="20"/>
    </row>
    <row r="36" customFormat="false" ht="15" hidden="false" customHeight="false" outlineLevel="0" collapsed="false">
      <c r="A36" s="18"/>
      <c r="B36" s="20"/>
      <c r="C36" s="20"/>
      <c r="D36" s="18" t="str">
        <f aca="false">IF(C36="","",IFERROR(INDEX(Products!$A:$A,MATCH(C36,Products!$B:$B,0)),"Not found"))</f>
        <v/>
      </c>
      <c r="E36" s="20"/>
      <c r="F36" s="20"/>
      <c r="G36" s="20"/>
      <c r="H36" s="20"/>
      <c r="I36" s="20"/>
      <c r="J36" s="18"/>
      <c r="K36" s="20"/>
      <c r="L36" s="20"/>
      <c r="M36" s="20"/>
      <c r="N36" s="20"/>
      <c r="O36" s="20"/>
      <c r="P36" s="20"/>
      <c r="Q36" s="20"/>
      <c r="R36" s="20"/>
    </row>
    <row r="37" customFormat="false" ht="15" hidden="false" customHeight="false" outlineLevel="0" collapsed="false">
      <c r="A37" s="18"/>
      <c r="B37" s="20"/>
      <c r="C37" s="20"/>
      <c r="D37" s="18" t="str">
        <f aca="false">IF(C37="","",IFERROR(INDEX(Products!$A:$A,MATCH(C37,Products!$B:$B,0)),"Not found"))</f>
        <v/>
      </c>
      <c r="E37" s="20"/>
      <c r="F37" s="20"/>
      <c r="G37" s="20"/>
      <c r="H37" s="20"/>
      <c r="I37" s="20"/>
      <c r="J37" s="18"/>
      <c r="K37" s="20"/>
      <c r="L37" s="20"/>
      <c r="M37" s="20"/>
      <c r="N37" s="20"/>
      <c r="O37" s="20"/>
      <c r="P37" s="20"/>
      <c r="Q37" s="20"/>
      <c r="R37" s="20"/>
    </row>
    <row r="38" customFormat="false" ht="15" hidden="false" customHeight="false" outlineLevel="0" collapsed="false">
      <c r="A38" s="18"/>
      <c r="B38" s="20"/>
      <c r="C38" s="20"/>
      <c r="D38" s="18" t="str">
        <f aca="false">IF(C38="","",IFERROR(INDEX(Products!$A:$A,MATCH(C38,Products!$B:$B,0)),"Not found"))</f>
        <v/>
      </c>
      <c r="E38" s="20"/>
      <c r="F38" s="20"/>
      <c r="G38" s="20"/>
      <c r="H38" s="20"/>
      <c r="I38" s="20"/>
      <c r="J38" s="18"/>
      <c r="K38" s="20"/>
      <c r="L38" s="20"/>
      <c r="M38" s="20"/>
      <c r="N38" s="20"/>
      <c r="O38" s="20"/>
      <c r="P38" s="20"/>
      <c r="Q38" s="20"/>
      <c r="R38" s="20"/>
    </row>
    <row r="39" customFormat="false" ht="15" hidden="false" customHeight="false" outlineLevel="0" collapsed="false">
      <c r="A39" s="18"/>
      <c r="B39" s="20"/>
      <c r="C39" s="20"/>
      <c r="D39" s="18" t="str">
        <f aca="false">IF(C39="","",IFERROR(INDEX(Products!$A:$A,MATCH(C39,Products!$B:$B,0)),"Not found"))</f>
        <v/>
      </c>
      <c r="E39" s="20"/>
      <c r="F39" s="20"/>
      <c r="G39" s="20"/>
      <c r="H39" s="20"/>
      <c r="I39" s="20"/>
      <c r="J39" s="18"/>
      <c r="K39" s="20"/>
      <c r="L39" s="20"/>
      <c r="M39" s="20"/>
      <c r="N39" s="20"/>
      <c r="O39" s="20"/>
      <c r="P39" s="20"/>
      <c r="Q39" s="20"/>
      <c r="R39" s="20"/>
    </row>
    <row r="40" customFormat="false" ht="15" hidden="false" customHeight="false" outlineLevel="0" collapsed="false">
      <c r="A40" s="18"/>
      <c r="B40" s="20"/>
      <c r="C40" s="20"/>
      <c r="D40" s="18" t="str">
        <f aca="false">IF(C40="","",IFERROR(INDEX(Products!$A:$A,MATCH(C40,Products!$B:$B,0)),"Not found"))</f>
        <v/>
      </c>
      <c r="E40" s="20"/>
      <c r="F40" s="20"/>
      <c r="G40" s="20"/>
      <c r="H40" s="20"/>
      <c r="I40" s="20"/>
      <c r="J40" s="18"/>
      <c r="K40" s="20"/>
      <c r="L40" s="20"/>
      <c r="M40" s="20"/>
      <c r="N40" s="20"/>
      <c r="O40" s="20"/>
      <c r="P40" s="20"/>
      <c r="Q40" s="20"/>
      <c r="R40" s="20"/>
    </row>
    <row r="41" customFormat="false" ht="15" hidden="false" customHeight="false" outlineLevel="0" collapsed="false">
      <c r="A41" s="18"/>
      <c r="B41" s="20"/>
      <c r="C41" s="20"/>
      <c r="D41" s="18" t="str">
        <f aca="false">IF(C41="","",IFERROR(INDEX(Products!$A:$A,MATCH(C41,Products!$B:$B,0)),"Not found"))</f>
        <v/>
      </c>
      <c r="E41" s="20"/>
      <c r="F41" s="20"/>
      <c r="G41" s="20"/>
      <c r="H41" s="20"/>
      <c r="I41" s="20"/>
      <c r="J41" s="18"/>
      <c r="K41" s="20"/>
      <c r="L41" s="20"/>
      <c r="M41" s="20"/>
      <c r="N41" s="20"/>
      <c r="O41" s="20"/>
      <c r="P41" s="20"/>
      <c r="Q41" s="20"/>
      <c r="R41" s="20"/>
    </row>
    <row r="42" customFormat="false" ht="15" hidden="false" customHeight="false" outlineLevel="0" collapsed="false">
      <c r="A42" s="18"/>
      <c r="B42" s="20"/>
      <c r="C42" s="20"/>
      <c r="D42" s="18" t="str">
        <f aca="false">IF(C42="","",IFERROR(INDEX(Products!$A:$A,MATCH(C42,Products!$B:$B,0)),"Not found"))</f>
        <v/>
      </c>
      <c r="E42" s="20"/>
      <c r="F42" s="20"/>
      <c r="G42" s="20"/>
      <c r="H42" s="20"/>
      <c r="I42" s="20"/>
      <c r="J42" s="18"/>
      <c r="K42" s="20"/>
      <c r="L42" s="20"/>
      <c r="M42" s="20"/>
      <c r="N42" s="20"/>
      <c r="O42" s="20"/>
      <c r="P42" s="20"/>
      <c r="Q42" s="20"/>
      <c r="R42" s="20"/>
    </row>
    <row r="43" customFormat="false" ht="15" hidden="false" customHeight="false" outlineLevel="0" collapsed="false">
      <c r="A43" s="18"/>
      <c r="B43" s="20"/>
      <c r="C43" s="20"/>
      <c r="D43" s="18" t="str">
        <f aca="false">IF(C43="","",IFERROR(INDEX(Products!$A:$A,MATCH(C43,Products!$B:$B,0)),"Not found"))</f>
        <v/>
      </c>
      <c r="E43" s="20"/>
      <c r="F43" s="20"/>
      <c r="G43" s="20"/>
      <c r="H43" s="20"/>
      <c r="I43" s="20"/>
      <c r="J43" s="18"/>
      <c r="K43" s="20"/>
      <c r="L43" s="20"/>
      <c r="M43" s="20"/>
      <c r="N43" s="20"/>
      <c r="O43" s="20"/>
      <c r="P43" s="20"/>
      <c r="Q43" s="20"/>
      <c r="R43" s="20"/>
    </row>
    <row r="44" customFormat="false" ht="15" hidden="false" customHeight="false" outlineLevel="0" collapsed="false">
      <c r="A44" s="18"/>
      <c r="B44" s="20"/>
      <c r="C44" s="20"/>
      <c r="D44" s="18" t="str">
        <f aca="false">IF(C44="","",IFERROR(INDEX(Products!$A:$A,MATCH(C44,Products!$B:$B,0)),"Not found"))</f>
        <v/>
      </c>
      <c r="E44" s="20"/>
      <c r="F44" s="20"/>
      <c r="G44" s="20"/>
      <c r="H44" s="20"/>
      <c r="I44" s="20"/>
      <c r="J44" s="18"/>
      <c r="K44" s="20"/>
      <c r="L44" s="20"/>
      <c r="M44" s="20"/>
      <c r="N44" s="20"/>
      <c r="O44" s="20"/>
      <c r="P44" s="20"/>
      <c r="Q44" s="20"/>
      <c r="R44" s="20"/>
    </row>
    <row r="45" customFormat="false" ht="15" hidden="false" customHeight="false" outlineLevel="0" collapsed="false">
      <c r="A45" s="18"/>
      <c r="B45" s="20"/>
      <c r="C45" s="20"/>
      <c r="D45" s="18" t="str">
        <f aca="false">IF(C45="","",IFERROR(INDEX(Products!$A:$A,MATCH(C45,Products!$B:$B,0)),"Not found"))</f>
        <v/>
      </c>
      <c r="E45" s="20"/>
      <c r="F45" s="20"/>
      <c r="G45" s="20"/>
      <c r="H45" s="20"/>
      <c r="I45" s="20"/>
      <c r="J45" s="18"/>
      <c r="K45" s="20"/>
      <c r="L45" s="20"/>
      <c r="M45" s="20"/>
      <c r="N45" s="20"/>
      <c r="O45" s="20"/>
      <c r="P45" s="20"/>
      <c r="Q45" s="20"/>
      <c r="R45" s="20"/>
    </row>
    <row r="46" customFormat="false" ht="15" hidden="false" customHeight="false" outlineLevel="0" collapsed="false">
      <c r="A46" s="18"/>
      <c r="B46" s="20"/>
      <c r="C46" s="20"/>
      <c r="D46" s="18" t="str">
        <f aca="false">IF(C46="","",IFERROR(INDEX(Products!$A:$A,MATCH(C46,Products!$B:$B,0)),"Not found"))</f>
        <v/>
      </c>
      <c r="E46" s="20"/>
      <c r="F46" s="20"/>
      <c r="G46" s="20"/>
      <c r="H46" s="20"/>
      <c r="I46" s="20"/>
      <c r="J46" s="18"/>
      <c r="K46" s="20"/>
      <c r="L46" s="20"/>
      <c r="M46" s="20"/>
      <c r="N46" s="20"/>
      <c r="O46" s="20"/>
      <c r="P46" s="20"/>
      <c r="Q46" s="20"/>
      <c r="R46" s="20"/>
    </row>
    <row r="47" customFormat="false" ht="15" hidden="false" customHeight="false" outlineLevel="0" collapsed="false">
      <c r="A47" s="18"/>
      <c r="B47" s="20"/>
      <c r="C47" s="20"/>
      <c r="D47" s="18" t="str">
        <f aca="false">IF(C47="","",IFERROR(INDEX(Products!$A:$A,MATCH(C47,Products!$B:$B,0)),"Not found"))</f>
        <v/>
      </c>
      <c r="E47" s="20"/>
      <c r="F47" s="20"/>
      <c r="G47" s="20"/>
      <c r="H47" s="20"/>
      <c r="I47" s="20"/>
      <c r="J47" s="18"/>
      <c r="K47" s="20"/>
      <c r="L47" s="20"/>
      <c r="M47" s="20"/>
      <c r="N47" s="20"/>
      <c r="O47" s="20"/>
      <c r="P47" s="20"/>
      <c r="Q47" s="20"/>
      <c r="R47" s="20"/>
    </row>
    <row r="48" customFormat="false" ht="15" hidden="false" customHeight="false" outlineLevel="0" collapsed="false">
      <c r="A48" s="18"/>
      <c r="B48" s="20"/>
      <c r="C48" s="20"/>
      <c r="D48" s="18" t="str">
        <f aca="false">IF(C48="","",IFERROR(INDEX(Products!$A:$A,MATCH(C48,Products!$B:$B,0)),"Not found"))</f>
        <v/>
      </c>
      <c r="E48" s="20"/>
      <c r="F48" s="20"/>
      <c r="G48" s="20"/>
      <c r="H48" s="20"/>
      <c r="I48" s="20"/>
      <c r="J48" s="18"/>
      <c r="K48" s="20"/>
      <c r="L48" s="20"/>
      <c r="M48" s="20"/>
      <c r="N48" s="20"/>
      <c r="O48" s="20"/>
      <c r="P48" s="20"/>
      <c r="Q48" s="20"/>
      <c r="R48" s="20"/>
    </row>
    <row r="49" customFormat="false" ht="15" hidden="false" customHeight="false" outlineLevel="0" collapsed="false">
      <c r="A49" s="18"/>
      <c r="B49" s="20"/>
      <c r="C49" s="20"/>
      <c r="D49" s="18" t="str">
        <f aca="false">IF(C49="","",IFERROR(INDEX(Products!$A:$A,MATCH(C49,Products!$B:$B,0)),"Not found"))</f>
        <v/>
      </c>
      <c r="E49" s="20"/>
      <c r="F49" s="20"/>
      <c r="G49" s="20"/>
      <c r="H49" s="20"/>
      <c r="I49" s="20"/>
      <c r="J49" s="18"/>
      <c r="K49" s="20"/>
      <c r="L49" s="20"/>
      <c r="M49" s="20"/>
      <c r="N49" s="20"/>
      <c r="O49" s="20"/>
      <c r="P49" s="20"/>
      <c r="Q49" s="20"/>
      <c r="R49" s="20"/>
    </row>
    <row r="50" customFormat="false" ht="15" hidden="false" customHeight="false" outlineLevel="0" collapsed="false">
      <c r="A50" s="18"/>
      <c r="B50" s="20"/>
      <c r="C50" s="20"/>
      <c r="D50" s="18" t="str">
        <f aca="false">IF(C50="","",IFERROR(INDEX(Products!$A:$A,MATCH(C50,Products!$B:$B,0)),"Not found"))</f>
        <v/>
      </c>
      <c r="E50" s="20"/>
      <c r="F50" s="20"/>
      <c r="G50" s="20"/>
      <c r="H50" s="20"/>
      <c r="I50" s="20"/>
      <c r="J50" s="18"/>
      <c r="K50" s="20"/>
      <c r="L50" s="20"/>
      <c r="M50" s="20"/>
      <c r="N50" s="20"/>
      <c r="O50" s="20"/>
      <c r="P50" s="20"/>
      <c r="Q50" s="20"/>
      <c r="R50" s="20"/>
    </row>
    <row r="51" customFormat="false" ht="15" hidden="false" customHeight="false" outlineLevel="0" collapsed="false">
      <c r="A51" s="18"/>
      <c r="B51" s="20"/>
      <c r="C51" s="20"/>
      <c r="D51" s="18" t="str">
        <f aca="false">IF(C51="","",IFERROR(INDEX(Products!$A:$A,MATCH(C51,Products!$B:$B,0)),"Not found"))</f>
        <v/>
      </c>
      <c r="E51" s="20"/>
      <c r="F51" s="20"/>
      <c r="G51" s="20"/>
      <c r="H51" s="20"/>
      <c r="I51" s="20"/>
      <c r="J51" s="18"/>
      <c r="K51" s="20"/>
      <c r="L51" s="20"/>
      <c r="M51" s="20"/>
      <c r="N51" s="20"/>
      <c r="O51" s="20"/>
      <c r="P51" s="20"/>
      <c r="Q51" s="20"/>
      <c r="R51" s="20"/>
    </row>
    <row r="52" customFormat="false" ht="15" hidden="false" customHeight="false" outlineLevel="0" collapsed="false">
      <c r="A52" s="18"/>
      <c r="B52" s="20"/>
      <c r="C52" s="20"/>
      <c r="D52" s="18" t="str">
        <f aca="false">IF(C52="","",IFERROR(INDEX(Products!$A:$A,MATCH(C52,Products!$B:$B,0)),"Not found"))</f>
        <v/>
      </c>
      <c r="E52" s="20"/>
      <c r="F52" s="20"/>
      <c r="G52" s="20"/>
      <c r="H52" s="20"/>
      <c r="I52" s="20"/>
      <c r="J52" s="18"/>
      <c r="K52" s="20"/>
      <c r="L52" s="20"/>
      <c r="M52" s="20"/>
      <c r="N52" s="20"/>
      <c r="O52" s="20"/>
      <c r="P52" s="20"/>
      <c r="Q52" s="20"/>
      <c r="R52" s="20"/>
    </row>
    <row r="53" customFormat="false" ht="15" hidden="false" customHeight="false" outlineLevel="0" collapsed="false">
      <c r="A53" s="18"/>
      <c r="B53" s="20"/>
      <c r="C53" s="20"/>
      <c r="D53" s="18" t="str">
        <f aca="false">IF(C53="","",IFERROR(INDEX(Products!$A:$A,MATCH(C53,Products!$B:$B,0)),"Not found"))</f>
        <v/>
      </c>
      <c r="E53" s="20"/>
      <c r="F53" s="20"/>
      <c r="G53" s="20"/>
      <c r="H53" s="20"/>
      <c r="I53" s="20"/>
      <c r="J53" s="18"/>
      <c r="K53" s="20"/>
      <c r="L53" s="20"/>
      <c r="M53" s="20"/>
      <c r="N53" s="20"/>
      <c r="O53" s="20"/>
      <c r="P53" s="20"/>
      <c r="Q53" s="20"/>
      <c r="R53" s="20"/>
    </row>
    <row r="54" customFormat="false" ht="15" hidden="false" customHeight="false" outlineLevel="0" collapsed="false">
      <c r="A54" s="18"/>
      <c r="B54" s="20"/>
      <c r="C54" s="20"/>
      <c r="D54" s="18" t="str">
        <f aca="false">IF(C54="","",IFERROR(INDEX(Products!$A:$A,MATCH(C54,Products!$B:$B,0)),"Not found"))</f>
        <v/>
      </c>
      <c r="E54" s="20"/>
      <c r="F54" s="20"/>
      <c r="G54" s="20"/>
      <c r="H54" s="20"/>
      <c r="I54" s="20"/>
      <c r="J54" s="18"/>
      <c r="K54" s="20"/>
      <c r="L54" s="20"/>
      <c r="M54" s="20"/>
      <c r="N54" s="20"/>
      <c r="O54" s="20"/>
      <c r="P54" s="20"/>
      <c r="Q54" s="20"/>
      <c r="R54" s="20"/>
    </row>
    <row r="55" customFormat="false" ht="15" hidden="false" customHeight="false" outlineLevel="0" collapsed="false">
      <c r="A55" s="18"/>
      <c r="B55" s="20"/>
      <c r="C55" s="20"/>
      <c r="D55" s="18" t="str">
        <f aca="false">IF(C55="","",IFERROR(INDEX(Products!$A:$A,MATCH(C55,Products!$B:$B,0)),"Not found"))</f>
        <v/>
      </c>
      <c r="E55" s="20"/>
      <c r="F55" s="20"/>
      <c r="G55" s="20"/>
      <c r="H55" s="20"/>
      <c r="I55" s="20"/>
      <c r="J55" s="18"/>
      <c r="K55" s="20"/>
      <c r="L55" s="20"/>
      <c r="M55" s="20"/>
      <c r="N55" s="20"/>
      <c r="O55" s="20"/>
      <c r="P55" s="20"/>
      <c r="Q55" s="20"/>
      <c r="R55" s="20"/>
    </row>
    <row r="56" customFormat="false" ht="15" hidden="false" customHeight="false" outlineLevel="0" collapsed="false">
      <c r="A56" s="18"/>
      <c r="B56" s="20"/>
      <c r="C56" s="20"/>
      <c r="D56" s="18" t="str">
        <f aca="false">IF(C56="","",IFERROR(INDEX(Products!$A:$A,MATCH(C56,Products!$B:$B,0)),"Not found"))</f>
        <v/>
      </c>
      <c r="E56" s="20"/>
      <c r="F56" s="20"/>
      <c r="G56" s="20"/>
      <c r="H56" s="20"/>
      <c r="I56" s="20"/>
      <c r="J56" s="18"/>
      <c r="K56" s="20"/>
      <c r="L56" s="20"/>
      <c r="M56" s="20"/>
      <c r="N56" s="20"/>
      <c r="O56" s="20"/>
      <c r="P56" s="20"/>
      <c r="Q56" s="20"/>
      <c r="R56" s="20"/>
    </row>
    <row r="57" customFormat="false" ht="15" hidden="false" customHeight="false" outlineLevel="0" collapsed="false">
      <c r="A57" s="18"/>
      <c r="B57" s="20"/>
      <c r="C57" s="20"/>
      <c r="D57" s="18" t="str">
        <f aca="false">IF(C57="","",IFERROR(INDEX(Products!$A:$A,MATCH(C57,Products!$B:$B,0)),"Not found"))</f>
        <v/>
      </c>
      <c r="E57" s="20"/>
      <c r="F57" s="20"/>
      <c r="G57" s="20"/>
      <c r="H57" s="20"/>
      <c r="I57" s="20"/>
      <c r="J57" s="18"/>
      <c r="K57" s="20"/>
      <c r="L57" s="20"/>
      <c r="M57" s="20"/>
      <c r="N57" s="20"/>
      <c r="O57" s="20"/>
      <c r="P57" s="20"/>
      <c r="Q57" s="20"/>
      <c r="R57" s="20"/>
    </row>
    <row r="58" customFormat="false" ht="15" hidden="false" customHeight="false" outlineLevel="0" collapsed="false">
      <c r="A58" s="18"/>
      <c r="B58" s="20"/>
      <c r="C58" s="20"/>
      <c r="D58" s="18" t="str">
        <f aca="false">IF(C58="","",IFERROR(INDEX(Products!$A:$A,MATCH(C58,Products!$B:$B,0)),"Not found"))</f>
        <v/>
      </c>
      <c r="E58" s="20"/>
      <c r="F58" s="20"/>
      <c r="G58" s="20"/>
      <c r="H58" s="20"/>
      <c r="I58" s="20"/>
      <c r="J58" s="18"/>
      <c r="K58" s="20"/>
      <c r="L58" s="20"/>
      <c r="M58" s="20"/>
      <c r="N58" s="20"/>
      <c r="O58" s="20"/>
      <c r="P58" s="20"/>
      <c r="Q58" s="20"/>
      <c r="R58" s="20"/>
    </row>
    <row r="59" customFormat="false" ht="15" hidden="false" customHeight="false" outlineLevel="0" collapsed="false">
      <c r="A59" s="18"/>
      <c r="B59" s="20"/>
      <c r="C59" s="20"/>
      <c r="D59" s="18" t="str">
        <f aca="false">IF(C59="","",IFERROR(INDEX(Products!$A:$A,MATCH(C59,Products!$B:$B,0)),"Not found"))</f>
        <v/>
      </c>
      <c r="E59" s="20"/>
      <c r="F59" s="20"/>
      <c r="G59" s="20"/>
      <c r="H59" s="20"/>
      <c r="I59" s="20"/>
      <c r="J59" s="18"/>
      <c r="K59" s="20"/>
      <c r="L59" s="20"/>
      <c r="M59" s="20"/>
      <c r="N59" s="20"/>
      <c r="O59" s="20"/>
      <c r="P59" s="20"/>
      <c r="Q59" s="20"/>
      <c r="R59" s="20"/>
    </row>
    <row r="60" customFormat="false" ht="15" hidden="false" customHeight="false" outlineLevel="0" collapsed="false">
      <c r="A60" s="18"/>
      <c r="B60" s="20"/>
      <c r="C60" s="20"/>
      <c r="D60" s="18" t="str">
        <f aca="false">IF(C60="","",IFERROR(INDEX(Products!$A:$A,MATCH(C60,Products!$B:$B,0)),"Not found"))</f>
        <v/>
      </c>
      <c r="E60" s="20"/>
      <c r="F60" s="20"/>
      <c r="G60" s="20"/>
      <c r="H60" s="20"/>
      <c r="I60" s="20"/>
      <c r="J60" s="18"/>
      <c r="K60" s="20"/>
      <c r="L60" s="20"/>
      <c r="M60" s="20"/>
      <c r="N60" s="20"/>
      <c r="O60" s="20"/>
      <c r="P60" s="20"/>
      <c r="Q60" s="20"/>
      <c r="R60" s="20"/>
    </row>
    <row r="61" customFormat="false" ht="15" hidden="false" customHeight="false" outlineLevel="0" collapsed="false">
      <c r="A61" s="18"/>
      <c r="B61" s="20"/>
      <c r="C61" s="20"/>
      <c r="D61" s="18" t="str">
        <f aca="false">IF(C61="","",IFERROR(INDEX(Products!$A:$A,MATCH(C61,Products!$B:$B,0)),"Not found"))</f>
        <v/>
      </c>
      <c r="E61" s="20"/>
      <c r="F61" s="20"/>
      <c r="G61" s="20"/>
      <c r="H61" s="20"/>
      <c r="I61" s="20"/>
      <c r="J61" s="18"/>
      <c r="K61" s="20"/>
      <c r="L61" s="20"/>
      <c r="M61" s="20"/>
      <c r="N61" s="20"/>
      <c r="O61" s="20"/>
      <c r="P61" s="20"/>
      <c r="Q61" s="20"/>
      <c r="R61" s="20"/>
    </row>
    <row r="62" customFormat="false" ht="15" hidden="false" customHeight="false" outlineLevel="0" collapsed="false">
      <c r="A62" s="18"/>
      <c r="B62" s="20"/>
      <c r="C62" s="20"/>
      <c r="D62" s="18" t="str">
        <f aca="false">IF(C62="","",IFERROR(INDEX(Products!$A:$A,MATCH(C62,Products!$B:$B,0)),"Not found"))</f>
        <v/>
      </c>
      <c r="E62" s="20"/>
      <c r="F62" s="20"/>
      <c r="G62" s="20"/>
      <c r="H62" s="20"/>
      <c r="I62" s="20"/>
      <c r="J62" s="18"/>
      <c r="K62" s="20"/>
      <c r="L62" s="20"/>
      <c r="M62" s="20"/>
      <c r="N62" s="20"/>
      <c r="O62" s="20"/>
      <c r="P62" s="20"/>
      <c r="Q62" s="20"/>
      <c r="R62" s="20"/>
    </row>
    <row r="63" customFormat="false" ht="15" hidden="false" customHeight="false" outlineLevel="0" collapsed="false">
      <c r="A63" s="18"/>
      <c r="B63" s="20"/>
      <c r="C63" s="20"/>
      <c r="D63" s="18" t="str">
        <f aca="false">IF(C63="","",IFERROR(INDEX(Products!$A:$A,MATCH(C63,Products!$B:$B,0)),"Not found"))</f>
        <v/>
      </c>
      <c r="E63" s="20"/>
      <c r="F63" s="20"/>
      <c r="G63" s="20"/>
      <c r="H63" s="20"/>
      <c r="I63" s="20"/>
      <c r="J63" s="18"/>
      <c r="K63" s="20"/>
      <c r="L63" s="20"/>
      <c r="M63" s="20"/>
      <c r="N63" s="20"/>
      <c r="O63" s="20"/>
      <c r="P63" s="20"/>
      <c r="Q63" s="20"/>
      <c r="R63" s="20"/>
    </row>
    <row r="64" customFormat="false" ht="15" hidden="false" customHeight="false" outlineLevel="0" collapsed="false">
      <c r="A64" s="18"/>
      <c r="B64" s="20"/>
      <c r="C64" s="20"/>
      <c r="D64" s="18" t="str">
        <f aca="false">IF(C64="","",IFERROR(INDEX(Products!$A:$A,MATCH(C64,Products!$B:$B,0)),"Not found"))</f>
        <v/>
      </c>
      <c r="E64" s="20"/>
      <c r="F64" s="20"/>
      <c r="G64" s="20"/>
      <c r="H64" s="20"/>
      <c r="I64" s="20"/>
      <c r="J64" s="18"/>
      <c r="K64" s="20"/>
      <c r="L64" s="20"/>
      <c r="M64" s="20"/>
      <c r="N64" s="20"/>
      <c r="O64" s="20"/>
      <c r="P64" s="20"/>
      <c r="Q64" s="20"/>
      <c r="R64" s="20"/>
    </row>
    <row r="65" customFormat="false" ht="15" hidden="false" customHeight="false" outlineLevel="0" collapsed="false">
      <c r="A65" s="18"/>
      <c r="B65" s="20"/>
      <c r="C65" s="20"/>
      <c r="D65" s="18" t="str">
        <f aca="false">IF(C65="","",IFERROR(INDEX(Products!$A:$A,MATCH(C65,Products!$B:$B,0)),"Not found"))</f>
        <v/>
      </c>
      <c r="E65" s="20"/>
      <c r="F65" s="20"/>
      <c r="G65" s="20"/>
      <c r="H65" s="20"/>
      <c r="I65" s="20"/>
      <c r="J65" s="18"/>
      <c r="K65" s="20"/>
      <c r="L65" s="20"/>
      <c r="M65" s="20"/>
      <c r="N65" s="20"/>
      <c r="O65" s="20"/>
      <c r="P65" s="20"/>
      <c r="Q65" s="20"/>
      <c r="R65" s="20"/>
    </row>
    <row r="66" customFormat="false" ht="15" hidden="false" customHeight="false" outlineLevel="0" collapsed="false">
      <c r="A66" s="18"/>
      <c r="B66" s="20"/>
      <c r="C66" s="20"/>
      <c r="D66" s="18" t="str">
        <f aca="false">IF(C66="","",IFERROR(INDEX(Products!$A:$A,MATCH(C66,Products!$B:$B,0)),"Not found"))</f>
        <v/>
      </c>
      <c r="E66" s="20"/>
      <c r="F66" s="20"/>
      <c r="G66" s="20"/>
      <c r="H66" s="20"/>
      <c r="I66" s="20"/>
      <c r="J66" s="18"/>
      <c r="K66" s="20"/>
      <c r="L66" s="20"/>
      <c r="M66" s="20"/>
      <c r="N66" s="20"/>
      <c r="O66" s="20"/>
      <c r="P66" s="20"/>
      <c r="Q66" s="20"/>
      <c r="R66" s="20"/>
    </row>
    <row r="67" customFormat="false" ht="15" hidden="false" customHeight="false" outlineLevel="0" collapsed="false">
      <c r="A67" s="18"/>
      <c r="B67" s="20"/>
      <c r="C67" s="20"/>
      <c r="D67" s="18" t="str">
        <f aca="false">IF(C67="","",IFERROR(INDEX(Products!$A:$A,MATCH(C67,Products!$B:$B,0)),"Not found"))</f>
        <v/>
      </c>
      <c r="E67" s="20"/>
      <c r="F67" s="20"/>
      <c r="G67" s="20"/>
      <c r="H67" s="20"/>
      <c r="I67" s="20"/>
      <c r="J67" s="18"/>
      <c r="K67" s="20"/>
      <c r="L67" s="20"/>
      <c r="M67" s="20"/>
      <c r="N67" s="20"/>
      <c r="O67" s="20"/>
      <c r="P67" s="20"/>
      <c r="Q67" s="20"/>
      <c r="R67" s="20"/>
    </row>
    <row r="68" customFormat="false" ht="15" hidden="false" customHeight="false" outlineLevel="0" collapsed="false">
      <c r="A68" s="18"/>
      <c r="B68" s="20"/>
      <c r="C68" s="20"/>
      <c r="D68" s="18" t="str">
        <f aca="false">IF(C68="","",IFERROR(INDEX(Products!$A:$A,MATCH(C68,Products!$B:$B,0)),"Not found"))</f>
        <v/>
      </c>
      <c r="E68" s="20"/>
      <c r="F68" s="20"/>
      <c r="G68" s="20"/>
      <c r="H68" s="20"/>
      <c r="I68" s="20"/>
      <c r="J68" s="18"/>
      <c r="K68" s="20"/>
      <c r="L68" s="20"/>
      <c r="M68" s="20"/>
      <c r="N68" s="20"/>
      <c r="O68" s="20"/>
      <c r="P68" s="20"/>
      <c r="Q68" s="20"/>
      <c r="R68" s="20"/>
    </row>
    <row r="69" customFormat="false" ht="15" hidden="false" customHeight="false" outlineLevel="0" collapsed="false">
      <c r="A69" s="18"/>
      <c r="B69" s="20"/>
      <c r="C69" s="20"/>
      <c r="D69" s="18" t="str">
        <f aca="false">IF(C69="","",IFERROR(INDEX(Products!$A:$A,MATCH(C69,Products!$B:$B,0)),"Not found"))</f>
        <v/>
      </c>
      <c r="E69" s="20"/>
      <c r="F69" s="20"/>
      <c r="G69" s="20"/>
      <c r="H69" s="20"/>
      <c r="I69" s="20"/>
      <c r="J69" s="18"/>
      <c r="K69" s="20"/>
      <c r="L69" s="20"/>
      <c r="M69" s="20"/>
      <c r="N69" s="20"/>
      <c r="O69" s="20"/>
      <c r="P69" s="20"/>
      <c r="Q69" s="20"/>
      <c r="R69" s="20"/>
    </row>
    <row r="70" customFormat="false" ht="15" hidden="false" customHeight="false" outlineLevel="0" collapsed="false">
      <c r="A70" s="18"/>
      <c r="B70" s="20"/>
      <c r="C70" s="20"/>
      <c r="D70" s="18" t="str">
        <f aca="false">IF(C70="","",IFERROR(INDEX(Products!$A:$A,MATCH(C70,Products!$B:$B,0)),"Not found"))</f>
        <v/>
      </c>
      <c r="E70" s="20"/>
      <c r="F70" s="20"/>
      <c r="G70" s="20"/>
      <c r="H70" s="20"/>
      <c r="I70" s="20"/>
      <c r="J70" s="18"/>
      <c r="K70" s="20"/>
      <c r="L70" s="20"/>
      <c r="M70" s="20"/>
      <c r="N70" s="20"/>
      <c r="O70" s="20"/>
      <c r="P70" s="20"/>
      <c r="Q70" s="20"/>
      <c r="R70" s="20"/>
    </row>
    <row r="71" customFormat="false" ht="15" hidden="false" customHeight="false" outlineLevel="0" collapsed="false">
      <c r="A71" s="18"/>
      <c r="B71" s="20"/>
      <c r="C71" s="20"/>
      <c r="D71" s="18" t="str">
        <f aca="false">IF(C71="","",IFERROR(INDEX(Products!$A:$A,MATCH(C71,Products!$B:$B,0)),"Not found"))</f>
        <v/>
      </c>
      <c r="E71" s="20"/>
      <c r="F71" s="20"/>
      <c r="G71" s="20"/>
      <c r="H71" s="20"/>
      <c r="I71" s="20"/>
      <c r="J71" s="18"/>
      <c r="K71" s="20"/>
      <c r="L71" s="20"/>
      <c r="M71" s="20"/>
      <c r="N71" s="20"/>
      <c r="O71" s="20"/>
      <c r="P71" s="20"/>
      <c r="Q71" s="20"/>
      <c r="R71" s="20"/>
    </row>
    <row r="72" customFormat="false" ht="15" hidden="false" customHeight="false" outlineLevel="0" collapsed="false">
      <c r="A72" s="18"/>
      <c r="B72" s="20"/>
      <c r="C72" s="20"/>
      <c r="D72" s="18" t="str">
        <f aca="false">IF(C72="","",IFERROR(INDEX(Products!$A:$A,MATCH(C72,Products!$B:$B,0)),"Not found"))</f>
        <v/>
      </c>
      <c r="E72" s="20"/>
      <c r="F72" s="20"/>
      <c r="G72" s="20"/>
      <c r="H72" s="20"/>
      <c r="I72" s="20"/>
      <c r="J72" s="18"/>
      <c r="K72" s="20"/>
      <c r="L72" s="20"/>
      <c r="M72" s="20"/>
      <c r="N72" s="20"/>
      <c r="O72" s="20"/>
      <c r="P72" s="20"/>
      <c r="Q72" s="20"/>
      <c r="R72" s="20"/>
    </row>
    <row r="73" customFormat="false" ht="15" hidden="false" customHeight="false" outlineLevel="0" collapsed="false">
      <c r="A73" s="18"/>
      <c r="B73" s="20"/>
      <c r="C73" s="20"/>
      <c r="D73" s="18" t="str">
        <f aca="false">IF(C73="","",IFERROR(INDEX(Products!$A:$A,MATCH(C73,Products!$B:$B,0)),"Not found"))</f>
        <v/>
      </c>
      <c r="E73" s="20"/>
      <c r="F73" s="20"/>
      <c r="G73" s="20"/>
      <c r="H73" s="20"/>
      <c r="I73" s="20"/>
      <c r="J73" s="18"/>
      <c r="K73" s="20"/>
      <c r="L73" s="20"/>
      <c r="M73" s="20"/>
      <c r="N73" s="20"/>
      <c r="O73" s="20"/>
      <c r="P73" s="20"/>
      <c r="Q73" s="20"/>
      <c r="R73" s="20"/>
    </row>
    <row r="74" customFormat="false" ht="15" hidden="false" customHeight="false" outlineLevel="0" collapsed="false">
      <c r="A74" s="18"/>
      <c r="B74" s="20"/>
      <c r="C74" s="20"/>
      <c r="D74" s="18" t="str">
        <f aca="false">IF(C74="","",IFERROR(INDEX(Products!$A:$A,MATCH(C74,Products!$B:$B,0)),"Not found"))</f>
        <v/>
      </c>
      <c r="E74" s="20"/>
      <c r="F74" s="20"/>
      <c r="G74" s="20"/>
      <c r="H74" s="20"/>
      <c r="I74" s="20"/>
      <c r="J74" s="18"/>
      <c r="K74" s="20"/>
      <c r="L74" s="20"/>
      <c r="M74" s="20"/>
      <c r="N74" s="20"/>
      <c r="O74" s="20"/>
      <c r="P74" s="20"/>
      <c r="Q74" s="20"/>
      <c r="R74" s="20"/>
    </row>
    <row r="75" customFormat="false" ht="15" hidden="false" customHeight="false" outlineLevel="0" collapsed="false">
      <c r="A75" s="18"/>
      <c r="B75" s="20"/>
      <c r="C75" s="20"/>
      <c r="D75" s="18" t="str">
        <f aca="false">IF(C75="","",IFERROR(INDEX(Products!$A:$A,MATCH(C75,Products!$B:$B,0)),"Not found"))</f>
        <v/>
      </c>
      <c r="E75" s="20"/>
      <c r="F75" s="20"/>
      <c r="G75" s="20"/>
      <c r="H75" s="20"/>
      <c r="I75" s="20"/>
      <c r="J75" s="18"/>
      <c r="K75" s="20"/>
      <c r="L75" s="20"/>
      <c r="M75" s="20"/>
      <c r="N75" s="20"/>
      <c r="O75" s="20"/>
      <c r="P75" s="20"/>
      <c r="Q75" s="20"/>
      <c r="R75" s="20"/>
    </row>
    <row r="76" customFormat="false" ht="15" hidden="false" customHeight="false" outlineLevel="0" collapsed="false">
      <c r="A76" s="18"/>
      <c r="B76" s="20"/>
      <c r="C76" s="20"/>
      <c r="D76" s="18" t="str">
        <f aca="false">IF(C76="","",IFERROR(INDEX(Products!$A:$A,MATCH(C76,Products!$B:$B,0)),"Not found"))</f>
        <v/>
      </c>
      <c r="E76" s="20"/>
      <c r="F76" s="20"/>
      <c r="G76" s="20"/>
      <c r="H76" s="20"/>
      <c r="I76" s="20"/>
      <c r="J76" s="18"/>
      <c r="K76" s="20"/>
      <c r="L76" s="20"/>
      <c r="M76" s="20"/>
      <c r="N76" s="20"/>
      <c r="O76" s="20"/>
      <c r="P76" s="20"/>
      <c r="Q76" s="20"/>
      <c r="R76" s="20"/>
    </row>
    <row r="77" customFormat="false" ht="15" hidden="false" customHeight="false" outlineLevel="0" collapsed="false">
      <c r="A77" s="18"/>
      <c r="B77" s="20"/>
      <c r="C77" s="20"/>
      <c r="D77" s="18" t="str">
        <f aca="false">IF(C77="","",IFERROR(INDEX(Products!$A:$A,MATCH(C77,Products!$B:$B,0)),"Not found"))</f>
        <v/>
      </c>
      <c r="E77" s="20"/>
      <c r="F77" s="20"/>
      <c r="G77" s="20"/>
      <c r="H77" s="20"/>
      <c r="I77" s="20"/>
      <c r="J77" s="18"/>
      <c r="K77" s="20"/>
      <c r="L77" s="20"/>
      <c r="M77" s="20"/>
      <c r="N77" s="20"/>
      <c r="O77" s="20"/>
      <c r="P77" s="20"/>
      <c r="Q77" s="20"/>
      <c r="R77" s="20"/>
    </row>
    <row r="78" customFormat="false" ht="15" hidden="false" customHeight="false" outlineLevel="0" collapsed="false">
      <c r="A78" s="18"/>
      <c r="B78" s="20"/>
      <c r="C78" s="20"/>
      <c r="D78" s="18" t="str">
        <f aca="false">IF(C78="","",IFERROR(INDEX(Products!$A:$A,MATCH(C78,Products!$B:$B,0)),"Not found"))</f>
        <v/>
      </c>
      <c r="E78" s="20"/>
      <c r="F78" s="20"/>
      <c r="G78" s="20"/>
      <c r="H78" s="20"/>
      <c r="I78" s="20"/>
      <c r="J78" s="18"/>
      <c r="K78" s="20"/>
      <c r="L78" s="20"/>
      <c r="M78" s="20"/>
      <c r="N78" s="20"/>
      <c r="O78" s="20"/>
      <c r="P78" s="20"/>
      <c r="Q78" s="20"/>
      <c r="R78" s="20"/>
    </row>
    <row r="79" customFormat="false" ht="15" hidden="false" customHeight="false" outlineLevel="0" collapsed="false">
      <c r="A79" s="18"/>
      <c r="B79" s="20"/>
      <c r="C79" s="20"/>
      <c r="D79" s="18" t="str">
        <f aca="false">IF(C79="","",IFERROR(INDEX(Products!$A:$A,MATCH(C79,Products!$B:$B,0)),"Not found"))</f>
        <v/>
      </c>
      <c r="E79" s="20"/>
      <c r="F79" s="20"/>
      <c r="G79" s="20"/>
      <c r="H79" s="20"/>
      <c r="I79" s="20"/>
      <c r="J79" s="18"/>
      <c r="K79" s="20"/>
      <c r="L79" s="20"/>
      <c r="M79" s="20"/>
      <c r="N79" s="20"/>
      <c r="O79" s="20"/>
      <c r="P79" s="20"/>
      <c r="Q79" s="20"/>
      <c r="R79" s="20"/>
    </row>
    <row r="80" customFormat="false" ht="15" hidden="false" customHeight="false" outlineLevel="0" collapsed="false">
      <c r="A80" s="18"/>
      <c r="B80" s="20"/>
      <c r="C80" s="20"/>
      <c r="D80" s="18" t="str">
        <f aca="false">IF(C80="","",IFERROR(INDEX(Products!$A:$A,MATCH(C80,Products!$B:$B,0)),"Not found"))</f>
        <v/>
      </c>
      <c r="E80" s="20"/>
      <c r="F80" s="20"/>
      <c r="G80" s="20"/>
      <c r="H80" s="20"/>
      <c r="I80" s="20"/>
      <c r="J80" s="18"/>
      <c r="K80" s="20"/>
      <c r="L80" s="20"/>
      <c r="M80" s="20"/>
      <c r="N80" s="20"/>
      <c r="O80" s="20"/>
      <c r="P80" s="20"/>
      <c r="Q80" s="20"/>
      <c r="R80" s="20"/>
    </row>
    <row r="81" customFormat="false" ht="15" hidden="false" customHeight="false" outlineLevel="0" collapsed="false">
      <c r="A81" s="18"/>
      <c r="B81" s="20"/>
      <c r="C81" s="20"/>
      <c r="D81" s="18" t="str">
        <f aca="false">IF(C81="","",IFERROR(INDEX(Products!$A:$A,MATCH(C81,Products!$B:$B,0)),"Not found"))</f>
        <v/>
      </c>
      <c r="E81" s="20"/>
      <c r="F81" s="20"/>
      <c r="G81" s="20"/>
      <c r="H81" s="20"/>
      <c r="I81" s="20"/>
      <c r="J81" s="18"/>
      <c r="K81" s="20"/>
      <c r="L81" s="20"/>
      <c r="M81" s="20"/>
      <c r="N81" s="20"/>
      <c r="O81" s="20"/>
      <c r="P81" s="20"/>
      <c r="Q81" s="20"/>
      <c r="R81" s="20"/>
    </row>
    <row r="82" customFormat="false" ht="15" hidden="false" customHeight="false" outlineLevel="0" collapsed="false">
      <c r="A82" s="18"/>
      <c r="B82" s="20"/>
      <c r="C82" s="20"/>
      <c r="D82" s="18" t="str">
        <f aca="false">IF(C82="","",IFERROR(INDEX(Products!$A:$A,MATCH(C82,Products!$B:$B,0)),"Not found"))</f>
        <v/>
      </c>
      <c r="E82" s="20"/>
      <c r="F82" s="20"/>
      <c r="G82" s="20"/>
      <c r="H82" s="20"/>
      <c r="I82" s="20"/>
      <c r="J82" s="18"/>
      <c r="K82" s="20"/>
      <c r="L82" s="20"/>
      <c r="M82" s="20"/>
      <c r="N82" s="20"/>
      <c r="O82" s="20"/>
      <c r="P82" s="20"/>
      <c r="Q82" s="20"/>
      <c r="R82" s="20"/>
    </row>
    <row r="83" customFormat="false" ht="15" hidden="false" customHeight="false" outlineLevel="0" collapsed="false">
      <c r="A83" s="18"/>
      <c r="B83" s="20"/>
      <c r="C83" s="20"/>
      <c r="D83" s="18" t="str">
        <f aca="false">IF(C83="","",IFERROR(INDEX(Products!$A:$A,MATCH(C83,Products!$B:$B,0)),"Not found"))</f>
        <v/>
      </c>
      <c r="E83" s="20"/>
      <c r="F83" s="20"/>
      <c r="G83" s="20"/>
      <c r="H83" s="20"/>
      <c r="I83" s="20"/>
      <c r="J83" s="18"/>
      <c r="K83" s="20"/>
      <c r="L83" s="20"/>
      <c r="M83" s="20"/>
      <c r="N83" s="20"/>
      <c r="O83" s="20"/>
      <c r="P83" s="20"/>
      <c r="Q83" s="20"/>
      <c r="R83" s="20"/>
    </row>
    <row r="84" customFormat="false" ht="15" hidden="false" customHeight="false" outlineLevel="0" collapsed="false">
      <c r="A84" s="18"/>
      <c r="B84" s="20"/>
      <c r="C84" s="20"/>
      <c r="D84" s="18" t="str">
        <f aca="false">IF(C84="","",IFERROR(INDEX(Products!$A:$A,MATCH(C84,Products!$B:$B,0)),"Not found"))</f>
        <v/>
      </c>
      <c r="E84" s="20"/>
      <c r="F84" s="20"/>
      <c r="G84" s="20"/>
      <c r="H84" s="20"/>
      <c r="I84" s="20"/>
      <c r="J84" s="18"/>
      <c r="K84" s="20"/>
      <c r="L84" s="20"/>
      <c r="M84" s="20"/>
      <c r="N84" s="20"/>
      <c r="O84" s="20"/>
      <c r="P84" s="20"/>
      <c r="Q84" s="20"/>
      <c r="R84" s="20"/>
    </row>
    <row r="85" customFormat="false" ht="15" hidden="false" customHeight="false" outlineLevel="0" collapsed="false">
      <c r="A85" s="18"/>
      <c r="B85" s="20"/>
      <c r="C85" s="20"/>
      <c r="D85" s="18" t="str">
        <f aca="false">IF(C85="","",IFERROR(INDEX(Products!$A:$A,MATCH(C85,Products!$B:$B,0)),"Not found"))</f>
        <v/>
      </c>
      <c r="E85" s="20"/>
      <c r="F85" s="20"/>
      <c r="G85" s="20"/>
      <c r="H85" s="20"/>
      <c r="I85" s="20"/>
      <c r="J85" s="18"/>
      <c r="K85" s="20"/>
      <c r="L85" s="20"/>
      <c r="M85" s="20"/>
      <c r="N85" s="20"/>
      <c r="O85" s="20"/>
      <c r="P85" s="20"/>
      <c r="Q85" s="20"/>
      <c r="R85" s="20"/>
    </row>
    <row r="86" customFormat="false" ht="15" hidden="false" customHeight="false" outlineLevel="0" collapsed="false">
      <c r="A86" s="18"/>
      <c r="B86" s="20"/>
      <c r="C86" s="20"/>
      <c r="D86" s="18" t="str">
        <f aca="false">IF(C86="","",IFERROR(INDEX(Products!$A:$A,MATCH(C86,Products!$B:$B,0)),"Not found"))</f>
        <v/>
      </c>
      <c r="E86" s="20"/>
      <c r="F86" s="20"/>
      <c r="G86" s="20"/>
      <c r="H86" s="20"/>
      <c r="I86" s="20"/>
      <c r="J86" s="18"/>
      <c r="K86" s="20"/>
      <c r="L86" s="20"/>
      <c r="M86" s="20"/>
      <c r="N86" s="20"/>
      <c r="O86" s="20"/>
      <c r="P86" s="20"/>
      <c r="Q86" s="20"/>
      <c r="R86" s="20"/>
    </row>
    <row r="87" customFormat="false" ht="15" hidden="false" customHeight="false" outlineLevel="0" collapsed="false">
      <c r="A87" s="18"/>
      <c r="B87" s="20"/>
      <c r="C87" s="20"/>
      <c r="D87" s="18" t="str">
        <f aca="false">IF(C87="","",IFERROR(INDEX(Products!$A:$A,MATCH(C87,Products!$B:$B,0)),"Not found"))</f>
        <v/>
      </c>
      <c r="E87" s="20"/>
      <c r="F87" s="20"/>
      <c r="G87" s="20"/>
      <c r="H87" s="20"/>
      <c r="I87" s="20"/>
      <c r="J87" s="18"/>
      <c r="K87" s="20"/>
      <c r="L87" s="20"/>
      <c r="M87" s="20"/>
      <c r="N87" s="20"/>
      <c r="O87" s="20"/>
      <c r="P87" s="20"/>
      <c r="Q87" s="20"/>
      <c r="R87" s="20"/>
    </row>
    <row r="88" customFormat="false" ht="15" hidden="false" customHeight="false" outlineLevel="0" collapsed="false">
      <c r="A88" s="18"/>
      <c r="B88" s="20"/>
      <c r="C88" s="20"/>
      <c r="D88" s="18" t="str">
        <f aca="false">IF(C88="","",IFERROR(INDEX(Products!$A:$A,MATCH(C88,Products!$B:$B,0)),"Not found"))</f>
        <v/>
      </c>
      <c r="E88" s="20"/>
      <c r="F88" s="20"/>
      <c r="G88" s="20"/>
      <c r="H88" s="20"/>
      <c r="I88" s="20"/>
      <c r="J88" s="18"/>
      <c r="K88" s="20"/>
      <c r="L88" s="20"/>
      <c r="M88" s="20"/>
      <c r="N88" s="20"/>
      <c r="O88" s="20"/>
      <c r="P88" s="20"/>
      <c r="Q88" s="20"/>
      <c r="R88" s="20"/>
    </row>
    <row r="89" customFormat="false" ht="15" hidden="false" customHeight="false" outlineLevel="0" collapsed="false">
      <c r="A89" s="18"/>
      <c r="B89" s="20"/>
      <c r="C89" s="20"/>
      <c r="D89" s="18" t="str">
        <f aca="false">IF(C89="","",IFERROR(INDEX(Products!$A:$A,MATCH(C89,Products!$B:$B,0)),"Not found"))</f>
        <v/>
      </c>
      <c r="E89" s="20"/>
      <c r="F89" s="20"/>
      <c r="G89" s="20"/>
      <c r="H89" s="20"/>
      <c r="I89" s="20"/>
      <c r="J89" s="18"/>
      <c r="K89" s="20"/>
      <c r="L89" s="20"/>
      <c r="M89" s="20"/>
      <c r="N89" s="20"/>
      <c r="O89" s="20"/>
      <c r="P89" s="20"/>
      <c r="Q89" s="20"/>
      <c r="R89" s="20"/>
    </row>
    <row r="90" customFormat="false" ht="15" hidden="false" customHeight="false" outlineLevel="0" collapsed="false">
      <c r="A90" s="18"/>
      <c r="B90" s="20"/>
      <c r="C90" s="20"/>
      <c r="D90" s="18" t="str">
        <f aca="false">IF(C90="","",IFERROR(INDEX(Products!$A:$A,MATCH(C90,Products!$B:$B,0)),"Not found"))</f>
        <v/>
      </c>
      <c r="E90" s="20"/>
      <c r="F90" s="20"/>
      <c r="G90" s="20"/>
      <c r="H90" s="20"/>
      <c r="I90" s="20"/>
      <c r="J90" s="18"/>
      <c r="K90" s="20"/>
      <c r="L90" s="20"/>
      <c r="M90" s="20"/>
      <c r="N90" s="20"/>
      <c r="O90" s="20"/>
      <c r="P90" s="20"/>
      <c r="Q90" s="20"/>
      <c r="R90" s="20"/>
    </row>
    <row r="91" customFormat="false" ht="15" hidden="false" customHeight="false" outlineLevel="0" collapsed="false">
      <c r="A91" s="18"/>
      <c r="B91" s="20"/>
      <c r="C91" s="20"/>
      <c r="D91" s="18" t="str">
        <f aca="false">IF(C91="","",IFERROR(INDEX(Products!$A:$A,MATCH(C91,Products!$B:$B,0)),"Not found"))</f>
        <v/>
      </c>
      <c r="E91" s="20"/>
      <c r="F91" s="20"/>
      <c r="G91" s="20"/>
      <c r="H91" s="20"/>
      <c r="I91" s="20"/>
      <c r="J91" s="18"/>
      <c r="K91" s="20"/>
      <c r="L91" s="20"/>
      <c r="M91" s="20"/>
      <c r="N91" s="20"/>
      <c r="O91" s="20"/>
      <c r="P91" s="20"/>
      <c r="Q91" s="20"/>
      <c r="R91" s="20"/>
    </row>
    <row r="92" customFormat="false" ht="15" hidden="false" customHeight="false" outlineLevel="0" collapsed="false">
      <c r="A92" s="18"/>
      <c r="B92" s="20"/>
      <c r="C92" s="20"/>
      <c r="D92" s="18" t="str">
        <f aca="false">IF(C92="","",IFERROR(INDEX(Products!$A:$A,MATCH(C92,Products!$B:$B,0)),"Not found"))</f>
        <v/>
      </c>
      <c r="E92" s="20"/>
      <c r="F92" s="20"/>
      <c r="G92" s="20"/>
      <c r="H92" s="20"/>
      <c r="I92" s="20"/>
      <c r="J92" s="18"/>
      <c r="K92" s="20"/>
      <c r="L92" s="20"/>
      <c r="M92" s="20"/>
      <c r="N92" s="20"/>
      <c r="O92" s="20"/>
      <c r="P92" s="20"/>
      <c r="Q92" s="20"/>
      <c r="R92" s="20"/>
    </row>
    <row r="93" customFormat="false" ht="15" hidden="false" customHeight="false" outlineLevel="0" collapsed="false">
      <c r="A93" s="18"/>
      <c r="B93" s="20"/>
      <c r="C93" s="20"/>
      <c r="D93" s="18" t="str">
        <f aca="false">IF(C93="","",IFERROR(INDEX(Products!$A:$A,MATCH(C93,Products!$B:$B,0)),"Not found"))</f>
        <v/>
      </c>
      <c r="E93" s="20"/>
      <c r="F93" s="20"/>
      <c r="G93" s="20"/>
      <c r="H93" s="20"/>
      <c r="I93" s="20"/>
      <c r="J93" s="18"/>
      <c r="K93" s="20"/>
      <c r="L93" s="20"/>
      <c r="M93" s="20"/>
      <c r="N93" s="20"/>
      <c r="O93" s="20"/>
      <c r="P93" s="20"/>
      <c r="Q93" s="20"/>
      <c r="R93" s="20"/>
    </row>
    <row r="94" customFormat="false" ht="15" hidden="false" customHeight="false" outlineLevel="0" collapsed="false">
      <c r="A94" s="18"/>
      <c r="B94" s="20"/>
      <c r="C94" s="20"/>
      <c r="D94" s="18" t="str">
        <f aca="false">IF(C94="","",IFERROR(INDEX(Products!$A:$A,MATCH(C94,Products!$B:$B,0)),"Not found"))</f>
        <v/>
      </c>
      <c r="E94" s="20"/>
      <c r="F94" s="20"/>
      <c r="G94" s="20"/>
      <c r="H94" s="20"/>
      <c r="I94" s="20"/>
      <c r="J94" s="18"/>
      <c r="K94" s="20"/>
      <c r="L94" s="20"/>
      <c r="M94" s="20"/>
      <c r="N94" s="20"/>
      <c r="O94" s="20"/>
      <c r="P94" s="20"/>
      <c r="Q94" s="20"/>
      <c r="R94" s="20"/>
    </row>
    <row r="95" customFormat="false" ht="15" hidden="false" customHeight="false" outlineLevel="0" collapsed="false">
      <c r="A95" s="18"/>
      <c r="B95" s="20"/>
      <c r="C95" s="20"/>
      <c r="D95" s="18" t="str">
        <f aca="false">IF(C95="","",IFERROR(INDEX(Products!$A:$A,MATCH(C95,Products!$B:$B,0)),"Not found"))</f>
        <v/>
      </c>
      <c r="E95" s="20"/>
      <c r="F95" s="20"/>
      <c r="G95" s="20"/>
      <c r="H95" s="20"/>
      <c r="I95" s="20"/>
      <c r="J95" s="18"/>
      <c r="K95" s="20"/>
      <c r="L95" s="20"/>
      <c r="M95" s="20"/>
      <c r="N95" s="20"/>
      <c r="O95" s="20"/>
      <c r="P95" s="20"/>
      <c r="Q95" s="20"/>
      <c r="R95" s="20"/>
    </row>
    <row r="96" customFormat="false" ht="15" hidden="false" customHeight="false" outlineLevel="0" collapsed="false">
      <c r="A96" s="18"/>
      <c r="B96" s="20"/>
      <c r="C96" s="20"/>
      <c r="D96" s="18" t="str">
        <f aca="false">IF(C96="","",IFERROR(INDEX(Products!$A:$A,MATCH(C96,Products!$B:$B,0)),"Not found"))</f>
        <v/>
      </c>
      <c r="E96" s="20"/>
      <c r="F96" s="20"/>
      <c r="G96" s="20"/>
      <c r="H96" s="20"/>
      <c r="I96" s="20"/>
      <c r="J96" s="18"/>
      <c r="K96" s="20"/>
      <c r="L96" s="20"/>
      <c r="M96" s="20"/>
      <c r="N96" s="20"/>
      <c r="O96" s="20"/>
      <c r="P96" s="20"/>
      <c r="Q96" s="20"/>
      <c r="R96" s="20"/>
    </row>
    <row r="97" customFormat="false" ht="15" hidden="false" customHeight="false" outlineLevel="0" collapsed="false">
      <c r="A97" s="18"/>
      <c r="B97" s="20"/>
      <c r="C97" s="20"/>
      <c r="D97" s="18" t="str">
        <f aca="false">IF(C97="","",IFERROR(INDEX(Products!$A:$A,MATCH(C97,Products!$B:$B,0)),"Not found"))</f>
        <v/>
      </c>
      <c r="E97" s="20"/>
      <c r="F97" s="20"/>
      <c r="G97" s="20"/>
      <c r="H97" s="20"/>
      <c r="I97" s="20"/>
      <c r="J97" s="18"/>
      <c r="K97" s="20"/>
      <c r="L97" s="20"/>
      <c r="M97" s="20"/>
      <c r="N97" s="20"/>
      <c r="O97" s="20"/>
      <c r="P97" s="20"/>
      <c r="Q97" s="20"/>
      <c r="R97" s="20"/>
    </row>
    <row r="98" customFormat="false" ht="15" hidden="false" customHeight="false" outlineLevel="0" collapsed="false">
      <c r="A98" s="18"/>
      <c r="B98" s="20"/>
      <c r="C98" s="20"/>
      <c r="D98" s="18" t="str">
        <f aca="false">IF(C98="","",IFERROR(INDEX(Products!$A:$A,MATCH(C98,Products!$B:$B,0)),"Not found"))</f>
        <v/>
      </c>
      <c r="E98" s="20"/>
      <c r="F98" s="20"/>
      <c r="G98" s="20"/>
      <c r="H98" s="20"/>
      <c r="I98" s="20"/>
      <c r="J98" s="18"/>
      <c r="K98" s="20"/>
      <c r="L98" s="20"/>
      <c r="M98" s="20"/>
      <c r="N98" s="20"/>
      <c r="O98" s="20"/>
      <c r="P98" s="20"/>
      <c r="Q98" s="20"/>
      <c r="R98" s="20"/>
    </row>
    <row r="99" customFormat="false" ht="15" hidden="false" customHeight="false" outlineLevel="0" collapsed="false">
      <c r="A99" s="18"/>
      <c r="B99" s="20"/>
      <c r="C99" s="20"/>
      <c r="D99" s="18" t="str">
        <f aca="false">IF(C99="","",IFERROR(INDEX(Products!$A:$A,MATCH(C99,Products!$B:$B,0)),"Not found"))</f>
        <v/>
      </c>
      <c r="E99" s="20"/>
      <c r="F99" s="20"/>
      <c r="G99" s="20"/>
      <c r="H99" s="20"/>
      <c r="I99" s="20"/>
      <c r="J99" s="18"/>
      <c r="K99" s="20"/>
      <c r="L99" s="20"/>
      <c r="M99" s="20"/>
      <c r="N99" s="20"/>
      <c r="O99" s="20"/>
      <c r="P99" s="20"/>
      <c r="Q99" s="20"/>
      <c r="R99" s="20"/>
    </row>
    <row r="100" customFormat="false" ht="15" hidden="false" customHeight="false" outlineLevel="0" collapsed="false">
      <c r="A100" s="18"/>
      <c r="B100" s="20"/>
      <c r="C100" s="20"/>
      <c r="D100" s="18" t="str">
        <f aca="false">IF(C100="","",IFERROR(INDEX(Products!$A:$A,MATCH(C100,Products!$B:$B,0)),"Not found"))</f>
        <v/>
      </c>
      <c r="E100" s="20"/>
      <c r="F100" s="20"/>
      <c r="G100" s="20"/>
      <c r="H100" s="20"/>
      <c r="I100" s="20"/>
      <c r="J100" s="18"/>
      <c r="K100" s="20"/>
      <c r="L100" s="20"/>
      <c r="M100" s="20"/>
      <c r="N100" s="20"/>
      <c r="O100" s="20"/>
      <c r="P100" s="20"/>
      <c r="Q100" s="20"/>
      <c r="R100" s="20"/>
    </row>
    <row r="101" customFormat="false" ht="15" hidden="false" customHeight="false" outlineLevel="0" collapsed="false">
      <c r="A101" s="18"/>
      <c r="B101" s="20"/>
      <c r="C101" s="20"/>
      <c r="D101" s="18" t="str">
        <f aca="false">IF(C101="","",IFERROR(INDEX(Products!$A:$A,MATCH(C101,Products!$B:$B,0)),"Not found"))</f>
        <v/>
      </c>
      <c r="E101" s="20"/>
      <c r="F101" s="20"/>
      <c r="G101" s="20"/>
      <c r="H101" s="20"/>
      <c r="I101" s="20"/>
      <c r="J101" s="18"/>
      <c r="K101" s="20"/>
      <c r="L101" s="20"/>
      <c r="M101" s="20"/>
      <c r="N101" s="20"/>
      <c r="O101" s="20"/>
      <c r="P101" s="20"/>
      <c r="Q101" s="20"/>
      <c r="R101" s="20"/>
    </row>
    <row r="102" customFormat="false" ht="15" hidden="false" customHeight="false" outlineLevel="0" collapsed="false">
      <c r="A102" s="18"/>
      <c r="B102" s="20"/>
      <c r="C102" s="20"/>
      <c r="D102" s="18" t="str">
        <f aca="false">IF(C102="","",IFERROR(INDEX(Products!$A:$A,MATCH(C102,Products!$B:$B,0)),"Not found"))</f>
        <v/>
      </c>
      <c r="E102" s="20"/>
      <c r="F102" s="20"/>
      <c r="G102" s="20"/>
      <c r="H102" s="20"/>
      <c r="I102" s="20"/>
      <c r="J102" s="18"/>
      <c r="K102" s="20"/>
      <c r="L102" s="20"/>
      <c r="M102" s="20"/>
      <c r="N102" s="20"/>
      <c r="O102" s="20"/>
      <c r="P102" s="20"/>
      <c r="Q102" s="20"/>
      <c r="R102" s="20"/>
    </row>
    <row r="103" customFormat="false" ht="15" hidden="false" customHeight="false" outlineLevel="0" collapsed="false">
      <c r="A103" s="18"/>
      <c r="B103" s="20"/>
      <c r="C103" s="20"/>
      <c r="D103" s="18" t="str">
        <f aca="false">IF(C103="","",IFERROR(INDEX(Products!$A:$A,MATCH(C103,Products!$B:$B,0)),"Not found"))</f>
        <v/>
      </c>
      <c r="E103" s="20"/>
      <c r="F103" s="20"/>
      <c r="G103" s="20"/>
      <c r="H103" s="20"/>
      <c r="I103" s="20"/>
      <c r="J103" s="18"/>
      <c r="K103" s="20"/>
      <c r="L103" s="20"/>
      <c r="M103" s="20"/>
      <c r="N103" s="20"/>
      <c r="O103" s="20"/>
      <c r="P103" s="20"/>
      <c r="Q103" s="20"/>
      <c r="R103" s="20"/>
    </row>
    <row r="104" customFormat="false" ht="15" hidden="false" customHeight="false" outlineLevel="0" collapsed="false">
      <c r="A104" s="18"/>
      <c r="B104" s="20"/>
      <c r="C104" s="20"/>
      <c r="D104" s="18" t="str">
        <f aca="false">IF(C104="","",IFERROR(INDEX(Products!$A:$A,MATCH(C104,Products!$B:$B,0)),"Not found"))</f>
        <v/>
      </c>
      <c r="E104" s="20"/>
      <c r="F104" s="20"/>
      <c r="G104" s="20"/>
      <c r="H104" s="20"/>
      <c r="I104" s="20"/>
      <c r="J104" s="18"/>
      <c r="K104" s="20"/>
      <c r="L104" s="20"/>
      <c r="M104" s="20"/>
      <c r="N104" s="20"/>
      <c r="O104" s="20"/>
      <c r="P104" s="20"/>
      <c r="Q104" s="20"/>
      <c r="R104" s="20"/>
    </row>
    <row r="105" customFormat="false" ht="15" hidden="false" customHeight="false" outlineLevel="0" collapsed="false">
      <c r="A105" s="18"/>
      <c r="B105" s="20"/>
      <c r="C105" s="20"/>
      <c r="D105" s="18" t="str">
        <f aca="false">IF(C105="","",IFERROR(INDEX(Products!$A:$A,MATCH(C105,Products!$B:$B,0)),"Not found"))</f>
        <v/>
      </c>
      <c r="E105" s="20"/>
      <c r="F105" s="20"/>
      <c r="G105" s="20"/>
      <c r="H105" s="20"/>
      <c r="I105" s="20"/>
      <c r="J105" s="18"/>
      <c r="K105" s="20"/>
      <c r="L105" s="20"/>
      <c r="M105" s="20"/>
      <c r="N105" s="20"/>
      <c r="O105" s="20"/>
      <c r="P105" s="20"/>
      <c r="Q105" s="20"/>
      <c r="R105" s="20"/>
    </row>
    <row r="106" customFormat="false" ht="15" hidden="false" customHeight="false" outlineLevel="0" collapsed="false">
      <c r="A106" s="18"/>
      <c r="B106" s="20"/>
      <c r="C106" s="20"/>
      <c r="D106" s="18" t="str">
        <f aca="false">IF(C106="","",IFERROR(INDEX(Products!$A:$A,MATCH(C106,Products!$B:$B,0)),"Not found"))</f>
        <v/>
      </c>
      <c r="E106" s="20"/>
      <c r="F106" s="20"/>
      <c r="G106" s="20"/>
      <c r="H106" s="20"/>
      <c r="I106" s="20"/>
      <c r="J106" s="18"/>
      <c r="K106" s="20"/>
      <c r="L106" s="20"/>
      <c r="M106" s="20"/>
      <c r="N106" s="20"/>
      <c r="O106" s="20"/>
      <c r="P106" s="20"/>
      <c r="Q106" s="20"/>
      <c r="R106" s="20"/>
    </row>
    <row r="107" customFormat="false" ht="15" hidden="false" customHeight="false" outlineLevel="0" collapsed="false">
      <c r="A107" s="18"/>
      <c r="B107" s="20"/>
      <c r="C107" s="20"/>
      <c r="D107" s="18" t="str">
        <f aca="false">IF(C107="","",IFERROR(INDEX(Products!$A:$A,MATCH(C107,Products!$B:$B,0)),"Not found"))</f>
        <v/>
      </c>
      <c r="E107" s="20"/>
      <c r="F107" s="20"/>
      <c r="G107" s="20"/>
      <c r="H107" s="20"/>
      <c r="I107" s="20"/>
      <c r="J107" s="18"/>
      <c r="K107" s="20"/>
      <c r="L107" s="20"/>
      <c r="M107" s="20"/>
      <c r="N107" s="20"/>
      <c r="O107" s="20"/>
      <c r="P107" s="20"/>
      <c r="Q107" s="20"/>
      <c r="R107" s="20"/>
    </row>
    <row r="108" customFormat="false" ht="15" hidden="false" customHeight="false" outlineLevel="0" collapsed="false">
      <c r="A108" s="18"/>
      <c r="B108" s="20"/>
      <c r="C108" s="20"/>
      <c r="D108" s="18" t="str">
        <f aca="false">IF(C108="","",IFERROR(INDEX(Products!$A:$A,MATCH(C108,Products!$B:$B,0)),"Not found"))</f>
        <v/>
      </c>
      <c r="E108" s="20"/>
      <c r="F108" s="20"/>
      <c r="G108" s="20"/>
      <c r="H108" s="20"/>
      <c r="I108" s="20"/>
      <c r="J108" s="18"/>
      <c r="K108" s="20"/>
      <c r="L108" s="20"/>
      <c r="M108" s="20"/>
      <c r="N108" s="20"/>
      <c r="O108" s="20"/>
      <c r="P108" s="20"/>
      <c r="Q108" s="20"/>
      <c r="R108" s="20"/>
    </row>
    <row r="109" customFormat="false" ht="15" hidden="false" customHeight="false" outlineLevel="0" collapsed="false">
      <c r="A109" s="18"/>
      <c r="B109" s="20"/>
      <c r="C109" s="20"/>
      <c r="D109" s="18" t="str">
        <f aca="false">IF(C109="","",IFERROR(INDEX(Products!$A:$A,MATCH(C109,Products!$B:$B,0)),"Not found"))</f>
        <v/>
      </c>
      <c r="E109" s="20"/>
      <c r="F109" s="20"/>
      <c r="G109" s="20"/>
      <c r="H109" s="20"/>
      <c r="I109" s="20"/>
      <c r="J109" s="18"/>
      <c r="K109" s="20"/>
      <c r="L109" s="20"/>
      <c r="M109" s="20"/>
      <c r="N109" s="20"/>
      <c r="O109" s="20"/>
      <c r="P109" s="20"/>
      <c r="Q109" s="20"/>
      <c r="R109" s="20"/>
    </row>
    <row r="110" customFormat="false" ht="15" hidden="false" customHeight="false" outlineLevel="0" collapsed="false">
      <c r="A110" s="18"/>
      <c r="B110" s="20"/>
      <c r="C110" s="20"/>
      <c r="D110" s="18" t="str">
        <f aca="false">IF(C110="","",IFERROR(INDEX(Products!$A:$A,MATCH(C110,Products!$B:$B,0)),"Not found"))</f>
        <v/>
      </c>
      <c r="E110" s="20"/>
      <c r="F110" s="20"/>
      <c r="G110" s="20"/>
      <c r="H110" s="20"/>
      <c r="I110" s="20"/>
      <c r="J110" s="18"/>
      <c r="K110" s="20"/>
      <c r="L110" s="20"/>
      <c r="M110" s="20"/>
      <c r="N110" s="20"/>
      <c r="O110" s="20"/>
      <c r="P110" s="20"/>
      <c r="Q110" s="20"/>
      <c r="R110" s="20"/>
    </row>
    <row r="111" customFormat="false" ht="15" hidden="false" customHeight="false" outlineLevel="0" collapsed="false">
      <c r="A111" s="18"/>
      <c r="B111" s="20"/>
      <c r="C111" s="20"/>
      <c r="D111" s="18" t="str">
        <f aca="false">IF(C111="","",IFERROR(INDEX(Products!$A:$A,MATCH(C111,Products!$B:$B,0)),"Not found"))</f>
        <v/>
      </c>
      <c r="E111" s="20"/>
      <c r="F111" s="20"/>
      <c r="G111" s="20"/>
      <c r="H111" s="20"/>
      <c r="I111" s="20"/>
      <c r="J111" s="18"/>
      <c r="K111" s="20"/>
      <c r="L111" s="20"/>
      <c r="M111" s="20"/>
      <c r="N111" s="20"/>
      <c r="O111" s="20"/>
      <c r="P111" s="20"/>
      <c r="Q111" s="20"/>
      <c r="R111" s="20"/>
    </row>
    <row r="112" customFormat="false" ht="15" hidden="false" customHeight="false" outlineLevel="0" collapsed="false">
      <c r="A112" s="18"/>
      <c r="B112" s="20"/>
      <c r="C112" s="20"/>
      <c r="D112" s="18" t="str">
        <f aca="false">IF(C112="","",IFERROR(INDEX(Products!$A:$A,MATCH(C112,Products!$B:$B,0)),"Not found"))</f>
        <v/>
      </c>
      <c r="E112" s="20"/>
      <c r="F112" s="20"/>
      <c r="G112" s="20"/>
      <c r="H112" s="20"/>
      <c r="I112" s="20"/>
      <c r="J112" s="18"/>
      <c r="K112" s="20"/>
      <c r="L112" s="20"/>
      <c r="M112" s="20"/>
      <c r="N112" s="20"/>
      <c r="O112" s="20"/>
      <c r="P112" s="20"/>
      <c r="Q112" s="20"/>
      <c r="R112" s="20"/>
    </row>
    <row r="113" customFormat="false" ht="15" hidden="false" customHeight="false" outlineLevel="0" collapsed="false">
      <c r="A113" s="18"/>
      <c r="B113" s="20"/>
      <c r="C113" s="20"/>
      <c r="D113" s="18" t="str">
        <f aca="false">IF(C113="","",IFERROR(INDEX(Products!$A:$A,MATCH(C113,Products!$B:$B,0)),"Not found"))</f>
        <v/>
      </c>
      <c r="E113" s="20"/>
      <c r="F113" s="20"/>
      <c r="G113" s="20"/>
      <c r="H113" s="20"/>
      <c r="I113" s="20"/>
      <c r="J113" s="18"/>
      <c r="K113" s="20"/>
      <c r="L113" s="20"/>
      <c r="M113" s="20"/>
      <c r="N113" s="20"/>
      <c r="O113" s="20"/>
      <c r="P113" s="20"/>
      <c r="Q113" s="20"/>
      <c r="R113" s="20"/>
    </row>
    <row r="114" customFormat="false" ht="15" hidden="false" customHeight="false" outlineLevel="0" collapsed="false">
      <c r="A114" s="18"/>
      <c r="B114" s="20"/>
      <c r="C114" s="20"/>
      <c r="D114" s="18" t="str">
        <f aca="false">IF(C114="","",IFERROR(INDEX(Products!$A:$A,MATCH(C114,Products!$B:$B,0)),"Not found"))</f>
        <v/>
      </c>
      <c r="E114" s="20"/>
      <c r="F114" s="20"/>
      <c r="G114" s="20"/>
      <c r="H114" s="20"/>
      <c r="I114" s="20"/>
      <c r="J114" s="18"/>
      <c r="K114" s="20"/>
      <c r="L114" s="20"/>
      <c r="M114" s="20"/>
      <c r="N114" s="20"/>
      <c r="O114" s="20"/>
      <c r="P114" s="20"/>
      <c r="Q114" s="20"/>
      <c r="R114" s="20"/>
    </row>
    <row r="115" customFormat="false" ht="15" hidden="false" customHeight="false" outlineLevel="0" collapsed="false">
      <c r="A115" s="18"/>
      <c r="B115" s="20"/>
      <c r="C115" s="20"/>
      <c r="D115" s="18" t="str">
        <f aca="false">IF(C115="","",IFERROR(INDEX(Products!$A:$A,MATCH(C115,Products!$B:$B,0)),"Not found"))</f>
        <v/>
      </c>
      <c r="E115" s="20"/>
      <c r="F115" s="20"/>
      <c r="G115" s="20"/>
      <c r="H115" s="20"/>
      <c r="I115" s="20"/>
      <c r="J115" s="18"/>
      <c r="K115" s="20"/>
      <c r="L115" s="20"/>
      <c r="M115" s="20"/>
      <c r="N115" s="20"/>
      <c r="O115" s="20"/>
      <c r="P115" s="20"/>
      <c r="Q115" s="20"/>
      <c r="R115" s="20"/>
    </row>
    <row r="116" customFormat="false" ht="15" hidden="false" customHeight="false" outlineLevel="0" collapsed="false">
      <c r="A116" s="18"/>
      <c r="B116" s="20"/>
      <c r="C116" s="20"/>
      <c r="D116" s="18" t="str">
        <f aca="false">IF(C116="","",IFERROR(INDEX(Products!$A:$A,MATCH(C116,Products!$B:$B,0)),"Not found"))</f>
        <v/>
      </c>
      <c r="E116" s="20"/>
      <c r="F116" s="20"/>
      <c r="G116" s="20"/>
      <c r="H116" s="20"/>
      <c r="I116" s="20"/>
      <c r="J116" s="18"/>
      <c r="K116" s="20"/>
      <c r="L116" s="20"/>
      <c r="M116" s="20"/>
      <c r="N116" s="20"/>
      <c r="O116" s="20"/>
      <c r="P116" s="20"/>
      <c r="Q116" s="20"/>
      <c r="R116" s="20"/>
    </row>
    <row r="117" customFormat="false" ht="15" hidden="false" customHeight="false" outlineLevel="0" collapsed="false">
      <c r="A117" s="18"/>
      <c r="B117" s="20"/>
      <c r="C117" s="20"/>
      <c r="D117" s="18" t="str">
        <f aca="false">IF(C117="","",IFERROR(INDEX(Products!$A:$A,MATCH(C117,Products!$B:$B,0)),"Not found"))</f>
        <v/>
      </c>
      <c r="E117" s="20"/>
      <c r="F117" s="20"/>
      <c r="G117" s="20"/>
      <c r="H117" s="20"/>
      <c r="I117" s="20"/>
      <c r="J117" s="18"/>
      <c r="K117" s="20"/>
      <c r="L117" s="20"/>
      <c r="M117" s="20"/>
      <c r="N117" s="20"/>
      <c r="O117" s="20"/>
      <c r="P117" s="20"/>
      <c r="Q117" s="20"/>
      <c r="R117" s="20"/>
    </row>
    <row r="118" customFormat="false" ht="15" hidden="false" customHeight="false" outlineLevel="0" collapsed="false">
      <c r="A118" s="18"/>
      <c r="B118" s="20"/>
      <c r="C118" s="20"/>
      <c r="D118" s="18" t="str">
        <f aca="false">IF(C118="","",IFERROR(INDEX(Products!$A:$A,MATCH(C118,Products!$B:$B,0)),"Not found"))</f>
        <v/>
      </c>
      <c r="E118" s="20"/>
      <c r="F118" s="20"/>
      <c r="G118" s="20"/>
      <c r="H118" s="20"/>
      <c r="I118" s="20"/>
      <c r="J118" s="18"/>
      <c r="K118" s="20"/>
      <c r="L118" s="20"/>
      <c r="M118" s="20"/>
      <c r="N118" s="20"/>
      <c r="O118" s="20"/>
      <c r="P118" s="20"/>
      <c r="Q118" s="20"/>
      <c r="R118" s="20"/>
    </row>
    <row r="119" customFormat="false" ht="15" hidden="false" customHeight="false" outlineLevel="0" collapsed="false">
      <c r="A119" s="18"/>
      <c r="B119" s="20"/>
      <c r="C119" s="20"/>
      <c r="D119" s="18" t="str">
        <f aca="false">IF(C119="","",IFERROR(INDEX(Products!$A:$A,MATCH(C119,Products!$B:$B,0)),"Not found"))</f>
        <v/>
      </c>
      <c r="E119" s="20"/>
      <c r="F119" s="20"/>
      <c r="G119" s="20"/>
      <c r="H119" s="20"/>
      <c r="I119" s="20"/>
      <c r="J119" s="18"/>
      <c r="K119" s="20"/>
      <c r="L119" s="20"/>
      <c r="M119" s="20"/>
      <c r="N119" s="20"/>
      <c r="O119" s="20"/>
      <c r="P119" s="20"/>
      <c r="Q119" s="20"/>
      <c r="R119" s="20"/>
    </row>
    <row r="120" customFormat="false" ht="15" hidden="false" customHeight="false" outlineLevel="0" collapsed="false">
      <c r="A120" s="18"/>
      <c r="B120" s="20"/>
      <c r="C120" s="20"/>
      <c r="D120" s="18" t="str">
        <f aca="false">IF(C120="","",IFERROR(INDEX(Products!$A:$A,MATCH(C120,Products!$B:$B,0)),"Not found"))</f>
        <v/>
      </c>
      <c r="E120" s="20"/>
      <c r="F120" s="20"/>
      <c r="G120" s="20"/>
      <c r="H120" s="20"/>
      <c r="I120" s="20"/>
      <c r="J120" s="18"/>
      <c r="K120" s="20"/>
      <c r="L120" s="20"/>
      <c r="M120" s="20"/>
      <c r="N120" s="20"/>
      <c r="O120" s="20"/>
      <c r="P120" s="20"/>
      <c r="Q120" s="20"/>
      <c r="R120" s="20"/>
    </row>
    <row r="121" customFormat="false" ht="15" hidden="false" customHeight="false" outlineLevel="0" collapsed="false">
      <c r="A121" s="18"/>
      <c r="B121" s="20"/>
      <c r="C121" s="20"/>
      <c r="D121" s="18" t="str">
        <f aca="false">IF(C121="","",IFERROR(INDEX(Products!$A:$A,MATCH(C121,Products!$B:$B,0)),"Not found"))</f>
        <v/>
      </c>
      <c r="E121" s="20"/>
      <c r="F121" s="20"/>
      <c r="G121" s="20"/>
      <c r="H121" s="20"/>
      <c r="I121" s="20"/>
      <c r="J121" s="18"/>
      <c r="K121" s="20"/>
      <c r="L121" s="20"/>
      <c r="M121" s="20"/>
      <c r="N121" s="20"/>
      <c r="O121" s="20"/>
      <c r="P121" s="20"/>
      <c r="Q121" s="20"/>
      <c r="R121" s="20"/>
    </row>
    <row r="122" customFormat="false" ht="15" hidden="false" customHeight="false" outlineLevel="0" collapsed="false">
      <c r="A122" s="18"/>
      <c r="B122" s="20"/>
      <c r="C122" s="20"/>
      <c r="D122" s="18" t="str">
        <f aca="false">IF(C122="","",IFERROR(INDEX(Products!$A:$A,MATCH(C122,Products!$B:$B,0)),"Not found"))</f>
        <v/>
      </c>
      <c r="E122" s="20"/>
      <c r="F122" s="20"/>
      <c r="G122" s="20"/>
      <c r="H122" s="20"/>
      <c r="I122" s="20"/>
      <c r="J122" s="18"/>
      <c r="K122" s="20"/>
      <c r="L122" s="20"/>
      <c r="M122" s="20"/>
      <c r="N122" s="20"/>
      <c r="O122" s="20"/>
      <c r="P122" s="20"/>
      <c r="Q122" s="20"/>
      <c r="R122" s="20"/>
    </row>
    <row r="123" customFormat="false" ht="15" hidden="false" customHeight="false" outlineLevel="0" collapsed="false">
      <c r="A123" s="18"/>
      <c r="B123" s="20"/>
      <c r="C123" s="20"/>
      <c r="D123" s="18" t="str">
        <f aca="false">IF(C123="","",IFERROR(INDEX(Products!$A:$A,MATCH(C123,Products!$B:$B,0)),"Not found"))</f>
        <v/>
      </c>
      <c r="E123" s="20"/>
      <c r="F123" s="20"/>
      <c r="G123" s="20"/>
      <c r="H123" s="20"/>
      <c r="I123" s="20"/>
      <c r="J123" s="18"/>
      <c r="K123" s="20"/>
      <c r="L123" s="20"/>
      <c r="M123" s="20"/>
      <c r="N123" s="20"/>
      <c r="O123" s="20"/>
      <c r="P123" s="20"/>
      <c r="Q123" s="20"/>
      <c r="R123" s="20"/>
    </row>
    <row r="124" customFormat="false" ht="15" hidden="false" customHeight="false" outlineLevel="0" collapsed="false">
      <c r="A124" s="18"/>
      <c r="B124" s="20"/>
      <c r="C124" s="20"/>
      <c r="D124" s="18" t="str">
        <f aca="false">IF(C124="","",IFERROR(INDEX(Products!$A:$A,MATCH(C124,Products!$B:$B,0)),"Not found"))</f>
        <v/>
      </c>
      <c r="E124" s="20"/>
      <c r="F124" s="20"/>
      <c r="G124" s="20"/>
      <c r="H124" s="20"/>
      <c r="I124" s="20"/>
      <c r="J124" s="18"/>
      <c r="K124" s="20"/>
      <c r="L124" s="20"/>
      <c r="M124" s="20"/>
      <c r="N124" s="20"/>
      <c r="O124" s="20"/>
      <c r="P124" s="20"/>
      <c r="Q124" s="20"/>
      <c r="R124" s="20"/>
    </row>
    <row r="125" customFormat="false" ht="15" hidden="false" customHeight="false" outlineLevel="0" collapsed="false">
      <c r="A125" s="18"/>
      <c r="B125" s="20"/>
      <c r="C125" s="20"/>
      <c r="D125" s="18" t="str">
        <f aca="false">IF(C125="","",IFERROR(INDEX(Products!$A:$A,MATCH(C125,Products!$B:$B,0)),"Not found"))</f>
        <v/>
      </c>
      <c r="E125" s="20"/>
      <c r="F125" s="20"/>
      <c r="G125" s="20"/>
      <c r="H125" s="20"/>
      <c r="I125" s="20"/>
      <c r="J125" s="18"/>
      <c r="K125" s="20"/>
      <c r="L125" s="20"/>
      <c r="M125" s="20"/>
      <c r="N125" s="20"/>
      <c r="O125" s="20"/>
      <c r="P125" s="20"/>
      <c r="Q125" s="20"/>
      <c r="R125" s="20"/>
    </row>
    <row r="126" customFormat="false" ht="15" hidden="false" customHeight="false" outlineLevel="0" collapsed="false">
      <c r="A126" s="18"/>
      <c r="B126" s="20"/>
      <c r="C126" s="20"/>
      <c r="D126" s="18" t="str">
        <f aca="false">IF(C126="","",IFERROR(INDEX(Products!$A:$A,MATCH(C126,Products!$B:$B,0)),"Not found"))</f>
        <v/>
      </c>
      <c r="E126" s="20"/>
      <c r="F126" s="20"/>
      <c r="G126" s="20"/>
      <c r="H126" s="20"/>
      <c r="I126" s="20"/>
      <c r="J126" s="18"/>
      <c r="K126" s="20"/>
      <c r="L126" s="20"/>
      <c r="M126" s="20"/>
      <c r="N126" s="20"/>
      <c r="O126" s="20"/>
      <c r="P126" s="20"/>
      <c r="Q126" s="20"/>
      <c r="R126" s="20"/>
    </row>
    <row r="127" customFormat="false" ht="15" hidden="false" customHeight="false" outlineLevel="0" collapsed="false">
      <c r="A127" s="18"/>
      <c r="B127" s="20"/>
      <c r="C127" s="20"/>
      <c r="D127" s="18" t="str">
        <f aca="false">IF(C127="","",IFERROR(INDEX(Products!$A:$A,MATCH(C127,Products!$B:$B,0)),"Not found"))</f>
        <v/>
      </c>
      <c r="E127" s="20"/>
      <c r="F127" s="20"/>
      <c r="G127" s="20"/>
      <c r="H127" s="20"/>
      <c r="I127" s="20"/>
      <c r="J127" s="18"/>
      <c r="K127" s="20"/>
      <c r="L127" s="20"/>
      <c r="M127" s="20"/>
      <c r="N127" s="20"/>
      <c r="O127" s="20"/>
      <c r="P127" s="20"/>
      <c r="Q127" s="20"/>
      <c r="R127" s="20"/>
    </row>
    <row r="128" customFormat="false" ht="15" hidden="false" customHeight="false" outlineLevel="0" collapsed="false">
      <c r="A128" s="18"/>
      <c r="B128" s="20"/>
      <c r="C128" s="20"/>
      <c r="D128" s="18" t="str">
        <f aca="false">IF(C128="","",IFERROR(INDEX(Products!$A:$A,MATCH(C128,Products!$B:$B,0)),"Not found"))</f>
        <v/>
      </c>
      <c r="E128" s="20"/>
      <c r="F128" s="20"/>
      <c r="G128" s="20"/>
      <c r="H128" s="20"/>
      <c r="I128" s="20"/>
      <c r="J128" s="18"/>
      <c r="K128" s="20"/>
      <c r="L128" s="20"/>
      <c r="M128" s="20"/>
      <c r="N128" s="20"/>
      <c r="O128" s="20"/>
      <c r="P128" s="20"/>
      <c r="Q128" s="20"/>
      <c r="R128" s="20"/>
    </row>
    <row r="129" customFormat="false" ht="15" hidden="false" customHeight="false" outlineLevel="0" collapsed="false">
      <c r="A129" s="18"/>
      <c r="B129" s="20"/>
      <c r="C129" s="20"/>
      <c r="D129" s="18" t="str">
        <f aca="false">IF(C129="","",IFERROR(INDEX(Products!$A:$A,MATCH(C129,Products!$B:$B,0)),"Not found"))</f>
        <v/>
      </c>
      <c r="E129" s="20"/>
      <c r="F129" s="20"/>
      <c r="G129" s="20"/>
      <c r="H129" s="20"/>
      <c r="I129" s="20"/>
      <c r="J129" s="18"/>
      <c r="K129" s="20"/>
      <c r="L129" s="20"/>
      <c r="M129" s="20"/>
      <c r="N129" s="20"/>
      <c r="O129" s="20"/>
      <c r="P129" s="20"/>
      <c r="Q129" s="20"/>
      <c r="R129" s="20"/>
    </row>
    <row r="130" customFormat="false" ht="15" hidden="false" customHeight="false" outlineLevel="0" collapsed="false">
      <c r="A130" s="18"/>
      <c r="B130" s="20"/>
      <c r="C130" s="20"/>
      <c r="D130" s="18" t="str">
        <f aca="false">IF(C130="","",IFERROR(INDEX(Products!$A:$A,MATCH(C130,Products!$B:$B,0)),"Not found"))</f>
        <v/>
      </c>
      <c r="E130" s="20"/>
      <c r="F130" s="20"/>
      <c r="G130" s="20"/>
      <c r="H130" s="20"/>
      <c r="I130" s="20"/>
      <c r="J130" s="18"/>
      <c r="K130" s="20"/>
      <c r="L130" s="20"/>
      <c r="M130" s="20"/>
      <c r="N130" s="20"/>
      <c r="O130" s="20"/>
      <c r="P130" s="20"/>
      <c r="Q130" s="20"/>
      <c r="R130" s="20"/>
    </row>
    <row r="131" customFormat="false" ht="15" hidden="false" customHeight="false" outlineLevel="0" collapsed="false">
      <c r="A131" s="18"/>
      <c r="B131" s="20"/>
      <c r="C131" s="20"/>
      <c r="D131" s="18" t="str">
        <f aca="false">IF(C131="","",IFERROR(INDEX(Products!$A:$A,MATCH(C131,Products!$B:$B,0)),"Not found"))</f>
        <v/>
      </c>
      <c r="E131" s="20"/>
      <c r="F131" s="20"/>
      <c r="G131" s="20"/>
      <c r="H131" s="20"/>
      <c r="I131" s="20"/>
      <c r="J131" s="18"/>
      <c r="K131" s="20"/>
      <c r="L131" s="20"/>
      <c r="M131" s="20"/>
      <c r="N131" s="20"/>
      <c r="O131" s="20"/>
      <c r="P131" s="20"/>
      <c r="Q131" s="20"/>
      <c r="R131" s="20"/>
    </row>
    <row r="132" customFormat="false" ht="15" hidden="false" customHeight="false" outlineLevel="0" collapsed="false">
      <c r="A132" s="18"/>
      <c r="B132" s="20"/>
      <c r="C132" s="20"/>
      <c r="D132" s="18" t="str">
        <f aca="false">IF(C132="","",IFERROR(INDEX(Products!$A:$A,MATCH(C132,Products!$B:$B,0)),"Not found"))</f>
        <v/>
      </c>
      <c r="E132" s="20"/>
      <c r="F132" s="20"/>
      <c r="G132" s="20"/>
      <c r="H132" s="20"/>
      <c r="I132" s="20"/>
      <c r="J132" s="18"/>
      <c r="K132" s="20"/>
      <c r="L132" s="20"/>
      <c r="M132" s="20"/>
      <c r="N132" s="20"/>
      <c r="O132" s="20"/>
      <c r="P132" s="20"/>
      <c r="Q132" s="20"/>
      <c r="R132" s="20"/>
    </row>
    <row r="133" customFormat="false" ht="15" hidden="false" customHeight="false" outlineLevel="0" collapsed="false">
      <c r="A133" s="18"/>
      <c r="B133" s="20"/>
      <c r="C133" s="20"/>
      <c r="D133" s="18" t="str">
        <f aca="false">IF(C133="","",IFERROR(INDEX(Products!$A:$A,MATCH(C133,Products!$B:$B,0)),"Not found"))</f>
        <v/>
      </c>
      <c r="E133" s="20"/>
      <c r="F133" s="20"/>
      <c r="G133" s="20"/>
      <c r="H133" s="20"/>
      <c r="I133" s="20"/>
      <c r="J133" s="18"/>
      <c r="K133" s="20"/>
      <c r="L133" s="20"/>
      <c r="M133" s="20"/>
      <c r="N133" s="20"/>
      <c r="O133" s="20"/>
      <c r="P133" s="20"/>
      <c r="Q133" s="20"/>
      <c r="R133" s="20"/>
    </row>
    <row r="134" customFormat="false" ht="15" hidden="false" customHeight="false" outlineLevel="0" collapsed="false">
      <c r="A134" s="18"/>
      <c r="B134" s="20"/>
      <c r="C134" s="20"/>
      <c r="D134" s="18" t="str">
        <f aca="false">IF(C134="","",IFERROR(INDEX(Products!$A:$A,MATCH(C134,Products!$B:$B,0)),"Not found"))</f>
        <v/>
      </c>
      <c r="E134" s="20"/>
      <c r="F134" s="20"/>
      <c r="G134" s="20"/>
      <c r="H134" s="20"/>
      <c r="I134" s="20"/>
      <c r="J134" s="18"/>
      <c r="K134" s="20"/>
      <c r="L134" s="20"/>
      <c r="M134" s="20"/>
      <c r="N134" s="20"/>
      <c r="O134" s="20"/>
      <c r="P134" s="20"/>
      <c r="Q134" s="20"/>
      <c r="R134" s="20"/>
    </row>
    <row r="135" customFormat="false" ht="15" hidden="false" customHeight="false" outlineLevel="0" collapsed="false">
      <c r="A135" s="18"/>
      <c r="B135" s="20"/>
      <c r="C135" s="20"/>
      <c r="D135" s="18" t="str">
        <f aca="false">IF(C135="","",IFERROR(INDEX(Products!$A:$A,MATCH(C135,Products!$B:$B,0)),"Not found"))</f>
        <v/>
      </c>
      <c r="E135" s="20"/>
      <c r="F135" s="20"/>
      <c r="G135" s="20"/>
      <c r="H135" s="20"/>
      <c r="I135" s="20"/>
      <c r="J135" s="18"/>
      <c r="K135" s="20"/>
      <c r="L135" s="20"/>
      <c r="M135" s="20"/>
      <c r="N135" s="20"/>
      <c r="O135" s="20"/>
      <c r="P135" s="20"/>
      <c r="Q135" s="20"/>
      <c r="R135" s="20"/>
    </row>
    <row r="136" customFormat="false" ht="15" hidden="false" customHeight="false" outlineLevel="0" collapsed="false">
      <c r="A136" s="18"/>
      <c r="B136" s="20"/>
      <c r="C136" s="20"/>
      <c r="D136" s="18" t="str">
        <f aca="false">IF(C136="","",IFERROR(INDEX(Products!$A:$A,MATCH(C136,Products!$B:$B,0)),"Not found"))</f>
        <v/>
      </c>
      <c r="E136" s="20"/>
      <c r="F136" s="20"/>
      <c r="G136" s="20"/>
      <c r="H136" s="20"/>
      <c r="I136" s="20"/>
      <c r="J136" s="18"/>
      <c r="K136" s="20"/>
      <c r="L136" s="20"/>
      <c r="M136" s="20"/>
      <c r="N136" s="20"/>
      <c r="O136" s="20"/>
      <c r="P136" s="20"/>
      <c r="Q136" s="20"/>
      <c r="R136" s="20"/>
    </row>
    <row r="137" customFormat="false" ht="15" hidden="false" customHeight="false" outlineLevel="0" collapsed="false">
      <c r="A137" s="18"/>
      <c r="B137" s="20"/>
      <c r="C137" s="20"/>
      <c r="D137" s="18" t="str">
        <f aca="false">IF(C137="","",IFERROR(INDEX(Products!$A:$A,MATCH(C137,Products!$B:$B,0)),"Not found"))</f>
        <v/>
      </c>
      <c r="E137" s="20"/>
      <c r="F137" s="20"/>
      <c r="G137" s="20"/>
      <c r="H137" s="20"/>
      <c r="I137" s="20"/>
      <c r="J137" s="18"/>
      <c r="K137" s="20"/>
      <c r="L137" s="20"/>
      <c r="M137" s="20"/>
      <c r="N137" s="20"/>
      <c r="O137" s="20"/>
      <c r="P137" s="20"/>
      <c r="Q137" s="20"/>
      <c r="R137" s="20"/>
    </row>
    <row r="138" customFormat="false" ht="15" hidden="false" customHeight="false" outlineLevel="0" collapsed="false">
      <c r="A138" s="18"/>
      <c r="B138" s="20"/>
      <c r="C138" s="20"/>
      <c r="D138" s="18" t="str">
        <f aca="false">IF(C138="","",IFERROR(INDEX(Products!$A:$A,MATCH(C138,Products!$B:$B,0)),"Not found"))</f>
        <v/>
      </c>
      <c r="E138" s="20"/>
      <c r="F138" s="20"/>
      <c r="G138" s="20"/>
      <c r="H138" s="20"/>
      <c r="I138" s="20"/>
      <c r="J138" s="18"/>
      <c r="K138" s="20"/>
      <c r="L138" s="20"/>
      <c r="M138" s="20"/>
      <c r="N138" s="20"/>
      <c r="O138" s="20"/>
      <c r="P138" s="20"/>
      <c r="Q138" s="20"/>
      <c r="R138" s="20"/>
    </row>
    <row r="139" customFormat="false" ht="15" hidden="false" customHeight="false" outlineLevel="0" collapsed="false">
      <c r="A139" s="18"/>
      <c r="B139" s="20"/>
      <c r="C139" s="20"/>
      <c r="D139" s="18" t="str">
        <f aca="false">IF(C139="","",IFERROR(INDEX(Products!$A:$A,MATCH(C139,Products!$B:$B,0)),"Not found"))</f>
        <v/>
      </c>
      <c r="E139" s="20"/>
      <c r="F139" s="20"/>
      <c r="G139" s="20"/>
      <c r="H139" s="20"/>
      <c r="I139" s="20"/>
      <c r="J139" s="18"/>
      <c r="K139" s="20"/>
      <c r="L139" s="20"/>
      <c r="M139" s="20"/>
      <c r="N139" s="20"/>
      <c r="O139" s="20"/>
      <c r="P139" s="20"/>
      <c r="Q139" s="20"/>
      <c r="R139" s="20"/>
    </row>
    <row r="140" customFormat="false" ht="15" hidden="false" customHeight="false" outlineLevel="0" collapsed="false">
      <c r="A140" s="18"/>
      <c r="B140" s="20"/>
      <c r="C140" s="20"/>
      <c r="D140" s="18" t="str">
        <f aca="false">IF(C140="","",IFERROR(INDEX(Products!$A:$A,MATCH(C140,Products!$B:$B,0)),"Not found"))</f>
        <v/>
      </c>
      <c r="E140" s="20"/>
      <c r="F140" s="20"/>
      <c r="G140" s="20"/>
      <c r="H140" s="20"/>
      <c r="I140" s="20"/>
      <c r="J140" s="18"/>
      <c r="K140" s="20"/>
      <c r="L140" s="20"/>
      <c r="M140" s="20"/>
      <c r="N140" s="20"/>
      <c r="O140" s="20"/>
      <c r="P140" s="20"/>
      <c r="Q140" s="20"/>
      <c r="R140" s="20"/>
    </row>
    <row r="141" customFormat="false" ht="15" hidden="false" customHeight="false" outlineLevel="0" collapsed="false">
      <c r="A141" s="18"/>
      <c r="B141" s="20"/>
      <c r="C141" s="20"/>
      <c r="D141" s="18" t="str">
        <f aca="false">IF(C141="","",IFERROR(INDEX(Products!$A:$A,MATCH(C141,Products!$B:$B,0)),"Not found"))</f>
        <v/>
      </c>
      <c r="E141" s="20"/>
      <c r="F141" s="20"/>
      <c r="G141" s="20"/>
      <c r="H141" s="20"/>
      <c r="I141" s="20"/>
      <c r="J141" s="18"/>
      <c r="K141" s="20"/>
      <c r="L141" s="20"/>
      <c r="M141" s="20"/>
      <c r="N141" s="20"/>
      <c r="O141" s="20"/>
      <c r="P141" s="20"/>
      <c r="Q141" s="20"/>
      <c r="R141" s="20"/>
    </row>
    <row r="142" customFormat="false" ht="15" hidden="false" customHeight="false" outlineLevel="0" collapsed="false">
      <c r="A142" s="18"/>
      <c r="B142" s="20"/>
      <c r="C142" s="20"/>
      <c r="D142" s="18" t="str">
        <f aca="false">IF(C142="","",IFERROR(INDEX(Products!$A:$A,MATCH(C142,Products!$B:$B,0)),"Not found"))</f>
        <v/>
      </c>
      <c r="E142" s="20"/>
      <c r="F142" s="20"/>
      <c r="G142" s="20"/>
      <c r="H142" s="20"/>
      <c r="I142" s="20"/>
      <c r="J142" s="18"/>
      <c r="K142" s="20"/>
      <c r="L142" s="20"/>
      <c r="M142" s="20"/>
      <c r="N142" s="20"/>
      <c r="O142" s="20"/>
      <c r="P142" s="20"/>
      <c r="Q142" s="20"/>
      <c r="R142" s="20"/>
    </row>
    <row r="143" customFormat="false" ht="15" hidden="false" customHeight="false" outlineLevel="0" collapsed="false">
      <c r="A143" s="18"/>
      <c r="B143" s="20"/>
      <c r="C143" s="20"/>
      <c r="D143" s="18" t="str">
        <f aca="false">IF(C143="","",IFERROR(INDEX(Products!$A:$A,MATCH(C143,Products!$B:$B,0)),"Not found"))</f>
        <v/>
      </c>
      <c r="E143" s="20"/>
      <c r="F143" s="20"/>
      <c r="G143" s="20"/>
      <c r="H143" s="20"/>
      <c r="I143" s="20"/>
      <c r="J143" s="18"/>
      <c r="K143" s="20"/>
      <c r="L143" s="20"/>
      <c r="M143" s="20"/>
      <c r="N143" s="20"/>
      <c r="O143" s="20"/>
      <c r="P143" s="20"/>
      <c r="Q143" s="20"/>
      <c r="R143" s="20"/>
    </row>
    <row r="144" customFormat="false" ht="15" hidden="false" customHeight="false" outlineLevel="0" collapsed="false">
      <c r="A144" s="18"/>
      <c r="B144" s="20"/>
      <c r="C144" s="20"/>
      <c r="D144" s="18" t="str">
        <f aca="false">IF(C144="","",IFERROR(INDEX(Products!$A:$A,MATCH(C144,Products!$B:$B,0)),"Not found"))</f>
        <v/>
      </c>
      <c r="E144" s="20"/>
      <c r="F144" s="20"/>
      <c r="G144" s="20"/>
      <c r="H144" s="20"/>
      <c r="I144" s="20"/>
      <c r="J144" s="18"/>
      <c r="K144" s="20"/>
      <c r="L144" s="20"/>
      <c r="M144" s="20"/>
      <c r="N144" s="20"/>
      <c r="O144" s="20"/>
      <c r="P144" s="20"/>
      <c r="Q144" s="20"/>
      <c r="R144" s="20"/>
    </row>
    <row r="145" customFormat="false" ht="15" hidden="false" customHeight="false" outlineLevel="0" collapsed="false">
      <c r="A145" s="18"/>
      <c r="B145" s="20"/>
      <c r="C145" s="20"/>
      <c r="D145" s="18" t="str">
        <f aca="false">IF(C145="","",IFERROR(INDEX(Products!$A:$A,MATCH(C145,Products!$B:$B,0)),"Not found"))</f>
        <v/>
      </c>
      <c r="E145" s="20"/>
      <c r="F145" s="20"/>
      <c r="G145" s="20"/>
      <c r="H145" s="20"/>
      <c r="I145" s="20"/>
      <c r="J145" s="18"/>
      <c r="K145" s="20"/>
      <c r="L145" s="20"/>
      <c r="M145" s="20"/>
      <c r="N145" s="20"/>
      <c r="O145" s="20"/>
      <c r="P145" s="20"/>
      <c r="Q145" s="20"/>
      <c r="R145" s="20"/>
    </row>
    <row r="146" customFormat="false" ht="15" hidden="false" customHeight="false" outlineLevel="0" collapsed="false">
      <c r="A146" s="18"/>
      <c r="B146" s="20"/>
      <c r="C146" s="20"/>
      <c r="D146" s="18" t="str">
        <f aca="false">IF(C146="","",IFERROR(INDEX(Products!$A:$A,MATCH(C146,Products!$B:$B,0)),"Not found"))</f>
        <v/>
      </c>
      <c r="E146" s="20"/>
      <c r="F146" s="20"/>
      <c r="G146" s="20"/>
      <c r="H146" s="20"/>
      <c r="I146" s="20"/>
      <c r="J146" s="18"/>
      <c r="K146" s="20"/>
      <c r="L146" s="20"/>
      <c r="M146" s="20"/>
      <c r="N146" s="20"/>
      <c r="O146" s="20"/>
      <c r="P146" s="20"/>
      <c r="Q146" s="20"/>
      <c r="R146" s="20"/>
    </row>
    <row r="147" customFormat="false" ht="15" hidden="false" customHeight="false" outlineLevel="0" collapsed="false">
      <c r="A147" s="18"/>
      <c r="B147" s="20"/>
      <c r="C147" s="20"/>
      <c r="D147" s="18" t="str">
        <f aca="false">IF(C147="","",IFERROR(INDEX(Products!$A:$A,MATCH(C147,Products!$B:$B,0)),"Not found"))</f>
        <v/>
      </c>
      <c r="E147" s="20"/>
      <c r="F147" s="20"/>
      <c r="G147" s="20"/>
      <c r="H147" s="20"/>
      <c r="I147" s="20"/>
      <c r="J147" s="18"/>
      <c r="K147" s="20"/>
      <c r="L147" s="20"/>
      <c r="M147" s="20"/>
      <c r="N147" s="20"/>
      <c r="O147" s="20"/>
      <c r="P147" s="20"/>
      <c r="Q147" s="20"/>
      <c r="R147" s="20"/>
    </row>
    <row r="148" customFormat="false" ht="15" hidden="false" customHeight="false" outlineLevel="0" collapsed="false">
      <c r="A148" s="18"/>
      <c r="B148" s="20"/>
      <c r="C148" s="20"/>
      <c r="D148" s="18" t="str">
        <f aca="false">IF(C148="","",IFERROR(INDEX(Products!$A:$A,MATCH(C148,Products!$B:$B,0)),"Not found"))</f>
        <v/>
      </c>
      <c r="E148" s="20"/>
      <c r="F148" s="20"/>
      <c r="G148" s="20"/>
      <c r="H148" s="20"/>
      <c r="I148" s="20"/>
      <c r="J148" s="18"/>
      <c r="K148" s="20"/>
      <c r="L148" s="20"/>
      <c r="M148" s="20"/>
      <c r="N148" s="20"/>
      <c r="O148" s="20"/>
      <c r="P148" s="20"/>
      <c r="Q148" s="20"/>
      <c r="R148" s="20"/>
    </row>
    <row r="149" customFormat="false" ht="15" hidden="false" customHeight="false" outlineLevel="0" collapsed="false">
      <c r="A149" s="18"/>
      <c r="B149" s="20"/>
      <c r="C149" s="20"/>
      <c r="D149" s="18" t="str">
        <f aca="false">IF(C149="","",IFERROR(INDEX(Products!$A:$A,MATCH(C149,Products!$B:$B,0)),"Not found"))</f>
        <v/>
      </c>
      <c r="E149" s="20"/>
      <c r="F149" s="20"/>
      <c r="G149" s="20"/>
      <c r="H149" s="20"/>
      <c r="I149" s="20"/>
      <c r="J149" s="18"/>
      <c r="K149" s="20"/>
      <c r="L149" s="20"/>
      <c r="M149" s="20"/>
      <c r="N149" s="20"/>
      <c r="O149" s="20"/>
      <c r="P149" s="20"/>
      <c r="Q149" s="20"/>
      <c r="R149" s="20"/>
    </row>
    <row r="150" customFormat="false" ht="15" hidden="false" customHeight="false" outlineLevel="0" collapsed="false">
      <c r="A150" s="18"/>
      <c r="B150" s="20"/>
      <c r="C150" s="20"/>
      <c r="D150" s="18" t="str">
        <f aca="false">IF(C150="","",IFERROR(INDEX(Products!$A:$A,MATCH(C150,Products!$B:$B,0)),"Not found"))</f>
        <v/>
      </c>
      <c r="E150" s="20"/>
      <c r="F150" s="20"/>
      <c r="G150" s="20"/>
      <c r="H150" s="20"/>
      <c r="I150" s="20"/>
      <c r="J150" s="18"/>
      <c r="K150" s="20"/>
      <c r="L150" s="20"/>
      <c r="M150" s="20"/>
      <c r="N150" s="20"/>
      <c r="O150" s="20"/>
      <c r="P150" s="20"/>
      <c r="Q150" s="20"/>
      <c r="R150" s="20"/>
    </row>
    <row r="151" customFormat="false" ht="15" hidden="false" customHeight="false" outlineLevel="0" collapsed="false">
      <c r="A151" s="18"/>
      <c r="B151" s="20"/>
      <c r="C151" s="20"/>
      <c r="D151" s="18" t="str">
        <f aca="false">IF(C151="","",IFERROR(INDEX(Products!$A:$A,MATCH(C151,Products!$B:$B,0)),"Not found"))</f>
        <v/>
      </c>
      <c r="E151" s="20"/>
      <c r="F151" s="20"/>
      <c r="G151" s="20"/>
      <c r="H151" s="20"/>
      <c r="I151" s="20"/>
      <c r="J151" s="18"/>
      <c r="K151" s="20"/>
      <c r="L151" s="20"/>
      <c r="M151" s="20"/>
      <c r="N151" s="20"/>
      <c r="O151" s="20"/>
      <c r="P151" s="20"/>
      <c r="Q151" s="20"/>
      <c r="R151" s="20"/>
    </row>
    <row r="152" customFormat="false" ht="15" hidden="false" customHeight="false" outlineLevel="0" collapsed="false">
      <c r="A152" s="18"/>
      <c r="B152" s="20"/>
      <c r="C152" s="20"/>
      <c r="D152" s="18" t="str">
        <f aca="false">IF(C152="","",IFERROR(INDEX(Products!$A:$A,MATCH(C152,Products!$B:$B,0)),"Not found"))</f>
        <v/>
      </c>
      <c r="E152" s="20"/>
      <c r="F152" s="20"/>
      <c r="G152" s="20"/>
      <c r="H152" s="20"/>
      <c r="I152" s="20"/>
      <c r="J152" s="18"/>
      <c r="K152" s="20"/>
      <c r="L152" s="20"/>
      <c r="M152" s="20"/>
      <c r="N152" s="20"/>
      <c r="O152" s="20"/>
      <c r="P152" s="20"/>
      <c r="Q152" s="20"/>
      <c r="R152" s="20"/>
    </row>
    <row r="153" customFormat="false" ht="15" hidden="false" customHeight="false" outlineLevel="0" collapsed="false">
      <c r="A153" s="18"/>
      <c r="B153" s="20"/>
      <c r="C153" s="20"/>
      <c r="D153" s="18" t="str">
        <f aca="false">IF(C153="","",IFERROR(INDEX(Products!$A:$A,MATCH(C153,Products!$B:$B,0)),"Not found"))</f>
        <v/>
      </c>
      <c r="E153" s="20"/>
      <c r="F153" s="20"/>
      <c r="G153" s="20"/>
      <c r="H153" s="20"/>
      <c r="I153" s="20"/>
      <c r="J153" s="18"/>
      <c r="K153" s="20"/>
      <c r="L153" s="20"/>
      <c r="M153" s="20"/>
      <c r="N153" s="20"/>
      <c r="O153" s="20"/>
      <c r="P153" s="20"/>
      <c r="Q153" s="20"/>
      <c r="R153" s="20"/>
    </row>
    <row r="154" customFormat="false" ht="15" hidden="false" customHeight="false" outlineLevel="0" collapsed="false">
      <c r="A154" s="18"/>
      <c r="B154" s="20"/>
      <c r="C154" s="20"/>
      <c r="D154" s="18" t="str">
        <f aca="false">IF(C154="","",IFERROR(INDEX(Products!$A:$A,MATCH(C154,Products!$B:$B,0)),"Not found"))</f>
        <v/>
      </c>
      <c r="E154" s="20"/>
      <c r="F154" s="20"/>
      <c r="G154" s="20"/>
      <c r="H154" s="20"/>
      <c r="I154" s="20"/>
      <c r="J154" s="18"/>
      <c r="K154" s="20"/>
      <c r="L154" s="20"/>
      <c r="M154" s="20"/>
      <c r="N154" s="20"/>
      <c r="O154" s="20"/>
      <c r="P154" s="20"/>
      <c r="Q154" s="20"/>
      <c r="R154" s="20"/>
    </row>
    <row r="155" customFormat="false" ht="15" hidden="false" customHeight="false" outlineLevel="0" collapsed="false">
      <c r="A155" s="18"/>
      <c r="B155" s="20"/>
      <c r="C155" s="20"/>
      <c r="D155" s="18" t="str">
        <f aca="false">IF(C155="","",IFERROR(INDEX(Products!$A:$A,MATCH(C155,Products!$B:$B,0)),"Not found"))</f>
        <v/>
      </c>
      <c r="E155" s="20"/>
      <c r="F155" s="20"/>
      <c r="G155" s="20"/>
      <c r="H155" s="20"/>
      <c r="I155" s="20"/>
      <c r="J155" s="18"/>
      <c r="K155" s="20"/>
      <c r="L155" s="20"/>
      <c r="M155" s="20"/>
      <c r="N155" s="20"/>
      <c r="O155" s="20"/>
      <c r="P155" s="20"/>
      <c r="Q155" s="20"/>
      <c r="R155" s="20"/>
    </row>
    <row r="156" customFormat="false" ht="15" hidden="false" customHeight="false" outlineLevel="0" collapsed="false">
      <c r="A156" s="18"/>
      <c r="B156" s="20"/>
      <c r="C156" s="20"/>
      <c r="D156" s="18" t="str">
        <f aca="false">IF(C156="","",IFERROR(INDEX(Products!$A:$A,MATCH(C156,Products!$B:$B,0)),"Not found"))</f>
        <v/>
      </c>
      <c r="E156" s="20"/>
      <c r="F156" s="20"/>
      <c r="G156" s="20"/>
      <c r="H156" s="20"/>
      <c r="I156" s="20"/>
      <c r="J156" s="18"/>
      <c r="K156" s="20"/>
      <c r="L156" s="20"/>
      <c r="M156" s="20"/>
      <c r="N156" s="20"/>
      <c r="O156" s="20"/>
      <c r="P156" s="20"/>
      <c r="Q156" s="20"/>
      <c r="R156" s="20"/>
    </row>
    <row r="157" customFormat="false" ht="15" hidden="false" customHeight="false" outlineLevel="0" collapsed="false">
      <c r="A157" s="18"/>
      <c r="B157" s="20"/>
      <c r="C157" s="20"/>
      <c r="D157" s="18" t="str">
        <f aca="false">IF(C157="","",IFERROR(INDEX(Products!$A:$A,MATCH(C157,Products!$B:$B,0)),"Not found"))</f>
        <v/>
      </c>
      <c r="E157" s="20"/>
      <c r="F157" s="20"/>
      <c r="G157" s="20"/>
      <c r="H157" s="20"/>
      <c r="I157" s="20"/>
      <c r="J157" s="18"/>
      <c r="K157" s="20"/>
      <c r="L157" s="20"/>
      <c r="M157" s="20"/>
      <c r="N157" s="20"/>
      <c r="O157" s="20"/>
      <c r="P157" s="20"/>
      <c r="Q157" s="20"/>
      <c r="R157" s="20"/>
    </row>
    <row r="158" customFormat="false" ht="15" hidden="false" customHeight="false" outlineLevel="0" collapsed="false">
      <c r="A158" s="18"/>
      <c r="B158" s="20"/>
      <c r="C158" s="20"/>
      <c r="D158" s="18" t="str">
        <f aca="false">IF(C158="","",IFERROR(INDEX(Products!$A:$A,MATCH(C158,Products!$B:$B,0)),"Not found"))</f>
        <v/>
      </c>
      <c r="E158" s="20"/>
      <c r="F158" s="20"/>
      <c r="G158" s="20"/>
      <c r="H158" s="20"/>
      <c r="I158" s="20"/>
      <c r="J158" s="18"/>
      <c r="K158" s="20"/>
      <c r="L158" s="20"/>
      <c r="M158" s="20"/>
      <c r="N158" s="20"/>
      <c r="O158" s="20"/>
      <c r="P158" s="20"/>
      <c r="Q158" s="20"/>
      <c r="R158" s="20"/>
    </row>
    <row r="159" customFormat="false" ht="15" hidden="false" customHeight="false" outlineLevel="0" collapsed="false">
      <c r="A159" s="18"/>
      <c r="B159" s="20"/>
      <c r="C159" s="20"/>
      <c r="D159" s="18" t="str">
        <f aca="false">IF(C159="","",IFERROR(INDEX(Products!$A:$A,MATCH(C159,Products!$B:$B,0)),"Not found"))</f>
        <v/>
      </c>
      <c r="E159" s="20"/>
      <c r="F159" s="20"/>
      <c r="G159" s="20"/>
      <c r="H159" s="20"/>
      <c r="I159" s="20"/>
      <c r="J159" s="18"/>
      <c r="K159" s="20"/>
      <c r="L159" s="20"/>
      <c r="M159" s="20"/>
      <c r="N159" s="20"/>
      <c r="O159" s="20"/>
      <c r="P159" s="20"/>
      <c r="Q159" s="20"/>
      <c r="R159" s="20"/>
    </row>
    <row r="160" customFormat="false" ht="15" hidden="false" customHeight="false" outlineLevel="0" collapsed="false">
      <c r="A160" s="18"/>
      <c r="B160" s="20"/>
      <c r="C160" s="20"/>
      <c r="D160" s="18" t="str">
        <f aca="false">IF(C160="","",IFERROR(INDEX(Products!$A:$A,MATCH(C160,Products!$B:$B,0)),"Not found"))</f>
        <v/>
      </c>
      <c r="E160" s="20"/>
      <c r="F160" s="20"/>
      <c r="G160" s="20"/>
      <c r="H160" s="20"/>
      <c r="I160" s="20"/>
      <c r="J160" s="18"/>
      <c r="K160" s="20"/>
      <c r="L160" s="20"/>
      <c r="M160" s="20"/>
      <c r="N160" s="20"/>
      <c r="O160" s="20"/>
      <c r="P160" s="20"/>
      <c r="Q160" s="20"/>
      <c r="R160" s="20"/>
    </row>
    <row r="161" customFormat="false" ht="15" hidden="false" customHeight="false" outlineLevel="0" collapsed="false">
      <c r="A161" s="18"/>
      <c r="B161" s="20"/>
      <c r="C161" s="20"/>
      <c r="D161" s="18" t="str">
        <f aca="false">IF(C161="","",IFERROR(INDEX(Products!$A:$A,MATCH(C161,Products!$B:$B,0)),"Not found"))</f>
        <v/>
      </c>
      <c r="E161" s="20"/>
      <c r="F161" s="20"/>
      <c r="G161" s="20"/>
      <c r="H161" s="20"/>
      <c r="I161" s="20"/>
      <c r="J161" s="18"/>
      <c r="K161" s="20"/>
      <c r="L161" s="20"/>
      <c r="M161" s="20"/>
      <c r="N161" s="20"/>
      <c r="O161" s="20"/>
      <c r="P161" s="20"/>
      <c r="Q161" s="20"/>
      <c r="R161" s="20"/>
    </row>
    <row r="162" customFormat="false" ht="15" hidden="false" customHeight="false" outlineLevel="0" collapsed="false">
      <c r="A162" s="18"/>
      <c r="B162" s="20"/>
      <c r="C162" s="20"/>
      <c r="D162" s="18" t="str">
        <f aca="false">IF(C162="","",IFERROR(INDEX(Products!$A:$A,MATCH(C162,Products!$B:$B,0)),"Not found"))</f>
        <v/>
      </c>
      <c r="E162" s="20"/>
      <c r="F162" s="20"/>
      <c r="G162" s="20"/>
      <c r="H162" s="20"/>
      <c r="I162" s="20"/>
      <c r="J162" s="18"/>
      <c r="K162" s="20"/>
      <c r="L162" s="20"/>
      <c r="M162" s="20"/>
      <c r="N162" s="20"/>
      <c r="O162" s="20"/>
      <c r="P162" s="20"/>
      <c r="Q162" s="20"/>
      <c r="R162" s="20"/>
    </row>
    <row r="163" customFormat="false" ht="15" hidden="false" customHeight="false" outlineLevel="0" collapsed="false">
      <c r="A163" s="18"/>
      <c r="B163" s="20"/>
      <c r="C163" s="20"/>
      <c r="D163" s="18" t="str">
        <f aca="false">IF(C163="","",IFERROR(INDEX(Products!$A:$A,MATCH(C163,Products!$B:$B,0)),"Not found"))</f>
        <v/>
      </c>
      <c r="E163" s="20"/>
      <c r="F163" s="20"/>
      <c r="G163" s="20"/>
      <c r="H163" s="20"/>
      <c r="I163" s="20"/>
      <c r="J163" s="18"/>
      <c r="K163" s="20"/>
      <c r="L163" s="20"/>
      <c r="M163" s="20"/>
      <c r="N163" s="20"/>
      <c r="O163" s="20"/>
      <c r="P163" s="20"/>
      <c r="Q163" s="20"/>
      <c r="R163" s="20"/>
    </row>
    <row r="164" customFormat="false" ht="15" hidden="false" customHeight="false" outlineLevel="0" collapsed="false">
      <c r="A164" s="18"/>
      <c r="B164" s="20"/>
      <c r="C164" s="20"/>
      <c r="D164" s="18" t="str">
        <f aca="false">IF(C164="","",IFERROR(INDEX(Products!$A:$A,MATCH(C164,Products!$B:$B,0)),"Not found"))</f>
        <v/>
      </c>
      <c r="E164" s="20"/>
      <c r="F164" s="20"/>
      <c r="G164" s="20"/>
      <c r="H164" s="20"/>
      <c r="I164" s="20"/>
      <c r="J164" s="18"/>
      <c r="K164" s="20"/>
      <c r="L164" s="20"/>
      <c r="M164" s="20"/>
      <c r="N164" s="20"/>
      <c r="O164" s="20"/>
      <c r="P164" s="20"/>
      <c r="Q164" s="20"/>
      <c r="R164" s="20"/>
    </row>
    <row r="165" customFormat="false" ht="15" hidden="false" customHeight="false" outlineLevel="0" collapsed="false">
      <c r="A165" s="18"/>
      <c r="B165" s="20"/>
      <c r="C165" s="20"/>
      <c r="D165" s="18" t="str">
        <f aca="false">IF(C165="","",IFERROR(INDEX(Products!$A:$A,MATCH(C165,Products!$B:$B,0)),"Not found"))</f>
        <v/>
      </c>
      <c r="E165" s="20"/>
      <c r="F165" s="20"/>
      <c r="G165" s="20"/>
      <c r="H165" s="20"/>
      <c r="I165" s="20"/>
      <c r="J165" s="18"/>
      <c r="K165" s="20"/>
      <c r="L165" s="20"/>
      <c r="M165" s="20"/>
      <c r="N165" s="20"/>
      <c r="O165" s="20"/>
      <c r="P165" s="20"/>
      <c r="Q165" s="20"/>
      <c r="R165" s="20"/>
    </row>
    <row r="166" customFormat="false" ht="15" hidden="false" customHeight="false" outlineLevel="0" collapsed="false">
      <c r="A166" s="18"/>
      <c r="B166" s="20"/>
      <c r="C166" s="20"/>
      <c r="D166" s="18" t="str">
        <f aca="false">IF(C166="","",IFERROR(INDEX(Products!$A:$A,MATCH(C166,Products!$B:$B,0)),"Not found"))</f>
        <v/>
      </c>
      <c r="E166" s="20"/>
      <c r="F166" s="20"/>
      <c r="G166" s="20"/>
      <c r="H166" s="20"/>
      <c r="I166" s="20"/>
      <c r="J166" s="18"/>
      <c r="K166" s="20"/>
      <c r="L166" s="20"/>
      <c r="M166" s="20"/>
      <c r="N166" s="20"/>
      <c r="O166" s="20"/>
      <c r="P166" s="20"/>
      <c r="Q166" s="20"/>
      <c r="R166" s="20"/>
    </row>
    <row r="167" customFormat="false" ht="15" hidden="false" customHeight="false" outlineLevel="0" collapsed="false">
      <c r="A167" s="18"/>
      <c r="B167" s="20"/>
      <c r="C167" s="20"/>
      <c r="D167" s="18" t="str">
        <f aca="false">IF(C167="","",IFERROR(INDEX(Products!$A:$A,MATCH(C167,Products!$B:$B,0)),"Not found"))</f>
        <v/>
      </c>
      <c r="E167" s="20"/>
      <c r="F167" s="20"/>
      <c r="G167" s="20"/>
      <c r="H167" s="20"/>
      <c r="I167" s="20"/>
      <c r="J167" s="18"/>
      <c r="K167" s="20"/>
      <c r="L167" s="20"/>
      <c r="M167" s="20"/>
      <c r="N167" s="20"/>
      <c r="O167" s="20"/>
      <c r="P167" s="20"/>
      <c r="Q167" s="20"/>
      <c r="R167" s="20"/>
    </row>
    <row r="168" customFormat="false" ht="15" hidden="false" customHeight="false" outlineLevel="0" collapsed="false">
      <c r="A168" s="18"/>
      <c r="B168" s="20"/>
      <c r="C168" s="20"/>
      <c r="D168" s="18" t="str">
        <f aca="false">IF(C168="","",IFERROR(INDEX(Products!$A:$A,MATCH(C168,Products!$B:$B,0)),"Not found"))</f>
        <v/>
      </c>
      <c r="E168" s="20"/>
      <c r="F168" s="20"/>
      <c r="G168" s="20"/>
      <c r="H168" s="20"/>
      <c r="I168" s="20"/>
      <c r="J168" s="18"/>
      <c r="K168" s="20"/>
      <c r="L168" s="20"/>
      <c r="M168" s="20"/>
      <c r="N168" s="20"/>
      <c r="O168" s="20"/>
      <c r="P168" s="20"/>
      <c r="Q168" s="20"/>
      <c r="R168" s="20"/>
    </row>
    <row r="169" customFormat="false" ht="15" hidden="false" customHeight="false" outlineLevel="0" collapsed="false">
      <c r="A169" s="18"/>
      <c r="B169" s="20"/>
      <c r="C169" s="20"/>
      <c r="D169" s="18" t="str">
        <f aca="false">IF(C169="","",IFERROR(INDEX(Products!$A:$A,MATCH(C169,Products!$B:$B,0)),"Not found"))</f>
        <v/>
      </c>
      <c r="E169" s="20"/>
      <c r="F169" s="20"/>
      <c r="G169" s="20"/>
      <c r="H169" s="20"/>
      <c r="I169" s="20"/>
      <c r="J169" s="18"/>
      <c r="K169" s="20"/>
      <c r="L169" s="20"/>
      <c r="M169" s="20"/>
      <c r="N169" s="20"/>
      <c r="O169" s="20"/>
      <c r="P169" s="20"/>
      <c r="Q169" s="20"/>
      <c r="R169" s="20"/>
    </row>
    <row r="170" customFormat="false" ht="15" hidden="false" customHeight="false" outlineLevel="0" collapsed="false">
      <c r="A170" s="18"/>
      <c r="B170" s="20"/>
      <c r="C170" s="20"/>
      <c r="D170" s="18" t="str">
        <f aca="false">IF(C170="","",IFERROR(INDEX(Products!$A:$A,MATCH(C170,Products!$B:$B,0)),"Not found"))</f>
        <v/>
      </c>
      <c r="E170" s="20"/>
      <c r="F170" s="20"/>
      <c r="G170" s="20"/>
      <c r="H170" s="20"/>
      <c r="I170" s="20"/>
      <c r="J170" s="18"/>
      <c r="K170" s="20"/>
      <c r="L170" s="20"/>
      <c r="M170" s="20"/>
      <c r="N170" s="20"/>
      <c r="O170" s="20"/>
      <c r="P170" s="20"/>
      <c r="Q170" s="20"/>
      <c r="R170" s="20"/>
    </row>
    <row r="171" customFormat="false" ht="15" hidden="false" customHeight="false" outlineLevel="0" collapsed="false">
      <c r="A171" s="18"/>
      <c r="B171" s="20"/>
      <c r="C171" s="20"/>
      <c r="D171" s="18" t="str">
        <f aca="false">IF(C171="","",IFERROR(INDEX(Products!$A:$A,MATCH(C171,Products!$B:$B,0)),"Not found"))</f>
        <v/>
      </c>
      <c r="E171" s="20"/>
      <c r="F171" s="20"/>
      <c r="G171" s="20"/>
      <c r="H171" s="20"/>
      <c r="I171" s="20"/>
      <c r="J171" s="18"/>
      <c r="K171" s="20"/>
      <c r="L171" s="20"/>
      <c r="M171" s="20"/>
      <c r="N171" s="20"/>
      <c r="O171" s="20"/>
      <c r="P171" s="20"/>
      <c r="Q171" s="20"/>
      <c r="R171" s="20"/>
    </row>
    <row r="172" customFormat="false" ht="15" hidden="false" customHeight="false" outlineLevel="0" collapsed="false">
      <c r="A172" s="18"/>
      <c r="B172" s="20"/>
      <c r="C172" s="20"/>
      <c r="D172" s="18" t="str">
        <f aca="false">IF(C172="","",IFERROR(INDEX(Products!$A:$A,MATCH(C172,Products!$B:$B,0)),"Not found"))</f>
        <v/>
      </c>
      <c r="E172" s="20"/>
      <c r="F172" s="20"/>
      <c r="G172" s="20"/>
      <c r="H172" s="20"/>
      <c r="I172" s="20"/>
      <c r="J172" s="18"/>
      <c r="K172" s="20"/>
      <c r="L172" s="20"/>
      <c r="M172" s="20"/>
      <c r="N172" s="20"/>
      <c r="O172" s="20"/>
      <c r="P172" s="20"/>
      <c r="Q172" s="20"/>
      <c r="R172" s="20"/>
    </row>
    <row r="173" customFormat="false" ht="15" hidden="false" customHeight="false" outlineLevel="0" collapsed="false">
      <c r="A173" s="18"/>
      <c r="B173" s="20"/>
      <c r="C173" s="20"/>
      <c r="D173" s="18" t="str">
        <f aca="false">IF(C173="","",IFERROR(INDEX(Products!$A:$A,MATCH(C173,Products!$B:$B,0)),"Not found"))</f>
        <v/>
      </c>
      <c r="E173" s="20"/>
      <c r="F173" s="20"/>
      <c r="G173" s="20"/>
      <c r="H173" s="20"/>
      <c r="I173" s="20"/>
      <c r="J173" s="18"/>
      <c r="K173" s="20"/>
      <c r="L173" s="20"/>
      <c r="M173" s="20"/>
      <c r="N173" s="20"/>
      <c r="O173" s="20"/>
      <c r="P173" s="20"/>
      <c r="Q173" s="20"/>
      <c r="R173" s="20"/>
    </row>
    <row r="174" customFormat="false" ht="15" hidden="false" customHeight="false" outlineLevel="0" collapsed="false">
      <c r="A174" s="18"/>
      <c r="B174" s="20"/>
      <c r="C174" s="20"/>
      <c r="D174" s="18" t="str">
        <f aca="false">IF(C174="","",IFERROR(INDEX(Products!$A:$A,MATCH(C174,Products!$B:$B,0)),"Not found"))</f>
        <v/>
      </c>
      <c r="E174" s="20"/>
      <c r="F174" s="20"/>
      <c r="G174" s="20"/>
      <c r="H174" s="20"/>
      <c r="I174" s="20"/>
      <c r="J174" s="18"/>
      <c r="K174" s="20"/>
      <c r="L174" s="20"/>
      <c r="M174" s="20"/>
      <c r="N174" s="20"/>
      <c r="O174" s="20"/>
      <c r="P174" s="20"/>
      <c r="Q174" s="20"/>
      <c r="R174" s="20"/>
    </row>
    <row r="175" customFormat="false" ht="15" hidden="false" customHeight="false" outlineLevel="0" collapsed="false">
      <c r="A175" s="18"/>
      <c r="B175" s="20"/>
      <c r="C175" s="20"/>
      <c r="D175" s="18" t="str">
        <f aca="false">IF(C175="","",IFERROR(INDEX(Products!$A:$A,MATCH(C175,Products!$B:$B,0)),"Not found"))</f>
        <v/>
      </c>
      <c r="E175" s="20"/>
      <c r="F175" s="20"/>
      <c r="G175" s="20"/>
      <c r="H175" s="20"/>
      <c r="I175" s="20"/>
      <c r="J175" s="18"/>
      <c r="K175" s="20"/>
      <c r="L175" s="20"/>
      <c r="M175" s="20"/>
      <c r="N175" s="20"/>
      <c r="O175" s="20"/>
      <c r="P175" s="20"/>
      <c r="Q175" s="20"/>
      <c r="R175" s="20"/>
    </row>
    <row r="176" customFormat="false" ht="15" hidden="false" customHeight="false" outlineLevel="0" collapsed="false">
      <c r="A176" s="18"/>
      <c r="B176" s="20"/>
      <c r="C176" s="20"/>
      <c r="D176" s="18" t="str">
        <f aca="false">IF(C176="","",IFERROR(INDEX(Products!$A:$A,MATCH(C176,Products!$B:$B,0)),"Not found"))</f>
        <v/>
      </c>
      <c r="E176" s="20"/>
      <c r="F176" s="20"/>
      <c r="G176" s="20"/>
      <c r="H176" s="20"/>
      <c r="I176" s="20"/>
      <c r="J176" s="18"/>
      <c r="K176" s="20"/>
      <c r="L176" s="20"/>
      <c r="M176" s="20"/>
      <c r="N176" s="20"/>
      <c r="O176" s="20"/>
      <c r="P176" s="20"/>
      <c r="Q176" s="20"/>
      <c r="R176" s="20"/>
    </row>
    <row r="177" customFormat="false" ht="15" hidden="false" customHeight="false" outlineLevel="0" collapsed="false">
      <c r="A177" s="18"/>
      <c r="B177" s="20"/>
      <c r="C177" s="20"/>
      <c r="D177" s="18" t="str">
        <f aca="false">IF(C177="","",IFERROR(INDEX(Products!$A:$A,MATCH(C177,Products!$B:$B,0)),"Not found"))</f>
        <v/>
      </c>
      <c r="E177" s="20"/>
      <c r="F177" s="20"/>
      <c r="G177" s="20"/>
      <c r="H177" s="20"/>
      <c r="I177" s="20"/>
      <c r="J177" s="18"/>
      <c r="K177" s="20"/>
      <c r="L177" s="20"/>
      <c r="M177" s="20"/>
      <c r="N177" s="20"/>
      <c r="O177" s="20"/>
      <c r="P177" s="20"/>
      <c r="Q177" s="20"/>
      <c r="R177" s="20"/>
    </row>
    <row r="178" customFormat="false" ht="15" hidden="false" customHeight="false" outlineLevel="0" collapsed="false">
      <c r="A178" s="18"/>
      <c r="B178" s="20"/>
      <c r="C178" s="20"/>
      <c r="D178" s="18" t="str">
        <f aca="false">IF(C178="","",IFERROR(INDEX(Products!$A:$A,MATCH(C178,Products!$B:$B,0)),"Not found"))</f>
        <v/>
      </c>
      <c r="E178" s="20"/>
      <c r="F178" s="20"/>
      <c r="G178" s="20"/>
      <c r="H178" s="20"/>
      <c r="I178" s="20"/>
      <c r="J178" s="18"/>
      <c r="K178" s="20"/>
      <c r="L178" s="20"/>
      <c r="M178" s="20"/>
      <c r="N178" s="20"/>
      <c r="O178" s="20"/>
      <c r="P178" s="20"/>
      <c r="Q178" s="20"/>
      <c r="R178" s="20"/>
    </row>
    <row r="179" customFormat="false" ht="15" hidden="false" customHeight="false" outlineLevel="0" collapsed="false">
      <c r="A179" s="18"/>
      <c r="B179" s="20"/>
      <c r="C179" s="20"/>
      <c r="D179" s="18" t="str">
        <f aca="false">IF(C179="","",IFERROR(INDEX(Products!$A:$A,MATCH(C179,Products!$B:$B,0)),"Not found"))</f>
        <v/>
      </c>
      <c r="E179" s="20"/>
      <c r="F179" s="20"/>
      <c r="G179" s="20"/>
      <c r="H179" s="20"/>
      <c r="I179" s="20"/>
      <c r="J179" s="18"/>
      <c r="K179" s="20"/>
      <c r="L179" s="20"/>
      <c r="M179" s="20"/>
      <c r="N179" s="20"/>
      <c r="O179" s="20"/>
      <c r="P179" s="20"/>
      <c r="Q179" s="20"/>
      <c r="R179" s="20"/>
    </row>
    <row r="180" customFormat="false" ht="15" hidden="false" customHeight="false" outlineLevel="0" collapsed="false">
      <c r="A180" s="18"/>
      <c r="B180" s="20"/>
      <c r="C180" s="20"/>
      <c r="D180" s="18" t="str">
        <f aca="false">IF(C180="","",IFERROR(INDEX(Products!$A:$A,MATCH(C180,Products!$B:$B,0)),"Not found"))</f>
        <v/>
      </c>
      <c r="E180" s="20"/>
      <c r="F180" s="20"/>
      <c r="G180" s="20"/>
      <c r="H180" s="20"/>
      <c r="I180" s="20"/>
      <c r="J180" s="18"/>
      <c r="K180" s="20"/>
      <c r="L180" s="20"/>
      <c r="M180" s="20"/>
      <c r="N180" s="20"/>
      <c r="O180" s="20"/>
      <c r="P180" s="20"/>
      <c r="Q180" s="20"/>
      <c r="R180" s="20"/>
    </row>
    <row r="181" customFormat="false" ht="15" hidden="false" customHeight="false" outlineLevel="0" collapsed="false">
      <c r="A181" s="18"/>
      <c r="B181" s="20"/>
      <c r="C181" s="20"/>
      <c r="D181" s="18" t="str">
        <f aca="false">IF(C181="","",IFERROR(INDEX(Products!$A:$A,MATCH(C181,Products!$B:$B,0)),"Not found"))</f>
        <v/>
      </c>
      <c r="E181" s="20"/>
      <c r="F181" s="20"/>
      <c r="G181" s="20"/>
      <c r="H181" s="20"/>
      <c r="I181" s="20"/>
      <c r="J181" s="18"/>
      <c r="K181" s="20"/>
      <c r="L181" s="20"/>
      <c r="M181" s="20"/>
      <c r="N181" s="20"/>
      <c r="O181" s="20"/>
      <c r="P181" s="20"/>
      <c r="Q181" s="20"/>
      <c r="R181" s="20"/>
    </row>
    <row r="182" customFormat="false" ht="15" hidden="false" customHeight="false" outlineLevel="0" collapsed="false">
      <c r="A182" s="18"/>
      <c r="B182" s="20"/>
      <c r="C182" s="20"/>
      <c r="D182" s="18" t="str">
        <f aca="false">IF(C182="","",IFERROR(INDEX(Products!$A:$A,MATCH(C182,Products!$B:$B,0)),"Not found"))</f>
        <v/>
      </c>
      <c r="E182" s="20"/>
      <c r="F182" s="20"/>
      <c r="G182" s="20"/>
      <c r="H182" s="20"/>
      <c r="I182" s="20"/>
      <c r="J182" s="18"/>
      <c r="K182" s="20"/>
      <c r="L182" s="20"/>
      <c r="M182" s="20"/>
      <c r="N182" s="20"/>
      <c r="O182" s="20"/>
      <c r="P182" s="20"/>
      <c r="Q182" s="20"/>
      <c r="R182" s="20"/>
    </row>
    <row r="183" customFormat="false" ht="15" hidden="false" customHeight="false" outlineLevel="0" collapsed="false">
      <c r="A183" s="18"/>
      <c r="B183" s="20"/>
      <c r="C183" s="20"/>
      <c r="D183" s="18" t="str">
        <f aca="false">IF(C183="","",IFERROR(INDEX(Products!$A:$A,MATCH(C183,Products!$B:$B,0)),"Not found"))</f>
        <v/>
      </c>
      <c r="E183" s="20"/>
      <c r="F183" s="20"/>
      <c r="G183" s="20"/>
      <c r="H183" s="20"/>
      <c r="I183" s="20"/>
      <c r="J183" s="18"/>
      <c r="K183" s="20"/>
      <c r="L183" s="20"/>
      <c r="M183" s="20"/>
      <c r="N183" s="20"/>
      <c r="O183" s="20"/>
      <c r="P183" s="20"/>
      <c r="Q183" s="20"/>
      <c r="R183" s="20"/>
    </row>
    <row r="184" customFormat="false" ht="15" hidden="false" customHeight="false" outlineLevel="0" collapsed="false">
      <c r="A184" s="18"/>
      <c r="B184" s="20"/>
      <c r="C184" s="20"/>
      <c r="D184" s="18" t="str">
        <f aca="false">IF(C184="","",IFERROR(INDEX(Products!$A:$A,MATCH(C184,Products!$B:$B,0)),"Not found"))</f>
        <v/>
      </c>
      <c r="E184" s="20"/>
      <c r="F184" s="20"/>
      <c r="G184" s="20"/>
      <c r="H184" s="20"/>
      <c r="I184" s="20"/>
      <c r="J184" s="18"/>
      <c r="K184" s="20"/>
      <c r="L184" s="20"/>
      <c r="M184" s="20"/>
      <c r="N184" s="20"/>
      <c r="O184" s="20"/>
      <c r="P184" s="20"/>
      <c r="Q184" s="20"/>
      <c r="R184" s="20"/>
    </row>
    <row r="185" customFormat="false" ht="15" hidden="false" customHeight="false" outlineLevel="0" collapsed="false">
      <c r="A185" s="18"/>
      <c r="B185" s="20"/>
      <c r="C185" s="20"/>
      <c r="D185" s="18" t="str">
        <f aca="false">IF(C185="","",IFERROR(INDEX(Products!$A:$A,MATCH(C185,Products!$B:$B,0)),"Not found"))</f>
        <v/>
      </c>
      <c r="E185" s="20"/>
      <c r="F185" s="20"/>
      <c r="G185" s="20"/>
      <c r="H185" s="20"/>
      <c r="I185" s="20"/>
      <c r="J185" s="18"/>
      <c r="K185" s="20"/>
      <c r="L185" s="20"/>
      <c r="M185" s="20"/>
      <c r="N185" s="20"/>
      <c r="O185" s="20"/>
      <c r="P185" s="20"/>
      <c r="Q185" s="20"/>
      <c r="R185" s="20"/>
    </row>
    <row r="186" customFormat="false" ht="15" hidden="false" customHeight="false" outlineLevel="0" collapsed="false">
      <c r="A186" s="18"/>
      <c r="B186" s="20"/>
      <c r="C186" s="20"/>
      <c r="D186" s="18" t="str">
        <f aca="false">IF(C186="","",IFERROR(INDEX(Products!$A:$A,MATCH(C186,Products!$B:$B,0)),"Not found"))</f>
        <v/>
      </c>
      <c r="E186" s="20"/>
      <c r="F186" s="20"/>
      <c r="G186" s="20"/>
      <c r="H186" s="20"/>
      <c r="I186" s="20"/>
      <c r="J186" s="18"/>
      <c r="K186" s="20"/>
      <c r="L186" s="20"/>
      <c r="M186" s="20"/>
      <c r="N186" s="20"/>
      <c r="O186" s="20"/>
      <c r="P186" s="20"/>
      <c r="Q186" s="20"/>
      <c r="R186" s="20"/>
    </row>
    <row r="187" customFormat="false" ht="15" hidden="false" customHeight="false" outlineLevel="0" collapsed="false">
      <c r="A187" s="18"/>
      <c r="B187" s="20"/>
      <c r="C187" s="20"/>
      <c r="D187" s="18" t="str">
        <f aca="false">IF(C187="","",IFERROR(INDEX(Products!$A:$A,MATCH(C187,Products!$B:$B,0)),"Not found"))</f>
        <v/>
      </c>
      <c r="E187" s="20"/>
      <c r="F187" s="20"/>
      <c r="G187" s="20"/>
      <c r="H187" s="20"/>
      <c r="I187" s="20"/>
      <c r="J187" s="18"/>
      <c r="K187" s="20"/>
      <c r="L187" s="20"/>
      <c r="M187" s="20"/>
      <c r="N187" s="20"/>
      <c r="O187" s="20"/>
      <c r="P187" s="20"/>
      <c r="Q187" s="20"/>
      <c r="R187" s="20"/>
    </row>
    <row r="188" customFormat="false" ht="15" hidden="false" customHeight="false" outlineLevel="0" collapsed="false">
      <c r="A188" s="18"/>
      <c r="B188" s="20"/>
      <c r="C188" s="20"/>
      <c r="D188" s="18" t="str">
        <f aca="false">IF(C188="","",IFERROR(INDEX(Products!$A:$A,MATCH(C188,Products!$B:$B,0)),"Not found"))</f>
        <v/>
      </c>
      <c r="E188" s="20"/>
      <c r="F188" s="20"/>
      <c r="G188" s="20"/>
      <c r="H188" s="20"/>
      <c r="I188" s="20"/>
      <c r="J188" s="18"/>
      <c r="K188" s="20"/>
      <c r="L188" s="20"/>
      <c r="M188" s="20"/>
      <c r="N188" s="20"/>
      <c r="O188" s="20"/>
      <c r="P188" s="20"/>
      <c r="Q188" s="20"/>
      <c r="R188" s="20"/>
    </row>
    <row r="189" customFormat="false" ht="15" hidden="false" customHeight="false" outlineLevel="0" collapsed="false">
      <c r="A189" s="18"/>
      <c r="B189" s="20"/>
      <c r="C189" s="20"/>
      <c r="D189" s="18" t="str">
        <f aca="false">IF(C189="","",IFERROR(INDEX(Products!$A:$A,MATCH(C189,Products!$B:$B,0)),"Not found"))</f>
        <v/>
      </c>
      <c r="E189" s="20"/>
      <c r="F189" s="20"/>
      <c r="G189" s="20"/>
      <c r="H189" s="20"/>
      <c r="I189" s="20"/>
      <c r="J189" s="18"/>
      <c r="K189" s="20"/>
      <c r="L189" s="20"/>
      <c r="M189" s="20"/>
      <c r="N189" s="20"/>
      <c r="O189" s="20"/>
      <c r="P189" s="20"/>
      <c r="Q189" s="20"/>
      <c r="R189" s="20"/>
    </row>
    <row r="190" customFormat="false" ht="15" hidden="false" customHeight="false" outlineLevel="0" collapsed="false">
      <c r="A190" s="18"/>
      <c r="B190" s="20"/>
      <c r="C190" s="20"/>
      <c r="D190" s="18" t="str">
        <f aca="false">IF(C190="","",IFERROR(INDEX(Products!$A:$A,MATCH(C190,Products!$B:$B,0)),"Not found"))</f>
        <v/>
      </c>
      <c r="E190" s="20"/>
      <c r="F190" s="20"/>
      <c r="G190" s="20"/>
      <c r="H190" s="20"/>
      <c r="I190" s="20"/>
      <c r="J190" s="18"/>
      <c r="K190" s="20"/>
      <c r="L190" s="20"/>
      <c r="M190" s="20"/>
      <c r="N190" s="20"/>
      <c r="O190" s="20"/>
      <c r="P190" s="20"/>
      <c r="Q190" s="20"/>
      <c r="R190" s="20"/>
    </row>
    <row r="191" customFormat="false" ht="15" hidden="false" customHeight="false" outlineLevel="0" collapsed="false">
      <c r="A191" s="18"/>
      <c r="B191" s="20"/>
      <c r="C191" s="20"/>
      <c r="D191" s="18" t="str">
        <f aca="false">IF(C191="","",IFERROR(INDEX(Products!$A:$A,MATCH(C191,Products!$B:$B,0)),"Not found"))</f>
        <v/>
      </c>
      <c r="E191" s="20"/>
      <c r="F191" s="20"/>
      <c r="G191" s="20"/>
      <c r="H191" s="20"/>
      <c r="I191" s="20"/>
      <c r="J191" s="18"/>
      <c r="K191" s="20"/>
      <c r="L191" s="20"/>
      <c r="M191" s="20"/>
      <c r="N191" s="20"/>
      <c r="O191" s="20"/>
      <c r="P191" s="20"/>
      <c r="Q191" s="20"/>
      <c r="R191" s="20"/>
    </row>
    <row r="192" customFormat="false" ht="15" hidden="false" customHeight="false" outlineLevel="0" collapsed="false">
      <c r="A192" s="18"/>
      <c r="B192" s="20"/>
      <c r="C192" s="20"/>
      <c r="D192" s="18" t="str">
        <f aca="false">IF(C192="","",IFERROR(INDEX(Products!$A:$A,MATCH(C192,Products!$B:$B,0)),"Not found"))</f>
        <v/>
      </c>
      <c r="E192" s="20"/>
      <c r="F192" s="20"/>
      <c r="G192" s="20"/>
      <c r="H192" s="20"/>
      <c r="I192" s="20"/>
      <c r="J192" s="18"/>
      <c r="K192" s="20"/>
      <c r="L192" s="20"/>
      <c r="M192" s="20"/>
      <c r="N192" s="20"/>
      <c r="O192" s="20"/>
      <c r="P192" s="20"/>
      <c r="Q192" s="20"/>
      <c r="R192" s="20"/>
    </row>
    <row r="193" customFormat="false" ht="15" hidden="false" customHeight="false" outlineLevel="0" collapsed="false">
      <c r="A193" s="18"/>
      <c r="B193" s="20"/>
      <c r="C193" s="20"/>
      <c r="D193" s="18" t="str">
        <f aca="false">IF(C193="","",IFERROR(INDEX(Products!$A:$A,MATCH(C193,Products!$B:$B,0)),"Not found"))</f>
        <v/>
      </c>
      <c r="E193" s="20"/>
      <c r="F193" s="20"/>
      <c r="G193" s="20"/>
      <c r="H193" s="20"/>
      <c r="I193" s="20"/>
      <c r="J193" s="18"/>
      <c r="K193" s="20"/>
      <c r="L193" s="20"/>
      <c r="M193" s="20"/>
      <c r="N193" s="20"/>
      <c r="O193" s="20"/>
      <c r="P193" s="20"/>
      <c r="Q193" s="20"/>
      <c r="R193" s="20"/>
    </row>
    <row r="194" customFormat="false" ht="15" hidden="false" customHeight="false" outlineLevel="0" collapsed="false">
      <c r="A194" s="18"/>
      <c r="B194" s="20"/>
      <c r="C194" s="20"/>
      <c r="D194" s="18" t="str">
        <f aca="false">IF(C194="","",IFERROR(INDEX(Products!$A:$A,MATCH(C194,Products!$B:$B,0)),"Not found"))</f>
        <v/>
      </c>
      <c r="E194" s="20"/>
      <c r="F194" s="20"/>
      <c r="G194" s="20"/>
      <c r="H194" s="20"/>
      <c r="I194" s="20"/>
      <c r="J194" s="18"/>
      <c r="K194" s="20"/>
      <c r="L194" s="20"/>
      <c r="M194" s="20"/>
      <c r="N194" s="20"/>
      <c r="O194" s="20"/>
      <c r="P194" s="20"/>
      <c r="Q194" s="20"/>
      <c r="R194" s="20"/>
    </row>
    <row r="195" customFormat="false" ht="15" hidden="false" customHeight="false" outlineLevel="0" collapsed="false">
      <c r="A195" s="18"/>
      <c r="B195" s="20"/>
      <c r="C195" s="20"/>
      <c r="D195" s="18" t="str">
        <f aca="false">IF(C195="","",IFERROR(INDEX(Products!$A:$A,MATCH(C195,Products!$B:$B,0)),"Not found"))</f>
        <v/>
      </c>
      <c r="E195" s="20"/>
      <c r="F195" s="20"/>
      <c r="G195" s="20"/>
      <c r="H195" s="20"/>
      <c r="I195" s="20"/>
      <c r="J195" s="18"/>
      <c r="K195" s="20"/>
      <c r="L195" s="20"/>
      <c r="M195" s="20"/>
      <c r="N195" s="20"/>
      <c r="O195" s="20"/>
      <c r="P195" s="20"/>
      <c r="Q195" s="20"/>
      <c r="R195" s="20"/>
    </row>
    <row r="196" customFormat="false" ht="15" hidden="false" customHeight="false" outlineLevel="0" collapsed="false">
      <c r="A196" s="18"/>
      <c r="B196" s="20"/>
      <c r="C196" s="20"/>
      <c r="D196" s="18" t="str">
        <f aca="false">IF(C196="","",IFERROR(INDEX(Products!$A:$A,MATCH(C196,Products!$B:$B,0)),"Not found"))</f>
        <v/>
      </c>
      <c r="E196" s="20"/>
      <c r="F196" s="20"/>
      <c r="G196" s="20"/>
      <c r="H196" s="20"/>
      <c r="I196" s="20"/>
      <c r="J196" s="18"/>
      <c r="K196" s="20"/>
      <c r="L196" s="20"/>
      <c r="M196" s="20"/>
      <c r="N196" s="20"/>
      <c r="O196" s="20"/>
      <c r="P196" s="20"/>
      <c r="Q196" s="20"/>
      <c r="R196" s="20"/>
    </row>
    <row r="197" customFormat="false" ht="15" hidden="false" customHeight="false" outlineLevel="0" collapsed="false">
      <c r="A197" s="18"/>
      <c r="B197" s="20"/>
      <c r="C197" s="20"/>
      <c r="D197" s="18" t="str">
        <f aca="false">IF(C197="","",IFERROR(INDEX(Products!$A:$A,MATCH(C197,Products!$B:$B,0)),"Not found"))</f>
        <v/>
      </c>
      <c r="E197" s="20"/>
      <c r="F197" s="20"/>
      <c r="G197" s="20"/>
      <c r="H197" s="20"/>
      <c r="I197" s="20"/>
      <c r="J197" s="18"/>
      <c r="K197" s="20"/>
      <c r="L197" s="20"/>
      <c r="M197" s="20"/>
      <c r="N197" s="20"/>
      <c r="O197" s="20"/>
      <c r="P197" s="20"/>
      <c r="Q197" s="20"/>
      <c r="R197" s="20"/>
    </row>
    <row r="198" customFormat="false" ht="15" hidden="false" customHeight="false" outlineLevel="0" collapsed="false">
      <c r="A198" s="18"/>
      <c r="B198" s="20"/>
      <c r="C198" s="20"/>
      <c r="D198" s="18" t="str">
        <f aca="false">IF(C198="","",IFERROR(INDEX(Products!$A:$A,MATCH(C198,Products!$B:$B,0)),"Not found"))</f>
        <v/>
      </c>
      <c r="E198" s="20"/>
      <c r="F198" s="20"/>
      <c r="G198" s="20"/>
      <c r="H198" s="20"/>
      <c r="I198" s="20"/>
      <c r="J198" s="18"/>
      <c r="K198" s="20"/>
      <c r="L198" s="20"/>
      <c r="M198" s="20"/>
      <c r="N198" s="20"/>
      <c r="O198" s="20"/>
      <c r="P198" s="20"/>
      <c r="Q198" s="20"/>
      <c r="R198" s="20"/>
    </row>
    <row r="199" customFormat="false" ht="15" hidden="false" customHeight="false" outlineLevel="0" collapsed="false">
      <c r="A199" s="18"/>
      <c r="B199" s="20"/>
      <c r="C199" s="20"/>
      <c r="D199" s="18" t="str">
        <f aca="false">IF(C199="","",IFERROR(INDEX(Products!$A:$A,MATCH(C199,Products!$B:$B,0)),"Not found"))</f>
        <v/>
      </c>
      <c r="E199" s="20"/>
      <c r="F199" s="20"/>
      <c r="G199" s="20"/>
      <c r="H199" s="20"/>
      <c r="I199" s="20"/>
      <c r="J199" s="18"/>
      <c r="K199" s="20"/>
      <c r="L199" s="20"/>
      <c r="M199" s="20"/>
      <c r="N199" s="20"/>
      <c r="O199" s="20"/>
      <c r="P199" s="20"/>
      <c r="Q199" s="20"/>
      <c r="R199" s="20"/>
    </row>
    <row r="200" customFormat="false" ht="15" hidden="false" customHeight="false" outlineLevel="0" collapsed="false">
      <c r="A200" s="18"/>
      <c r="B200" s="20"/>
      <c r="C200" s="20"/>
      <c r="D200" s="18" t="str">
        <f aca="false">IF(C200="","",IFERROR(INDEX(Products!$A:$A,MATCH(C200,Products!$B:$B,0)),"Not found"))</f>
        <v/>
      </c>
      <c r="E200" s="20"/>
      <c r="F200" s="20"/>
      <c r="G200" s="20"/>
      <c r="H200" s="20"/>
      <c r="I200" s="20"/>
      <c r="J200" s="18"/>
      <c r="K200" s="20"/>
      <c r="L200" s="20"/>
      <c r="M200" s="20"/>
      <c r="N200" s="20"/>
      <c r="O200" s="20"/>
      <c r="P200" s="20"/>
      <c r="Q200" s="20"/>
      <c r="R200" s="20"/>
    </row>
    <row r="201" customFormat="false" ht="15" hidden="false" customHeight="false" outlineLevel="0" collapsed="false">
      <c r="A201" s="18"/>
      <c r="B201" s="20"/>
      <c r="C201" s="20"/>
      <c r="D201" s="18" t="str">
        <f aca="false">IF(C201="","",IFERROR(INDEX(Products!$A:$A,MATCH(C201,Products!$B:$B,0)),"Not found"))</f>
        <v/>
      </c>
      <c r="E201" s="20"/>
      <c r="F201" s="20"/>
      <c r="G201" s="20"/>
      <c r="H201" s="20"/>
      <c r="I201" s="20"/>
      <c r="J201" s="18"/>
      <c r="K201" s="20"/>
      <c r="L201" s="20"/>
      <c r="M201" s="20"/>
      <c r="N201" s="20"/>
      <c r="O201" s="20"/>
      <c r="P201" s="20"/>
      <c r="Q201" s="20"/>
      <c r="R201" s="20"/>
    </row>
    <row r="202" customFormat="false" ht="15" hidden="false" customHeight="false" outlineLevel="0" collapsed="false">
      <c r="A202" s="18"/>
      <c r="B202" s="20"/>
      <c r="C202" s="20"/>
      <c r="D202" s="18" t="str">
        <f aca="false">IF(C202="","",IFERROR(INDEX(Products!$A:$A,MATCH(C202,Products!$B:$B,0)),"Not found"))</f>
        <v/>
      </c>
      <c r="E202" s="20"/>
      <c r="F202" s="20"/>
      <c r="G202" s="20"/>
      <c r="H202" s="20"/>
      <c r="I202" s="20"/>
      <c r="J202" s="18"/>
      <c r="K202" s="20"/>
      <c r="L202" s="20"/>
      <c r="M202" s="20"/>
      <c r="N202" s="20"/>
      <c r="O202" s="20"/>
      <c r="P202" s="20"/>
      <c r="Q202" s="20"/>
      <c r="R202" s="20"/>
    </row>
    <row r="203" customFormat="false" ht="15" hidden="false" customHeight="false" outlineLevel="0" collapsed="false">
      <c r="A203" s="18"/>
      <c r="B203" s="20"/>
      <c r="C203" s="20"/>
      <c r="D203" s="18" t="str">
        <f aca="false">IF(C203="","",IFERROR(INDEX(Products!$A:$A,MATCH(C203,Products!$B:$B,0)),"Not found"))</f>
        <v/>
      </c>
      <c r="E203" s="20"/>
      <c r="F203" s="20"/>
      <c r="G203" s="20"/>
      <c r="H203" s="20"/>
      <c r="I203" s="20"/>
      <c r="J203" s="18"/>
      <c r="K203" s="20"/>
      <c r="L203" s="20"/>
      <c r="M203" s="20"/>
      <c r="N203" s="20"/>
      <c r="O203" s="20"/>
      <c r="P203" s="20"/>
      <c r="Q203" s="20"/>
      <c r="R203" s="20"/>
    </row>
    <row r="204" customFormat="false" ht="15" hidden="false" customHeight="false" outlineLevel="0" collapsed="false">
      <c r="A204" s="18"/>
      <c r="B204" s="20"/>
      <c r="C204" s="20"/>
      <c r="D204" s="18" t="str">
        <f aca="false">IF(C204="","",IFERROR(INDEX(Products!$A:$A,MATCH(C204,Products!$B:$B,0)),"Not found"))</f>
        <v/>
      </c>
      <c r="E204" s="20"/>
      <c r="F204" s="20"/>
      <c r="G204" s="20"/>
      <c r="H204" s="20"/>
      <c r="I204" s="20"/>
      <c r="J204" s="18"/>
      <c r="K204" s="20"/>
      <c r="L204" s="20"/>
      <c r="M204" s="20"/>
      <c r="N204" s="20"/>
      <c r="O204" s="20"/>
      <c r="P204" s="20"/>
      <c r="Q204" s="20"/>
      <c r="R204" s="20"/>
    </row>
    <row r="205" customFormat="false" ht="15" hidden="false" customHeight="false" outlineLevel="0" collapsed="false">
      <c r="A205" s="18"/>
      <c r="B205" s="20"/>
      <c r="C205" s="20"/>
      <c r="D205" s="18" t="str">
        <f aca="false">IF(C205="","",IFERROR(INDEX(Products!$A:$A,MATCH(C205,Products!$B:$B,0)),"Not found"))</f>
        <v/>
      </c>
      <c r="E205" s="20"/>
      <c r="F205" s="20"/>
      <c r="G205" s="20"/>
      <c r="H205" s="20"/>
      <c r="I205" s="20"/>
      <c r="J205" s="18"/>
      <c r="K205" s="20"/>
      <c r="L205" s="20"/>
      <c r="M205" s="20"/>
      <c r="N205" s="20"/>
      <c r="O205" s="20"/>
      <c r="P205" s="20"/>
      <c r="Q205" s="20"/>
      <c r="R205" s="20"/>
    </row>
    <row r="206" customFormat="false" ht="15" hidden="false" customHeight="false" outlineLevel="0" collapsed="false">
      <c r="A206" s="18"/>
      <c r="B206" s="20"/>
      <c r="C206" s="20"/>
      <c r="D206" s="18" t="str">
        <f aca="false">IF(C206="","",IFERROR(INDEX(Products!$A:$A,MATCH(C206,Products!$B:$B,0)),"Not found"))</f>
        <v/>
      </c>
      <c r="E206" s="20"/>
      <c r="F206" s="20"/>
      <c r="G206" s="20"/>
      <c r="H206" s="20"/>
      <c r="I206" s="20"/>
      <c r="J206" s="18"/>
      <c r="K206" s="20"/>
      <c r="L206" s="20"/>
      <c r="M206" s="20"/>
      <c r="N206" s="20"/>
      <c r="O206" s="20"/>
      <c r="P206" s="20"/>
      <c r="Q206" s="20"/>
      <c r="R206" s="20"/>
    </row>
    <row r="207" customFormat="false" ht="15" hidden="false" customHeight="false" outlineLevel="0" collapsed="false">
      <c r="A207" s="18"/>
      <c r="B207" s="20"/>
      <c r="C207" s="20"/>
      <c r="D207" s="18" t="str">
        <f aca="false">IF(C207="","",IFERROR(INDEX(Products!$A:$A,MATCH(C207,Products!$B:$B,0)),"Not found"))</f>
        <v/>
      </c>
      <c r="E207" s="20"/>
      <c r="F207" s="20"/>
      <c r="G207" s="20"/>
      <c r="H207" s="20"/>
      <c r="I207" s="20"/>
      <c r="J207" s="18"/>
      <c r="K207" s="20"/>
      <c r="L207" s="20"/>
      <c r="M207" s="20"/>
      <c r="N207" s="20"/>
      <c r="O207" s="20"/>
      <c r="P207" s="20"/>
      <c r="Q207" s="20"/>
      <c r="R207" s="20"/>
    </row>
    <row r="208" customFormat="false" ht="15" hidden="false" customHeight="false" outlineLevel="0" collapsed="false">
      <c r="A208" s="18"/>
      <c r="B208" s="20"/>
      <c r="C208" s="20"/>
      <c r="D208" s="18" t="str">
        <f aca="false">IF(C208="","",IFERROR(INDEX(Products!$A:$A,MATCH(C208,Products!$B:$B,0)),"Not found"))</f>
        <v/>
      </c>
      <c r="E208" s="20"/>
      <c r="F208" s="20"/>
      <c r="G208" s="20"/>
      <c r="H208" s="20"/>
      <c r="I208" s="20"/>
      <c r="J208" s="18"/>
      <c r="K208" s="20"/>
      <c r="L208" s="20"/>
      <c r="M208" s="20"/>
      <c r="N208" s="20"/>
      <c r="O208" s="20"/>
      <c r="P208" s="20"/>
      <c r="Q208" s="20"/>
      <c r="R208" s="20"/>
    </row>
    <row r="209" customFormat="false" ht="15" hidden="false" customHeight="false" outlineLevel="0" collapsed="false">
      <c r="A209" s="18"/>
      <c r="B209" s="20"/>
      <c r="C209" s="20"/>
      <c r="D209" s="18" t="str">
        <f aca="false">IF(C209="","",IFERROR(INDEX(Products!$A:$A,MATCH(C209,Products!$B:$B,0)),"Not found"))</f>
        <v/>
      </c>
      <c r="E209" s="20"/>
      <c r="F209" s="20"/>
      <c r="G209" s="20"/>
      <c r="H209" s="20"/>
      <c r="I209" s="20"/>
      <c r="J209" s="18"/>
      <c r="K209" s="20"/>
      <c r="L209" s="20"/>
      <c r="M209" s="20"/>
      <c r="N209" s="20"/>
      <c r="O209" s="20"/>
      <c r="P209" s="20"/>
      <c r="Q209" s="20"/>
      <c r="R209" s="20"/>
    </row>
    <row r="210" customFormat="false" ht="15" hidden="false" customHeight="false" outlineLevel="0" collapsed="false">
      <c r="A210" s="18"/>
      <c r="B210" s="20"/>
      <c r="C210" s="20"/>
      <c r="D210" s="18" t="str">
        <f aca="false">IF(C210="","",IFERROR(INDEX(Products!$A:$A,MATCH(C210,Products!$B:$B,0)),"Not found"))</f>
        <v/>
      </c>
      <c r="E210" s="20"/>
      <c r="F210" s="20"/>
      <c r="G210" s="20"/>
      <c r="H210" s="20"/>
      <c r="I210" s="20"/>
      <c r="J210" s="18"/>
      <c r="K210" s="20"/>
      <c r="L210" s="20"/>
      <c r="M210" s="20"/>
      <c r="N210" s="20"/>
      <c r="O210" s="20"/>
      <c r="P210" s="20"/>
      <c r="Q210" s="20"/>
      <c r="R210" s="20"/>
    </row>
    <row r="211" customFormat="false" ht="15" hidden="false" customHeight="false" outlineLevel="0" collapsed="false">
      <c r="A211" s="18"/>
      <c r="B211" s="20"/>
      <c r="C211" s="20"/>
      <c r="D211" s="18" t="str">
        <f aca="false">IF(C211="","",IFERROR(INDEX(Products!$A:$A,MATCH(C211,Products!$B:$B,0)),"Not found"))</f>
        <v/>
      </c>
      <c r="E211" s="20"/>
      <c r="F211" s="20"/>
      <c r="G211" s="20"/>
      <c r="H211" s="20"/>
      <c r="I211" s="20"/>
      <c r="J211" s="18"/>
      <c r="K211" s="20"/>
      <c r="L211" s="20"/>
      <c r="M211" s="20"/>
      <c r="N211" s="20"/>
      <c r="O211" s="20"/>
      <c r="P211" s="20"/>
      <c r="Q211" s="20"/>
      <c r="R211" s="20"/>
    </row>
    <row r="212" customFormat="false" ht="15" hidden="false" customHeight="false" outlineLevel="0" collapsed="false">
      <c r="A212" s="18"/>
      <c r="B212" s="20"/>
      <c r="C212" s="20"/>
      <c r="D212" s="18" t="str">
        <f aca="false">IF(C212="","",IFERROR(INDEX(Products!$A:$A,MATCH(C212,Products!$B:$B,0)),"Not found"))</f>
        <v/>
      </c>
      <c r="E212" s="20"/>
      <c r="F212" s="20"/>
      <c r="G212" s="20"/>
      <c r="H212" s="20"/>
      <c r="I212" s="20"/>
      <c r="J212" s="18"/>
      <c r="K212" s="20"/>
      <c r="L212" s="20"/>
      <c r="M212" s="20"/>
      <c r="N212" s="20"/>
      <c r="O212" s="20"/>
      <c r="P212" s="20"/>
      <c r="Q212" s="20"/>
      <c r="R212" s="20"/>
    </row>
    <row r="213" customFormat="false" ht="15" hidden="false" customHeight="false" outlineLevel="0" collapsed="false">
      <c r="A213" s="18"/>
      <c r="B213" s="20"/>
      <c r="C213" s="20"/>
      <c r="D213" s="18" t="str">
        <f aca="false">IF(C213="","",IFERROR(INDEX(Products!$A:$A,MATCH(C213,Products!$B:$B,0)),"Not found"))</f>
        <v/>
      </c>
      <c r="E213" s="20"/>
      <c r="F213" s="20"/>
      <c r="G213" s="20"/>
      <c r="H213" s="20"/>
      <c r="I213" s="20"/>
      <c r="J213" s="18"/>
      <c r="K213" s="20"/>
      <c r="L213" s="20"/>
      <c r="M213" s="20"/>
      <c r="N213" s="20"/>
      <c r="O213" s="20"/>
      <c r="P213" s="20"/>
      <c r="Q213" s="20"/>
      <c r="R213" s="20"/>
    </row>
    <row r="214" customFormat="false" ht="15" hidden="false" customHeight="false" outlineLevel="0" collapsed="false">
      <c r="A214" s="18"/>
      <c r="B214" s="20"/>
      <c r="C214" s="20"/>
      <c r="D214" s="18" t="str">
        <f aca="false">IF(C214="","",IFERROR(INDEX(Products!$A:$A,MATCH(C214,Products!$B:$B,0)),"Not found"))</f>
        <v/>
      </c>
      <c r="E214" s="20"/>
      <c r="F214" s="20"/>
      <c r="G214" s="20"/>
      <c r="H214" s="20"/>
      <c r="I214" s="20"/>
      <c r="J214" s="18"/>
      <c r="K214" s="20"/>
      <c r="L214" s="20"/>
      <c r="M214" s="20"/>
      <c r="N214" s="20"/>
      <c r="O214" s="20"/>
      <c r="P214" s="20"/>
      <c r="Q214" s="20"/>
      <c r="R214" s="20"/>
    </row>
    <row r="215" customFormat="false" ht="15" hidden="false" customHeight="false" outlineLevel="0" collapsed="false">
      <c r="A215" s="18"/>
      <c r="B215" s="20"/>
      <c r="C215" s="20"/>
      <c r="D215" s="18" t="str">
        <f aca="false">IF(C215="","",IFERROR(INDEX(Products!$A:$A,MATCH(C215,Products!$B:$B,0)),"Not found"))</f>
        <v/>
      </c>
      <c r="E215" s="20"/>
      <c r="F215" s="20"/>
      <c r="G215" s="20"/>
      <c r="H215" s="20"/>
      <c r="I215" s="20"/>
      <c r="J215" s="18"/>
      <c r="K215" s="20"/>
      <c r="L215" s="20"/>
      <c r="M215" s="20"/>
      <c r="N215" s="20"/>
      <c r="O215" s="20"/>
      <c r="P215" s="20"/>
      <c r="Q215" s="20"/>
      <c r="R215" s="20"/>
    </row>
    <row r="216" customFormat="false" ht="15" hidden="false" customHeight="false" outlineLevel="0" collapsed="false">
      <c r="A216" s="18"/>
      <c r="B216" s="20"/>
      <c r="C216" s="20"/>
      <c r="D216" s="18" t="str">
        <f aca="false">IF(C216="","",IFERROR(INDEX(Products!$A:$A,MATCH(C216,Products!$B:$B,0)),"Not found"))</f>
        <v/>
      </c>
      <c r="E216" s="20"/>
      <c r="F216" s="20"/>
      <c r="G216" s="20"/>
      <c r="H216" s="20"/>
      <c r="I216" s="20"/>
      <c r="J216" s="18"/>
      <c r="K216" s="20"/>
      <c r="L216" s="20"/>
      <c r="M216" s="20"/>
      <c r="N216" s="20"/>
      <c r="O216" s="20"/>
      <c r="P216" s="20"/>
      <c r="Q216" s="20"/>
      <c r="R216" s="20"/>
    </row>
    <row r="217" customFormat="false" ht="15" hidden="false" customHeight="false" outlineLevel="0" collapsed="false">
      <c r="A217" s="18"/>
      <c r="B217" s="20"/>
      <c r="C217" s="20"/>
      <c r="D217" s="18" t="str">
        <f aca="false">IF(C217="","",IFERROR(INDEX(Products!$A:$A,MATCH(C217,Products!$B:$B,0)),"Not found"))</f>
        <v/>
      </c>
      <c r="E217" s="20"/>
      <c r="F217" s="20"/>
      <c r="G217" s="20"/>
      <c r="H217" s="20"/>
      <c r="I217" s="20"/>
      <c r="J217" s="18"/>
      <c r="K217" s="20"/>
      <c r="L217" s="20"/>
      <c r="M217" s="20"/>
      <c r="N217" s="20"/>
      <c r="O217" s="20"/>
      <c r="P217" s="20"/>
      <c r="Q217" s="20"/>
      <c r="R217" s="20"/>
    </row>
    <row r="218" customFormat="false" ht="15" hidden="false" customHeight="false" outlineLevel="0" collapsed="false">
      <c r="A218" s="18"/>
      <c r="B218" s="20"/>
      <c r="C218" s="20"/>
      <c r="D218" s="18" t="str">
        <f aca="false">IF(C218="","",IFERROR(INDEX(Products!$A:$A,MATCH(C218,Products!$B:$B,0)),"Not found"))</f>
        <v/>
      </c>
      <c r="E218" s="20"/>
      <c r="F218" s="20"/>
      <c r="G218" s="20"/>
      <c r="H218" s="20"/>
      <c r="I218" s="20"/>
      <c r="J218" s="18"/>
      <c r="K218" s="20"/>
      <c r="L218" s="20"/>
      <c r="M218" s="20"/>
      <c r="N218" s="20"/>
      <c r="O218" s="20"/>
      <c r="P218" s="20"/>
      <c r="Q218" s="20"/>
      <c r="R218" s="20"/>
    </row>
    <row r="219" customFormat="false" ht="15" hidden="false" customHeight="false" outlineLevel="0" collapsed="false">
      <c r="A219" s="18"/>
      <c r="B219" s="20"/>
      <c r="C219" s="20"/>
      <c r="D219" s="18" t="str">
        <f aca="false">IF(C219="","",IFERROR(INDEX(Products!$A:$A,MATCH(C219,Products!$B:$B,0)),"Not found"))</f>
        <v/>
      </c>
      <c r="E219" s="20"/>
      <c r="F219" s="20"/>
      <c r="G219" s="20"/>
      <c r="H219" s="20"/>
      <c r="I219" s="20"/>
      <c r="J219" s="18"/>
      <c r="K219" s="20"/>
      <c r="L219" s="20"/>
      <c r="M219" s="20"/>
      <c r="N219" s="20"/>
      <c r="O219" s="20"/>
      <c r="P219" s="20"/>
      <c r="Q219" s="20"/>
      <c r="R219" s="20"/>
    </row>
    <row r="220" customFormat="false" ht="15" hidden="false" customHeight="false" outlineLevel="0" collapsed="false">
      <c r="A220" s="18"/>
      <c r="B220" s="20"/>
      <c r="C220" s="20"/>
      <c r="D220" s="18" t="str">
        <f aca="false">IF(C220="","",IFERROR(INDEX(Products!$A:$A,MATCH(C220,Products!$B:$B,0)),"Not found"))</f>
        <v/>
      </c>
      <c r="E220" s="20"/>
      <c r="F220" s="20"/>
      <c r="G220" s="20"/>
      <c r="H220" s="20"/>
      <c r="I220" s="20"/>
      <c r="J220" s="18"/>
      <c r="K220" s="20"/>
      <c r="L220" s="20"/>
      <c r="M220" s="20"/>
      <c r="N220" s="20"/>
      <c r="O220" s="20"/>
      <c r="P220" s="20"/>
      <c r="Q220" s="20"/>
      <c r="R220" s="20"/>
    </row>
    <row r="221" customFormat="false" ht="15" hidden="false" customHeight="false" outlineLevel="0" collapsed="false">
      <c r="A221" s="18"/>
      <c r="B221" s="20"/>
      <c r="C221" s="20"/>
      <c r="D221" s="18" t="str">
        <f aca="false">IF(C221="","",IFERROR(INDEX(Products!$A:$A,MATCH(C221,Products!$B:$B,0)),"Not found"))</f>
        <v/>
      </c>
      <c r="E221" s="20"/>
      <c r="F221" s="20"/>
      <c r="G221" s="20"/>
      <c r="H221" s="20"/>
      <c r="I221" s="20"/>
      <c r="J221" s="18"/>
      <c r="K221" s="20"/>
      <c r="L221" s="20"/>
      <c r="M221" s="20"/>
      <c r="N221" s="20"/>
      <c r="O221" s="20"/>
      <c r="P221" s="20"/>
      <c r="Q221" s="20"/>
      <c r="R221" s="20"/>
    </row>
    <row r="222" customFormat="false" ht="15" hidden="false" customHeight="false" outlineLevel="0" collapsed="false">
      <c r="A222" s="18"/>
      <c r="B222" s="20"/>
      <c r="C222" s="20"/>
      <c r="D222" s="18" t="str">
        <f aca="false">IF(C222="","",IFERROR(INDEX(Products!$A:$A,MATCH(C222,Products!$B:$B,0)),"Not found"))</f>
        <v/>
      </c>
      <c r="E222" s="20"/>
      <c r="F222" s="20"/>
      <c r="G222" s="20"/>
      <c r="H222" s="20"/>
      <c r="I222" s="20"/>
      <c r="J222" s="18"/>
      <c r="K222" s="20"/>
      <c r="L222" s="20"/>
      <c r="M222" s="20"/>
      <c r="N222" s="20"/>
      <c r="O222" s="20"/>
      <c r="P222" s="20"/>
      <c r="Q222" s="20"/>
      <c r="R222" s="20"/>
    </row>
    <row r="223" customFormat="false" ht="15" hidden="false" customHeight="false" outlineLevel="0" collapsed="false">
      <c r="A223" s="18"/>
      <c r="B223" s="20"/>
      <c r="C223" s="20"/>
      <c r="D223" s="18" t="str">
        <f aca="false">IF(C223="","",IFERROR(INDEX(Products!$A:$A,MATCH(C223,Products!$B:$B,0)),"Not found"))</f>
        <v/>
      </c>
      <c r="E223" s="20"/>
      <c r="F223" s="20"/>
      <c r="G223" s="20"/>
      <c r="H223" s="20"/>
      <c r="I223" s="20"/>
      <c r="J223" s="18"/>
      <c r="K223" s="20"/>
      <c r="L223" s="20"/>
      <c r="M223" s="20"/>
      <c r="N223" s="20"/>
      <c r="O223" s="20"/>
      <c r="P223" s="20"/>
      <c r="Q223" s="20"/>
      <c r="R223" s="20"/>
    </row>
    <row r="224" customFormat="false" ht="15" hidden="false" customHeight="false" outlineLevel="0" collapsed="false">
      <c r="A224" s="18"/>
      <c r="B224" s="20"/>
      <c r="C224" s="20"/>
      <c r="D224" s="18" t="str">
        <f aca="false">IF(C224="","",IFERROR(INDEX(Products!$A:$A,MATCH(C224,Products!$B:$B,0)),"Not found"))</f>
        <v/>
      </c>
      <c r="E224" s="20"/>
      <c r="F224" s="20"/>
      <c r="G224" s="20"/>
      <c r="H224" s="20"/>
      <c r="I224" s="20"/>
      <c r="J224" s="18"/>
      <c r="K224" s="20"/>
      <c r="L224" s="20"/>
      <c r="M224" s="20"/>
      <c r="N224" s="20"/>
      <c r="O224" s="20"/>
      <c r="P224" s="20"/>
      <c r="Q224" s="20"/>
      <c r="R224" s="20"/>
    </row>
    <row r="225" customFormat="false" ht="15" hidden="false" customHeight="false" outlineLevel="0" collapsed="false">
      <c r="A225" s="18"/>
      <c r="B225" s="20"/>
      <c r="C225" s="20"/>
      <c r="D225" s="18" t="str">
        <f aca="false">IF(C225="","",IFERROR(INDEX(Products!$A:$A,MATCH(C225,Products!$B:$B,0)),"Not found"))</f>
        <v/>
      </c>
      <c r="E225" s="20"/>
      <c r="F225" s="20"/>
      <c r="G225" s="20"/>
      <c r="H225" s="20"/>
      <c r="I225" s="20"/>
      <c r="J225" s="18"/>
      <c r="K225" s="20"/>
      <c r="L225" s="20"/>
      <c r="M225" s="20"/>
      <c r="N225" s="20"/>
      <c r="O225" s="20"/>
      <c r="P225" s="20"/>
      <c r="Q225" s="20"/>
      <c r="R225" s="20"/>
    </row>
    <row r="226" customFormat="false" ht="15" hidden="false" customHeight="false" outlineLevel="0" collapsed="false">
      <c r="A226" s="18"/>
      <c r="B226" s="20"/>
      <c r="C226" s="20"/>
      <c r="D226" s="18" t="str">
        <f aca="false">IF(C226="","",IFERROR(INDEX(Products!$A:$A,MATCH(C226,Products!$B:$B,0)),"Not found"))</f>
        <v/>
      </c>
      <c r="E226" s="20"/>
      <c r="F226" s="20"/>
      <c r="G226" s="20"/>
      <c r="H226" s="20"/>
      <c r="I226" s="20"/>
      <c r="J226" s="18"/>
      <c r="K226" s="20"/>
      <c r="L226" s="20"/>
      <c r="M226" s="20"/>
      <c r="N226" s="20"/>
      <c r="O226" s="20"/>
      <c r="P226" s="20"/>
      <c r="Q226" s="20"/>
      <c r="R226" s="20"/>
    </row>
    <row r="227" customFormat="false" ht="15" hidden="false" customHeight="false" outlineLevel="0" collapsed="false">
      <c r="A227" s="18"/>
      <c r="B227" s="20"/>
      <c r="C227" s="20"/>
      <c r="D227" s="18" t="str">
        <f aca="false">IF(C227="","",IFERROR(INDEX(Products!$A:$A,MATCH(C227,Products!$B:$B,0)),"Not found"))</f>
        <v/>
      </c>
      <c r="E227" s="20"/>
      <c r="F227" s="20"/>
      <c r="G227" s="20"/>
      <c r="H227" s="20"/>
      <c r="I227" s="20"/>
      <c r="J227" s="18"/>
      <c r="K227" s="20"/>
      <c r="L227" s="20"/>
      <c r="M227" s="20"/>
      <c r="N227" s="20"/>
      <c r="O227" s="20"/>
      <c r="P227" s="20"/>
      <c r="Q227" s="20"/>
      <c r="R227" s="20"/>
    </row>
    <row r="228" customFormat="false" ht="15" hidden="false" customHeight="false" outlineLevel="0" collapsed="false">
      <c r="A228" s="18"/>
      <c r="B228" s="20"/>
      <c r="C228" s="20"/>
      <c r="D228" s="18" t="str">
        <f aca="false">IF(C228="","",IFERROR(INDEX(Products!$A:$A,MATCH(C228,Products!$B:$B,0)),"Not found"))</f>
        <v/>
      </c>
      <c r="E228" s="20"/>
      <c r="F228" s="20"/>
      <c r="G228" s="20"/>
      <c r="H228" s="20"/>
      <c r="I228" s="20"/>
      <c r="J228" s="18"/>
      <c r="K228" s="20"/>
      <c r="L228" s="20"/>
      <c r="M228" s="20"/>
      <c r="N228" s="20"/>
      <c r="O228" s="20"/>
      <c r="P228" s="20"/>
      <c r="Q228" s="20"/>
      <c r="R228" s="20"/>
    </row>
    <row r="229" customFormat="false" ht="15" hidden="false" customHeight="false" outlineLevel="0" collapsed="false">
      <c r="A229" s="18"/>
      <c r="B229" s="20"/>
      <c r="C229" s="20"/>
      <c r="D229" s="18" t="str">
        <f aca="false">IF(C229="","",IFERROR(INDEX(Products!$A:$A,MATCH(C229,Products!$B:$B,0)),"Not found"))</f>
        <v/>
      </c>
      <c r="E229" s="20"/>
      <c r="F229" s="20"/>
      <c r="G229" s="20"/>
      <c r="H229" s="20"/>
      <c r="I229" s="20"/>
      <c r="J229" s="18"/>
      <c r="K229" s="20"/>
      <c r="L229" s="20"/>
      <c r="M229" s="20"/>
      <c r="N229" s="20"/>
      <c r="O229" s="20"/>
      <c r="P229" s="20"/>
      <c r="Q229" s="20"/>
      <c r="R229" s="20"/>
    </row>
    <row r="230" customFormat="false" ht="15" hidden="false" customHeight="false" outlineLevel="0" collapsed="false">
      <c r="A230" s="18"/>
      <c r="B230" s="20"/>
      <c r="C230" s="20"/>
      <c r="D230" s="18" t="str">
        <f aca="false">IF(C230="","",IFERROR(INDEX(Products!$A:$A,MATCH(C230,Products!$B:$B,0)),"Not found"))</f>
        <v/>
      </c>
      <c r="E230" s="20"/>
      <c r="F230" s="20"/>
      <c r="G230" s="20"/>
      <c r="H230" s="20"/>
      <c r="I230" s="20"/>
      <c r="J230" s="18"/>
      <c r="K230" s="20"/>
      <c r="L230" s="20"/>
      <c r="M230" s="20"/>
      <c r="N230" s="20"/>
      <c r="O230" s="20"/>
      <c r="P230" s="20"/>
      <c r="Q230" s="20"/>
      <c r="R230" s="20"/>
    </row>
    <row r="231" customFormat="false" ht="15" hidden="false" customHeight="false" outlineLevel="0" collapsed="false">
      <c r="A231" s="18"/>
      <c r="B231" s="20"/>
      <c r="C231" s="20"/>
      <c r="D231" s="18" t="str">
        <f aca="false">IF(C231="","",IFERROR(INDEX(Products!$A:$A,MATCH(C231,Products!$B:$B,0)),"Not found"))</f>
        <v/>
      </c>
      <c r="E231" s="20"/>
      <c r="F231" s="20"/>
      <c r="G231" s="20"/>
      <c r="H231" s="20"/>
      <c r="I231" s="20"/>
      <c r="J231" s="18"/>
      <c r="K231" s="20"/>
      <c r="L231" s="20"/>
      <c r="M231" s="20"/>
      <c r="N231" s="20"/>
      <c r="O231" s="20"/>
      <c r="P231" s="20"/>
      <c r="Q231" s="20"/>
      <c r="R231" s="20"/>
    </row>
    <row r="232" customFormat="false" ht="15" hidden="false" customHeight="false" outlineLevel="0" collapsed="false">
      <c r="A232" s="18"/>
      <c r="B232" s="20"/>
      <c r="C232" s="20"/>
      <c r="D232" s="18" t="str">
        <f aca="false">IF(C232="","",IFERROR(INDEX(Products!$A:$A,MATCH(C232,Products!$B:$B,0)),"Not found"))</f>
        <v/>
      </c>
      <c r="E232" s="20"/>
      <c r="F232" s="20"/>
      <c r="G232" s="20"/>
      <c r="H232" s="20"/>
      <c r="I232" s="20"/>
      <c r="J232" s="18"/>
      <c r="K232" s="20"/>
      <c r="L232" s="20"/>
      <c r="M232" s="20"/>
      <c r="N232" s="20"/>
      <c r="O232" s="20"/>
      <c r="P232" s="20"/>
      <c r="Q232" s="20"/>
      <c r="R232" s="20"/>
    </row>
    <row r="233" customFormat="false" ht="15" hidden="false" customHeight="false" outlineLevel="0" collapsed="false">
      <c r="A233" s="18"/>
      <c r="B233" s="20"/>
      <c r="C233" s="20"/>
      <c r="D233" s="18" t="str">
        <f aca="false">IF(C233="","",IFERROR(INDEX(Products!$A:$A,MATCH(C233,Products!$B:$B,0)),"Not found"))</f>
        <v/>
      </c>
      <c r="E233" s="20"/>
      <c r="F233" s="20"/>
      <c r="G233" s="20"/>
      <c r="H233" s="20"/>
      <c r="I233" s="20"/>
      <c r="J233" s="18"/>
      <c r="K233" s="20"/>
      <c r="L233" s="20"/>
      <c r="M233" s="20"/>
      <c r="N233" s="20"/>
      <c r="O233" s="20"/>
      <c r="P233" s="20"/>
      <c r="Q233" s="20"/>
      <c r="R233" s="20"/>
    </row>
    <row r="234" customFormat="false" ht="15" hidden="false" customHeight="false" outlineLevel="0" collapsed="false">
      <c r="A234" s="18"/>
      <c r="B234" s="20"/>
      <c r="C234" s="20"/>
      <c r="D234" s="18" t="str">
        <f aca="false">IF(C234="","",IFERROR(INDEX(Products!$A:$A,MATCH(C234,Products!$B:$B,0)),"Not found"))</f>
        <v/>
      </c>
      <c r="E234" s="20"/>
      <c r="F234" s="20"/>
      <c r="G234" s="20"/>
      <c r="H234" s="20"/>
      <c r="I234" s="20"/>
      <c r="J234" s="18"/>
      <c r="K234" s="20"/>
      <c r="L234" s="20"/>
      <c r="M234" s="20"/>
      <c r="N234" s="20"/>
      <c r="O234" s="20"/>
      <c r="P234" s="20"/>
      <c r="Q234" s="20"/>
      <c r="R234" s="20"/>
    </row>
    <row r="235" customFormat="false" ht="15" hidden="false" customHeight="false" outlineLevel="0" collapsed="false">
      <c r="A235" s="18"/>
      <c r="B235" s="20"/>
      <c r="C235" s="20"/>
      <c r="D235" s="18" t="str">
        <f aca="false">IF(C235="","",IFERROR(INDEX(Products!$A:$A,MATCH(C235,Products!$B:$B,0)),"Not found"))</f>
        <v/>
      </c>
      <c r="E235" s="20"/>
      <c r="F235" s="20"/>
      <c r="G235" s="20"/>
      <c r="H235" s="20"/>
      <c r="I235" s="20"/>
      <c r="J235" s="18"/>
      <c r="K235" s="20"/>
      <c r="L235" s="20"/>
      <c r="M235" s="20"/>
      <c r="N235" s="20"/>
      <c r="O235" s="20"/>
      <c r="P235" s="20"/>
      <c r="Q235" s="20"/>
      <c r="R235" s="20"/>
    </row>
    <row r="236" customFormat="false" ht="15" hidden="false" customHeight="false" outlineLevel="0" collapsed="false">
      <c r="A236" s="18"/>
      <c r="B236" s="20"/>
      <c r="C236" s="20"/>
      <c r="D236" s="18" t="str">
        <f aca="false">IF(C236="","",IFERROR(INDEX(Products!$A:$A,MATCH(C236,Products!$B:$B,0)),"Not found"))</f>
        <v/>
      </c>
      <c r="E236" s="20"/>
      <c r="F236" s="20"/>
      <c r="G236" s="20"/>
      <c r="H236" s="20"/>
      <c r="I236" s="20"/>
      <c r="J236" s="18"/>
      <c r="K236" s="20"/>
      <c r="L236" s="20"/>
      <c r="M236" s="20"/>
      <c r="N236" s="20"/>
      <c r="O236" s="20"/>
      <c r="P236" s="20"/>
      <c r="Q236" s="20"/>
      <c r="R236" s="20"/>
    </row>
    <row r="237" customFormat="false" ht="15" hidden="false" customHeight="false" outlineLevel="0" collapsed="false">
      <c r="A237" s="18"/>
      <c r="B237" s="20"/>
      <c r="C237" s="20"/>
      <c r="D237" s="18" t="str">
        <f aca="false">IF(C237="","",IFERROR(INDEX(Products!$A:$A,MATCH(C237,Products!$B:$B,0)),"Not found"))</f>
        <v/>
      </c>
      <c r="E237" s="20"/>
      <c r="F237" s="20"/>
      <c r="G237" s="20"/>
      <c r="H237" s="20"/>
      <c r="I237" s="20"/>
      <c r="J237" s="18"/>
      <c r="K237" s="20"/>
      <c r="L237" s="20"/>
      <c r="M237" s="20"/>
      <c r="N237" s="20"/>
      <c r="O237" s="20"/>
      <c r="P237" s="20"/>
      <c r="Q237" s="20"/>
      <c r="R237" s="20"/>
    </row>
    <row r="238" customFormat="false" ht="15" hidden="false" customHeight="false" outlineLevel="0" collapsed="false">
      <c r="A238" s="18"/>
      <c r="B238" s="20"/>
      <c r="C238" s="20"/>
      <c r="D238" s="18" t="str">
        <f aca="false">IF(C238="","",IFERROR(INDEX(Products!$A:$A,MATCH(C238,Products!$B:$B,0)),"Not found"))</f>
        <v/>
      </c>
      <c r="E238" s="20"/>
      <c r="F238" s="20"/>
      <c r="G238" s="20"/>
      <c r="H238" s="20"/>
      <c r="I238" s="20"/>
      <c r="J238" s="18"/>
      <c r="K238" s="20"/>
      <c r="L238" s="20"/>
      <c r="M238" s="20"/>
      <c r="N238" s="20"/>
      <c r="O238" s="20"/>
      <c r="P238" s="20"/>
      <c r="Q238" s="20"/>
      <c r="R238" s="20"/>
    </row>
    <row r="239" customFormat="false" ht="15" hidden="false" customHeight="false" outlineLevel="0" collapsed="false">
      <c r="A239" s="18"/>
      <c r="B239" s="20"/>
      <c r="C239" s="20"/>
      <c r="D239" s="18" t="str">
        <f aca="false">IF(C239="","",IFERROR(INDEX(Products!$A:$A,MATCH(C239,Products!$B:$B,0)),"Not found"))</f>
        <v/>
      </c>
      <c r="E239" s="20"/>
      <c r="F239" s="20"/>
      <c r="G239" s="20"/>
      <c r="H239" s="20"/>
      <c r="I239" s="20"/>
      <c r="J239" s="18"/>
      <c r="K239" s="20"/>
      <c r="L239" s="20"/>
      <c r="M239" s="20"/>
      <c r="N239" s="20"/>
      <c r="O239" s="20"/>
      <c r="P239" s="20"/>
      <c r="Q239" s="20"/>
      <c r="R239" s="20"/>
    </row>
    <row r="240" customFormat="false" ht="15" hidden="false" customHeight="false" outlineLevel="0" collapsed="false">
      <c r="A240" s="18"/>
      <c r="B240" s="20"/>
      <c r="C240" s="20"/>
      <c r="D240" s="18" t="str">
        <f aca="false">IF(C240="","",IFERROR(INDEX(Products!$A:$A,MATCH(C240,Products!$B:$B,0)),"Not found"))</f>
        <v/>
      </c>
      <c r="E240" s="20"/>
      <c r="F240" s="20"/>
      <c r="G240" s="20"/>
      <c r="H240" s="20"/>
      <c r="I240" s="20"/>
      <c r="J240" s="18"/>
      <c r="K240" s="20"/>
      <c r="L240" s="20"/>
      <c r="M240" s="20"/>
      <c r="N240" s="20"/>
      <c r="O240" s="20"/>
      <c r="P240" s="20"/>
      <c r="Q240" s="20"/>
      <c r="R240" s="20"/>
    </row>
    <row r="241" customFormat="false" ht="15" hidden="false" customHeight="false" outlineLevel="0" collapsed="false">
      <c r="A241" s="18"/>
      <c r="B241" s="20"/>
      <c r="C241" s="20"/>
      <c r="D241" s="18" t="str">
        <f aca="false">IF(C241="","",IFERROR(INDEX(Products!$A:$A,MATCH(C241,Products!$B:$B,0)),"Not found"))</f>
        <v/>
      </c>
      <c r="E241" s="20"/>
      <c r="F241" s="20"/>
      <c r="G241" s="20"/>
      <c r="H241" s="20"/>
      <c r="I241" s="20"/>
      <c r="J241" s="18"/>
      <c r="K241" s="20"/>
      <c r="L241" s="20"/>
      <c r="M241" s="20"/>
      <c r="N241" s="20"/>
      <c r="O241" s="20"/>
      <c r="P241" s="20"/>
      <c r="Q241" s="20"/>
      <c r="R241" s="20"/>
    </row>
    <row r="242" customFormat="false" ht="15" hidden="false" customHeight="false" outlineLevel="0" collapsed="false">
      <c r="A242" s="18"/>
      <c r="B242" s="20"/>
      <c r="C242" s="20"/>
      <c r="D242" s="18" t="str">
        <f aca="false">IF(C242="","",IFERROR(INDEX(Products!$A:$A,MATCH(C242,Products!$B:$B,0)),"Not found"))</f>
        <v/>
      </c>
      <c r="E242" s="20"/>
      <c r="F242" s="20"/>
      <c r="G242" s="20"/>
      <c r="H242" s="20"/>
      <c r="I242" s="20"/>
      <c r="J242" s="18"/>
      <c r="K242" s="20"/>
      <c r="L242" s="20"/>
      <c r="M242" s="20"/>
      <c r="N242" s="20"/>
      <c r="O242" s="20"/>
      <c r="P242" s="20"/>
      <c r="Q242" s="20"/>
      <c r="R242" s="20"/>
    </row>
    <row r="243" customFormat="false" ht="15" hidden="false" customHeight="false" outlineLevel="0" collapsed="false">
      <c r="A243" s="18"/>
      <c r="B243" s="20"/>
      <c r="C243" s="20"/>
      <c r="D243" s="18" t="str">
        <f aca="false">IF(C243="","",IFERROR(INDEX(Products!$A:$A,MATCH(C243,Products!$B:$B,0)),"Not found"))</f>
        <v/>
      </c>
      <c r="E243" s="20"/>
      <c r="F243" s="20"/>
      <c r="G243" s="20"/>
      <c r="H243" s="20"/>
      <c r="I243" s="20"/>
      <c r="J243" s="18"/>
      <c r="K243" s="20"/>
      <c r="L243" s="20"/>
      <c r="M243" s="20"/>
      <c r="N243" s="20"/>
      <c r="O243" s="20"/>
      <c r="P243" s="20"/>
      <c r="Q243" s="20"/>
      <c r="R243" s="20"/>
    </row>
    <row r="244" customFormat="false" ht="15" hidden="false" customHeight="false" outlineLevel="0" collapsed="false">
      <c r="A244" s="18"/>
      <c r="B244" s="20"/>
      <c r="C244" s="20"/>
      <c r="D244" s="18" t="str">
        <f aca="false">IF(C244="","",IFERROR(INDEX(Products!$A:$A,MATCH(C244,Products!$B:$B,0)),"Not found"))</f>
        <v/>
      </c>
      <c r="E244" s="20"/>
      <c r="F244" s="20"/>
      <c r="G244" s="20"/>
      <c r="H244" s="20"/>
      <c r="I244" s="20"/>
      <c r="J244" s="18"/>
      <c r="K244" s="20"/>
      <c r="L244" s="20"/>
      <c r="M244" s="20"/>
      <c r="N244" s="20"/>
      <c r="O244" s="20"/>
      <c r="P244" s="20"/>
      <c r="Q244" s="20"/>
      <c r="R244" s="20"/>
    </row>
    <row r="245" customFormat="false" ht="15" hidden="false" customHeight="false" outlineLevel="0" collapsed="false">
      <c r="A245" s="18"/>
      <c r="B245" s="20"/>
      <c r="C245" s="20"/>
      <c r="D245" s="18" t="str">
        <f aca="false">IF(C245="","",IFERROR(INDEX(Products!$A:$A,MATCH(C245,Products!$B:$B,0)),"Not found"))</f>
        <v/>
      </c>
      <c r="E245" s="20"/>
      <c r="F245" s="20"/>
      <c r="G245" s="20"/>
      <c r="H245" s="20"/>
      <c r="I245" s="20"/>
      <c r="J245" s="18"/>
      <c r="K245" s="20"/>
      <c r="L245" s="20"/>
      <c r="M245" s="20"/>
      <c r="N245" s="20"/>
      <c r="O245" s="20"/>
      <c r="P245" s="20"/>
      <c r="Q245" s="20"/>
      <c r="R245" s="20"/>
    </row>
    <row r="246" customFormat="false" ht="15" hidden="false" customHeight="false" outlineLevel="0" collapsed="false">
      <c r="A246" s="18"/>
      <c r="B246" s="20"/>
      <c r="C246" s="20"/>
      <c r="D246" s="18" t="str">
        <f aca="false">IF(C246="","",IFERROR(INDEX(Products!$A:$A,MATCH(C246,Products!$B:$B,0)),"Not found"))</f>
        <v/>
      </c>
      <c r="E246" s="20"/>
      <c r="F246" s="20"/>
      <c r="G246" s="20"/>
      <c r="H246" s="20"/>
      <c r="I246" s="20"/>
      <c r="J246" s="18"/>
      <c r="K246" s="20"/>
      <c r="L246" s="20"/>
      <c r="M246" s="20"/>
      <c r="N246" s="20"/>
      <c r="O246" s="20"/>
      <c r="P246" s="20"/>
      <c r="Q246" s="20"/>
      <c r="R246" s="20"/>
    </row>
    <row r="247" customFormat="false" ht="15" hidden="false" customHeight="false" outlineLevel="0" collapsed="false">
      <c r="A247" s="18"/>
      <c r="B247" s="20"/>
      <c r="C247" s="20"/>
      <c r="D247" s="18" t="str">
        <f aca="false">IF(C247="","",IFERROR(INDEX(Products!$A:$A,MATCH(C247,Products!$B:$B,0)),"Not found"))</f>
        <v/>
      </c>
      <c r="E247" s="20"/>
      <c r="F247" s="20"/>
      <c r="G247" s="20"/>
      <c r="H247" s="20"/>
      <c r="I247" s="20"/>
      <c r="J247" s="18"/>
      <c r="K247" s="20"/>
      <c r="L247" s="20"/>
      <c r="M247" s="20"/>
      <c r="N247" s="20"/>
      <c r="O247" s="20"/>
      <c r="P247" s="20"/>
      <c r="Q247" s="20"/>
      <c r="R247" s="20"/>
    </row>
    <row r="248" customFormat="false" ht="15" hidden="false" customHeight="false" outlineLevel="0" collapsed="false">
      <c r="A248" s="18"/>
      <c r="B248" s="20"/>
      <c r="C248" s="20"/>
      <c r="D248" s="18" t="str">
        <f aca="false">IF(C248="","",IFERROR(INDEX(Products!$A:$A,MATCH(C248,Products!$B:$B,0)),"Not found"))</f>
        <v/>
      </c>
      <c r="E248" s="20"/>
      <c r="F248" s="20"/>
      <c r="G248" s="20"/>
      <c r="H248" s="20"/>
      <c r="I248" s="20"/>
      <c r="J248" s="18"/>
      <c r="K248" s="20"/>
      <c r="L248" s="20"/>
      <c r="M248" s="20"/>
      <c r="N248" s="20"/>
      <c r="O248" s="20"/>
      <c r="P248" s="20"/>
      <c r="Q248" s="20"/>
      <c r="R248" s="20"/>
    </row>
    <row r="249" customFormat="false" ht="15" hidden="false" customHeight="false" outlineLevel="0" collapsed="false">
      <c r="A249" s="18"/>
      <c r="B249" s="20"/>
      <c r="C249" s="20"/>
      <c r="D249" s="18" t="str">
        <f aca="false">IF(C249="","",IFERROR(INDEX(Products!$A:$A,MATCH(C249,Products!$B:$B,0)),"Not found"))</f>
        <v/>
      </c>
      <c r="E249" s="20"/>
      <c r="F249" s="20"/>
      <c r="G249" s="20"/>
      <c r="H249" s="20"/>
      <c r="I249" s="20"/>
      <c r="J249" s="18"/>
      <c r="K249" s="20"/>
      <c r="L249" s="20"/>
      <c r="M249" s="20"/>
      <c r="N249" s="20"/>
      <c r="O249" s="20"/>
      <c r="P249" s="20"/>
      <c r="Q249" s="20"/>
      <c r="R249" s="20"/>
    </row>
    <row r="250" customFormat="false" ht="15" hidden="false" customHeight="false" outlineLevel="0" collapsed="false">
      <c r="A250" s="18"/>
      <c r="B250" s="20"/>
      <c r="C250" s="20"/>
      <c r="D250" s="18" t="str">
        <f aca="false">IF(C250="","",IFERROR(INDEX(Products!$A:$A,MATCH(C250,Products!$B:$B,0)),"Not found"))</f>
        <v/>
      </c>
      <c r="E250" s="20"/>
      <c r="F250" s="20"/>
      <c r="G250" s="20"/>
      <c r="H250" s="20"/>
      <c r="I250" s="20"/>
      <c r="J250" s="18"/>
      <c r="K250" s="20"/>
      <c r="L250" s="20"/>
      <c r="M250" s="20"/>
      <c r="N250" s="20"/>
      <c r="O250" s="20"/>
      <c r="P250" s="20"/>
      <c r="Q250" s="20"/>
      <c r="R250" s="20"/>
    </row>
    <row r="251" customFormat="false" ht="15" hidden="false" customHeight="false" outlineLevel="0" collapsed="false">
      <c r="A251" s="18"/>
      <c r="B251" s="20"/>
      <c r="C251" s="20"/>
      <c r="D251" s="18" t="str">
        <f aca="false">IF(C251="","",IFERROR(INDEX(Products!$A:$A,MATCH(C251,Products!$B:$B,0)),"Not found"))</f>
        <v/>
      </c>
      <c r="E251" s="20"/>
      <c r="F251" s="20"/>
      <c r="G251" s="20"/>
      <c r="H251" s="20"/>
      <c r="I251" s="20"/>
      <c r="J251" s="18"/>
      <c r="K251" s="20"/>
      <c r="L251" s="20"/>
      <c r="M251" s="20"/>
      <c r="N251" s="20"/>
      <c r="O251" s="20"/>
      <c r="P251" s="20"/>
      <c r="Q251" s="20"/>
      <c r="R251" s="20"/>
    </row>
    <row r="252" customFormat="false" ht="15" hidden="false" customHeight="false" outlineLevel="0" collapsed="false">
      <c r="A252" s="18"/>
      <c r="B252" s="20"/>
      <c r="C252" s="20"/>
      <c r="D252" s="18" t="str">
        <f aca="false">IF(C252="","",IFERROR(INDEX(Products!$A:$A,MATCH(C252,Products!$B:$B,0)),"Not found"))</f>
        <v/>
      </c>
      <c r="E252" s="20"/>
      <c r="F252" s="20"/>
      <c r="G252" s="20"/>
      <c r="H252" s="20"/>
      <c r="I252" s="20"/>
      <c r="J252" s="18"/>
      <c r="K252" s="20"/>
      <c r="L252" s="20"/>
      <c r="M252" s="20"/>
      <c r="N252" s="20"/>
      <c r="O252" s="20"/>
      <c r="P252" s="20"/>
      <c r="Q252" s="20"/>
      <c r="R252" s="20"/>
    </row>
    <row r="253" customFormat="false" ht="15" hidden="false" customHeight="false" outlineLevel="0" collapsed="false">
      <c r="A253" s="18"/>
      <c r="B253" s="20"/>
      <c r="C253" s="20"/>
      <c r="D253" s="18" t="str">
        <f aca="false">IF(C253="","",IFERROR(INDEX(Products!$A:$A,MATCH(C253,Products!$B:$B,0)),"Not found"))</f>
        <v/>
      </c>
      <c r="E253" s="20"/>
      <c r="F253" s="20"/>
      <c r="G253" s="20"/>
      <c r="H253" s="20"/>
      <c r="I253" s="20"/>
      <c r="J253" s="18"/>
      <c r="K253" s="20"/>
      <c r="L253" s="20"/>
      <c r="M253" s="20"/>
      <c r="N253" s="20"/>
      <c r="O253" s="20"/>
      <c r="P253" s="20"/>
      <c r="Q253" s="20"/>
      <c r="R253" s="20"/>
    </row>
    <row r="254" customFormat="false" ht="15" hidden="false" customHeight="false" outlineLevel="0" collapsed="false">
      <c r="A254" s="18"/>
      <c r="B254" s="20"/>
      <c r="C254" s="20"/>
      <c r="D254" s="18" t="str">
        <f aca="false">IF(C254="","",IFERROR(INDEX(Products!$A:$A,MATCH(C254,Products!$B:$B,0)),"Not found"))</f>
        <v/>
      </c>
      <c r="E254" s="20"/>
      <c r="F254" s="20"/>
      <c r="G254" s="20"/>
      <c r="H254" s="20"/>
      <c r="I254" s="20"/>
      <c r="J254" s="18"/>
      <c r="K254" s="20"/>
      <c r="L254" s="20"/>
      <c r="M254" s="20"/>
      <c r="N254" s="20"/>
      <c r="O254" s="20"/>
      <c r="P254" s="20"/>
      <c r="Q254" s="20"/>
      <c r="R254" s="20"/>
    </row>
    <row r="255" customFormat="false" ht="15" hidden="false" customHeight="false" outlineLevel="0" collapsed="false">
      <c r="A255" s="18"/>
      <c r="B255" s="20"/>
      <c r="C255" s="20"/>
      <c r="D255" s="18" t="str">
        <f aca="false">IF(C255="","",IFERROR(INDEX(Products!$A:$A,MATCH(C255,Products!$B:$B,0)),"Not found"))</f>
        <v/>
      </c>
      <c r="E255" s="20"/>
      <c r="F255" s="20"/>
      <c r="G255" s="20"/>
      <c r="H255" s="20"/>
      <c r="I255" s="20"/>
      <c r="J255" s="18"/>
      <c r="K255" s="20"/>
      <c r="L255" s="20"/>
      <c r="M255" s="20"/>
      <c r="N255" s="20"/>
      <c r="O255" s="20"/>
      <c r="P255" s="20"/>
      <c r="Q255" s="20"/>
      <c r="R255" s="20"/>
    </row>
    <row r="256" customFormat="false" ht="15" hidden="false" customHeight="false" outlineLevel="0" collapsed="false">
      <c r="A256" s="18"/>
      <c r="B256" s="20"/>
      <c r="C256" s="20"/>
      <c r="D256" s="18" t="str">
        <f aca="false">IF(C256="","",IFERROR(INDEX(Products!$A:$A,MATCH(C256,Products!$B:$B,0)),"Not found"))</f>
        <v/>
      </c>
      <c r="E256" s="20"/>
      <c r="F256" s="20"/>
      <c r="G256" s="20"/>
      <c r="H256" s="20"/>
      <c r="I256" s="20"/>
      <c r="J256" s="18"/>
      <c r="K256" s="20"/>
      <c r="L256" s="20"/>
      <c r="M256" s="20"/>
      <c r="N256" s="20"/>
      <c r="O256" s="20"/>
      <c r="P256" s="20"/>
      <c r="Q256" s="20"/>
      <c r="R256" s="20"/>
    </row>
    <row r="257" customFormat="false" ht="15" hidden="false" customHeight="false" outlineLevel="0" collapsed="false">
      <c r="A257" s="18"/>
      <c r="B257" s="20"/>
      <c r="C257" s="20"/>
      <c r="D257" s="18" t="str">
        <f aca="false">IF(C257="","",IFERROR(INDEX(Products!$A:$A,MATCH(C257,Products!$B:$B,0)),"Not found"))</f>
        <v/>
      </c>
      <c r="E257" s="20"/>
      <c r="F257" s="20"/>
      <c r="G257" s="20"/>
      <c r="H257" s="20"/>
      <c r="I257" s="20"/>
      <c r="J257" s="18"/>
      <c r="K257" s="20"/>
      <c r="L257" s="20"/>
      <c r="M257" s="20"/>
      <c r="N257" s="20"/>
      <c r="O257" s="20"/>
      <c r="P257" s="20"/>
      <c r="Q257" s="20"/>
      <c r="R257" s="20"/>
    </row>
    <row r="258" customFormat="false" ht="15" hidden="false" customHeight="false" outlineLevel="0" collapsed="false">
      <c r="A258" s="18"/>
      <c r="B258" s="20"/>
      <c r="C258" s="20"/>
      <c r="D258" s="18" t="str">
        <f aca="false">IF(C258="","",IFERROR(INDEX(Products!$A:$A,MATCH(C258,Products!$B:$B,0)),"Not found"))</f>
        <v/>
      </c>
      <c r="E258" s="20"/>
      <c r="F258" s="20"/>
      <c r="G258" s="20"/>
      <c r="H258" s="20"/>
      <c r="I258" s="20"/>
      <c r="J258" s="18"/>
      <c r="K258" s="20"/>
      <c r="L258" s="20"/>
      <c r="M258" s="20"/>
      <c r="N258" s="20"/>
      <c r="O258" s="20"/>
      <c r="P258" s="20"/>
      <c r="Q258" s="20"/>
      <c r="R258" s="20"/>
    </row>
    <row r="259" customFormat="false" ht="15" hidden="false" customHeight="false" outlineLevel="0" collapsed="false">
      <c r="A259" s="18"/>
      <c r="B259" s="20"/>
      <c r="C259" s="20"/>
      <c r="D259" s="18" t="str">
        <f aca="false">IF(C259="","",IFERROR(INDEX(Products!$A:$A,MATCH(C259,Products!$B:$B,0)),"Not found"))</f>
        <v/>
      </c>
      <c r="E259" s="20"/>
      <c r="F259" s="20"/>
      <c r="G259" s="20"/>
      <c r="H259" s="20"/>
      <c r="I259" s="20"/>
      <c r="J259" s="18"/>
      <c r="K259" s="20"/>
      <c r="L259" s="20"/>
      <c r="M259" s="20"/>
      <c r="N259" s="20"/>
      <c r="O259" s="20"/>
      <c r="P259" s="20"/>
      <c r="Q259" s="20"/>
      <c r="R259" s="20"/>
    </row>
    <row r="260" customFormat="false" ht="15" hidden="false" customHeight="false" outlineLevel="0" collapsed="false">
      <c r="A260" s="18"/>
      <c r="B260" s="20"/>
      <c r="C260" s="20"/>
      <c r="D260" s="18" t="str">
        <f aca="false">IF(C260="","",IFERROR(INDEX(Products!$A:$A,MATCH(C260,Products!$B:$B,0)),"Not found"))</f>
        <v/>
      </c>
      <c r="E260" s="20"/>
      <c r="F260" s="20"/>
      <c r="G260" s="20"/>
      <c r="H260" s="20"/>
      <c r="I260" s="20"/>
      <c r="J260" s="18"/>
      <c r="K260" s="20"/>
      <c r="L260" s="20"/>
      <c r="M260" s="20"/>
      <c r="N260" s="20"/>
      <c r="O260" s="20"/>
      <c r="P260" s="20"/>
      <c r="Q260" s="20"/>
      <c r="R260" s="20"/>
    </row>
    <row r="261" customFormat="false" ht="15" hidden="false" customHeight="false" outlineLevel="0" collapsed="false">
      <c r="A261" s="18"/>
      <c r="B261" s="20"/>
      <c r="C261" s="20"/>
      <c r="D261" s="18" t="str">
        <f aca="false">IF(C261="","",IFERROR(INDEX(Products!$A:$A,MATCH(C261,Products!$B:$B,0)),"Not found"))</f>
        <v/>
      </c>
      <c r="E261" s="20"/>
      <c r="F261" s="20"/>
      <c r="G261" s="20"/>
      <c r="H261" s="20"/>
      <c r="I261" s="20"/>
      <c r="J261" s="18"/>
      <c r="K261" s="20"/>
      <c r="L261" s="20"/>
      <c r="M261" s="20"/>
      <c r="N261" s="20"/>
      <c r="O261" s="20"/>
      <c r="P261" s="20"/>
      <c r="Q261" s="20"/>
      <c r="R261" s="20"/>
    </row>
    <row r="262" customFormat="false" ht="15" hidden="false" customHeight="false" outlineLevel="0" collapsed="false">
      <c r="A262" s="18"/>
      <c r="B262" s="20"/>
      <c r="C262" s="20"/>
      <c r="D262" s="18" t="str">
        <f aca="false">IF(C262="","",IFERROR(INDEX(Products!$A:$A,MATCH(C262,Products!$B:$B,0)),"Not found"))</f>
        <v/>
      </c>
      <c r="E262" s="20"/>
      <c r="F262" s="20"/>
      <c r="G262" s="20"/>
      <c r="H262" s="20"/>
      <c r="I262" s="20"/>
      <c r="J262" s="18"/>
      <c r="K262" s="20"/>
      <c r="L262" s="20"/>
      <c r="M262" s="20"/>
      <c r="N262" s="20"/>
      <c r="O262" s="20"/>
      <c r="P262" s="20"/>
      <c r="Q262" s="20"/>
      <c r="R262" s="20"/>
    </row>
    <row r="263" customFormat="false" ht="15" hidden="false" customHeight="false" outlineLevel="0" collapsed="false">
      <c r="A263" s="18"/>
      <c r="B263" s="20"/>
      <c r="C263" s="20"/>
      <c r="D263" s="18" t="str">
        <f aca="false">IF(C263="","",IFERROR(INDEX(Products!$A:$A,MATCH(C263,Products!$B:$B,0)),"Not found"))</f>
        <v/>
      </c>
      <c r="E263" s="20"/>
      <c r="F263" s="20"/>
      <c r="G263" s="20"/>
      <c r="H263" s="20"/>
      <c r="I263" s="20"/>
      <c r="J263" s="18"/>
      <c r="K263" s="20"/>
      <c r="L263" s="20"/>
      <c r="M263" s="20"/>
      <c r="N263" s="20"/>
      <c r="O263" s="20"/>
      <c r="P263" s="20"/>
      <c r="Q263" s="20"/>
      <c r="R263" s="20"/>
    </row>
    <row r="264" customFormat="false" ht="15" hidden="false" customHeight="false" outlineLevel="0" collapsed="false">
      <c r="A264" s="18"/>
      <c r="B264" s="20"/>
      <c r="C264" s="20"/>
      <c r="D264" s="18" t="str">
        <f aca="false">IF(C264="","",IFERROR(INDEX(Products!$A:$A,MATCH(C264,Products!$B:$B,0)),"Not found"))</f>
        <v/>
      </c>
      <c r="E264" s="20"/>
      <c r="F264" s="20"/>
      <c r="G264" s="20"/>
      <c r="H264" s="20"/>
      <c r="I264" s="20"/>
      <c r="J264" s="18"/>
      <c r="K264" s="20"/>
      <c r="L264" s="20"/>
      <c r="M264" s="20"/>
      <c r="N264" s="20"/>
      <c r="O264" s="20"/>
      <c r="P264" s="20"/>
      <c r="Q264" s="20"/>
      <c r="R264" s="20"/>
    </row>
    <row r="265" customFormat="false" ht="15" hidden="false" customHeight="false" outlineLevel="0" collapsed="false">
      <c r="A265" s="18"/>
      <c r="B265" s="20"/>
      <c r="C265" s="20"/>
      <c r="D265" s="18" t="str">
        <f aca="false">IF(C265="","",IFERROR(INDEX(Products!$A:$A,MATCH(C265,Products!$B:$B,0)),"Not found"))</f>
        <v/>
      </c>
      <c r="E265" s="20"/>
      <c r="F265" s="20"/>
      <c r="G265" s="20"/>
      <c r="H265" s="20"/>
      <c r="I265" s="20"/>
      <c r="J265" s="18"/>
      <c r="K265" s="20"/>
      <c r="L265" s="20"/>
      <c r="M265" s="20"/>
      <c r="N265" s="20"/>
      <c r="O265" s="20"/>
      <c r="P265" s="20"/>
      <c r="Q265" s="20"/>
      <c r="R265" s="20"/>
    </row>
    <row r="266" customFormat="false" ht="15" hidden="false" customHeight="false" outlineLevel="0" collapsed="false">
      <c r="A266" s="18"/>
      <c r="B266" s="20"/>
      <c r="C266" s="20"/>
      <c r="D266" s="18" t="str">
        <f aca="false">IF(C266="","",IFERROR(INDEX(Products!$A:$A,MATCH(C266,Products!$B:$B,0)),"Not found"))</f>
        <v/>
      </c>
      <c r="E266" s="20"/>
      <c r="F266" s="20"/>
      <c r="G266" s="20"/>
      <c r="H266" s="20"/>
      <c r="I266" s="20"/>
      <c r="J266" s="18"/>
      <c r="K266" s="20"/>
      <c r="L266" s="20"/>
      <c r="M266" s="20"/>
      <c r="N266" s="20"/>
      <c r="O266" s="20"/>
      <c r="P266" s="20"/>
      <c r="Q266" s="20"/>
      <c r="R266" s="20"/>
    </row>
    <row r="267" customFormat="false" ht="15" hidden="false" customHeight="false" outlineLevel="0" collapsed="false">
      <c r="A267" s="18"/>
      <c r="B267" s="20"/>
      <c r="C267" s="20"/>
      <c r="D267" s="18" t="str">
        <f aca="false">IF(C267="","",IFERROR(INDEX(Products!$A:$A,MATCH(C267,Products!$B:$B,0)),"Not found"))</f>
        <v/>
      </c>
      <c r="E267" s="20"/>
      <c r="F267" s="20"/>
      <c r="G267" s="20"/>
      <c r="H267" s="20"/>
      <c r="I267" s="20"/>
      <c r="J267" s="18"/>
      <c r="K267" s="20"/>
      <c r="L267" s="20"/>
      <c r="M267" s="20"/>
      <c r="N267" s="20"/>
      <c r="O267" s="20"/>
      <c r="P267" s="20"/>
      <c r="Q267" s="20"/>
      <c r="R267" s="20"/>
    </row>
    <row r="268" customFormat="false" ht="15" hidden="false" customHeight="false" outlineLevel="0" collapsed="false">
      <c r="A268" s="18"/>
      <c r="B268" s="20"/>
      <c r="C268" s="20"/>
      <c r="D268" s="18" t="str">
        <f aca="false">IF(C268="","",IFERROR(INDEX(Products!$A:$A,MATCH(C268,Products!$B:$B,0)),"Not found"))</f>
        <v/>
      </c>
      <c r="E268" s="20"/>
      <c r="F268" s="20"/>
      <c r="G268" s="20"/>
      <c r="H268" s="20"/>
      <c r="I268" s="20"/>
      <c r="J268" s="18"/>
      <c r="K268" s="20"/>
      <c r="L268" s="20"/>
      <c r="M268" s="20"/>
      <c r="N268" s="20"/>
      <c r="O268" s="20"/>
      <c r="P268" s="20"/>
      <c r="Q268" s="20"/>
      <c r="R268" s="20"/>
    </row>
    <row r="269" customFormat="false" ht="15" hidden="false" customHeight="false" outlineLevel="0" collapsed="false">
      <c r="A269" s="18"/>
      <c r="B269" s="20"/>
      <c r="C269" s="20"/>
      <c r="D269" s="18" t="str">
        <f aca="false">IF(C269="","",IFERROR(INDEX(Products!$A:$A,MATCH(C269,Products!$B:$B,0)),"Not found"))</f>
        <v/>
      </c>
      <c r="E269" s="20"/>
      <c r="F269" s="20"/>
      <c r="G269" s="20"/>
      <c r="H269" s="20"/>
      <c r="I269" s="20"/>
      <c r="J269" s="18"/>
      <c r="K269" s="20"/>
      <c r="L269" s="20"/>
      <c r="M269" s="20"/>
      <c r="N269" s="20"/>
      <c r="O269" s="20"/>
      <c r="P269" s="20"/>
      <c r="Q269" s="20"/>
      <c r="R269" s="20"/>
    </row>
    <row r="270" customFormat="false" ht="15" hidden="false" customHeight="false" outlineLevel="0" collapsed="false">
      <c r="A270" s="18"/>
      <c r="B270" s="20"/>
      <c r="C270" s="20"/>
      <c r="D270" s="18" t="str">
        <f aca="false">IF(C270="","",IFERROR(INDEX(Products!$A:$A,MATCH(C270,Products!$B:$B,0)),"Not found"))</f>
        <v/>
      </c>
      <c r="E270" s="20"/>
      <c r="F270" s="20"/>
      <c r="G270" s="20"/>
      <c r="H270" s="20"/>
      <c r="I270" s="20"/>
      <c r="J270" s="18"/>
      <c r="K270" s="20"/>
      <c r="L270" s="20"/>
      <c r="M270" s="20"/>
      <c r="N270" s="20"/>
      <c r="O270" s="20"/>
      <c r="P270" s="20"/>
      <c r="Q270" s="20"/>
      <c r="R270" s="20"/>
    </row>
    <row r="271" customFormat="false" ht="15" hidden="false" customHeight="false" outlineLevel="0" collapsed="false">
      <c r="A271" s="18"/>
      <c r="B271" s="20"/>
      <c r="C271" s="20"/>
      <c r="D271" s="18" t="str">
        <f aca="false">IF(C271="","",IFERROR(INDEX(Products!$A:$A,MATCH(C271,Products!$B:$B,0)),"Not found"))</f>
        <v/>
      </c>
      <c r="E271" s="20"/>
      <c r="F271" s="20"/>
      <c r="G271" s="20"/>
      <c r="H271" s="20"/>
      <c r="I271" s="20"/>
      <c r="J271" s="18"/>
      <c r="K271" s="20"/>
      <c r="L271" s="20"/>
      <c r="M271" s="20"/>
      <c r="N271" s="20"/>
      <c r="O271" s="20"/>
      <c r="P271" s="20"/>
      <c r="Q271" s="20"/>
      <c r="R271" s="20"/>
    </row>
    <row r="272" customFormat="false" ht="15" hidden="false" customHeight="false" outlineLevel="0" collapsed="false">
      <c r="A272" s="18"/>
      <c r="B272" s="20"/>
      <c r="C272" s="20"/>
      <c r="D272" s="18" t="str">
        <f aca="false">IF(C272="","",IFERROR(INDEX(Products!$A:$A,MATCH(C272,Products!$B:$B,0)),"Not found"))</f>
        <v/>
      </c>
      <c r="E272" s="20"/>
      <c r="F272" s="20"/>
      <c r="G272" s="20"/>
      <c r="H272" s="20"/>
      <c r="I272" s="20"/>
      <c r="J272" s="18"/>
      <c r="K272" s="20"/>
      <c r="L272" s="20"/>
      <c r="M272" s="20"/>
      <c r="N272" s="20"/>
      <c r="O272" s="20"/>
      <c r="P272" s="20"/>
      <c r="Q272" s="20"/>
      <c r="R272" s="20"/>
    </row>
    <row r="273" customFormat="false" ht="15" hidden="false" customHeight="false" outlineLevel="0" collapsed="false">
      <c r="A273" s="18"/>
      <c r="B273" s="20"/>
      <c r="C273" s="20"/>
      <c r="D273" s="18" t="str">
        <f aca="false">IF(C273="","",IFERROR(INDEX(Products!$A:$A,MATCH(C273,Products!$B:$B,0)),"Not found"))</f>
        <v/>
      </c>
      <c r="E273" s="20"/>
      <c r="F273" s="20"/>
      <c r="G273" s="20"/>
      <c r="H273" s="20"/>
      <c r="I273" s="20"/>
      <c r="J273" s="18"/>
      <c r="K273" s="20"/>
      <c r="L273" s="20"/>
      <c r="M273" s="20"/>
      <c r="N273" s="20"/>
      <c r="O273" s="20"/>
      <c r="P273" s="20"/>
      <c r="Q273" s="20"/>
      <c r="R273" s="20"/>
    </row>
    <row r="274" customFormat="false" ht="15" hidden="false" customHeight="false" outlineLevel="0" collapsed="false">
      <c r="A274" s="18"/>
      <c r="B274" s="20"/>
      <c r="C274" s="20"/>
      <c r="D274" s="18" t="str">
        <f aca="false">IF(C274="","",IFERROR(INDEX(Products!$A:$A,MATCH(C274,Products!$B:$B,0)),"Not found"))</f>
        <v/>
      </c>
      <c r="E274" s="20"/>
      <c r="F274" s="20"/>
      <c r="G274" s="20"/>
      <c r="H274" s="20"/>
      <c r="I274" s="20"/>
      <c r="J274" s="18"/>
      <c r="K274" s="20"/>
      <c r="L274" s="20"/>
      <c r="M274" s="20"/>
      <c r="N274" s="20"/>
      <c r="O274" s="20"/>
      <c r="P274" s="20"/>
      <c r="Q274" s="20"/>
      <c r="R274" s="20"/>
    </row>
    <row r="275" customFormat="false" ht="15" hidden="false" customHeight="false" outlineLevel="0" collapsed="false">
      <c r="A275" s="18"/>
      <c r="B275" s="20"/>
      <c r="C275" s="20"/>
      <c r="D275" s="18" t="str">
        <f aca="false">IF(C275="","",IFERROR(INDEX(Products!$A:$A,MATCH(C275,Products!$B:$B,0)),"Not found"))</f>
        <v/>
      </c>
      <c r="E275" s="20"/>
      <c r="F275" s="20"/>
      <c r="G275" s="20"/>
      <c r="H275" s="20"/>
      <c r="I275" s="20"/>
      <c r="J275" s="18"/>
      <c r="K275" s="20"/>
      <c r="L275" s="20"/>
      <c r="M275" s="20"/>
      <c r="N275" s="20"/>
      <c r="O275" s="20"/>
      <c r="P275" s="20"/>
      <c r="Q275" s="20"/>
      <c r="R275" s="20"/>
    </row>
    <row r="276" customFormat="false" ht="15" hidden="false" customHeight="false" outlineLevel="0" collapsed="false">
      <c r="A276" s="18"/>
      <c r="B276" s="20"/>
      <c r="C276" s="20"/>
      <c r="D276" s="18" t="str">
        <f aca="false">IF(C276="","",IFERROR(INDEX(Products!$A:$A,MATCH(C276,Products!$B:$B,0)),"Not found"))</f>
        <v/>
      </c>
      <c r="E276" s="20"/>
      <c r="F276" s="20"/>
      <c r="G276" s="20"/>
      <c r="H276" s="20"/>
      <c r="I276" s="20"/>
      <c r="J276" s="18"/>
      <c r="K276" s="20"/>
      <c r="L276" s="20"/>
      <c r="M276" s="20"/>
      <c r="N276" s="20"/>
      <c r="O276" s="20"/>
      <c r="P276" s="20"/>
      <c r="Q276" s="20"/>
      <c r="R276" s="20"/>
    </row>
    <row r="277" customFormat="false" ht="15" hidden="false" customHeight="false" outlineLevel="0" collapsed="false">
      <c r="A277" s="18"/>
      <c r="B277" s="20"/>
      <c r="C277" s="20"/>
      <c r="D277" s="18" t="str">
        <f aca="false">IF(C277="","",IFERROR(INDEX(Products!$A:$A,MATCH(C277,Products!$B:$B,0)),"Not found"))</f>
        <v/>
      </c>
      <c r="E277" s="20"/>
      <c r="F277" s="20"/>
      <c r="G277" s="20"/>
      <c r="H277" s="20"/>
      <c r="I277" s="20"/>
      <c r="J277" s="18"/>
      <c r="K277" s="20"/>
      <c r="L277" s="20"/>
      <c r="M277" s="20"/>
      <c r="N277" s="20"/>
      <c r="O277" s="20"/>
      <c r="P277" s="20"/>
      <c r="Q277" s="20"/>
      <c r="R277" s="20"/>
    </row>
    <row r="278" customFormat="false" ht="15" hidden="false" customHeight="false" outlineLevel="0" collapsed="false">
      <c r="A278" s="18"/>
      <c r="B278" s="20"/>
      <c r="C278" s="20"/>
      <c r="D278" s="18" t="str">
        <f aca="false">IF(C278="","",IFERROR(INDEX(Products!$A:$A,MATCH(C278,Products!$B:$B,0)),"Not found"))</f>
        <v/>
      </c>
      <c r="E278" s="20"/>
      <c r="F278" s="20"/>
      <c r="G278" s="20"/>
      <c r="H278" s="20"/>
      <c r="I278" s="20"/>
      <c r="J278" s="18"/>
      <c r="K278" s="20"/>
      <c r="L278" s="20"/>
      <c r="M278" s="20"/>
      <c r="N278" s="20"/>
      <c r="O278" s="20"/>
      <c r="P278" s="20"/>
      <c r="Q278" s="20"/>
      <c r="R278" s="20"/>
    </row>
    <row r="279" customFormat="false" ht="15" hidden="false" customHeight="false" outlineLevel="0" collapsed="false">
      <c r="A279" s="18"/>
      <c r="B279" s="20"/>
      <c r="C279" s="20"/>
      <c r="D279" s="18" t="str">
        <f aca="false">IF(C279="","",IFERROR(INDEX(Products!$A:$A,MATCH(C279,Products!$B:$B,0)),"Not found"))</f>
        <v/>
      </c>
      <c r="E279" s="20"/>
      <c r="F279" s="20"/>
      <c r="G279" s="20"/>
      <c r="H279" s="20"/>
      <c r="I279" s="20"/>
      <c r="J279" s="18"/>
      <c r="K279" s="20"/>
      <c r="L279" s="20"/>
      <c r="M279" s="20"/>
      <c r="N279" s="20"/>
      <c r="O279" s="20"/>
      <c r="P279" s="20"/>
      <c r="Q279" s="20"/>
      <c r="R279" s="20"/>
    </row>
    <row r="280" customFormat="false" ht="15" hidden="false" customHeight="false" outlineLevel="0" collapsed="false">
      <c r="A280" s="18"/>
      <c r="B280" s="20"/>
      <c r="C280" s="20"/>
      <c r="D280" s="18" t="str">
        <f aca="false">IF(C280="","",IFERROR(INDEX(Products!$A:$A,MATCH(C280,Products!$B:$B,0)),"Not found"))</f>
        <v/>
      </c>
      <c r="E280" s="20"/>
      <c r="F280" s="20"/>
      <c r="G280" s="20"/>
      <c r="H280" s="20"/>
      <c r="I280" s="20"/>
      <c r="J280" s="18"/>
      <c r="K280" s="20"/>
      <c r="L280" s="20"/>
      <c r="M280" s="20"/>
      <c r="N280" s="20"/>
      <c r="O280" s="20"/>
      <c r="P280" s="20"/>
      <c r="Q280" s="20"/>
      <c r="R280" s="20"/>
    </row>
    <row r="281" customFormat="false" ht="15" hidden="false" customHeight="false" outlineLevel="0" collapsed="false">
      <c r="A281" s="18"/>
      <c r="B281" s="20"/>
      <c r="C281" s="20"/>
      <c r="D281" s="18" t="str">
        <f aca="false">IF(C281="","",IFERROR(INDEX(Products!$A:$A,MATCH(C281,Products!$B:$B,0)),"Not found"))</f>
        <v/>
      </c>
      <c r="E281" s="20"/>
      <c r="F281" s="20"/>
      <c r="G281" s="20"/>
      <c r="H281" s="20"/>
      <c r="I281" s="20"/>
      <c r="J281" s="18"/>
      <c r="K281" s="20"/>
      <c r="L281" s="20"/>
      <c r="M281" s="20"/>
      <c r="N281" s="20"/>
      <c r="O281" s="20"/>
      <c r="P281" s="20"/>
      <c r="Q281" s="20"/>
      <c r="R281" s="20"/>
    </row>
    <row r="282" customFormat="false" ht="15" hidden="false" customHeight="false" outlineLevel="0" collapsed="false">
      <c r="A282" s="18"/>
      <c r="B282" s="20"/>
      <c r="C282" s="20"/>
      <c r="D282" s="18" t="str">
        <f aca="false">IF(C282="","",IFERROR(INDEX(Products!$A:$A,MATCH(C282,Products!$B:$B,0)),"Not found"))</f>
        <v/>
      </c>
      <c r="E282" s="20"/>
      <c r="F282" s="20"/>
      <c r="G282" s="20"/>
      <c r="H282" s="20"/>
      <c r="I282" s="20"/>
      <c r="J282" s="18"/>
      <c r="K282" s="20"/>
      <c r="L282" s="20"/>
      <c r="M282" s="20"/>
      <c r="N282" s="20"/>
      <c r="O282" s="20"/>
      <c r="P282" s="20"/>
      <c r="Q282" s="20"/>
      <c r="R282" s="20"/>
    </row>
    <row r="283" customFormat="false" ht="15" hidden="false" customHeight="false" outlineLevel="0" collapsed="false">
      <c r="A283" s="18"/>
      <c r="B283" s="20"/>
      <c r="C283" s="20"/>
      <c r="D283" s="18" t="str">
        <f aca="false">IF(C283="","",IFERROR(INDEX(Products!$A:$A,MATCH(C283,Products!$B:$B,0)),"Not found"))</f>
        <v/>
      </c>
      <c r="E283" s="20"/>
      <c r="F283" s="20"/>
      <c r="G283" s="20"/>
      <c r="H283" s="20"/>
      <c r="I283" s="20"/>
      <c r="J283" s="18"/>
      <c r="K283" s="20"/>
      <c r="L283" s="20"/>
      <c r="M283" s="20"/>
      <c r="N283" s="20"/>
      <c r="O283" s="20"/>
      <c r="P283" s="20"/>
      <c r="Q283" s="20"/>
      <c r="R283" s="20"/>
    </row>
    <row r="284" customFormat="false" ht="15" hidden="false" customHeight="false" outlineLevel="0" collapsed="false">
      <c r="A284" s="18"/>
      <c r="B284" s="20"/>
      <c r="C284" s="20"/>
      <c r="D284" s="18" t="str">
        <f aca="false">IF(C284="","",IFERROR(INDEX(Products!$A:$A,MATCH(C284,Products!$B:$B,0)),"Not found"))</f>
        <v/>
      </c>
      <c r="E284" s="20"/>
      <c r="F284" s="20"/>
      <c r="G284" s="20"/>
      <c r="H284" s="20"/>
      <c r="I284" s="20"/>
      <c r="J284" s="18"/>
      <c r="K284" s="20"/>
      <c r="L284" s="20"/>
      <c r="M284" s="20"/>
      <c r="N284" s="20"/>
      <c r="O284" s="20"/>
      <c r="P284" s="20"/>
      <c r="Q284" s="20"/>
      <c r="R284" s="20"/>
    </row>
    <row r="285" customFormat="false" ht="15" hidden="false" customHeight="false" outlineLevel="0" collapsed="false">
      <c r="A285" s="18"/>
      <c r="B285" s="20"/>
      <c r="C285" s="20"/>
      <c r="D285" s="18" t="str">
        <f aca="false">IF(C285="","",IFERROR(INDEX(Products!$A:$A,MATCH(C285,Products!$B:$B,0)),"Not found"))</f>
        <v/>
      </c>
      <c r="E285" s="20"/>
      <c r="F285" s="20"/>
      <c r="G285" s="20"/>
      <c r="H285" s="20"/>
      <c r="I285" s="20"/>
      <c r="J285" s="18"/>
      <c r="K285" s="20"/>
      <c r="L285" s="20"/>
      <c r="M285" s="20"/>
      <c r="N285" s="20"/>
      <c r="O285" s="20"/>
      <c r="P285" s="20"/>
      <c r="Q285" s="20"/>
      <c r="R285" s="20"/>
    </row>
    <row r="286" customFormat="false" ht="15" hidden="false" customHeight="false" outlineLevel="0" collapsed="false">
      <c r="A286" s="18"/>
      <c r="B286" s="20"/>
      <c r="C286" s="20"/>
      <c r="D286" s="18" t="str">
        <f aca="false">IF(C286="","",IFERROR(INDEX(Products!$A:$A,MATCH(C286,Products!$B:$B,0)),"Not found"))</f>
        <v/>
      </c>
      <c r="E286" s="20"/>
      <c r="F286" s="20"/>
      <c r="G286" s="20"/>
      <c r="H286" s="20"/>
      <c r="I286" s="20"/>
      <c r="J286" s="18"/>
      <c r="K286" s="20"/>
      <c r="L286" s="20"/>
      <c r="M286" s="20"/>
      <c r="N286" s="20"/>
      <c r="O286" s="20"/>
      <c r="P286" s="20"/>
      <c r="Q286" s="20"/>
      <c r="R286" s="20"/>
    </row>
    <row r="287" customFormat="false" ht="15" hidden="false" customHeight="false" outlineLevel="0" collapsed="false">
      <c r="A287" s="18"/>
      <c r="B287" s="20"/>
      <c r="C287" s="20"/>
      <c r="D287" s="18" t="str">
        <f aca="false">IF(C287="","",IFERROR(INDEX(Products!$A:$A,MATCH(C287,Products!$B:$B,0)),"Not found"))</f>
        <v/>
      </c>
      <c r="E287" s="20"/>
      <c r="F287" s="20"/>
      <c r="G287" s="20"/>
      <c r="H287" s="20"/>
      <c r="I287" s="20"/>
      <c r="J287" s="18"/>
      <c r="K287" s="20"/>
      <c r="L287" s="20"/>
      <c r="M287" s="20"/>
      <c r="N287" s="20"/>
      <c r="O287" s="20"/>
      <c r="P287" s="20"/>
      <c r="Q287" s="20"/>
      <c r="R287" s="20"/>
    </row>
    <row r="288" customFormat="false" ht="15" hidden="false" customHeight="false" outlineLevel="0" collapsed="false">
      <c r="A288" s="18"/>
      <c r="B288" s="20"/>
      <c r="C288" s="20"/>
      <c r="D288" s="18" t="str">
        <f aca="false">IF(C288="","",IFERROR(INDEX(Products!$A:$A,MATCH(C288,Products!$B:$B,0)),"Not found"))</f>
        <v/>
      </c>
      <c r="E288" s="20"/>
      <c r="F288" s="20"/>
      <c r="G288" s="20"/>
      <c r="H288" s="20"/>
      <c r="I288" s="20"/>
      <c r="J288" s="18"/>
      <c r="K288" s="20"/>
      <c r="L288" s="20"/>
      <c r="M288" s="20"/>
      <c r="N288" s="20"/>
      <c r="O288" s="20"/>
      <c r="P288" s="20"/>
      <c r="Q288" s="20"/>
      <c r="R288" s="20"/>
    </row>
    <row r="289" customFormat="false" ht="15" hidden="false" customHeight="false" outlineLevel="0" collapsed="false">
      <c r="A289" s="18"/>
      <c r="B289" s="20"/>
      <c r="C289" s="20"/>
      <c r="D289" s="18" t="str">
        <f aca="false">IF(C289="","",IFERROR(INDEX(Products!$A:$A,MATCH(C289,Products!$B:$B,0)),"Not found"))</f>
        <v/>
      </c>
      <c r="E289" s="20"/>
      <c r="F289" s="20"/>
      <c r="G289" s="20"/>
      <c r="H289" s="20"/>
      <c r="I289" s="20"/>
      <c r="J289" s="18"/>
      <c r="K289" s="20"/>
      <c r="L289" s="20"/>
      <c r="M289" s="20"/>
      <c r="N289" s="20"/>
      <c r="O289" s="20"/>
      <c r="P289" s="20"/>
      <c r="Q289" s="20"/>
      <c r="R289" s="20"/>
    </row>
    <row r="290" customFormat="false" ht="15" hidden="false" customHeight="false" outlineLevel="0" collapsed="false">
      <c r="A290" s="18"/>
      <c r="B290" s="20"/>
      <c r="C290" s="20"/>
      <c r="D290" s="18" t="str">
        <f aca="false">IF(C290="","",IFERROR(INDEX(Products!$A:$A,MATCH(C290,Products!$B:$B,0)),"Not found"))</f>
        <v/>
      </c>
      <c r="E290" s="20"/>
      <c r="F290" s="20"/>
      <c r="G290" s="20"/>
      <c r="H290" s="20"/>
      <c r="I290" s="20"/>
      <c r="J290" s="18"/>
      <c r="K290" s="20"/>
      <c r="L290" s="20"/>
      <c r="M290" s="20"/>
      <c r="N290" s="20"/>
      <c r="O290" s="20"/>
      <c r="P290" s="20"/>
      <c r="Q290" s="20"/>
      <c r="R290" s="20"/>
    </row>
    <row r="291" customFormat="false" ht="15" hidden="false" customHeight="false" outlineLevel="0" collapsed="false">
      <c r="A291" s="18"/>
      <c r="B291" s="20"/>
      <c r="C291" s="20"/>
      <c r="D291" s="18" t="str">
        <f aca="false">IF(C291="","",IFERROR(INDEX(Products!$A:$A,MATCH(C291,Products!$B:$B,0)),"Not found"))</f>
        <v/>
      </c>
      <c r="E291" s="20"/>
      <c r="F291" s="20"/>
      <c r="G291" s="20"/>
      <c r="H291" s="20"/>
      <c r="I291" s="20"/>
      <c r="J291" s="18"/>
      <c r="K291" s="20"/>
      <c r="L291" s="20"/>
      <c r="M291" s="20"/>
      <c r="N291" s="20"/>
      <c r="O291" s="20"/>
      <c r="P291" s="20"/>
      <c r="Q291" s="20"/>
      <c r="R291" s="20"/>
    </row>
    <row r="292" customFormat="false" ht="15" hidden="false" customHeight="false" outlineLevel="0" collapsed="false">
      <c r="A292" s="18"/>
      <c r="B292" s="20"/>
      <c r="C292" s="20"/>
      <c r="D292" s="18" t="str">
        <f aca="false">IF(C292="","",IFERROR(INDEX(Products!$A:$A,MATCH(C292,Products!$B:$B,0)),"Not found"))</f>
        <v/>
      </c>
      <c r="E292" s="20"/>
      <c r="F292" s="20"/>
      <c r="G292" s="20"/>
      <c r="H292" s="20"/>
      <c r="I292" s="20"/>
      <c r="J292" s="18"/>
      <c r="K292" s="20"/>
      <c r="L292" s="20"/>
      <c r="M292" s="20"/>
      <c r="N292" s="20"/>
      <c r="O292" s="20"/>
      <c r="P292" s="20"/>
      <c r="Q292" s="20"/>
      <c r="R292" s="20"/>
    </row>
    <row r="293" customFormat="false" ht="15" hidden="false" customHeight="false" outlineLevel="0" collapsed="false">
      <c r="A293" s="18"/>
      <c r="B293" s="20"/>
      <c r="C293" s="20"/>
      <c r="D293" s="18" t="str">
        <f aca="false">IF(C293="","",IFERROR(INDEX(Products!$A:$A,MATCH(C293,Products!$B:$B,0)),"Not found"))</f>
        <v/>
      </c>
      <c r="E293" s="20"/>
      <c r="F293" s="20"/>
      <c r="G293" s="20"/>
      <c r="H293" s="20"/>
      <c r="I293" s="20"/>
      <c r="J293" s="18"/>
      <c r="K293" s="20"/>
      <c r="L293" s="20"/>
      <c r="M293" s="20"/>
      <c r="N293" s="20"/>
      <c r="O293" s="20"/>
      <c r="P293" s="20"/>
      <c r="Q293" s="20"/>
      <c r="R293" s="20"/>
    </row>
    <row r="294" customFormat="false" ht="15" hidden="false" customHeight="false" outlineLevel="0" collapsed="false">
      <c r="A294" s="18"/>
      <c r="B294" s="20"/>
      <c r="C294" s="20"/>
      <c r="D294" s="18" t="str">
        <f aca="false">IF(C294="","",IFERROR(INDEX(Products!$A:$A,MATCH(C294,Products!$B:$B,0)),"Not found"))</f>
        <v/>
      </c>
      <c r="E294" s="20"/>
      <c r="F294" s="20"/>
      <c r="G294" s="20"/>
      <c r="H294" s="20"/>
      <c r="I294" s="20"/>
      <c r="J294" s="18"/>
      <c r="K294" s="20"/>
      <c r="L294" s="20"/>
      <c r="M294" s="20"/>
      <c r="N294" s="20"/>
      <c r="O294" s="20"/>
      <c r="P294" s="20"/>
      <c r="Q294" s="20"/>
      <c r="R294" s="20"/>
    </row>
    <row r="295" customFormat="false" ht="15" hidden="false" customHeight="false" outlineLevel="0" collapsed="false">
      <c r="A295" s="18"/>
      <c r="B295" s="20"/>
      <c r="C295" s="20"/>
      <c r="D295" s="18" t="str">
        <f aca="false">IF(C295="","",IFERROR(INDEX(Products!$A:$A,MATCH(C295,Products!$B:$B,0)),"Not found"))</f>
        <v/>
      </c>
      <c r="E295" s="20"/>
      <c r="F295" s="20"/>
      <c r="G295" s="20"/>
      <c r="H295" s="20"/>
      <c r="I295" s="20"/>
      <c r="J295" s="18"/>
      <c r="K295" s="20"/>
      <c r="L295" s="20"/>
      <c r="M295" s="20"/>
      <c r="N295" s="20"/>
      <c r="O295" s="20"/>
      <c r="P295" s="20"/>
      <c r="Q295" s="20"/>
      <c r="R295" s="20"/>
    </row>
    <row r="296" customFormat="false" ht="15" hidden="false" customHeight="false" outlineLevel="0" collapsed="false">
      <c r="A296" s="18"/>
      <c r="B296" s="20"/>
      <c r="C296" s="20"/>
      <c r="D296" s="18" t="str">
        <f aca="false">IF(C296="","",IFERROR(INDEX(Products!$A:$A,MATCH(C296,Products!$B:$B,0)),"Not found"))</f>
        <v/>
      </c>
      <c r="E296" s="20"/>
      <c r="F296" s="20"/>
      <c r="G296" s="20"/>
      <c r="H296" s="20"/>
      <c r="I296" s="20"/>
      <c r="J296" s="18"/>
      <c r="K296" s="20"/>
      <c r="L296" s="20"/>
      <c r="M296" s="20"/>
      <c r="N296" s="20"/>
      <c r="O296" s="20"/>
      <c r="P296" s="20"/>
      <c r="Q296" s="20"/>
      <c r="R296" s="20"/>
    </row>
    <row r="297" customFormat="false" ht="15" hidden="false" customHeight="false" outlineLevel="0" collapsed="false">
      <c r="A297" s="18"/>
      <c r="B297" s="20"/>
      <c r="C297" s="20"/>
      <c r="D297" s="18" t="str">
        <f aca="false">IF(C297="","",IFERROR(INDEX(Products!$A:$A,MATCH(C297,Products!$B:$B,0)),"Not found"))</f>
        <v/>
      </c>
      <c r="E297" s="20"/>
      <c r="F297" s="20"/>
      <c r="G297" s="20"/>
      <c r="H297" s="20"/>
      <c r="I297" s="20"/>
      <c r="J297" s="18"/>
      <c r="K297" s="20"/>
      <c r="L297" s="20"/>
      <c r="M297" s="20"/>
      <c r="N297" s="20"/>
      <c r="O297" s="20"/>
      <c r="P297" s="20"/>
      <c r="Q297" s="20"/>
      <c r="R297" s="20"/>
    </row>
    <row r="298" customFormat="false" ht="15" hidden="false" customHeight="false" outlineLevel="0" collapsed="false">
      <c r="A298" s="18"/>
      <c r="B298" s="20"/>
      <c r="C298" s="20"/>
      <c r="D298" s="18" t="str">
        <f aca="false">IF(C298="","",IFERROR(INDEX(Products!$A:$A,MATCH(C298,Products!$B:$B,0)),"Not found"))</f>
        <v/>
      </c>
      <c r="E298" s="20"/>
      <c r="F298" s="20"/>
      <c r="G298" s="20"/>
      <c r="H298" s="20"/>
      <c r="I298" s="20"/>
      <c r="J298" s="18"/>
      <c r="K298" s="20"/>
      <c r="L298" s="20"/>
      <c r="M298" s="20"/>
      <c r="N298" s="20"/>
      <c r="O298" s="20"/>
      <c r="P298" s="20"/>
      <c r="Q298" s="20"/>
      <c r="R298" s="20"/>
    </row>
    <row r="299" customFormat="false" ht="15" hidden="false" customHeight="false" outlineLevel="0" collapsed="false">
      <c r="A299" s="18"/>
      <c r="B299" s="20"/>
      <c r="C299" s="20"/>
      <c r="D299" s="18" t="str">
        <f aca="false">IF(C299="","",IFERROR(INDEX(Products!$A:$A,MATCH(C299,Products!$B:$B,0)),"Not found"))</f>
        <v/>
      </c>
      <c r="E299" s="20"/>
      <c r="F299" s="20"/>
      <c r="G299" s="20"/>
      <c r="H299" s="20"/>
      <c r="I299" s="20"/>
      <c r="J299" s="18"/>
      <c r="K299" s="20"/>
      <c r="L299" s="20"/>
      <c r="M299" s="20"/>
      <c r="N299" s="20"/>
      <c r="O299" s="20"/>
      <c r="P299" s="20"/>
      <c r="Q299" s="20"/>
      <c r="R299" s="20"/>
    </row>
    <row r="300" customFormat="false" ht="15" hidden="false" customHeight="false" outlineLevel="0" collapsed="false">
      <c r="A300" s="18"/>
      <c r="B300" s="20"/>
      <c r="C300" s="20"/>
      <c r="D300" s="18" t="str">
        <f aca="false">IF(C300="","",IFERROR(INDEX(Products!$A:$A,MATCH(C300,Products!$B:$B,0)),"Not found"))</f>
        <v/>
      </c>
      <c r="E300" s="20"/>
      <c r="F300" s="20"/>
      <c r="G300" s="20"/>
      <c r="H300" s="20"/>
      <c r="I300" s="20"/>
      <c r="J300" s="18"/>
      <c r="K300" s="20"/>
      <c r="L300" s="20"/>
      <c r="M300" s="20"/>
      <c r="N300" s="20"/>
      <c r="O300" s="20"/>
      <c r="P300" s="20"/>
      <c r="Q300" s="20"/>
      <c r="R300" s="20"/>
    </row>
    <row r="301" customFormat="false" ht="15" hidden="false" customHeight="false" outlineLevel="0" collapsed="false">
      <c r="A301" s="18"/>
      <c r="B301" s="20"/>
      <c r="C301" s="20"/>
      <c r="D301" s="18" t="str">
        <f aca="false">IF(C301="","",IFERROR(INDEX(Products!$A:$A,MATCH(C301,Products!$B:$B,0)),"Not found"))</f>
        <v/>
      </c>
      <c r="E301" s="20"/>
      <c r="F301" s="20"/>
      <c r="G301" s="20"/>
      <c r="H301" s="20"/>
      <c r="I301" s="20"/>
      <c r="J301" s="18"/>
      <c r="K301" s="20"/>
      <c r="L301" s="20"/>
      <c r="M301" s="20"/>
      <c r="N301" s="20"/>
      <c r="O301" s="20"/>
      <c r="P301" s="20"/>
      <c r="Q301" s="20"/>
      <c r="R301" s="20"/>
    </row>
    <row r="302" customFormat="false" ht="15" hidden="false" customHeight="false" outlineLevel="0" collapsed="false">
      <c r="A302" s="18"/>
      <c r="B302" s="20"/>
      <c r="C302" s="20"/>
      <c r="D302" s="18" t="str">
        <f aca="false">IF(C302="","",IFERROR(INDEX(Products!$A:$A,MATCH(C302,Products!$B:$B,0)),"Not found"))</f>
        <v/>
      </c>
      <c r="E302" s="20"/>
      <c r="F302" s="20"/>
      <c r="G302" s="20"/>
      <c r="H302" s="20"/>
      <c r="I302" s="20"/>
      <c r="J302" s="18"/>
      <c r="K302" s="20"/>
      <c r="L302" s="20"/>
      <c r="M302" s="20"/>
      <c r="N302" s="20"/>
      <c r="O302" s="20"/>
      <c r="P302" s="20"/>
      <c r="Q302" s="20"/>
      <c r="R302" s="20"/>
    </row>
    <row r="303" customFormat="false" ht="15" hidden="false" customHeight="false" outlineLevel="0" collapsed="false">
      <c r="A303" s="18"/>
      <c r="B303" s="20"/>
      <c r="C303" s="20"/>
      <c r="D303" s="18" t="str">
        <f aca="false">IF(C303="","",IFERROR(INDEX(Products!$A:$A,MATCH(C303,Products!$B:$B,0)),"Not found"))</f>
        <v/>
      </c>
      <c r="E303" s="20"/>
      <c r="F303" s="20"/>
      <c r="G303" s="20"/>
      <c r="H303" s="20"/>
      <c r="I303" s="20"/>
      <c r="J303" s="18"/>
      <c r="K303" s="20"/>
      <c r="L303" s="20"/>
      <c r="M303" s="20"/>
      <c r="N303" s="20"/>
      <c r="O303" s="20"/>
      <c r="P303" s="20"/>
      <c r="Q303" s="20"/>
      <c r="R303" s="20"/>
    </row>
    <row r="304" customFormat="false" ht="15" hidden="false" customHeight="false" outlineLevel="0" collapsed="false">
      <c r="A304" s="18"/>
      <c r="B304" s="20"/>
      <c r="C304" s="20"/>
      <c r="D304" s="18" t="str">
        <f aca="false">IF(C304="","",IFERROR(INDEX(Products!$A:$A,MATCH(C304,Products!$B:$B,0)),"Not found"))</f>
        <v/>
      </c>
      <c r="E304" s="20"/>
      <c r="F304" s="20"/>
      <c r="G304" s="20"/>
      <c r="H304" s="20"/>
      <c r="I304" s="20"/>
      <c r="J304" s="18"/>
      <c r="K304" s="20"/>
      <c r="L304" s="20"/>
      <c r="M304" s="20"/>
      <c r="N304" s="20"/>
      <c r="O304" s="20"/>
      <c r="P304" s="20"/>
      <c r="Q304" s="20"/>
      <c r="R304" s="20"/>
    </row>
    <row r="305" customFormat="false" ht="15" hidden="false" customHeight="false" outlineLevel="0" collapsed="false">
      <c r="A305" s="18"/>
      <c r="B305" s="20"/>
      <c r="C305" s="20"/>
      <c r="D305" s="18" t="str">
        <f aca="false">IF(C305="","",IFERROR(INDEX(Products!$A:$A,MATCH(C305,Products!$B:$B,0)),"Not found"))</f>
        <v/>
      </c>
      <c r="E305" s="20"/>
      <c r="F305" s="20"/>
      <c r="G305" s="20"/>
      <c r="H305" s="20"/>
      <c r="I305" s="20"/>
      <c r="J305" s="18"/>
      <c r="K305" s="20"/>
      <c r="L305" s="20"/>
      <c r="M305" s="20"/>
      <c r="N305" s="20"/>
      <c r="O305" s="20"/>
      <c r="P305" s="20"/>
      <c r="Q305" s="20"/>
      <c r="R305" s="20"/>
    </row>
    <row r="306" customFormat="false" ht="15" hidden="false" customHeight="false" outlineLevel="0" collapsed="false">
      <c r="A306" s="18"/>
      <c r="B306" s="20"/>
      <c r="C306" s="20"/>
      <c r="D306" s="18" t="str">
        <f aca="false">IF(C306="","",IFERROR(INDEX(Products!$A:$A,MATCH(C306,Products!$B:$B,0)),"Not found"))</f>
        <v/>
      </c>
      <c r="E306" s="20"/>
      <c r="F306" s="20"/>
      <c r="G306" s="20"/>
      <c r="H306" s="20"/>
      <c r="I306" s="20"/>
      <c r="J306" s="18"/>
      <c r="K306" s="20"/>
      <c r="L306" s="20"/>
      <c r="M306" s="20"/>
      <c r="N306" s="20"/>
      <c r="O306" s="20"/>
      <c r="P306" s="20"/>
      <c r="Q306" s="20"/>
      <c r="R306" s="20"/>
    </row>
    <row r="307" customFormat="false" ht="15" hidden="false" customHeight="false" outlineLevel="0" collapsed="false">
      <c r="A307" s="18"/>
      <c r="B307" s="20"/>
      <c r="C307" s="20"/>
      <c r="D307" s="18" t="str">
        <f aca="false">IF(C307="","",IFERROR(INDEX(Products!$A:$A,MATCH(C307,Products!$B:$B,0)),"Not found"))</f>
        <v/>
      </c>
      <c r="E307" s="20"/>
      <c r="F307" s="20"/>
      <c r="G307" s="20"/>
      <c r="H307" s="20"/>
      <c r="I307" s="20"/>
      <c r="J307" s="18"/>
      <c r="K307" s="20"/>
      <c r="L307" s="20"/>
      <c r="M307" s="20"/>
      <c r="N307" s="20"/>
      <c r="O307" s="20"/>
      <c r="P307" s="20"/>
      <c r="Q307" s="20"/>
      <c r="R307" s="20"/>
    </row>
    <row r="308" customFormat="false" ht="15" hidden="false" customHeight="false" outlineLevel="0" collapsed="false">
      <c r="A308" s="18"/>
      <c r="B308" s="20"/>
      <c r="C308" s="20"/>
      <c r="D308" s="18" t="str">
        <f aca="false">IF(C308="","",IFERROR(INDEX(Products!$A:$A,MATCH(C308,Products!$B:$B,0)),"Not found"))</f>
        <v/>
      </c>
      <c r="E308" s="20"/>
      <c r="F308" s="20"/>
      <c r="G308" s="20"/>
      <c r="H308" s="20"/>
      <c r="I308" s="20"/>
      <c r="J308" s="18"/>
      <c r="K308" s="20"/>
      <c r="L308" s="20"/>
      <c r="M308" s="20"/>
      <c r="N308" s="20"/>
      <c r="O308" s="20"/>
      <c r="P308" s="20"/>
      <c r="Q308" s="20"/>
      <c r="R308" s="20"/>
    </row>
    <row r="309" customFormat="false" ht="15" hidden="false" customHeight="false" outlineLevel="0" collapsed="false">
      <c r="A309" s="18"/>
      <c r="B309" s="20"/>
      <c r="C309" s="20"/>
      <c r="D309" s="18" t="str">
        <f aca="false">IF(C309="","",IFERROR(INDEX(Products!$A:$A,MATCH(C309,Products!$B:$B,0)),"Not found"))</f>
        <v/>
      </c>
      <c r="E309" s="20"/>
      <c r="F309" s="20"/>
      <c r="G309" s="20"/>
      <c r="H309" s="20"/>
      <c r="I309" s="20"/>
      <c r="J309" s="18"/>
      <c r="K309" s="20"/>
      <c r="L309" s="20"/>
      <c r="M309" s="20"/>
      <c r="N309" s="20"/>
      <c r="O309" s="20"/>
      <c r="P309" s="20"/>
      <c r="Q309" s="20"/>
      <c r="R309" s="20"/>
    </row>
    <row r="310" customFormat="false" ht="15" hidden="false" customHeight="false" outlineLevel="0" collapsed="false">
      <c r="A310" s="18"/>
      <c r="B310" s="20"/>
      <c r="C310" s="20"/>
      <c r="D310" s="18" t="str">
        <f aca="false">IF(C310="","",IFERROR(INDEX(Products!$A:$A,MATCH(C310,Products!$B:$B,0)),"Not found"))</f>
        <v/>
      </c>
      <c r="E310" s="20"/>
      <c r="F310" s="20"/>
      <c r="G310" s="20"/>
      <c r="H310" s="20"/>
      <c r="I310" s="20"/>
      <c r="J310" s="18"/>
      <c r="K310" s="20"/>
      <c r="L310" s="20"/>
      <c r="M310" s="20"/>
      <c r="N310" s="20"/>
      <c r="O310" s="20"/>
      <c r="P310" s="20"/>
      <c r="Q310" s="20"/>
      <c r="R310" s="20"/>
    </row>
    <row r="311" customFormat="false" ht="15" hidden="false" customHeight="false" outlineLevel="0" collapsed="false">
      <c r="A311" s="18"/>
      <c r="B311" s="20"/>
      <c r="C311" s="20"/>
      <c r="D311" s="18" t="str">
        <f aca="false">IF(C311="","",IFERROR(INDEX(Products!$A:$A,MATCH(C311,Products!$B:$B,0)),"Not found"))</f>
        <v/>
      </c>
      <c r="E311" s="20"/>
      <c r="F311" s="20"/>
      <c r="G311" s="20"/>
      <c r="H311" s="20"/>
      <c r="I311" s="20"/>
      <c r="J311" s="18"/>
      <c r="K311" s="20"/>
      <c r="L311" s="20"/>
      <c r="M311" s="20"/>
      <c r="N311" s="20"/>
      <c r="O311" s="20"/>
      <c r="P311" s="20"/>
      <c r="Q311" s="20"/>
      <c r="R311" s="20"/>
    </row>
    <row r="312" customFormat="false" ht="15" hidden="false" customHeight="false" outlineLevel="0" collapsed="false">
      <c r="A312" s="18"/>
      <c r="B312" s="20"/>
      <c r="C312" s="20"/>
      <c r="D312" s="18" t="str">
        <f aca="false">IF(C312="","",IFERROR(INDEX(Products!$A:$A,MATCH(C312,Products!$B:$B,0)),"Not found"))</f>
        <v/>
      </c>
      <c r="E312" s="20"/>
      <c r="F312" s="20"/>
      <c r="G312" s="20"/>
      <c r="H312" s="20"/>
      <c r="I312" s="20"/>
      <c r="J312" s="18"/>
      <c r="K312" s="20"/>
      <c r="L312" s="20"/>
      <c r="M312" s="20"/>
      <c r="N312" s="20"/>
      <c r="O312" s="20"/>
      <c r="P312" s="20"/>
      <c r="Q312" s="20"/>
      <c r="R312" s="20"/>
    </row>
    <row r="313" customFormat="false" ht="15" hidden="false" customHeight="false" outlineLevel="0" collapsed="false">
      <c r="A313" s="18"/>
      <c r="B313" s="20"/>
      <c r="C313" s="20"/>
      <c r="D313" s="18" t="str">
        <f aca="false">IF(C313="","",IFERROR(INDEX(Products!$A:$A,MATCH(C313,Products!$B:$B,0)),"Not found"))</f>
        <v/>
      </c>
      <c r="E313" s="20"/>
      <c r="F313" s="20"/>
      <c r="G313" s="20"/>
      <c r="H313" s="20"/>
      <c r="I313" s="20"/>
      <c r="J313" s="18"/>
      <c r="K313" s="20"/>
      <c r="L313" s="20"/>
      <c r="M313" s="20"/>
      <c r="N313" s="20"/>
      <c r="O313" s="20"/>
      <c r="P313" s="20"/>
      <c r="Q313" s="20"/>
      <c r="R313" s="20"/>
    </row>
    <row r="314" customFormat="false" ht="15" hidden="false" customHeight="false" outlineLevel="0" collapsed="false">
      <c r="A314" s="18"/>
      <c r="B314" s="20"/>
      <c r="C314" s="20"/>
      <c r="D314" s="18" t="str">
        <f aca="false">IF(C314="","",IFERROR(INDEX(Products!$A:$A,MATCH(C314,Products!$B:$B,0)),"Not found"))</f>
        <v/>
      </c>
      <c r="E314" s="20"/>
      <c r="F314" s="20"/>
      <c r="G314" s="20"/>
      <c r="H314" s="20"/>
      <c r="I314" s="20"/>
      <c r="J314" s="18"/>
      <c r="K314" s="20"/>
      <c r="L314" s="20"/>
      <c r="M314" s="20"/>
      <c r="N314" s="20"/>
      <c r="O314" s="20"/>
      <c r="P314" s="20"/>
      <c r="Q314" s="20"/>
      <c r="R314" s="20"/>
    </row>
    <row r="315" customFormat="false" ht="15" hidden="false" customHeight="false" outlineLevel="0" collapsed="false">
      <c r="A315" s="18"/>
      <c r="B315" s="20"/>
      <c r="C315" s="20"/>
      <c r="D315" s="18" t="str">
        <f aca="false">IF(C315="","",IFERROR(INDEX(Products!$A:$A,MATCH(C315,Products!$B:$B,0)),"Not found"))</f>
        <v/>
      </c>
      <c r="E315" s="20"/>
      <c r="F315" s="20"/>
      <c r="G315" s="20"/>
      <c r="H315" s="20"/>
      <c r="I315" s="20"/>
      <c r="J315" s="18"/>
      <c r="K315" s="20"/>
      <c r="L315" s="20"/>
      <c r="M315" s="20"/>
      <c r="N315" s="20"/>
      <c r="O315" s="20"/>
      <c r="P315" s="20"/>
      <c r="Q315" s="20"/>
      <c r="R315" s="20"/>
    </row>
    <row r="316" customFormat="false" ht="15" hidden="false" customHeight="false" outlineLevel="0" collapsed="false">
      <c r="A316" s="18"/>
      <c r="B316" s="20"/>
      <c r="C316" s="20"/>
      <c r="D316" s="18" t="str">
        <f aca="false">IF(C316="","",IFERROR(INDEX(Products!$A:$A,MATCH(C316,Products!$B:$B,0)),"Not found"))</f>
        <v/>
      </c>
      <c r="E316" s="20"/>
      <c r="F316" s="20"/>
      <c r="G316" s="20"/>
      <c r="H316" s="20"/>
      <c r="I316" s="20"/>
      <c r="J316" s="18"/>
      <c r="K316" s="20"/>
      <c r="L316" s="20"/>
      <c r="M316" s="20"/>
      <c r="N316" s="20"/>
      <c r="O316" s="20"/>
      <c r="P316" s="20"/>
      <c r="Q316" s="20"/>
      <c r="R316" s="20"/>
    </row>
    <row r="317" customFormat="false" ht="15" hidden="false" customHeight="false" outlineLevel="0" collapsed="false">
      <c r="A317" s="18"/>
      <c r="B317" s="20"/>
      <c r="C317" s="20"/>
      <c r="D317" s="18" t="str">
        <f aca="false">IF(C317="","",IFERROR(INDEX(Products!$A:$A,MATCH(C317,Products!$B:$B,0)),"Not found"))</f>
        <v/>
      </c>
      <c r="E317" s="20"/>
      <c r="F317" s="20"/>
      <c r="G317" s="20"/>
      <c r="H317" s="20"/>
      <c r="I317" s="20"/>
      <c r="J317" s="18"/>
      <c r="K317" s="20"/>
      <c r="L317" s="20"/>
      <c r="M317" s="20"/>
      <c r="N317" s="20"/>
      <c r="O317" s="20"/>
      <c r="P317" s="20"/>
      <c r="Q317" s="20"/>
      <c r="R317" s="20"/>
    </row>
    <row r="318" customFormat="false" ht="15" hidden="false" customHeight="false" outlineLevel="0" collapsed="false">
      <c r="A318" s="18"/>
      <c r="B318" s="20"/>
      <c r="C318" s="20"/>
      <c r="D318" s="18" t="str">
        <f aca="false">IF(C318="","",IFERROR(INDEX(Products!$A:$A,MATCH(C318,Products!$B:$B,0)),"Not found"))</f>
        <v/>
      </c>
      <c r="E318" s="20"/>
      <c r="F318" s="20"/>
      <c r="G318" s="20"/>
      <c r="H318" s="20"/>
      <c r="I318" s="20"/>
      <c r="J318" s="18"/>
      <c r="K318" s="20"/>
      <c r="L318" s="20"/>
      <c r="M318" s="20"/>
      <c r="N318" s="20"/>
      <c r="O318" s="20"/>
      <c r="P318" s="20"/>
      <c r="Q318" s="20"/>
      <c r="R318" s="20"/>
    </row>
    <row r="319" customFormat="false" ht="15" hidden="false" customHeight="false" outlineLevel="0" collapsed="false">
      <c r="A319" s="18"/>
      <c r="B319" s="20"/>
      <c r="C319" s="20"/>
      <c r="D319" s="18" t="str">
        <f aca="false">IF(C319="","",IFERROR(INDEX(Products!$A:$A,MATCH(C319,Products!$B:$B,0)),"Not found"))</f>
        <v/>
      </c>
      <c r="E319" s="20"/>
      <c r="F319" s="20"/>
      <c r="G319" s="20"/>
      <c r="H319" s="20"/>
      <c r="I319" s="20"/>
      <c r="J319" s="18"/>
      <c r="K319" s="20"/>
      <c r="L319" s="20"/>
      <c r="M319" s="20"/>
      <c r="N319" s="20"/>
      <c r="O319" s="20"/>
      <c r="P319" s="20"/>
      <c r="Q319" s="20"/>
      <c r="R319" s="20"/>
    </row>
    <row r="320" customFormat="false" ht="15" hidden="false" customHeight="false" outlineLevel="0" collapsed="false">
      <c r="A320" s="18"/>
      <c r="B320" s="20"/>
      <c r="C320" s="20"/>
      <c r="D320" s="18" t="str">
        <f aca="false">IF(C320="","",IFERROR(INDEX(Products!$A:$A,MATCH(C320,Products!$B:$B,0)),"Not found"))</f>
        <v/>
      </c>
      <c r="E320" s="20"/>
      <c r="F320" s="20"/>
      <c r="G320" s="20"/>
      <c r="H320" s="20"/>
      <c r="I320" s="20"/>
      <c r="J320" s="18"/>
      <c r="K320" s="20"/>
      <c r="L320" s="20"/>
      <c r="M320" s="20"/>
      <c r="N320" s="20"/>
      <c r="O320" s="20"/>
      <c r="P320" s="20"/>
      <c r="Q320" s="20"/>
      <c r="R320" s="20"/>
    </row>
    <row r="321" customFormat="false" ht="15" hidden="false" customHeight="false" outlineLevel="0" collapsed="false">
      <c r="A321" s="18"/>
      <c r="B321" s="20"/>
      <c r="C321" s="20"/>
      <c r="D321" s="18" t="str">
        <f aca="false">IF(C321="","",IFERROR(INDEX(Products!$A:$A,MATCH(C321,Products!$B:$B,0)),"Not found"))</f>
        <v/>
      </c>
      <c r="E321" s="20"/>
      <c r="F321" s="20"/>
      <c r="G321" s="20"/>
      <c r="H321" s="20"/>
      <c r="I321" s="20"/>
      <c r="J321" s="18"/>
      <c r="K321" s="20"/>
      <c r="L321" s="20"/>
      <c r="M321" s="20"/>
      <c r="N321" s="20"/>
      <c r="O321" s="20"/>
      <c r="P321" s="20"/>
      <c r="Q321" s="20"/>
      <c r="R321" s="20"/>
    </row>
    <row r="322" customFormat="false" ht="15" hidden="false" customHeight="false" outlineLevel="0" collapsed="false">
      <c r="A322" s="18"/>
      <c r="B322" s="20"/>
      <c r="C322" s="20"/>
      <c r="D322" s="18" t="str">
        <f aca="false">IF(C322="","",IFERROR(INDEX(Products!$A:$A,MATCH(C322,Products!$B:$B,0)),"Not found"))</f>
        <v/>
      </c>
      <c r="E322" s="20"/>
      <c r="F322" s="20"/>
      <c r="G322" s="20"/>
      <c r="H322" s="20"/>
      <c r="I322" s="20"/>
      <c r="J322" s="18"/>
      <c r="K322" s="20"/>
      <c r="L322" s="20"/>
      <c r="M322" s="20"/>
      <c r="N322" s="20"/>
      <c r="O322" s="20"/>
      <c r="P322" s="20"/>
      <c r="Q322" s="20"/>
      <c r="R322" s="20"/>
    </row>
    <row r="323" customFormat="false" ht="15" hidden="false" customHeight="false" outlineLevel="0" collapsed="false">
      <c r="A323" s="18"/>
      <c r="B323" s="20"/>
      <c r="C323" s="20"/>
      <c r="D323" s="18" t="str">
        <f aca="false">IF(C323="","",IFERROR(INDEX(Products!$A:$A,MATCH(C323,Products!$B:$B,0)),"Not found"))</f>
        <v/>
      </c>
      <c r="E323" s="20"/>
      <c r="F323" s="20"/>
      <c r="G323" s="20"/>
      <c r="H323" s="20"/>
      <c r="I323" s="20"/>
      <c r="J323" s="18"/>
      <c r="K323" s="20"/>
      <c r="L323" s="20"/>
      <c r="M323" s="20"/>
      <c r="N323" s="20"/>
      <c r="O323" s="20"/>
      <c r="P323" s="20"/>
      <c r="Q323" s="20"/>
      <c r="R323" s="20"/>
    </row>
    <row r="324" customFormat="false" ht="15" hidden="false" customHeight="false" outlineLevel="0" collapsed="false">
      <c r="A324" s="18"/>
      <c r="B324" s="20"/>
      <c r="C324" s="20"/>
      <c r="D324" s="18" t="str">
        <f aca="false">IF(C324="","",IFERROR(INDEX(Products!$A:$A,MATCH(C324,Products!$B:$B,0)),"Not found"))</f>
        <v/>
      </c>
      <c r="E324" s="20"/>
      <c r="F324" s="20"/>
      <c r="G324" s="20"/>
      <c r="H324" s="20"/>
      <c r="I324" s="20"/>
      <c r="J324" s="18"/>
      <c r="K324" s="20"/>
      <c r="L324" s="20"/>
      <c r="M324" s="20"/>
      <c r="N324" s="20"/>
      <c r="O324" s="20"/>
      <c r="P324" s="20"/>
      <c r="Q324" s="20"/>
      <c r="R324" s="20"/>
    </row>
    <row r="325" customFormat="false" ht="15" hidden="false" customHeight="false" outlineLevel="0" collapsed="false">
      <c r="A325" s="18"/>
      <c r="B325" s="20"/>
      <c r="C325" s="20"/>
      <c r="D325" s="18" t="str">
        <f aca="false">IF(C325="","",IFERROR(INDEX(Products!$A:$A,MATCH(C325,Products!$B:$B,0)),"Not found"))</f>
        <v/>
      </c>
      <c r="E325" s="20"/>
      <c r="F325" s="20"/>
      <c r="G325" s="20"/>
      <c r="H325" s="20"/>
      <c r="I325" s="20"/>
      <c r="J325" s="18"/>
      <c r="K325" s="20"/>
      <c r="L325" s="20"/>
      <c r="M325" s="20"/>
      <c r="N325" s="20"/>
      <c r="O325" s="20"/>
      <c r="P325" s="20"/>
      <c r="Q325" s="20"/>
      <c r="R325" s="20"/>
    </row>
    <row r="326" customFormat="false" ht="15" hidden="false" customHeight="false" outlineLevel="0" collapsed="false">
      <c r="A326" s="18"/>
      <c r="B326" s="20"/>
      <c r="C326" s="20"/>
      <c r="D326" s="18" t="str">
        <f aca="false">IF(C326="","",IFERROR(INDEX(Products!$A:$A,MATCH(C326,Products!$B:$B,0)),"Not found"))</f>
        <v/>
      </c>
      <c r="E326" s="20"/>
      <c r="F326" s="20"/>
      <c r="G326" s="20"/>
      <c r="H326" s="20"/>
      <c r="I326" s="20"/>
      <c r="J326" s="18"/>
      <c r="K326" s="20"/>
      <c r="L326" s="20"/>
      <c r="M326" s="20"/>
      <c r="N326" s="20"/>
      <c r="O326" s="20"/>
      <c r="P326" s="20"/>
      <c r="Q326" s="20"/>
      <c r="R326" s="20"/>
    </row>
    <row r="327" customFormat="false" ht="15" hidden="false" customHeight="false" outlineLevel="0" collapsed="false">
      <c r="A327" s="18"/>
      <c r="B327" s="20"/>
      <c r="C327" s="20"/>
      <c r="D327" s="18" t="str">
        <f aca="false">IF(C327="","",IFERROR(INDEX(Products!$A:$A,MATCH(C327,Products!$B:$B,0)),"Not found"))</f>
        <v/>
      </c>
      <c r="E327" s="20"/>
      <c r="F327" s="20"/>
      <c r="G327" s="20"/>
      <c r="H327" s="20"/>
      <c r="I327" s="20"/>
      <c r="J327" s="18"/>
      <c r="K327" s="20"/>
      <c r="L327" s="20"/>
      <c r="M327" s="20"/>
      <c r="N327" s="20"/>
      <c r="O327" s="20"/>
      <c r="P327" s="20"/>
      <c r="Q327" s="20"/>
      <c r="R327" s="20"/>
    </row>
    <row r="328" customFormat="false" ht="15" hidden="false" customHeight="false" outlineLevel="0" collapsed="false">
      <c r="A328" s="18"/>
      <c r="B328" s="20"/>
      <c r="C328" s="20"/>
      <c r="D328" s="18" t="str">
        <f aca="false">IF(C328="","",IFERROR(INDEX(Products!$A:$A,MATCH(C328,Products!$B:$B,0)),"Not found"))</f>
        <v/>
      </c>
      <c r="E328" s="20"/>
      <c r="F328" s="20"/>
      <c r="G328" s="20"/>
      <c r="H328" s="20"/>
      <c r="I328" s="20"/>
      <c r="J328" s="18"/>
      <c r="K328" s="20"/>
      <c r="L328" s="20"/>
      <c r="M328" s="20"/>
      <c r="N328" s="20"/>
      <c r="O328" s="20"/>
      <c r="P328" s="20"/>
      <c r="Q328" s="20"/>
      <c r="R328" s="20"/>
    </row>
    <row r="329" customFormat="false" ht="15" hidden="false" customHeight="false" outlineLevel="0" collapsed="false">
      <c r="A329" s="18"/>
      <c r="B329" s="20"/>
      <c r="C329" s="20"/>
      <c r="D329" s="18" t="str">
        <f aca="false">IF(C329="","",IFERROR(INDEX(Products!$A:$A,MATCH(C329,Products!$B:$B,0)),"Not found"))</f>
        <v/>
      </c>
      <c r="E329" s="20"/>
      <c r="F329" s="20"/>
      <c r="G329" s="20"/>
      <c r="H329" s="20"/>
      <c r="I329" s="20"/>
      <c r="J329" s="18"/>
      <c r="K329" s="20"/>
      <c r="L329" s="20"/>
      <c r="M329" s="20"/>
      <c r="N329" s="20"/>
      <c r="O329" s="20"/>
      <c r="P329" s="20"/>
      <c r="Q329" s="20"/>
      <c r="R329" s="20"/>
    </row>
    <row r="330" customFormat="false" ht="15" hidden="false" customHeight="false" outlineLevel="0" collapsed="false">
      <c r="A330" s="18"/>
      <c r="B330" s="20"/>
      <c r="C330" s="20"/>
      <c r="D330" s="18" t="str">
        <f aca="false">IF(C330="","",IFERROR(INDEX(Products!$A:$A,MATCH(C330,Products!$B:$B,0)),"Not found"))</f>
        <v/>
      </c>
      <c r="E330" s="20"/>
      <c r="F330" s="20"/>
      <c r="G330" s="20"/>
      <c r="H330" s="20"/>
      <c r="I330" s="20"/>
      <c r="J330" s="18"/>
      <c r="K330" s="20"/>
      <c r="L330" s="20"/>
      <c r="M330" s="20"/>
      <c r="N330" s="20"/>
      <c r="O330" s="20"/>
      <c r="P330" s="20"/>
      <c r="Q330" s="20"/>
      <c r="R330" s="20"/>
    </row>
    <row r="331" customFormat="false" ht="15" hidden="false" customHeight="false" outlineLevel="0" collapsed="false">
      <c r="A331" s="18"/>
      <c r="B331" s="20"/>
      <c r="C331" s="20"/>
      <c r="D331" s="18" t="str">
        <f aca="false">IF(C331="","",IFERROR(INDEX(Products!$A:$A,MATCH(C331,Products!$B:$B,0)),"Not found"))</f>
        <v/>
      </c>
      <c r="E331" s="20"/>
      <c r="F331" s="20"/>
      <c r="G331" s="20"/>
      <c r="H331" s="20"/>
      <c r="I331" s="20"/>
      <c r="J331" s="18"/>
      <c r="K331" s="20"/>
      <c r="L331" s="20"/>
      <c r="M331" s="20"/>
      <c r="N331" s="20"/>
      <c r="O331" s="20"/>
      <c r="P331" s="20"/>
      <c r="Q331" s="20"/>
      <c r="R331" s="20"/>
    </row>
    <row r="332" customFormat="false" ht="15" hidden="false" customHeight="false" outlineLevel="0" collapsed="false">
      <c r="A332" s="18"/>
      <c r="B332" s="20"/>
      <c r="C332" s="20"/>
      <c r="D332" s="18" t="str">
        <f aca="false">IF(C332="","",IFERROR(INDEX(Products!$A:$A,MATCH(C332,Products!$B:$B,0)),"Not found"))</f>
        <v/>
      </c>
      <c r="E332" s="20"/>
      <c r="F332" s="20"/>
      <c r="G332" s="20"/>
      <c r="H332" s="20"/>
      <c r="I332" s="20"/>
      <c r="J332" s="18"/>
      <c r="K332" s="20"/>
      <c r="L332" s="20"/>
      <c r="M332" s="20"/>
      <c r="N332" s="20"/>
      <c r="O332" s="20"/>
      <c r="P332" s="20"/>
      <c r="Q332" s="20"/>
      <c r="R332" s="20"/>
    </row>
    <row r="333" customFormat="false" ht="15" hidden="false" customHeight="false" outlineLevel="0" collapsed="false">
      <c r="A333" s="18"/>
      <c r="B333" s="20"/>
      <c r="C333" s="20"/>
      <c r="D333" s="18" t="str">
        <f aca="false">IF(C333="","",IFERROR(INDEX(Products!$A:$A,MATCH(C333,Products!$B:$B,0)),"Not found"))</f>
        <v/>
      </c>
      <c r="E333" s="20"/>
      <c r="F333" s="20"/>
      <c r="G333" s="20"/>
      <c r="H333" s="20"/>
      <c r="I333" s="20"/>
      <c r="J333" s="18"/>
      <c r="K333" s="20"/>
      <c r="L333" s="20"/>
      <c r="M333" s="20"/>
      <c r="N333" s="20"/>
      <c r="O333" s="20"/>
      <c r="P333" s="20"/>
      <c r="Q333" s="20"/>
      <c r="R333" s="20"/>
    </row>
    <row r="334" customFormat="false" ht="15" hidden="false" customHeight="false" outlineLevel="0" collapsed="false">
      <c r="A334" s="18"/>
      <c r="B334" s="20"/>
      <c r="C334" s="20"/>
      <c r="D334" s="18" t="str">
        <f aca="false">IF(C334="","",IFERROR(INDEX(Products!$A:$A,MATCH(C334,Products!$B:$B,0)),"Not found"))</f>
        <v/>
      </c>
      <c r="E334" s="20"/>
      <c r="F334" s="20"/>
      <c r="G334" s="20"/>
      <c r="H334" s="20"/>
      <c r="I334" s="20"/>
      <c r="J334" s="18"/>
      <c r="K334" s="20"/>
      <c r="L334" s="20"/>
      <c r="M334" s="20"/>
      <c r="N334" s="20"/>
      <c r="O334" s="20"/>
      <c r="P334" s="20"/>
      <c r="Q334" s="20"/>
      <c r="R334" s="20"/>
    </row>
    <row r="335" customFormat="false" ht="15" hidden="false" customHeight="false" outlineLevel="0" collapsed="false">
      <c r="A335" s="18"/>
      <c r="B335" s="20"/>
      <c r="C335" s="20"/>
      <c r="D335" s="18" t="str">
        <f aca="false">IF(C335="","",IFERROR(INDEX(Products!$A:$A,MATCH(C335,Products!$B:$B,0)),"Not found"))</f>
        <v/>
      </c>
      <c r="E335" s="20"/>
      <c r="F335" s="20"/>
      <c r="G335" s="20"/>
      <c r="H335" s="20"/>
      <c r="I335" s="20"/>
      <c r="J335" s="18"/>
      <c r="K335" s="20"/>
      <c r="L335" s="20"/>
      <c r="M335" s="20"/>
      <c r="N335" s="20"/>
      <c r="O335" s="20"/>
      <c r="P335" s="20"/>
      <c r="Q335" s="20"/>
      <c r="R335" s="20"/>
    </row>
    <row r="336" customFormat="false" ht="15" hidden="false" customHeight="false" outlineLevel="0" collapsed="false">
      <c r="A336" s="18"/>
      <c r="B336" s="20"/>
      <c r="C336" s="20"/>
      <c r="D336" s="18" t="str">
        <f aca="false">IF(C336="","",IFERROR(INDEX(Products!$A:$A,MATCH(C336,Products!$B:$B,0)),"Not found"))</f>
        <v/>
      </c>
      <c r="E336" s="20"/>
      <c r="F336" s="20"/>
      <c r="G336" s="20"/>
      <c r="H336" s="20"/>
      <c r="I336" s="20"/>
      <c r="J336" s="18"/>
      <c r="K336" s="20"/>
      <c r="L336" s="20"/>
      <c r="M336" s="20"/>
      <c r="N336" s="20"/>
      <c r="O336" s="20"/>
      <c r="P336" s="20"/>
      <c r="Q336" s="20"/>
      <c r="R336" s="20"/>
    </row>
    <row r="337" customFormat="false" ht="15" hidden="false" customHeight="false" outlineLevel="0" collapsed="false">
      <c r="A337" s="18"/>
      <c r="B337" s="20"/>
      <c r="C337" s="20"/>
      <c r="D337" s="18" t="str">
        <f aca="false">IF(C337="","",IFERROR(INDEX(Products!$A:$A,MATCH(C337,Products!$B:$B,0)),"Not found"))</f>
        <v/>
      </c>
      <c r="E337" s="20"/>
      <c r="F337" s="20"/>
      <c r="G337" s="20"/>
      <c r="H337" s="20"/>
      <c r="I337" s="20"/>
      <c r="J337" s="18"/>
      <c r="K337" s="20"/>
      <c r="L337" s="20"/>
      <c r="M337" s="20"/>
      <c r="N337" s="20"/>
      <c r="O337" s="20"/>
      <c r="P337" s="20"/>
      <c r="Q337" s="20"/>
      <c r="R337" s="20"/>
    </row>
    <row r="338" customFormat="false" ht="15" hidden="false" customHeight="false" outlineLevel="0" collapsed="false">
      <c r="A338" s="18"/>
      <c r="B338" s="20"/>
      <c r="C338" s="20"/>
      <c r="D338" s="18" t="str">
        <f aca="false">IF(C338="","",IFERROR(INDEX(Products!$A:$A,MATCH(C338,Products!$B:$B,0)),"Not found"))</f>
        <v/>
      </c>
      <c r="E338" s="20"/>
      <c r="F338" s="20"/>
      <c r="G338" s="20"/>
      <c r="H338" s="20"/>
      <c r="I338" s="20"/>
      <c r="J338" s="18"/>
      <c r="K338" s="20"/>
      <c r="L338" s="20"/>
      <c r="M338" s="20"/>
      <c r="N338" s="20"/>
      <c r="O338" s="20"/>
      <c r="P338" s="20"/>
      <c r="Q338" s="20"/>
      <c r="R338" s="20"/>
    </row>
    <row r="339" customFormat="false" ht="15" hidden="false" customHeight="false" outlineLevel="0" collapsed="false">
      <c r="A339" s="18"/>
      <c r="B339" s="20"/>
      <c r="C339" s="20"/>
      <c r="D339" s="18" t="str">
        <f aca="false">IF(C339="","",IFERROR(INDEX(Products!$A:$A,MATCH(C339,Products!$B:$B,0)),"Not found"))</f>
        <v/>
      </c>
      <c r="E339" s="20"/>
      <c r="F339" s="20"/>
      <c r="G339" s="20"/>
      <c r="H339" s="20"/>
      <c r="I339" s="20"/>
      <c r="J339" s="18"/>
      <c r="K339" s="20"/>
      <c r="L339" s="20"/>
      <c r="M339" s="20"/>
      <c r="N339" s="20"/>
      <c r="O339" s="20"/>
      <c r="P339" s="20"/>
      <c r="Q339" s="20"/>
      <c r="R339" s="20"/>
    </row>
    <row r="340" customFormat="false" ht="15" hidden="false" customHeight="false" outlineLevel="0" collapsed="false">
      <c r="A340" s="18"/>
      <c r="B340" s="20"/>
      <c r="C340" s="20"/>
      <c r="D340" s="18" t="str">
        <f aca="false">IF(C340="","",IFERROR(INDEX(Products!$A:$A,MATCH(C340,Products!$B:$B,0)),"Not found"))</f>
        <v/>
      </c>
      <c r="E340" s="20"/>
      <c r="F340" s="20"/>
      <c r="G340" s="20"/>
      <c r="H340" s="20"/>
      <c r="I340" s="20"/>
      <c r="J340" s="18"/>
      <c r="K340" s="20"/>
      <c r="L340" s="20"/>
      <c r="M340" s="20"/>
      <c r="N340" s="20"/>
      <c r="O340" s="20"/>
      <c r="P340" s="20"/>
      <c r="Q340" s="20"/>
      <c r="R340" s="20"/>
    </row>
    <row r="341" customFormat="false" ht="15" hidden="false" customHeight="false" outlineLevel="0" collapsed="false">
      <c r="A341" s="18"/>
      <c r="B341" s="20"/>
      <c r="C341" s="20"/>
      <c r="D341" s="18" t="str">
        <f aca="false">IF(C341="","",IFERROR(INDEX(Products!$A:$A,MATCH(C341,Products!$B:$B,0)),"Not found"))</f>
        <v/>
      </c>
      <c r="E341" s="20"/>
      <c r="F341" s="20"/>
      <c r="G341" s="20"/>
      <c r="H341" s="20"/>
      <c r="I341" s="20"/>
      <c r="J341" s="18"/>
      <c r="K341" s="20"/>
      <c r="L341" s="20"/>
      <c r="M341" s="20"/>
      <c r="N341" s="20"/>
      <c r="O341" s="20"/>
      <c r="P341" s="20"/>
      <c r="Q341" s="20"/>
      <c r="R341" s="20"/>
    </row>
    <row r="342" customFormat="false" ht="15" hidden="false" customHeight="false" outlineLevel="0" collapsed="false">
      <c r="A342" s="18"/>
      <c r="B342" s="20"/>
      <c r="C342" s="20"/>
      <c r="D342" s="18" t="str">
        <f aca="false">IF(C342="","",IFERROR(INDEX(Products!$A:$A,MATCH(C342,Products!$B:$B,0)),"Not found"))</f>
        <v/>
      </c>
      <c r="E342" s="20"/>
      <c r="F342" s="20"/>
      <c r="G342" s="20"/>
      <c r="H342" s="20"/>
      <c r="I342" s="20"/>
      <c r="J342" s="18"/>
      <c r="K342" s="20"/>
      <c r="L342" s="20"/>
      <c r="M342" s="20"/>
      <c r="N342" s="20"/>
      <c r="O342" s="20"/>
      <c r="P342" s="20"/>
      <c r="Q342" s="20"/>
      <c r="R342" s="20"/>
    </row>
    <row r="343" customFormat="false" ht="15" hidden="false" customHeight="false" outlineLevel="0" collapsed="false">
      <c r="A343" s="18"/>
      <c r="B343" s="20"/>
      <c r="C343" s="20"/>
      <c r="D343" s="18" t="str">
        <f aca="false">IF(C343="","",IFERROR(INDEX(Products!$A:$A,MATCH(C343,Products!$B:$B,0)),"Not found"))</f>
        <v/>
      </c>
      <c r="E343" s="20"/>
      <c r="F343" s="20"/>
      <c r="G343" s="20"/>
      <c r="H343" s="20"/>
      <c r="I343" s="20"/>
      <c r="J343" s="18"/>
      <c r="K343" s="20"/>
      <c r="L343" s="20"/>
      <c r="M343" s="20"/>
      <c r="N343" s="20"/>
      <c r="O343" s="20"/>
      <c r="P343" s="20"/>
      <c r="Q343" s="20"/>
      <c r="R343" s="20"/>
    </row>
    <row r="344" customFormat="false" ht="15" hidden="false" customHeight="false" outlineLevel="0" collapsed="false">
      <c r="A344" s="18"/>
      <c r="B344" s="20"/>
      <c r="C344" s="20"/>
      <c r="D344" s="18" t="str">
        <f aca="false">IF(C344="","",IFERROR(INDEX(Products!$A:$A,MATCH(C344,Products!$B:$B,0)),"Not found"))</f>
        <v/>
      </c>
      <c r="E344" s="20"/>
      <c r="F344" s="20"/>
      <c r="G344" s="20"/>
      <c r="H344" s="20"/>
      <c r="I344" s="20"/>
      <c r="J344" s="18"/>
      <c r="K344" s="20"/>
      <c r="L344" s="20"/>
      <c r="M344" s="20"/>
      <c r="N344" s="20"/>
      <c r="O344" s="20"/>
      <c r="P344" s="20"/>
      <c r="Q344" s="20"/>
      <c r="R344" s="20"/>
    </row>
    <row r="345" customFormat="false" ht="15" hidden="false" customHeight="false" outlineLevel="0" collapsed="false">
      <c r="A345" s="18"/>
      <c r="B345" s="20"/>
      <c r="C345" s="20"/>
      <c r="D345" s="18" t="str">
        <f aca="false">IF(C345="","",IFERROR(INDEX(Products!$A:$A,MATCH(C345,Products!$B:$B,0)),"Not found"))</f>
        <v/>
      </c>
      <c r="E345" s="20"/>
      <c r="F345" s="20"/>
      <c r="G345" s="20"/>
      <c r="H345" s="20"/>
      <c r="I345" s="20"/>
      <c r="J345" s="18"/>
      <c r="K345" s="20"/>
      <c r="L345" s="20"/>
      <c r="M345" s="20"/>
      <c r="N345" s="20"/>
      <c r="O345" s="20"/>
      <c r="P345" s="20"/>
      <c r="Q345" s="20"/>
      <c r="R345" s="20"/>
    </row>
    <row r="346" customFormat="false" ht="15" hidden="false" customHeight="false" outlineLevel="0" collapsed="false">
      <c r="A346" s="18"/>
      <c r="B346" s="20"/>
      <c r="C346" s="20"/>
      <c r="D346" s="18" t="str">
        <f aca="false">IF(C346="","",IFERROR(INDEX(Products!$A:$A,MATCH(C346,Products!$B:$B,0)),"Not found"))</f>
        <v/>
      </c>
      <c r="E346" s="20"/>
      <c r="F346" s="20"/>
      <c r="G346" s="20"/>
      <c r="H346" s="20"/>
      <c r="I346" s="20"/>
      <c r="J346" s="18"/>
      <c r="K346" s="20"/>
      <c r="L346" s="20"/>
      <c r="M346" s="20"/>
      <c r="N346" s="20"/>
      <c r="O346" s="20"/>
      <c r="P346" s="20"/>
      <c r="Q346" s="20"/>
      <c r="R346" s="20"/>
    </row>
    <row r="347" customFormat="false" ht="15" hidden="false" customHeight="false" outlineLevel="0" collapsed="false">
      <c r="A347" s="18"/>
      <c r="B347" s="20"/>
      <c r="C347" s="20"/>
      <c r="D347" s="18" t="str">
        <f aca="false">IF(C347="","",IFERROR(INDEX(Products!$A:$A,MATCH(C347,Products!$B:$B,0)),"Not found"))</f>
        <v/>
      </c>
      <c r="E347" s="20"/>
      <c r="F347" s="20"/>
      <c r="G347" s="20"/>
      <c r="H347" s="20"/>
      <c r="I347" s="20"/>
      <c r="J347" s="18"/>
      <c r="K347" s="20"/>
      <c r="L347" s="20"/>
      <c r="M347" s="20"/>
      <c r="N347" s="20"/>
      <c r="O347" s="20"/>
      <c r="P347" s="20"/>
      <c r="Q347" s="20"/>
      <c r="R347" s="20"/>
    </row>
    <row r="348" customFormat="false" ht="15" hidden="false" customHeight="false" outlineLevel="0" collapsed="false">
      <c r="A348" s="18"/>
      <c r="B348" s="20"/>
      <c r="C348" s="20"/>
      <c r="D348" s="18" t="str">
        <f aca="false">IF(C348="","",IFERROR(INDEX(Products!$A:$A,MATCH(C348,Products!$B:$B,0)),"Not found"))</f>
        <v/>
      </c>
      <c r="E348" s="20"/>
      <c r="F348" s="20"/>
      <c r="G348" s="20"/>
      <c r="H348" s="20"/>
      <c r="I348" s="20"/>
      <c r="J348" s="18"/>
      <c r="K348" s="20"/>
      <c r="L348" s="20"/>
      <c r="M348" s="20"/>
      <c r="N348" s="20"/>
      <c r="O348" s="20"/>
      <c r="P348" s="20"/>
      <c r="Q348" s="20"/>
      <c r="R348" s="20"/>
    </row>
    <row r="349" customFormat="false" ht="15" hidden="false" customHeight="false" outlineLevel="0" collapsed="false">
      <c r="A349" s="18"/>
      <c r="B349" s="20"/>
      <c r="C349" s="20"/>
      <c r="D349" s="18" t="str">
        <f aca="false">IF(C349="","",IFERROR(INDEX(Products!$A:$A,MATCH(C349,Products!$B:$B,0)),"Not found"))</f>
        <v/>
      </c>
      <c r="E349" s="20"/>
      <c r="F349" s="20"/>
      <c r="G349" s="20"/>
      <c r="H349" s="20"/>
      <c r="I349" s="20"/>
      <c r="J349" s="18"/>
      <c r="K349" s="20"/>
      <c r="L349" s="20"/>
      <c r="M349" s="20"/>
      <c r="N349" s="20"/>
      <c r="O349" s="20"/>
      <c r="P349" s="20"/>
      <c r="Q349" s="20"/>
      <c r="R349" s="20"/>
    </row>
    <row r="350" customFormat="false" ht="15" hidden="false" customHeight="false" outlineLevel="0" collapsed="false">
      <c r="A350" s="18"/>
      <c r="B350" s="20"/>
      <c r="C350" s="20"/>
      <c r="D350" s="18" t="str">
        <f aca="false">IF(C350="","",IFERROR(INDEX(Products!$A:$A,MATCH(C350,Products!$B:$B,0)),"Not found"))</f>
        <v/>
      </c>
      <c r="E350" s="20"/>
      <c r="F350" s="20"/>
      <c r="G350" s="20"/>
      <c r="H350" s="20"/>
      <c r="I350" s="20"/>
      <c r="J350" s="18"/>
      <c r="K350" s="20"/>
      <c r="L350" s="20"/>
      <c r="M350" s="20"/>
      <c r="N350" s="20"/>
      <c r="O350" s="20"/>
      <c r="P350" s="20"/>
      <c r="Q350" s="20"/>
      <c r="R350" s="20"/>
    </row>
    <row r="351" customFormat="false" ht="15" hidden="false" customHeight="false" outlineLevel="0" collapsed="false">
      <c r="A351" s="18"/>
      <c r="B351" s="20"/>
      <c r="C351" s="20"/>
      <c r="D351" s="18" t="str">
        <f aca="false">IF(C351="","",IFERROR(INDEX(Products!$A:$A,MATCH(C351,Products!$B:$B,0)),"Not found"))</f>
        <v/>
      </c>
      <c r="E351" s="20"/>
      <c r="F351" s="20"/>
      <c r="G351" s="20"/>
      <c r="H351" s="20"/>
      <c r="I351" s="20"/>
      <c r="J351" s="18"/>
      <c r="K351" s="20"/>
      <c r="L351" s="20"/>
      <c r="M351" s="20"/>
      <c r="N351" s="20"/>
      <c r="O351" s="20"/>
      <c r="P351" s="20"/>
      <c r="Q351" s="20"/>
      <c r="R351" s="20"/>
    </row>
    <row r="352" customFormat="false" ht="15" hidden="false" customHeight="false" outlineLevel="0" collapsed="false">
      <c r="A352" s="18"/>
      <c r="B352" s="20"/>
      <c r="C352" s="20"/>
      <c r="D352" s="18" t="str">
        <f aca="false">IF(C352="","",IFERROR(INDEX(Products!$A:$A,MATCH(C352,Products!$B:$B,0)),"Not found"))</f>
        <v/>
      </c>
      <c r="E352" s="20"/>
      <c r="F352" s="20"/>
      <c r="G352" s="20"/>
      <c r="H352" s="20"/>
      <c r="I352" s="20"/>
      <c r="J352" s="18"/>
      <c r="K352" s="20"/>
      <c r="L352" s="20"/>
      <c r="M352" s="20"/>
      <c r="N352" s="20"/>
      <c r="O352" s="20"/>
      <c r="P352" s="20"/>
      <c r="Q352" s="20"/>
      <c r="R352" s="20"/>
    </row>
    <row r="353" customFormat="false" ht="15" hidden="false" customHeight="false" outlineLevel="0" collapsed="false">
      <c r="A353" s="18"/>
      <c r="B353" s="20"/>
      <c r="C353" s="20"/>
      <c r="D353" s="18" t="str">
        <f aca="false">IF(C353="","",IFERROR(INDEX(Products!$A:$A,MATCH(C353,Products!$B:$B,0)),"Not found"))</f>
        <v/>
      </c>
      <c r="E353" s="20"/>
      <c r="F353" s="20"/>
      <c r="G353" s="20"/>
      <c r="H353" s="20"/>
      <c r="I353" s="20"/>
      <c r="J353" s="18"/>
      <c r="K353" s="20"/>
      <c r="L353" s="20"/>
      <c r="M353" s="20"/>
      <c r="N353" s="20"/>
      <c r="O353" s="20"/>
      <c r="P353" s="20"/>
      <c r="Q353" s="20"/>
      <c r="R353" s="20"/>
    </row>
    <row r="354" customFormat="false" ht="15" hidden="false" customHeight="false" outlineLevel="0" collapsed="false">
      <c r="A354" s="18"/>
      <c r="B354" s="20"/>
      <c r="C354" s="20"/>
      <c r="D354" s="18" t="str">
        <f aca="false">IF(C354="","",IFERROR(INDEX(Products!$A:$A,MATCH(C354,Products!$B:$B,0)),"Not found"))</f>
        <v/>
      </c>
      <c r="E354" s="20"/>
      <c r="F354" s="20"/>
      <c r="G354" s="20"/>
      <c r="H354" s="20"/>
      <c r="I354" s="20"/>
      <c r="J354" s="18"/>
      <c r="K354" s="20"/>
      <c r="L354" s="20"/>
      <c r="M354" s="20"/>
      <c r="N354" s="20"/>
      <c r="O354" s="20"/>
      <c r="P354" s="20"/>
      <c r="Q354" s="20"/>
      <c r="R354" s="20"/>
    </row>
    <row r="355" customFormat="false" ht="15" hidden="false" customHeight="false" outlineLevel="0" collapsed="false">
      <c r="A355" s="18"/>
      <c r="B355" s="20"/>
      <c r="C355" s="20"/>
      <c r="D355" s="18" t="str">
        <f aca="false">IF(C355="","",IFERROR(INDEX(Products!$A:$A,MATCH(C355,Products!$B:$B,0)),"Not found"))</f>
        <v/>
      </c>
      <c r="E355" s="20"/>
      <c r="F355" s="20"/>
      <c r="G355" s="20"/>
      <c r="H355" s="20"/>
      <c r="I355" s="20"/>
      <c r="J355" s="18"/>
      <c r="K355" s="20"/>
      <c r="L355" s="20"/>
      <c r="M355" s="20"/>
      <c r="N355" s="20"/>
      <c r="O355" s="20"/>
      <c r="P355" s="20"/>
      <c r="Q355" s="20"/>
      <c r="R355" s="20"/>
    </row>
    <row r="356" customFormat="false" ht="15" hidden="false" customHeight="false" outlineLevel="0" collapsed="false">
      <c r="A356" s="18"/>
      <c r="B356" s="20"/>
      <c r="C356" s="20"/>
      <c r="D356" s="18" t="str">
        <f aca="false">IF(C356="","",IFERROR(INDEX(Products!$A:$A,MATCH(C356,Products!$B:$B,0)),"Not found"))</f>
        <v/>
      </c>
      <c r="E356" s="20"/>
      <c r="F356" s="20"/>
      <c r="G356" s="20"/>
      <c r="H356" s="20"/>
      <c r="I356" s="20"/>
      <c r="J356" s="18"/>
      <c r="K356" s="20"/>
      <c r="L356" s="20"/>
      <c r="M356" s="20"/>
      <c r="N356" s="20"/>
      <c r="O356" s="20"/>
      <c r="P356" s="20"/>
      <c r="Q356" s="20"/>
      <c r="R356" s="20"/>
    </row>
    <row r="357" customFormat="false" ht="15" hidden="false" customHeight="false" outlineLevel="0" collapsed="false">
      <c r="A357" s="18"/>
      <c r="B357" s="20"/>
      <c r="C357" s="20"/>
      <c r="D357" s="18" t="str">
        <f aca="false">IF(C357="","",IFERROR(INDEX(Products!$A:$A,MATCH(C357,Products!$B:$B,0)),"Not found"))</f>
        <v/>
      </c>
      <c r="E357" s="20"/>
      <c r="F357" s="20"/>
      <c r="G357" s="20"/>
      <c r="H357" s="20"/>
      <c r="I357" s="20"/>
      <c r="J357" s="18"/>
      <c r="K357" s="20"/>
      <c r="L357" s="20"/>
      <c r="M357" s="20"/>
      <c r="N357" s="20"/>
      <c r="O357" s="20"/>
      <c r="P357" s="20"/>
      <c r="Q357" s="20"/>
      <c r="R357" s="20"/>
    </row>
    <row r="358" customFormat="false" ht="15" hidden="false" customHeight="false" outlineLevel="0" collapsed="false">
      <c r="A358" s="18"/>
      <c r="B358" s="20"/>
      <c r="C358" s="20"/>
      <c r="D358" s="18" t="str">
        <f aca="false">IF(C358="","",IFERROR(INDEX(Products!$A:$A,MATCH(C358,Products!$B:$B,0)),"Not found"))</f>
        <v/>
      </c>
      <c r="E358" s="20"/>
      <c r="F358" s="20"/>
      <c r="G358" s="20"/>
      <c r="H358" s="20"/>
      <c r="I358" s="20"/>
      <c r="J358" s="18"/>
      <c r="K358" s="20"/>
      <c r="L358" s="20"/>
      <c r="M358" s="20"/>
      <c r="N358" s="20"/>
      <c r="O358" s="20"/>
      <c r="P358" s="20"/>
      <c r="Q358" s="20"/>
      <c r="R358" s="20"/>
    </row>
    <row r="359" customFormat="false" ht="15" hidden="false" customHeight="false" outlineLevel="0" collapsed="false">
      <c r="A359" s="18"/>
      <c r="B359" s="20"/>
      <c r="C359" s="20"/>
      <c r="D359" s="18" t="str">
        <f aca="false">IF(C359="","",IFERROR(INDEX(Products!$A:$A,MATCH(C359,Products!$B:$B,0)),"Not found"))</f>
        <v/>
      </c>
      <c r="E359" s="20"/>
      <c r="F359" s="20"/>
      <c r="G359" s="20"/>
      <c r="H359" s="20"/>
      <c r="I359" s="20"/>
      <c r="J359" s="18"/>
      <c r="K359" s="20"/>
      <c r="L359" s="20"/>
      <c r="M359" s="20"/>
      <c r="N359" s="20"/>
      <c r="O359" s="20"/>
      <c r="P359" s="20"/>
      <c r="Q359" s="20"/>
      <c r="R359" s="20"/>
    </row>
    <row r="360" customFormat="false" ht="15" hidden="false" customHeight="false" outlineLevel="0" collapsed="false">
      <c r="A360" s="18"/>
      <c r="B360" s="20"/>
      <c r="C360" s="20"/>
      <c r="D360" s="18" t="str">
        <f aca="false">IF(C360="","",IFERROR(INDEX(Products!$A:$A,MATCH(C360,Products!$B:$B,0)),"Not found"))</f>
        <v/>
      </c>
      <c r="E360" s="20"/>
      <c r="F360" s="20"/>
      <c r="G360" s="20"/>
      <c r="H360" s="20"/>
      <c r="I360" s="20"/>
      <c r="J360" s="18"/>
      <c r="K360" s="20"/>
      <c r="L360" s="20"/>
      <c r="M360" s="20"/>
      <c r="N360" s="20"/>
      <c r="O360" s="20"/>
      <c r="P360" s="20"/>
      <c r="Q360" s="20"/>
      <c r="R360" s="20"/>
    </row>
    <row r="361" customFormat="false" ht="15" hidden="false" customHeight="false" outlineLevel="0" collapsed="false">
      <c r="A361" s="18"/>
      <c r="B361" s="20"/>
      <c r="C361" s="20"/>
      <c r="D361" s="18" t="str">
        <f aca="false">IF(C361="","",IFERROR(INDEX(Products!$A:$A,MATCH(C361,Products!$B:$B,0)),"Not found"))</f>
        <v/>
      </c>
      <c r="E361" s="20"/>
      <c r="F361" s="20"/>
      <c r="G361" s="20"/>
      <c r="H361" s="20"/>
      <c r="I361" s="20"/>
      <c r="J361" s="18"/>
      <c r="K361" s="20"/>
      <c r="L361" s="20"/>
      <c r="M361" s="20"/>
      <c r="N361" s="20"/>
      <c r="O361" s="20"/>
      <c r="P361" s="20"/>
      <c r="Q361" s="20"/>
      <c r="R361" s="20"/>
    </row>
    <row r="362" customFormat="false" ht="15" hidden="false" customHeight="false" outlineLevel="0" collapsed="false">
      <c r="A362" s="18"/>
      <c r="B362" s="20"/>
      <c r="C362" s="20"/>
      <c r="D362" s="18" t="str">
        <f aca="false">IF(C362="","",IFERROR(INDEX(Products!$A:$A,MATCH(C362,Products!$B:$B,0)),"Not found"))</f>
        <v/>
      </c>
      <c r="E362" s="20"/>
      <c r="F362" s="20"/>
      <c r="G362" s="20"/>
      <c r="H362" s="20"/>
      <c r="I362" s="20"/>
      <c r="J362" s="18"/>
      <c r="K362" s="20"/>
      <c r="L362" s="20"/>
      <c r="M362" s="20"/>
      <c r="N362" s="20"/>
      <c r="O362" s="20"/>
      <c r="P362" s="20"/>
      <c r="Q362" s="20"/>
      <c r="R362" s="20"/>
    </row>
    <row r="363" customFormat="false" ht="15" hidden="false" customHeight="false" outlineLevel="0" collapsed="false">
      <c r="A363" s="18"/>
      <c r="B363" s="20"/>
      <c r="C363" s="20"/>
      <c r="D363" s="18" t="str">
        <f aca="false">IF(C363="","",IFERROR(INDEX(Products!$A:$A,MATCH(C363,Products!$B:$B,0)),"Not found"))</f>
        <v/>
      </c>
      <c r="E363" s="20"/>
      <c r="F363" s="20"/>
      <c r="G363" s="20"/>
      <c r="H363" s="20"/>
      <c r="I363" s="20"/>
      <c r="J363" s="18"/>
      <c r="K363" s="20"/>
      <c r="L363" s="20"/>
      <c r="M363" s="20"/>
      <c r="N363" s="20"/>
      <c r="O363" s="20"/>
      <c r="P363" s="20"/>
      <c r="Q363" s="20"/>
      <c r="R363" s="20"/>
    </row>
    <row r="364" customFormat="false" ht="15" hidden="false" customHeight="false" outlineLevel="0" collapsed="false">
      <c r="A364" s="18"/>
      <c r="B364" s="20"/>
      <c r="C364" s="20"/>
      <c r="D364" s="18" t="str">
        <f aca="false">IF(C364="","",IFERROR(INDEX(Products!$A:$A,MATCH(C364,Products!$B:$B,0)),"Not found"))</f>
        <v/>
      </c>
      <c r="E364" s="20"/>
      <c r="F364" s="20"/>
      <c r="G364" s="20"/>
      <c r="H364" s="20"/>
      <c r="I364" s="20"/>
      <c r="J364" s="18"/>
      <c r="K364" s="20"/>
      <c r="L364" s="20"/>
      <c r="M364" s="20"/>
      <c r="N364" s="20"/>
      <c r="O364" s="20"/>
      <c r="P364" s="20"/>
      <c r="Q364" s="20"/>
      <c r="R364" s="20"/>
    </row>
    <row r="365" customFormat="false" ht="15" hidden="false" customHeight="false" outlineLevel="0" collapsed="false">
      <c r="A365" s="18"/>
      <c r="B365" s="20"/>
      <c r="C365" s="20"/>
      <c r="D365" s="18" t="str">
        <f aca="false">IF(C365="","",IFERROR(INDEX(Products!$A:$A,MATCH(C365,Products!$B:$B,0)),"Not found"))</f>
        <v/>
      </c>
      <c r="E365" s="20"/>
      <c r="F365" s="20"/>
      <c r="G365" s="20"/>
      <c r="H365" s="20"/>
      <c r="I365" s="20"/>
      <c r="J365" s="18"/>
      <c r="K365" s="20"/>
      <c r="L365" s="20"/>
      <c r="M365" s="20"/>
      <c r="N365" s="20"/>
      <c r="O365" s="20"/>
      <c r="P365" s="20"/>
      <c r="Q365" s="20"/>
      <c r="R365" s="20"/>
    </row>
    <row r="366" customFormat="false" ht="15" hidden="false" customHeight="false" outlineLevel="0" collapsed="false">
      <c r="A366" s="18"/>
      <c r="B366" s="20"/>
      <c r="C366" s="20"/>
      <c r="D366" s="18" t="str">
        <f aca="false">IF(C366="","",IFERROR(INDEX(Products!$A:$A,MATCH(C366,Products!$B:$B,0)),"Not found"))</f>
        <v/>
      </c>
      <c r="E366" s="20"/>
      <c r="F366" s="20"/>
      <c r="G366" s="20"/>
      <c r="H366" s="20"/>
      <c r="I366" s="20"/>
      <c r="J366" s="18"/>
      <c r="K366" s="20"/>
      <c r="L366" s="20"/>
      <c r="M366" s="20"/>
      <c r="N366" s="20"/>
      <c r="O366" s="20"/>
      <c r="P366" s="20"/>
      <c r="Q366" s="20"/>
      <c r="R366" s="20"/>
    </row>
    <row r="367" customFormat="false" ht="15" hidden="false" customHeight="false" outlineLevel="0" collapsed="false">
      <c r="A367" s="18"/>
      <c r="B367" s="20"/>
      <c r="C367" s="20"/>
      <c r="D367" s="18" t="str">
        <f aca="false">IF(C367="","",IFERROR(INDEX(Products!$A:$A,MATCH(C367,Products!$B:$B,0)),"Not found"))</f>
        <v/>
      </c>
      <c r="E367" s="20"/>
      <c r="F367" s="20"/>
      <c r="G367" s="20"/>
      <c r="H367" s="20"/>
      <c r="I367" s="20"/>
      <c r="J367" s="18"/>
      <c r="K367" s="20"/>
      <c r="L367" s="20"/>
      <c r="M367" s="20"/>
      <c r="N367" s="20"/>
      <c r="O367" s="20"/>
      <c r="P367" s="20"/>
      <c r="Q367" s="20"/>
      <c r="R367" s="20"/>
    </row>
    <row r="368" customFormat="false" ht="15" hidden="false" customHeight="false" outlineLevel="0" collapsed="false">
      <c r="A368" s="18"/>
      <c r="B368" s="20"/>
      <c r="C368" s="20"/>
      <c r="D368" s="18" t="str">
        <f aca="false">IF(C368="","",IFERROR(INDEX(Products!$A:$A,MATCH(C368,Products!$B:$B,0)),"Not found"))</f>
        <v/>
      </c>
      <c r="E368" s="20"/>
      <c r="F368" s="20"/>
      <c r="G368" s="20"/>
      <c r="H368" s="20"/>
      <c r="I368" s="20"/>
      <c r="J368" s="18"/>
      <c r="K368" s="20"/>
      <c r="L368" s="20"/>
      <c r="M368" s="20"/>
      <c r="N368" s="20"/>
      <c r="O368" s="20"/>
      <c r="P368" s="20"/>
      <c r="Q368" s="20"/>
      <c r="R368" s="20"/>
    </row>
    <row r="369" customFormat="false" ht="15" hidden="false" customHeight="false" outlineLevel="0" collapsed="false">
      <c r="A369" s="18"/>
      <c r="B369" s="20"/>
      <c r="C369" s="20"/>
      <c r="D369" s="18" t="str">
        <f aca="false">IF(C369="","",IFERROR(INDEX(Products!$A:$A,MATCH(C369,Products!$B:$B,0)),"Not found"))</f>
        <v/>
      </c>
      <c r="E369" s="20"/>
      <c r="F369" s="20"/>
      <c r="G369" s="20"/>
      <c r="H369" s="20"/>
      <c r="I369" s="20"/>
      <c r="J369" s="18"/>
      <c r="K369" s="20"/>
      <c r="L369" s="20"/>
      <c r="M369" s="20"/>
      <c r="N369" s="20"/>
      <c r="O369" s="20"/>
      <c r="P369" s="20"/>
      <c r="Q369" s="20"/>
      <c r="R369" s="20"/>
    </row>
    <row r="370" customFormat="false" ht="15" hidden="false" customHeight="false" outlineLevel="0" collapsed="false">
      <c r="A370" s="18"/>
      <c r="B370" s="20"/>
      <c r="C370" s="20"/>
      <c r="D370" s="18" t="str">
        <f aca="false">IF(C370="","",IFERROR(INDEX(Products!$A:$A,MATCH(C370,Products!$B:$B,0)),"Not found"))</f>
        <v/>
      </c>
      <c r="E370" s="20"/>
      <c r="F370" s="20"/>
      <c r="G370" s="20"/>
      <c r="H370" s="20"/>
      <c r="I370" s="20"/>
      <c r="J370" s="18"/>
      <c r="K370" s="20"/>
      <c r="L370" s="20"/>
      <c r="M370" s="20"/>
      <c r="N370" s="20"/>
      <c r="O370" s="20"/>
      <c r="P370" s="20"/>
      <c r="Q370" s="20"/>
      <c r="R370" s="20"/>
    </row>
    <row r="371" customFormat="false" ht="15" hidden="false" customHeight="false" outlineLevel="0" collapsed="false">
      <c r="A371" s="18"/>
      <c r="B371" s="20"/>
      <c r="C371" s="20"/>
      <c r="D371" s="18" t="str">
        <f aca="false">IF(C371="","",IFERROR(INDEX(Products!$A:$A,MATCH(C371,Products!$B:$B,0)),"Not found"))</f>
        <v/>
      </c>
      <c r="E371" s="20"/>
      <c r="F371" s="20"/>
      <c r="G371" s="20"/>
      <c r="H371" s="20"/>
      <c r="I371" s="20"/>
      <c r="J371" s="18"/>
      <c r="K371" s="20"/>
      <c r="L371" s="20"/>
      <c r="M371" s="20"/>
      <c r="N371" s="20"/>
      <c r="O371" s="20"/>
      <c r="P371" s="20"/>
      <c r="Q371" s="20"/>
      <c r="R371" s="20"/>
    </row>
    <row r="372" customFormat="false" ht="15" hidden="false" customHeight="false" outlineLevel="0" collapsed="false">
      <c r="A372" s="18"/>
      <c r="B372" s="20"/>
      <c r="C372" s="20"/>
      <c r="D372" s="18" t="str">
        <f aca="false">IF(C372="","",IFERROR(INDEX(Products!$A:$A,MATCH(C372,Products!$B:$B,0)),"Not found"))</f>
        <v/>
      </c>
      <c r="E372" s="20"/>
      <c r="F372" s="20"/>
      <c r="G372" s="20"/>
      <c r="H372" s="20"/>
      <c r="I372" s="20"/>
      <c r="J372" s="18"/>
      <c r="K372" s="20"/>
      <c r="L372" s="20"/>
      <c r="M372" s="20"/>
      <c r="N372" s="20"/>
      <c r="O372" s="20"/>
      <c r="P372" s="20"/>
      <c r="Q372" s="20"/>
      <c r="R372" s="20"/>
    </row>
    <row r="373" customFormat="false" ht="15" hidden="false" customHeight="false" outlineLevel="0" collapsed="false">
      <c r="A373" s="18"/>
      <c r="B373" s="20"/>
      <c r="C373" s="20"/>
      <c r="D373" s="18" t="str">
        <f aca="false">IF(C373="","",IFERROR(INDEX(Products!$A:$A,MATCH(C373,Products!$B:$B,0)),"Not found"))</f>
        <v/>
      </c>
      <c r="E373" s="20"/>
      <c r="F373" s="20"/>
      <c r="G373" s="20"/>
      <c r="H373" s="20"/>
      <c r="I373" s="20"/>
      <c r="J373" s="18"/>
      <c r="K373" s="20"/>
      <c r="L373" s="20"/>
      <c r="M373" s="20"/>
      <c r="N373" s="20"/>
      <c r="O373" s="20"/>
      <c r="P373" s="20"/>
      <c r="Q373" s="20"/>
      <c r="R373" s="20"/>
    </row>
    <row r="374" customFormat="false" ht="15" hidden="false" customHeight="false" outlineLevel="0" collapsed="false">
      <c r="A374" s="18"/>
      <c r="B374" s="20"/>
      <c r="C374" s="20"/>
      <c r="D374" s="18" t="str">
        <f aca="false">IF(C374="","",IFERROR(INDEX(Products!$A:$A,MATCH(C374,Products!$B:$B,0)),"Not found"))</f>
        <v/>
      </c>
      <c r="E374" s="20"/>
      <c r="F374" s="20"/>
      <c r="G374" s="20"/>
      <c r="H374" s="20"/>
      <c r="I374" s="20"/>
      <c r="J374" s="18"/>
      <c r="K374" s="20"/>
      <c r="L374" s="20"/>
      <c r="M374" s="20"/>
      <c r="N374" s="20"/>
      <c r="O374" s="20"/>
      <c r="P374" s="20"/>
      <c r="Q374" s="20"/>
      <c r="R374" s="20"/>
    </row>
    <row r="375" customFormat="false" ht="15" hidden="false" customHeight="false" outlineLevel="0" collapsed="false">
      <c r="A375" s="18"/>
      <c r="B375" s="20"/>
      <c r="C375" s="20"/>
      <c r="D375" s="18" t="str">
        <f aca="false">IF(C375="","",IFERROR(INDEX(Products!$A:$A,MATCH(C375,Products!$B:$B,0)),"Not found"))</f>
        <v/>
      </c>
      <c r="E375" s="20"/>
      <c r="F375" s="20"/>
      <c r="G375" s="20"/>
      <c r="H375" s="20"/>
      <c r="I375" s="20"/>
      <c r="J375" s="18"/>
      <c r="K375" s="20"/>
      <c r="L375" s="20"/>
      <c r="M375" s="20"/>
      <c r="N375" s="20"/>
      <c r="O375" s="20"/>
      <c r="P375" s="20"/>
      <c r="Q375" s="20"/>
      <c r="R375" s="20"/>
    </row>
    <row r="376" customFormat="false" ht="15" hidden="false" customHeight="false" outlineLevel="0" collapsed="false">
      <c r="A376" s="18"/>
      <c r="B376" s="20"/>
      <c r="C376" s="20"/>
      <c r="D376" s="18" t="str">
        <f aca="false">IF(C376="","",IFERROR(INDEX(Products!$A:$A,MATCH(C376,Products!$B:$B,0)),"Not found"))</f>
        <v/>
      </c>
      <c r="E376" s="20"/>
      <c r="F376" s="20"/>
      <c r="G376" s="20"/>
      <c r="H376" s="20"/>
      <c r="I376" s="20"/>
      <c r="J376" s="18"/>
      <c r="K376" s="20"/>
      <c r="L376" s="20"/>
      <c r="M376" s="20"/>
      <c r="N376" s="20"/>
      <c r="O376" s="20"/>
      <c r="P376" s="20"/>
      <c r="Q376" s="20"/>
      <c r="R376" s="20"/>
    </row>
    <row r="377" customFormat="false" ht="15" hidden="false" customHeight="false" outlineLevel="0" collapsed="false">
      <c r="A377" s="18"/>
      <c r="B377" s="20"/>
      <c r="C377" s="20"/>
      <c r="D377" s="18" t="str">
        <f aca="false">IF(C377="","",IFERROR(INDEX(Products!$A:$A,MATCH(C377,Products!$B:$B,0)),"Not found"))</f>
        <v/>
      </c>
      <c r="E377" s="20"/>
      <c r="F377" s="20"/>
      <c r="G377" s="20"/>
      <c r="H377" s="20"/>
      <c r="I377" s="20"/>
      <c r="J377" s="18"/>
      <c r="K377" s="20"/>
      <c r="L377" s="20"/>
      <c r="M377" s="20"/>
      <c r="N377" s="20"/>
      <c r="O377" s="20"/>
      <c r="P377" s="20"/>
      <c r="Q377" s="20"/>
      <c r="R377" s="20"/>
    </row>
    <row r="378" customFormat="false" ht="15" hidden="false" customHeight="false" outlineLevel="0" collapsed="false">
      <c r="A378" s="18"/>
      <c r="B378" s="20"/>
      <c r="C378" s="20"/>
      <c r="D378" s="18" t="str">
        <f aca="false">IF(C378="","",IFERROR(INDEX(Products!$A:$A,MATCH(C378,Products!$B:$B,0)),"Not found"))</f>
        <v/>
      </c>
      <c r="E378" s="20"/>
      <c r="F378" s="20"/>
      <c r="G378" s="20"/>
      <c r="H378" s="20"/>
      <c r="I378" s="20"/>
      <c r="J378" s="18"/>
      <c r="K378" s="20"/>
      <c r="L378" s="20"/>
      <c r="M378" s="20"/>
      <c r="N378" s="20"/>
      <c r="O378" s="20"/>
      <c r="P378" s="20"/>
      <c r="Q378" s="20"/>
      <c r="R378" s="20"/>
    </row>
    <row r="379" customFormat="false" ht="15" hidden="false" customHeight="false" outlineLevel="0" collapsed="false">
      <c r="A379" s="18"/>
      <c r="B379" s="20"/>
      <c r="C379" s="20"/>
      <c r="D379" s="18" t="str">
        <f aca="false">IF(C379="","",IFERROR(INDEX(Products!$A:$A,MATCH(C379,Products!$B:$B,0)),"Not found"))</f>
        <v/>
      </c>
      <c r="E379" s="20"/>
      <c r="F379" s="20"/>
      <c r="G379" s="20"/>
      <c r="H379" s="20"/>
      <c r="I379" s="20"/>
      <c r="J379" s="18"/>
      <c r="K379" s="20"/>
      <c r="L379" s="20"/>
      <c r="M379" s="20"/>
      <c r="N379" s="20"/>
      <c r="O379" s="20"/>
      <c r="P379" s="20"/>
      <c r="Q379" s="20"/>
      <c r="R379" s="20"/>
    </row>
    <row r="380" customFormat="false" ht="15" hidden="false" customHeight="false" outlineLevel="0" collapsed="false">
      <c r="A380" s="18"/>
      <c r="B380" s="20"/>
      <c r="C380" s="20"/>
      <c r="D380" s="18" t="str">
        <f aca="false">IF(C380="","",IFERROR(INDEX(Products!$A:$A,MATCH(C380,Products!$B:$B,0)),"Not found"))</f>
        <v/>
      </c>
      <c r="E380" s="20"/>
      <c r="F380" s="20"/>
      <c r="G380" s="20"/>
      <c r="H380" s="20"/>
      <c r="I380" s="20"/>
      <c r="J380" s="18"/>
      <c r="K380" s="20"/>
      <c r="L380" s="20"/>
      <c r="M380" s="20"/>
      <c r="N380" s="20"/>
      <c r="O380" s="20"/>
      <c r="P380" s="20"/>
      <c r="Q380" s="20"/>
      <c r="R380" s="20"/>
    </row>
    <row r="381" customFormat="false" ht="15" hidden="false" customHeight="false" outlineLevel="0" collapsed="false">
      <c r="A381" s="18"/>
      <c r="B381" s="20"/>
      <c r="C381" s="20"/>
      <c r="D381" s="18" t="str">
        <f aca="false">IF(C381="","",IFERROR(INDEX(Products!$A:$A,MATCH(C381,Products!$B:$B,0)),"Not found"))</f>
        <v/>
      </c>
      <c r="E381" s="20"/>
      <c r="F381" s="20"/>
      <c r="G381" s="20"/>
      <c r="H381" s="20"/>
      <c r="I381" s="20"/>
      <c r="J381" s="18"/>
      <c r="K381" s="20"/>
      <c r="L381" s="20"/>
      <c r="M381" s="20"/>
      <c r="N381" s="20"/>
      <c r="O381" s="20"/>
      <c r="P381" s="20"/>
      <c r="Q381" s="20"/>
      <c r="R381" s="20"/>
    </row>
    <row r="382" customFormat="false" ht="15" hidden="false" customHeight="false" outlineLevel="0" collapsed="false">
      <c r="A382" s="18"/>
      <c r="B382" s="20"/>
      <c r="C382" s="20"/>
      <c r="D382" s="18" t="str">
        <f aca="false">IF(C382="","",IFERROR(INDEX(Products!$A:$A,MATCH(C382,Products!$B:$B,0)),"Not found"))</f>
        <v/>
      </c>
      <c r="E382" s="20"/>
      <c r="F382" s="20"/>
      <c r="G382" s="20"/>
      <c r="H382" s="20"/>
      <c r="I382" s="20"/>
      <c r="J382" s="18"/>
      <c r="K382" s="20"/>
      <c r="L382" s="20"/>
      <c r="M382" s="20"/>
      <c r="N382" s="20"/>
      <c r="O382" s="20"/>
      <c r="P382" s="20"/>
      <c r="Q382" s="20"/>
      <c r="R382" s="20"/>
    </row>
    <row r="383" customFormat="false" ht="15" hidden="false" customHeight="false" outlineLevel="0" collapsed="false">
      <c r="A383" s="18"/>
      <c r="B383" s="20"/>
      <c r="C383" s="20"/>
      <c r="D383" s="18" t="str">
        <f aca="false">IF(C383="","",IFERROR(INDEX(Products!$A:$A,MATCH(C383,Products!$B:$B,0)),"Not found"))</f>
        <v/>
      </c>
      <c r="E383" s="20"/>
      <c r="F383" s="20"/>
      <c r="G383" s="20"/>
      <c r="H383" s="20"/>
      <c r="I383" s="20"/>
      <c r="J383" s="18"/>
      <c r="K383" s="20"/>
      <c r="L383" s="20"/>
      <c r="M383" s="20"/>
      <c r="N383" s="20"/>
      <c r="O383" s="20"/>
      <c r="P383" s="20"/>
      <c r="Q383" s="20"/>
      <c r="R383" s="20"/>
    </row>
    <row r="384" customFormat="false" ht="15" hidden="false" customHeight="false" outlineLevel="0" collapsed="false">
      <c r="A384" s="18"/>
      <c r="B384" s="20"/>
      <c r="C384" s="20"/>
      <c r="D384" s="18" t="str">
        <f aca="false">IF(C384="","",IFERROR(INDEX(Products!$A:$A,MATCH(C384,Products!$B:$B,0)),"Not found"))</f>
        <v/>
      </c>
      <c r="E384" s="20"/>
      <c r="F384" s="20"/>
      <c r="G384" s="20"/>
      <c r="H384" s="20"/>
      <c r="I384" s="20"/>
      <c r="J384" s="18"/>
      <c r="K384" s="20"/>
      <c r="L384" s="20"/>
      <c r="M384" s="20"/>
      <c r="N384" s="20"/>
      <c r="O384" s="20"/>
      <c r="P384" s="20"/>
      <c r="Q384" s="20"/>
      <c r="R384" s="20"/>
    </row>
    <row r="385" customFormat="false" ht="15" hidden="false" customHeight="false" outlineLevel="0" collapsed="false">
      <c r="A385" s="18"/>
      <c r="B385" s="20"/>
      <c r="C385" s="20"/>
      <c r="D385" s="18" t="str">
        <f aca="false">IF(C385="","",IFERROR(INDEX(Products!$A:$A,MATCH(C385,Products!$B:$B,0)),"Not found"))</f>
        <v/>
      </c>
      <c r="E385" s="20"/>
      <c r="F385" s="20"/>
      <c r="G385" s="20"/>
      <c r="H385" s="20"/>
      <c r="I385" s="20"/>
      <c r="J385" s="18"/>
      <c r="K385" s="20"/>
      <c r="L385" s="20"/>
      <c r="M385" s="20"/>
      <c r="N385" s="20"/>
      <c r="O385" s="20"/>
      <c r="P385" s="20"/>
      <c r="Q385" s="20"/>
      <c r="R385" s="20"/>
    </row>
    <row r="386" customFormat="false" ht="15" hidden="false" customHeight="false" outlineLevel="0" collapsed="false">
      <c r="A386" s="18"/>
      <c r="B386" s="20"/>
      <c r="C386" s="20"/>
      <c r="D386" s="18" t="str">
        <f aca="false">IF(C386="","",IFERROR(INDEX(Products!$A:$A,MATCH(C386,Products!$B:$B,0)),"Not found"))</f>
        <v/>
      </c>
      <c r="E386" s="20"/>
      <c r="F386" s="20"/>
      <c r="G386" s="20"/>
      <c r="H386" s="20"/>
      <c r="I386" s="20"/>
      <c r="J386" s="18"/>
      <c r="K386" s="20"/>
      <c r="L386" s="20"/>
      <c r="M386" s="20"/>
      <c r="N386" s="20"/>
      <c r="O386" s="20"/>
      <c r="P386" s="20"/>
      <c r="Q386" s="20"/>
      <c r="R386" s="20"/>
    </row>
    <row r="387" customFormat="false" ht="15" hidden="false" customHeight="false" outlineLevel="0" collapsed="false">
      <c r="A387" s="18"/>
      <c r="B387" s="20"/>
      <c r="C387" s="20"/>
      <c r="D387" s="18" t="str">
        <f aca="false">IF(C387="","",IFERROR(INDEX(Products!$A:$A,MATCH(C387,Products!$B:$B,0)),"Not found"))</f>
        <v/>
      </c>
      <c r="E387" s="20"/>
      <c r="F387" s="20"/>
      <c r="G387" s="20"/>
      <c r="H387" s="20"/>
      <c r="I387" s="20"/>
      <c r="J387" s="18"/>
      <c r="K387" s="20"/>
      <c r="L387" s="20"/>
      <c r="M387" s="20"/>
      <c r="N387" s="20"/>
      <c r="O387" s="20"/>
      <c r="P387" s="20"/>
      <c r="Q387" s="20"/>
      <c r="R387" s="20"/>
    </row>
    <row r="388" customFormat="false" ht="15" hidden="false" customHeight="false" outlineLevel="0" collapsed="false">
      <c r="A388" s="18"/>
      <c r="B388" s="20"/>
      <c r="C388" s="20"/>
      <c r="D388" s="18" t="str">
        <f aca="false">IF(C388="","",IFERROR(INDEX(Products!$A:$A,MATCH(C388,Products!$B:$B,0)),"Not found"))</f>
        <v/>
      </c>
      <c r="E388" s="20"/>
      <c r="F388" s="20"/>
      <c r="G388" s="20"/>
      <c r="H388" s="20"/>
      <c r="I388" s="20"/>
      <c r="J388" s="18"/>
      <c r="K388" s="20"/>
      <c r="L388" s="20"/>
      <c r="M388" s="20"/>
      <c r="N388" s="20"/>
      <c r="O388" s="20"/>
      <c r="P388" s="20"/>
      <c r="Q388" s="20"/>
      <c r="R388" s="20"/>
    </row>
    <row r="389" customFormat="false" ht="15" hidden="false" customHeight="false" outlineLevel="0" collapsed="false">
      <c r="A389" s="18"/>
      <c r="B389" s="20"/>
      <c r="C389" s="20"/>
      <c r="D389" s="18" t="str">
        <f aca="false">IF(C389="","",IFERROR(INDEX(Products!$A:$A,MATCH(C389,Products!$B:$B,0)),"Not found"))</f>
        <v/>
      </c>
      <c r="E389" s="20"/>
      <c r="F389" s="20"/>
      <c r="G389" s="20"/>
      <c r="H389" s="20"/>
      <c r="I389" s="20"/>
      <c r="J389" s="18"/>
      <c r="K389" s="20"/>
      <c r="L389" s="20"/>
      <c r="M389" s="20"/>
      <c r="N389" s="20"/>
      <c r="O389" s="20"/>
      <c r="P389" s="20"/>
      <c r="Q389" s="20"/>
      <c r="R389" s="20"/>
    </row>
    <row r="390" customFormat="false" ht="15" hidden="false" customHeight="false" outlineLevel="0" collapsed="false">
      <c r="A390" s="18"/>
      <c r="B390" s="20"/>
      <c r="C390" s="20"/>
      <c r="D390" s="18" t="str">
        <f aca="false">IF(C390="","",IFERROR(INDEX(Products!$A:$A,MATCH(C390,Products!$B:$B,0)),"Not found"))</f>
        <v/>
      </c>
      <c r="E390" s="20"/>
      <c r="F390" s="20"/>
      <c r="G390" s="20"/>
      <c r="H390" s="20"/>
      <c r="I390" s="20"/>
      <c r="J390" s="18"/>
      <c r="K390" s="20"/>
      <c r="L390" s="20"/>
      <c r="M390" s="20"/>
      <c r="N390" s="20"/>
      <c r="O390" s="20"/>
      <c r="P390" s="20"/>
      <c r="Q390" s="20"/>
      <c r="R390" s="20"/>
    </row>
    <row r="391" customFormat="false" ht="15" hidden="false" customHeight="false" outlineLevel="0" collapsed="false">
      <c r="A391" s="18"/>
      <c r="B391" s="20"/>
      <c r="C391" s="20"/>
      <c r="D391" s="18" t="str">
        <f aca="false">IF(C391="","",IFERROR(INDEX(Products!$A:$A,MATCH(C391,Products!$B:$B,0)),"Not found"))</f>
        <v/>
      </c>
      <c r="E391" s="20"/>
      <c r="F391" s="20"/>
      <c r="G391" s="20"/>
      <c r="H391" s="20"/>
      <c r="I391" s="20"/>
      <c r="J391" s="18"/>
      <c r="K391" s="20"/>
      <c r="L391" s="20"/>
      <c r="M391" s="20"/>
      <c r="N391" s="20"/>
      <c r="O391" s="20"/>
      <c r="P391" s="20"/>
      <c r="Q391" s="20"/>
      <c r="R391" s="20"/>
    </row>
    <row r="392" customFormat="false" ht="15" hidden="false" customHeight="false" outlineLevel="0" collapsed="false">
      <c r="A392" s="18"/>
      <c r="B392" s="20"/>
      <c r="C392" s="20"/>
      <c r="D392" s="18" t="str">
        <f aca="false">IF(C392="","",IFERROR(INDEX(Products!$A:$A,MATCH(C392,Products!$B:$B,0)),"Not found"))</f>
        <v/>
      </c>
      <c r="E392" s="20"/>
      <c r="F392" s="20"/>
      <c r="G392" s="20"/>
      <c r="H392" s="20"/>
      <c r="I392" s="20"/>
      <c r="J392" s="18"/>
      <c r="K392" s="20"/>
      <c r="L392" s="20"/>
      <c r="M392" s="20"/>
      <c r="N392" s="20"/>
      <c r="O392" s="20"/>
      <c r="P392" s="20"/>
      <c r="Q392" s="20"/>
      <c r="R392" s="20"/>
    </row>
    <row r="393" customFormat="false" ht="15" hidden="false" customHeight="false" outlineLevel="0" collapsed="false">
      <c r="A393" s="18"/>
      <c r="B393" s="20"/>
      <c r="C393" s="20"/>
      <c r="D393" s="18" t="str">
        <f aca="false">IF(C393="","",IFERROR(INDEX(Products!$A:$A,MATCH(C393,Products!$B:$B,0)),"Not found"))</f>
        <v/>
      </c>
      <c r="E393" s="20"/>
      <c r="F393" s="20"/>
      <c r="G393" s="20"/>
      <c r="H393" s="20"/>
      <c r="I393" s="20"/>
      <c r="J393" s="18"/>
      <c r="K393" s="20"/>
      <c r="L393" s="20"/>
      <c r="M393" s="20"/>
      <c r="N393" s="20"/>
      <c r="O393" s="20"/>
      <c r="P393" s="20"/>
      <c r="Q393" s="20"/>
      <c r="R393" s="20"/>
    </row>
    <row r="394" customFormat="false" ht="15" hidden="false" customHeight="false" outlineLevel="0" collapsed="false">
      <c r="A394" s="18"/>
      <c r="B394" s="20"/>
      <c r="C394" s="20"/>
      <c r="D394" s="18" t="str">
        <f aca="false">IF(C394="","",IFERROR(INDEX(Products!$A:$A,MATCH(C394,Products!$B:$B,0)),"Not found"))</f>
        <v/>
      </c>
      <c r="E394" s="20"/>
      <c r="F394" s="20"/>
      <c r="G394" s="20"/>
      <c r="H394" s="20"/>
      <c r="I394" s="20"/>
      <c r="J394" s="18"/>
      <c r="K394" s="20"/>
      <c r="L394" s="20"/>
      <c r="M394" s="20"/>
      <c r="N394" s="20"/>
      <c r="O394" s="20"/>
      <c r="P394" s="20"/>
      <c r="Q394" s="20"/>
      <c r="R394" s="20"/>
    </row>
    <row r="395" customFormat="false" ht="15" hidden="false" customHeight="false" outlineLevel="0" collapsed="false">
      <c r="A395" s="18"/>
      <c r="B395" s="20"/>
      <c r="C395" s="20"/>
      <c r="D395" s="18" t="str">
        <f aca="false">IF(C395="","",IFERROR(INDEX(Products!$A:$A,MATCH(C395,Products!$B:$B,0)),"Not found"))</f>
        <v/>
      </c>
      <c r="E395" s="20"/>
      <c r="F395" s="20"/>
      <c r="G395" s="20"/>
      <c r="H395" s="20"/>
      <c r="I395" s="20"/>
      <c r="J395" s="18"/>
      <c r="K395" s="20"/>
      <c r="L395" s="20"/>
      <c r="M395" s="20"/>
      <c r="N395" s="20"/>
      <c r="O395" s="20"/>
      <c r="P395" s="20"/>
      <c r="Q395" s="20"/>
      <c r="R395" s="20"/>
    </row>
    <row r="396" customFormat="false" ht="15" hidden="false" customHeight="false" outlineLevel="0" collapsed="false">
      <c r="A396" s="18"/>
      <c r="B396" s="20"/>
      <c r="C396" s="20"/>
      <c r="D396" s="18" t="str">
        <f aca="false">IF(C396="","",IFERROR(INDEX(Products!$A:$A,MATCH(C396,Products!$B:$B,0)),"Not found"))</f>
        <v/>
      </c>
      <c r="E396" s="20"/>
      <c r="F396" s="20"/>
      <c r="G396" s="20"/>
      <c r="H396" s="20"/>
      <c r="I396" s="20"/>
      <c r="J396" s="18"/>
      <c r="K396" s="20"/>
      <c r="L396" s="20"/>
      <c r="M396" s="20"/>
      <c r="N396" s="20"/>
      <c r="O396" s="20"/>
      <c r="P396" s="20"/>
      <c r="Q396" s="20"/>
      <c r="R396" s="20"/>
    </row>
    <row r="397" customFormat="false" ht="15" hidden="false" customHeight="false" outlineLevel="0" collapsed="false">
      <c r="A397" s="18"/>
      <c r="B397" s="20"/>
      <c r="C397" s="20"/>
      <c r="D397" s="18" t="str">
        <f aca="false">IF(C397="","",IFERROR(INDEX(Products!$A:$A,MATCH(C397,Products!$B:$B,0)),"Not found"))</f>
        <v/>
      </c>
      <c r="E397" s="20"/>
      <c r="F397" s="20"/>
      <c r="G397" s="20"/>
      <c r="H397" s="20"/>
      <c r="I397" s="20"/>
      <c r="J397" s="18"/>
      <c r="K397" s="20"/>
      <c r="L397" s="20"/>
      <c r="M397" s="20"/>
      <c r="N397" s="20"/>
      <c r="O397" s="20"/>
      <c r="P397" s="20"/>
      <c r="Q397" s="20"/>
      <c r="R397" s="20"/>
    </row>
    <row r="398" customFormat="false" ht="15" hidden="false" customHeight="false" outlineLevel="0" collapsed="false">
      <c r="A398" s="18"/>
      <c r="B398" s="20"/>
      <c r="C398" s="20"/>
      <c r="D398" s="18" t="str">
        <f aca="false">IF(C398="","",IFERROR(INDEX(Products!$A:$A,MATCH(C398,Products!$B:$B,0)),"Not found"))</f>
        <v/>
      </c>
      <c r="E398" s="20"/>
      <c r="F398" s="20"/>
      <c r="G398" s="20"/>
      <c r="H398" s="20"/>
      <c r="I398" s="20"/>
      <c r="J398" s="18"/>
      <c r="K398" s="20"/>
      <c r="L398" s="20"/>
      <c r="M398" s="20"/>
      <c r="N398" s="20"/>
      <c r="O398" s="20"/>
      <c r="P398" s="20"/>
      <c r="Q398" s="20"/>
      <c r="R398" s="20"/>
    </row>
    <row r="399" customFormat="false" ht="15" hidden="false" customHeight="false" outlineLevel="0" collapsed="false">
      <c r="A399" s="18"/>
      <c r="B399" s="20"/>
      <c r="C399" s="20"/>
      <c r="D399" s="18" t="str">
        <f aca="false">IF(C399="","",IFERROR(INDEX(Products!$A:$A,MATCH(C399,Products!$B:$B,0)),"Not found"))</f>
        <v/>
      </c>
      <c r="E399" s="20"/>
      <c r="F399" s="20"/>
      <c r="G399" s="20"/>
      <c r="H399" s="20"/>
      <c r="I399" s="20"/>
      <c r="J399" s="18"/>
      <c r="K399" s="20"/>
      <c r="L399" s="20"/>
      <c r="M399" s="20"/>
      <c r="N399" s="20"/>
      <c r="O399" s="20"/>
      <c r="P399" s="20"/>
      <c r="Q399" s="20"/>
      <c r="R399" s="20"/>
    </row>
    <row r="400" customFormat="false" ht="15" hidden="false" customHeight="false" outlineLevel="0" collapsed="false">
      <c r="A400" s="18"/>
      <c r="B400" s="20"/>
      <c r="C400" s="20"/>
      <c r="D400" s="18" t="str">
        <f aca="false">IF(C400="","",IFERROR(INDEX(Products!$A:$A,MATCH(C400,Products!$B:$B,0)),"Not found"))</f>
        <v/>
      </c>
      <c r="E400" s="20"/>
      <c r="F400" s="20"/>
      <c r="G400" s="20"/>
      <c r="H400" s="20"/>
      <c r="I400" s="20"/>
      <c r="J400" s="18"/>
      <c r="K400" s="20"/>
      <c r="L400" s="20"/>
      <c r="M400" s="20"/>
      <c r="N400" s="20"/>
      <c r="O400" s="20"/>
      <c r="P400" s="20"/>
      <c r="Q400" s="20"/>
      <c r="R400" s="20"/>
    </row>
    <row r="401" customFormat="false" ht="15" hidden="false" customHeight="false" outlineLevel="0" collapsed="false">
      <c r="A401" s="18"/>
      <c r="B401" s="20"/>
      <c r="C401" s="20"/>
      <c r="D401" s="18" t="str">
        <f aca="false">IF(C401="","",IFERROR(INDEX(Products!$A:$A,MATCH(C401,Products!$B:$B,0)),"Not found"))</f>
        <v/>
      </c>
      <c r="E401" s="20"/>
      <c r="F401" s="20"/>
      <c r="G401" s="20"/>
      <c r="H401" s="20"/>
      <c r="I401" s="20"/>
      <c r="J401" s="18"/>
      <c r="K401" s="20"/>
      <c r="L401" s="20"/>
      <c r="M401" s="20"/>
      <c r="N401" s="20"/>
      <c r="O401" s="20"/>
      <c r="P401" s="20"/>
      <c r="Q401" s="20"/>
      <c r="R401" s="20"/>
    </row>
    <row r="402" customFormat="false" ht="15" hidden="false" customHeight="false" outlineLevel="0" collapsed="false">
      <c r="A402" s="18"/>
      <c r="B402" s="20"/>
      <c r="C402" s="20"/>
      <c r="D402" s="18" t="str">
        <f aca="false">IF(C402="","",IFERROR(INDEX(Products!$A:$A,MATCH(C402,Products!$B:$B,0)),"Not found"))</f>
        <v/>
      </c>
      <c r="E402" s="20"/>
      <c r="F402" s="20"/>
      <c r="G402" s="20"/>
      <c r="H402" s="20"/>
      <c r="I402" s="20"/>
      <c r="J402" s="18"/>
      <c r="K402" s="20"/>
      <c r="L402" s="20"/>
      <c r="M402" s="20"/>
      <c r="N402" s="20"/>
      <c r="O402" s="20"/>
      <c r="P402" s="20"/>
      <c r="Q402" s="20"/>
      <c r="R402" s="20"/>
    </row>
    <row r="403" customFormat="false" ht="15" hidden="false" customHeight="false" outlineLevel="0" collapsed="false">
      <c r="A403" s="18"/>
      <c r="B403" s="20"/>
      <c r="C403" s="20"/>
      <c r="D403" s="18" t="str">
        <f aca="false">IF(C403="","",IFERROR(INDEX(Products!$A:$A,MATCH(C403,Products!$B:$B,0)),"Not found"))</f>
        <v/>
      </c>
      <c r="E403" s="20"/>
      <c r="F403" s="20"/>
      <c r="G403" s="20"/>
      <c r="H403" s="20"/>
      <c r="I403" s="20"/>
      <c r="J403" s="18"/>
      <c r="K403" s="20"/>
      <c r="L403" s="20"/>
      <c r="M403" s="20"/>
      <c r="N403" s="20"/>
      <c r="O403" s="20"/>
      <c r="P403" s="20"/>
      <c r="Q403" s="20"/>
      <c r="R403" s="20"/>
    </row>
    <row r="404" customFormat="false" ht="15" hidden="false" customHeight="false" outlineLevel="0" collapsed="false">
      <c r="A404" s="18"/>
      <c r="B404" s="20"/>
      <c r="C404" s="20"/>
      <c r="D404" s="18" t="str">
        <f aca="false">IF(C404="","",IFERROR(INDEX(Products!$A:$A,MATCH(C404,Products!$B:$B,0)),"Not found"))</f>
        <v/>
      </c>
      <c r="E404" s="20"/>
      <c r="F404" s="20"/>
      <c r="G404" s="20"/>
      <c r="H404" s="20"/>
      <c r="I404" s="20"/>
      <c r="J404" s="18"/>
      <c r="K404" s="20"/>
      <c r="L404" s="20"/>
      <c r="M404" s="20"/>
      <c r="N404" s="20"/>
      <c r="O404" s="20"/>
      <c r="P404" s="20"/>
      <c r="Q404" s="20"/>
      <c r="R404" s="20"/>
    </row>
    <row r="405" customFormat="false" ht="15" hidden="false" customHeight="false" outlineLevel="0" collapsed="false">
      <c r="A405" s="18"/>
      <c r="B405" s="20"/>
      <c r="C405" s="20"/>
      <c r="D405" s="18" t="str">
        <f aca="false">IF(C405="","",IFERROR(INDEX(Products!$A:$A,MATCH(C405,Products!$B:$B,0)),"Not found"))</f>
        <v/>
      </c>
      <c r="E405" s="20"/>
      <c r="F405" s="20"/>
      <c r="G405" s="20"/>
      <c r="H405" s="20"/>
      <c r="I405" s="20"/>
      <c r="J405" s="18"/>
      <c r="K405" s="20"/>
      <c r="L405" s="20"/>
      <c r="M405" s="20"/>
      <c r="N405" s="20"/>
      <c r="O405" s="20"/>
      <c r="P405" s="20"/>
      <c r="Q405" s="20"/>
      <c r="R405" s="20"/>
    </row>
    <row r="406" customFormat="false" ht="15" hidden="false" customHeight="false" outlineLevel="0" collapsed="false">
      <c r="A406" s="18"/>
      <c r="B406" s="20"/>
      <c r="C406" s="20"/>
      <c r="D406" s="18" t="str">
        <f aca="false">IF(C406="","",IFERROR(INDEX(Products!$A:$A,MATCH(C406,Products!$B:$B,0)),"Not found"))</f>
        <v/>
      </c>
      <c r="E406" s="20"/>
      <c r="F406" s="20"/>
      <c r="G406" s="20"/>
      <c r="H406" s="20"/>
      <c r="I406" s="20"/>
      <c r="J406" s="18"/>
      <c r="K406" s="20"/>
      <c r="L406" s="20"/>
      <c r="M406" s="20"/>
      <c r="N406" s="20"/>
      <c r="O406" s="20"/>
      <c r="P406" s="20"/>
      <c r="Q406" s="20"/>
      <c r="R406" s="20"/>
    </row>
    <row r="407" customFormat="false" ht="15" hidden="false" customHeight="false" outlineLevel="0" collapsed="false">
      <c r="A407" s="18"/>
      <c r="B407" s="20"/>
      <c r="C407" s="20"/>
      <c r="D407" s="18" t="str">
        <f aca="false">IF(C407="","",IFERROR(INDEX(Products!$A:$A,MATCH(C407,Products!$B:$B,0)),"Not found"))</f>
        <v/>
      </c>
      <c r="E407" s="20"/>
      <c r="F407" s="20"/>
      <c r="G407" s="20"/>
      <c r="H407" s="20"/>
      <c r="I407" s="20"/>
      <c r="J407" s="18"/>
      <c r="K407" s="20"/>
      <c r="L407" s="20"/>
      <c r="M407" s="20"/>
      <c r="N407" s="20"/>
      <c r="O407" s="20"/>
      <c r="P407" s="20"/>
      <c r="Q407" s="20"/>
      <c r="R407" s="20"/>
    </row>
    <row r="408" customFormat="false" ht="15" hidden="false" customHeight="false" outlineLevel="0" collapsed="false">
      <c r="A408" s="18"/>
      <c r="B408" s="20"/>
      <c r="C408" s="20"/>
      <c r="D408" s="18" t="str">
        <f aca="false">IF(C408="","",IFERROR(INDEX(Products!$A:$A,MATCH(C408,Products!$B:$B,0)),"Not found"))</f>
        <v/>
      </c>
      <c r="E408" s="20"/>
      <c r="F408" s="20"/>
      <c r="G408" s="20"/>
      <c r="H408" s="20"/>
      <c r="I408" s="20"/>
      <c r="J408" s="18"/>
      <c r="K408" s="20"/>
      <c r="L408" s="20"/>
      <c r="M408" s="20"/>
      <c r="N408" s="20"/>
      <c r="O408" s="20"/>
      <c r="P408" s="20"/>
      <c r="Q408" s="20"/>
      <c r="R408" s="20"/>
    </row>
    <row r="409" customFormat="false" ht="15" hidden="false" customHeight="false" outlineLevel="0" collapsed="false">
      <c r="A409" s="18"/>
      <c r="B409" s="20"/>
      <c r="C409" s="20"/>
      <c r="D409" s="18" t="str">
        <f aca="false">IF(C409="","",IFERROR(INDEX(Products!$A:$A,MATCH(C409,Products!$B:$B,0)),"Not found"))</f>
        <v/>
      </c>
      <c r="E409" s="20"/>
      <c r="F409" s="20"/>
      <c r="G409" s="20"/>
      <c r="H409" s="20"/>
      <c r="I409" s="20"/>
      <c r="J409" s="18"/>
      <c r="K409" s="20"/>
      <c r="L409" s="20"/>
      <c r="M409" s="20"/>
      <c r="N409" s="20"/>
      <c r="O409" s="20"/>
      <c r="P409" s="20"/>
      <c r="Q409" s="20"/>
      <c r="R409" s="20"/>
    </row>
    <row r="410" customFormat="false" ht="15" hidden="false" customHeight="false" outlineLevel="0" collapsed="false">
      <c r="A410" s="18"/>
      <c r="B410" s="20"/>
      <c r="C410" s="20"/>
      <c r="D410" s="18" t="str">
        <f aca="false">IF(C410="","",IFERROR(INDEX(Products!$A:$A,MATCH(C410,Products!$B:$B,0)),"Not found"))</f>
        <v/>
      </c>
      <c r="E410" s="20"/>
      <c r="F410" s="20"/>
      <c r="G410" s="20"/>
      <c r="H410" s="20"/>
      <c r="I410" s="20"/>
      <c r="J410" s="18"/>
      <c r="K410" s="20"/>
      <c r="L410" s="20"/>
      <c r="M410" s="20"/>
      <c r="N410" s="20"/>
      <c r="O410" s="20"/>
      <c r="P410" s="20"/>
      <c r="Q410" s="20"/>
      <c r="R410" s="20"/>
    </row>
    <row r="411" customFormat="false" ht="15" hidden="false" customHeight="false" outlineLevel="0" collapsed="false">
      <c r="A411" s="18"/>
      <c r="B411" s="20"/>
      <c r="C411" s="20"/>
      <c r="D411" s="18" t="str">
        <f aca="false">IF(C411="","",IFERROR(INDEX(Products!$A:$A,MATCH(C411,Products!$B:$B,0)),"Not found"))</f>
        <v/>
      </c>
      <c r="E411" s="20"/>
      <c r="F411" s="20"/>
      <c r="G411" s="20"/>
      <c r="H411" s="20"/>
      <c r="I411" s="20"/>
      <c r="J411" s="18"/>
      <c r="K411" s="20"/>
      <c r="L411" s="20"/>
      <c r="M411" s="20"/>
      <c r="N411" s="20"/>
      <c r="O411" s="20"/>
      <c r="P411" s="20"/>
      <c r="Q411" s="20"/>
      <c r="R411" s="20"/>
    </row>
    <row r="412" customFormat="false" ht="15" hidden="false" customHeight="false" outlineLevel="0" collapsed="false">
      <c r="A412" s="18"/>
      <c r="B412" s="20"/>
      <c r="C412" s="20"/>
      <c r="D412" s="18" t="str">
        <f aca="false">IF(C412="","",IFERROR(INDEX(Products!$A:$A,MATCH(C412,Products!$B:$B,0)),"Not found"))</f>
        <v/>
      </c>
      <c r="E412" s="20"/>
      <c r="F412" s="20"/>
      <c r="G412" s="20"/>
      <c r="H412" s="20"/>
      <c r="I412" s="20"/>
      <c r="J412" s="18"/>
      <c r="K412" s="20"/>
      <c r="L412" s="20"/>
      <c r="M412" s="20"/>
      <c r="N412" s="20"/>
      <c r="O412" s="20"/>
      <c r="P412" s="20"/>
      <c r="Q412" s="20"/>
      <c r="R412" s="20"/>
    </row>
    <row r="413" customFormat="false" ht="15" hidden="false" customHeight="false" outlineLevel="0" collapsed="false">
      <c r="A413" s="18"/>
      <c r="B413" s="20"/>
      <c r="C413" s="20"/>
      <c r="D413" s="18" t="str">
        <f aca="false">IF(C413="","",IFERROR(INDEX(Products!$A:$A,MATCH(C413,Products!$B:$B,0)),"Not found"))</f>
        <v/>
      </c>
      <c r="E413" s="20"/>
      <c r="F413" s="20"/>
      <c r="G413" s="20"/>
      <c r="H413" s="20"/>
      <c r="I413" s="20"/>
      <c r="J413" s="18"/>
      <c r="K413" s="20"/>
      <c r="L413" s="20"/>
      <c r="M413" s="20"/>
      <c r="N413" s="20"/>
      <c r="O413" s="20"/>
      <c r="P413" s="20"/>
      <c r="Q413" s="20"/>
      <c r="R413" s="20"/>
    </row>
    <row r="414" customFormat="false" ht="15" hidden="false" customHeight="false" outlineLevel="0" collapsed="false">
      <c r="A414" s="18"/>
      <c r="B414" s="20"/>
      <c r="C414" s="20"/>
      <c r="D414" s="18" t="str">
        <f aca="false">IF(C414="","",IFERROR(INDEX(Products!$A:$A,MATCH(C414,Products!$B:$B,0)),"Not found"))</f>
        <v/>
      </c>
      <c r="E414" s="20"/>
      <c r="F414" s="20"/>
      <c r="G414" s="20"/>
      <c r="H414" s="20"/>
      <c r="I414" s="20"/>
      <c r="J414" s="18"/>
      <c r="K414" s="20"/>
      <c r="L414" s="20"/>
      <c r="M414" s="20"/>
      <c r="N414" s="20"/>
      <c r="O414" s="20"/>
      <c r="P414" s="20"/>
      <c r="Q414" s="20"/>
      <c r="R414" s="20"/>
    </row>
    <row r="415" customFormat="false" ht="15" hidden="false" customHeight="false" outlineLevel="0" collapsed="false">
      <c r="A415" s="18"/>
      <c r="B415" s="20"/>
      <c r="C415" s="20"/>
      <c r="D415" s="18" t="str">
        <f aca="false">IF(C415="","",IFERROR(INDEX(Products!$A:$A,MATCH(C415,Products!$B:$B,0)),"Not found"))</f>
        <v/>
      </c>
      <c r="E415" s="20"/>
      <c r="F415" s="20"/>
      <c r="G415" s="20"/>
      <c r="H415" s="20"/>
      <c r="I415" s="20"/>
      <c r="J415" s="18"/>
      <c r="K415" s="20"/>
      <c r="L415" s="20"/>
      <c r="M415" s="20"/>
      <c r="N415" s="20"/>
      <c r="O415" s="20"/>
      <c r="P415" s="20"/>
      <c r="Q415" s="20"/>
      <c r="R415" s="20"/>
    </row>
    <row r="416" customFormat="false" ht="15" hidden="false" customHeight="false" outlineLevel="0" collapsed="false">
      <c r="A416" s="18"/>
      <c r="B416" s="20"/>
      <c r="C416" s="20"/>
      <c r="D416" s="18" t="str">
        <f aca="false">IF(C416="","",IFERROR(INDEX(Products!$A:$A,MATCH(C416,Products!$B:$B,0)),"Not found"))</f>
        <v/>
      </c>
      <c r="E416" s="20"/>
      <c r="F416" s="20"/>
      <c r="G416" s="20"/>
      <c r="H416" s="20"/>
      <c r="I416" s="20"/>
      <c r="J416" s="18"/>
      <c r="K416" s="20"/>
      <c r="L416" s="20"/>
      <c r="M416" s="20"/>
      <c r="N416" s="20"/>
      <c r="O416" s="20"/>
      <c r="P416" s="20"/>
      <c r="Q416" s="20"/>
      <c r="R416" s="20"/>
    </row>
    <row r="417" customFormat="false" ht="15" hidden="false" customHeight="false" outlineLevel="0" collapsed="false">
      <c r="A417" s="18"/>
      <c r="B417" s="20"/>
      <c r="C417" s="20"/>
      <c r="D417" s="18" t="str">
        <f aca="false">IF(C417="","",IFERROR(INDEX(Products!$A:$A,MATCH(C417,Products!$B:$B,0)),"Not found"))</f>
        <v/>
      </c>
      <c r="E417" s="20"/>
      <c r="F417" s="20"/>
      <c r="G417" s="20"/>
      <c r="H417" s="20"/>
      <c r="I417" s="20"/>
      <c r="J417" s="18"/>
      <c r="K417" s="20"/>
      <c r="L417" s="20"/>
      <c r="M417" s="20"/>
      <c r="N417" s="20"/>
      <c r="O417" s="20"/>
      <c r="P417" s="20"/>
      <c r="Q417" s="20"/>
      <c r="R417" s="20"/>
    </row>
    <row r="418" customFormat="false" ht="15" hidden="false" customHeight="false" outlineLevel="0" collapsed="false">
      <c r="A418" s="18"/>
      <c r="B418" s="20"/>
      <c r="C418" s="20"/>
      <c r="D418" s="18" t="str">
        <f aca="false">IF(C418="","",IFERROR(INDEX(Products!$A:$A,MATCH(C418,Products!$B:$B,0)),"Not found"))</f>
        <v/>
      </c>
      <c r="E418" s="20"/>
      <c r="F418" s="20"/>
      <c r="G418" s="20"/>
      <c r="H418" s="20"/>
      <c r="I418" s="20"/>
      <c r="J418" s="18"/>
      <c r="K418" s="20"/>
      <c r="L418" s="20"/>
      <c r="M418" s="20"/>
      <c r="N418" s="20"/>
      <c r="O418" s="20"/>
      <c r="P418" s="20"/>
      <c r="Q418" s="20"/>
      <c r="R418" s="20"/>
    </row>
    <row r="419" customFormat="false" ht="15" hidden="false" customHeight="false" outlineLevel="0" collapsed="false">
      <c r="A419" s="18"/>
      <c r="B419" s="20"/>
      <c r="C419" s="20"/>
      <c r="D419" s="18" t="str">
        <f aca="false">IF(C419="","",IFERROR(INDEX(Products!$A:$A,MATCH(C419,Products!$B:$B,0)),"Not found"))</f>
        <v/>
      </c>
      <c r="E419" s="20"/>
      <c r="F419" s="20"/>
      <c r="G419" s="20"/>
      <c r="H419" s="20"/>
      <c r="I419" s="20"/>
      <c r="J419" s="18"/>
      <c r="K419" s="20"/>
      <c r="L419" s="20"/>
      <c r="M419" s="20"/>
      <c r="N419" s="20"/>
      <c r="O419" s="20"/>
      <c r="P419" s="20"/>
      <c r="Q419" s="20"/>
      <c r="R419" s="20"/>
    </row>
    <row r="420" customFormat="false" ht="15" hidden="false" customHeight="false" outlineLevel="0" collapsed="false">
      <c r="A420" s="18"/>
      <c r="B420" s="20"/>
      <c r="C420" s="20"/>
      <c r="D420" s="18" t="str">
        <f aca="false">IF(C420="","",IFERROR(INDEX(Products!$A:$A,MATCH(C420,Products!$B:$B,0)),"Not found"))</f>
        <v/>
      </c>
      <c r="E420" s="20"/>
      <c r="F420" s="20"/>
      <c r="G420" s="20"/>
      <c r="H420" s="20"/>
      <c r="I420" s="20"/>
      <c r="J420" s="18"/>
      <c r="K420" s="20"/>
      <c r="L420" s="20"/>
      <c r="M420" s="20"/>
      <c r="N420" s="20"/>
      <c r="O420" s="20"/>
      <c r="P420" s="20"/>
      <c r="Q420" s="20"/>
      <c r="R420" s="20"/>
    </row>
    <row r="421" customFormat="false" ht="15" hidden="false" customHeight="false" outlineLevel="0" collapsed="false">
      <c r="A421" s="18"/>
      <c r="B421" s="20"/>
      <c r="C421" s="20"/>
      <c r="D421" s="18" t="str">
        <f aca="false">IF(C421="","",IFERROR(INDEX(Products!$A:$A,MATCH(C421,Products!$B:$B,0)),"Not found"))</f>
        <v/>
      </c>
      <c r="E421" s="20"/>
      <c r="F421" s="20"/>
      <c r="G421" s="20"/>
      <c r="H421" s="20"/>
      <c r="I421" s="20"/>
      <c r="J421" s="18"/>
      <c r="K421" s="20"/>
      <c r="L421" s="20"/>
      <c r="M421" s="20"/>
      <c r="N421" s="20"/>
      <c r="O421" s="20"/>
      <c r="P421" s="20"/>
      <c r="Q421" s="20"/>
      <c r="R421" s="20"/>
    </row>
    <row r="422" customFormat="false" ht="15" hidden="false" customHeight="false" outlineLevel="0" collapsed="false">
      <c r="A422" s="18"/>
      <c r="B422" s="20"/>
      <c r="C422" s="20"/>
      <c r="D422" s="18" t="str">
        <f aca="false">IF(C422="","",IFERROR(INDEX(Products!$A:$A,MATCH(C422,Products!$B:$B,0)),"Not found"))</f>
        <v/>
      </c>
      <c r="E422" s="20"/>
      <c r="F422" s="20"/>
      <c r="G422" s="20"/>
      <c r="H422" s="20"/>
      <c r="I422" s="20"/>
      <c r="J422" s="18"/>
      <c r="K422" s="20"/>
      <c r="L422" s="20"/>
      <c r="M422" s="20"/>
      <c r="N422" s="20"/>
      <c r="O422" s="20"/>
      <c r="P422" s="20"/>
      <c r="Q422" s="20"/>
      <c r="R422" s="20"/>
    </row>
    <row r="423" customFormat="false" ht="15" hidden="false" customHeight="false" outlineLevel="0" collapsed="false">
      <c r="A423" s="18"/>
      <c r="B423" s="20"/>
      <c r="C423" s="20"/>
      <c r="D423" s="18" t="str">
        <f aca="false">IF(C423="","",IFERROR(INDEX(Products!$A:$A,MATCH(C423,Products!$B:$B,0)),"Not found"))</f>
        <v/>
      </c>
      <c r="E423" s="20"/>
      <c r="F423" s="20"/>
      <c r="G423" s="20"/>
      <c r="H423" s="20"/>
      <c r="I423" s="20"/>
      <c r="J423" s="18"/>
      <c r="K423" s="20"/>
      <c r="L423" s="20"/>
      <c r="M423" s="20"/>
      <c r="N423" s="20"/>
      <c r="O423" s="20"/>
      <c r="P423" s="20"/>
      <c r="Q423" s="20"/>
      <c r="R423" s="20"/>
    </row>
    <row r="424" customFormat="false" ht="15" hidden="false" customHeight="false" outlineLevel="0" collapsed="false">
      <c r="A424" s="18"/>
      <c r="B424" s="20"/>
      <c r="C424" s="20"/>
      <c r="D424" s="18" t="str">
        <f aca="false">IF(C424="","",IFERROR(INDEX(Products!$A:$A,MATCH(C424,Products!$B:$B,0)),"Not found"))</f>
        <v/>
      </c>
      <c r="E424" s="20"/>
      <c r="F424" s="20"/>
      <c r="G424" s="20"/>
      <c r="H424" s="20"/>
      <c r="I424" s="20"/>
      <c r="J424" s="18"/>
      <c r="K424" s="20"/>
      <c r="L424" s="20"/>
      <c r="M424" s="20"/>
      <c r="N424" s="20"/>
      <c r="O424" s="20"/>
      <c r="P424" s="20"/>
      <c r="Q424" s="20"/>
      <c r="R424" s="20"/>
    </row>
    <row r="425" customFormat="false" ht="15" hidden="false" customHeight="false" outlineLevel="0" collapsed="false">
      <c r="A425" s="18"/>
      <c r="B425" s="20"/>
      <c r="C425" s="20"/>
      <c r="D425" s="18" t="str">
        <f aca="false">IF(C425="","",IFERROR(INDEX(Products!$A:$A,MATCH(C425,Products!$B:$B,0)),"Not found"))</f>
        <v/>
      </c>
      <c r="E425" s="20"/>
      <c r="F425" s="20"/>
      <c r="G425" s="20"/>
      <c r="H425" s="20"/>
      <c r="I425" s="20"/>
      <c r="J425" s="18"/>
      <c r="K425" s="20"/>
      <c r="L425" s="20"/>
      <c r="M425" s="20"/>
      <c r="N425" s="20"/>
      <c r="O425" s="20"/>
      <c r="P425" s="20"/>
      <c r="Q425" s="20"/>
      <c r="R425" s="20"/>
    </row>
    <row r="426" customFormat="false" ht="15" hidden="false" customHeight="false" outlineLevel="0" collapsed="false">
      <c r="A426" s="18"/>
      <c r="B426" s="20"/>
      <c r="C426" s="20"/>
      <c r="D426" s="18" t="str">
        <f aca="false">IF(C426="","",IFERROR(INDEX(Products!$A:$A,MATCH(C426,Products!$B:$B,0)),"Not found"))</f>
        <v/>
      </c>
      <c r="E426" s="20"/>
      <c r="F426" s="20"/>
      <c r="G426" s="20"/>
      <c r="H426" s="20"/>
      <c r="I426" s="20"/>
      <c r="J426" s="18"/>
      <c r="K426" s="20"/>
      <c r="L426" s="20"/>
      <c r="M426" s="20"/>
      <c r="N426" s="20"/>
      <c r="O426" s="20"/>
      <c r="P426" s="20"/>
      <c r="Q426" s="20"/>
      <c r="R426" s="20"/>
    </row>
    <row r="427" customFormat="false" ht="15" hidden="false" customHeight="false" outlineLevel="0" collapsed="false">
      <c r="A427" s="18"/>
      <c r="B427" s="20"/>
      <c r="C427" s="20"/>
      <c r="D427" s="18" t="str">
        <f aca="false">IF(C427="","",IFERROR(INDEX(Products!$A:$A,MATCH(C427,Products!$B:$B,0)),"Not found"))</f>
        <v/>
      </c>
      <c r="E427" s="20"/>
      <c r="F427" s="20"/>
      <c r="G427" s="20"/>
      <c r="H427" s="20"/>
      <c r="I427" s="20"/>
      <c r="J427" s="18"/>
      <c r="K427" s="20"/>
      <c r="L427" s="20"/>
      <c r="M427" s="20"/>
      <c r="N427" s="20"/>
      <c r="O427" s="20"/>
      <c r="P427" s="20"/>
      <c r="Q427" s="20"/>
      <c r="R427" s="20"/>
    </row>
    <row r="428" customFormat="false" ht="15" hidden="false" customHeight="false" outlineLevel="0" collapsed="false">
      <c r="A428" s="18"/>
      <c r="B428" s="20"/>
      <c r="C428" s="20"/>
      <c r="D428" s="18" t="str">
        <f aca="false">IF(C428="","",IFERROR(INDEX(Products!$A:$A,MATCH(C428,Products!$B:$B,0)),"Not found"))</f>
        <v/>
      </c>
      <c r="E428" s="20"/>
      <c r="F428" s="20"/>
      <c r="G428" s="20"/>
      <c r="H428" s="20"/>
      <c r="I428" s="20"/>
      <c r="J428" s="18"/>
      <c r="K428" s="20"/>
      <c r="L428" s="20"/>
      <c r="M428" s="20"/>
      <c r="N428" s="20"/>
      <c r="O428" s="20"/>
      <c r="P428" s="20"/>
      <c r="Q428" s="20"/>
      <c r="R428" s="20"/>
    </row>
    <row r="429" customFormat="false" ht="15" hidden="false" customHeight="false" outlineLevel="0" collapsed="false">
      <c r="A429" s="18"/>
      <c r="B429" s="20"/>
      <c r="C429" s="20"/>
      <c r="D429" s="18" t="str">
        <f aca="false">IF(C429="","",IFERROR(INDEX(Products!$A:$A,MATCH(C429,Products!$B:$B,0)),"Not found"))</f>
        <v/>
      </c>
      <c r="E429" s="20"/>
      <c r="F429" s="20"/>
      <c r="G429" s="20"/>
      <c r="H429" s="20"/>
      <c r="I429" s="20"/>
      <c r="J429" s="18"/>
      <c r="K429" s="20"/>
      <c r="L429" s="20"/>
      <c r="M429" s="20"/>
      <c r="N429" s="20"/>
      <c r="O429" s="20"/>
      <c r="P429" s="20"/>
      <c r="Q429" s="20"/>
      <c r="R429" s="20"/>
    </row>
    <row r="430" customFormat="false" ht="15" hidden="false" customHeight="false" outlineLevel="0" collapsed="false">
      <c r="A430" s="18"/>
      <c r="B430" s="20"/>
      <c r="C430" s="20"/>
      <c r="D430" s="18" t="str">
        <f aca="false">IF(C430="","",IFERROR(INDEX(Products!$A:$A,MATCH(C430,Products!$B:$B,0)),"Not found"))</f>
        <v/>
      </c>
      <c r="E430" s="20"/>
      <c r="F430" s="20"/>
      <c r="G430" s="20"/>
      <c r="H430" s="20"/>
      <c r="I430" s="20"/>
      <c r="J430" s="18"/>
      <c r="K430" s="20"/>
      <c r="L430" s="20"/>
      <c r="M430" s="20"/>
      <c r="N430" s="20"/>
      <c r="O430" s="20"/>
      <c r="P430" s="20"/>
      <c r="Q430" s="20"/>
      <c r="R430" s="20"/>
    </row>
    <row r="431" customFormat="false" ht="15" hidden="false" customHeight="false" outlineLevel="0" collapsed="false">
      <c r="A431" s="18"/>
      <c r="B431" s="20"/>
      <c r="C431" s="20"/>
      <c r="D431" s="18" t="str">
        <f aca="false">IF(C431="","",IFERROR(INDEX(Products!$A:$A,MATCH(C431,Products!$B:$B,0)),"Not found"))</f>
        <v/>
      </c>
      <c r="E431" s="20"/>
      <c r="F431" s="20"/>
      <c r="G431" s="20"/>
      <c r="H431" s="20"/>
      <c r="I431" s="20"/>
      <c r="J431" s="18"/>
      <c r="K431" s="20"/>
      <c r="L431" s="20"/>
      <c r="M431" s="20"/>
      <c r="N431" s="20"/>
      <c r="O431" s="20"/>
      <c r="P431" s="20"/>
      <c r="Q431" s="20"/>
      <c r="R431" s="20"/>
    </row>
    <row r="432" customFormat="false" ht="15" hidden="false" customHeight="false" outlineLevel="0" collapsed="false">
      <c r="A432" s="18"/>
      <c r="B432" s="20"/>
      <c r="C432" s="20"/>
      <c r="D432" s="18" t="str">
        <f aca="false">IF(C432="","",IFERROR(INDEX(Products!$A:$A,MATCH(C432,Products!$B:$B,0)),"Not found"))</f>
        <v/>
      </c>
      <c r="E432" s="20"/>
      <c r="F432" s="20"/>
      <c r="G432" s="20"/>
      <c r="H432" s="20"/>
      <c r="I432" s="20"/>
      <c r="J432" s="18"/>
      <c r="K432" s="20"/>
      <c r="L432" s="20"/>
      <c r="M432" s="20"/>
      <c r="N432" s="20"/>
      <c r="O432" s="20"/>
      <c r="P432" s="20"/>
      <c r="Q432" s="20"/>
      <c r="R432" s="20"/>
    </row>
    <row r="433" customFormat="false" ht="15" hidden="false" customHeight="false" outlineLevel="0" collapsed="false">
      <c r="A433" s="18"/>
      <c r="B433" s="20"/>
      <c r="C433" s="20"/>
      <c r="D433" s="18" t="str">
        <f aca="false">IF(C433="","",IFERROR(INDEX(Products!$A:$A,MATCH(C433,Products!$B:$B,0)),"Not found"))</f>
        <v/>
      </c>
      <c r="E433" s="20"/>
      <c r="F433" s="20"/>
      <c r="G433" s="20"/>
      <c r="H433" s="20"/>
      <c r="I433" s="20"/>
      <c r="J433" s="18"/>
      <c r="K433" s="20"/>
      <c r="L433" s="20"/>
      <c r="M433" s="20"/>
      <c r="N433" s="20"/>
      <c r="O433" s="20"/>
      <c r="P433" s="20"/>
      <c r="Q433" s="20"/>
      <c r="R433" s="20"/>
    </row>
    <row r="434" customFormat="false" ht="15" hidden="false" customHeight="false" outlineLevel="0" collapsed="false">
      <c r="A434" s="18"/>
      <c r="B434" s="20"/>
      <c r="C434" s="20"/>
      <c r="D434" s="18" t="str">
        <f aca="false">IF(C434="","",IFERROR(INDEX(Products!$A:$A,MATCH(C434,Products!$B:$B,0)),"Not found"))</f>
        <v/>
      </c>
      <c r="E434" s="20"/>
      <c r="F434" s="20"/>
      <c r="G434" s="20"/>
      <c r="H434" s="20"/>
      <c r="I434" s="20"/>
      <c r="J434" s="18"/>
      <c r="K434" s="20"/>
      <c r="L434" s="20"/>
      <c r="M434" s="20"/>
      <c r="N434" s="20"/>
      <c r="O434" s="20"/>
      <c r="P434" s="20"/>
      <c r="Q434" s="20"/>
      <c r="R434" s="20"/>
    </row>
    <row r="435" customFormat="false" ht="15" hidden="false" customHeight="false" outlineLevel="0" collapsed="false">
      <c r="A435" s="18"/>
      <c r="B435" s="20"/>
      <c r="C435" s="20"/>
      <c r="D435" s="18" t="str">
        <f aca="false">IF(C435="","",IFERROR(INDEX(Products!$A:$A,MATCH(C435,Products!$B:$B,0)),"Not found"))</f>
        <v/>
      </c>
      <c r="E435" s="20"/>
      <c r="F435" s="20"/>
      <c r="G435" s="20"/>
      <c r="H435" s="20"/>
      <c r="I435" s="20"/>
      <c r="J435" s="18"/>
      <c r="K435" s="20"/>
      <c r="L435" s="20"/>
      <c r="M435" s="20"/>
      <c r="N435" s="20"/>
      <c r="O435" s="20"/>
      <c r="P435" s="20"/>
      <c r="Q435" s="20"/>
      <c r="R435" s="20"/>
    </row>
    <row r="436" customFormat="false" ht="15" hidden="false" customHeight="false" outlineLevel="0" collapsed="false">
      <c r="A436" s="18"/>
      <c r="B436" s="20"/>
      <c r="C436" s="20"/>
      <c r="D436" s="18" t="str">
        <f aca="false">IF(C436="","",IFERROR(INDEX(Products!$A:$A,MATCH(C436,Products!$B:$B,0)),"Not found"))</f>
        <v/>
      </c>
      <c r="E436" s="20"/>
      <c r="F436" s="20"/>
      <c r="G436" s="20"/>
      <c r="H436" s="20"/>
      <c r="I436" s="20"/>
      <c r="J436" s="18"/>
      <c r="K436" s="20"/>
      <c r="L436" s="20"/>
      <c r="M436" s="20"/>
      <c r="N436" s="20"/>
      <c r="O436" s="20"/>
      <c r="P436" s="20"/>
      <c r="Q436" s="20"/>
      <c r="R436" s="20"/>
    </row>
    <row r="437" customFormat="false" ht="15" hidden="false" customHeight="false" outlineLevel="0" collapsed="false">
      <c r="A437" s="18"/>
      <c r="B437" s="20"/>
      <c r="C437" s="20"/>
      <c r="D437" s="18" t="str">
        <f aca="false">IF(C437="","",IFERROR(INDEX(Products!$A:$A,MATCH(C437,Products!$B:$B,0)),"Not found"))</f>
        <v/>
      </c>
      <c r="E437" s="20"/>
      <c r="F437" s="20"/>
      <c r="G437" s="20"/>
      <c r="H437" s="20"/>
      <c r="I437" s="20"/>
      <c r="J437" s="18"/>
      <c r="K437" s="20"/>
      <c r="L437" s="20"/>
      <c r="M437" s="20"/>
      <c r="N437" s="20"/>
      <c r="O437" s="20"/>
      <c r="P437" s="20"/>
      <c r="Q437" s="20"/>
      <c r="R437" s="20"/>
    </row>
    <row r="438" customFormat="false" ht="15" hidden="false" customHeight="false" outlineLevel="0" collapsed="false">
      <c r="A438" s="18"/>
      <c r="B438" s="20"/>
      <c r="C438" s="20"/>
      <c r="D438" s="18" t="str">
        <f aca="false">IF(C438="","",IFERROR(INDEX(Products!$A:$A,MATCH(C438,Products!$B:$B,0)),"Not found"))</f>
        <v/>
      </c>
      <c r="E438" s="20"/>
      <c r="F438" s="20"/>
      <c r="G438" s="20"/>
      <c r="H438" s="20"/>
      <c r="I438" s="20"/>
      <c r="J438" s="18"/>
      <c r="K438" s="20"/>
      <c r="L438" s="20"/>
      <c r="M438" s="20"/>
      <c r="N438" s="20"/>
      <c r="O438" s="20"/>
      <c r="P438" s="20"/>
      <c r="Q438" s="20"/>
      <c r="R438" s="20"/>
    </row>
    <row r="439" customFormat="false" ht="15" hidden="false" customHeight="false" outlineLevel="0" collapsed="false">
      <c r="A439" s="18"/>
      <c r="B439" s="20"/>
      <c r="C439" s="20"/>
      <c r="D439" s="18" t="str">
        <f aca="false">IF(C439="","",IFERROR(INDEX(Products!$A:$A,MATCH(C439,Products!$B:$B,0)),"Not found"))</f>
        <v/>
      </c>
      <c r="E439" s="20"/>
      <c r="F439" s="20"/>
      <c r="G439" s="20"/>
      <c r="H439" s="20"/>
      <c r="I439" s="20"/>
      <c r="J439" s="18"/>
      <c r="K439" s="20"/>
      <c r="L439" s="20"/>
      <c r="M439" s="20"/>
      <c r="N439" s="20"/>
      <c r="O439" s="20"/>
      <c r="P439" s="20"/>
      <c r="Q439" s="20"/>
      <c r="R439" s="20"/>
    </row>
    <row r="440" customFormat="false" ht="15" hidden="false" customHeight="false" outlineLevel="0" collapsed="false">
      <c r="A440" s="18"/>
      <c r="B440" s="20"/>
      <c r="C440" s="20"/>
      <c r="D440" s="18" t="str">
        <f aca="false">IF(C440="","",IFERROR(INDEX(Products!$A:$A,MATCH(C440,Products!$B:$B,0)),"Not found"))</f>
        <v/>
      </c>
      <c r="E440" s="20"/>
      <c r="F440" s="20"/>
      <c r="G440" s="20"/>
      <c r="H440" s="20"/>
      <c r="I440" s="20"/>
      <c r="J440" s="18"/>
      <c r="K440" s="20"/>
      <c r="L440" s="20"/>
      <c r="M440" s="20"/>
      <c r="N440" s="20"/>
      <c r="O440" s="20"/>
      <c r="P440" s="20"/>
      <c r="Q440" s="20"/>
      <c r="R440" s="20"/>
    </row>
    <row r="441" customFormat="false" ht="15" hidden="false" customHeight="false" outlineLevel="0" collapsed="false">
      <c r="A441" s="18"/>
      <c r="B441" s="20"/>
      <c r="C441" s="20"/>
      <c r="D441" s="18" t="str">
        <f aca="false">IF(C441="","",IFERROR(INDEX(Products!$A:$A,MATCH(C441,Products!$B:$B,0)),"Not found"))</f>
        <v/>
      </c>
      <c r="E441" s="20"/>
      <c r="F441" s="20"/>
      <c r="G441" s="20"/>
      <c r="H441" s="20"/>
      <c r="I441" s="20"/>
      <c r="J441" s="18"/>
      <c r="K441" s="20"/>
      <c r="L441" s="20"/>
      <c r="M441" s="20"/>
      <c r="N441" s="20"/>
      <c r="O441" s="20"/>
      <c r="P441" s="20"/>
      <c r="Q441" s="20"/>
      <c r="R441" s="20"/>
    </row>
    <row r="442" customFormat="false" ht="15" hidden="false" customHeight="false" outlineLevel="0" collapsed="false">
      <c r="A442" s="18"/>
      <c r="B442" s="20"/>
      <c r="C442" s="20"/>
      <c r="D442" s="18" t="str">
        <f aca="false">IF(C442="","",IFERROR(INDEX(Products!$A:$A,MATCH(C442,Products!$B:$B,0)),"Not found"))</f>
        <v/>
      </c>
      <c r="E442" s="20"/>
      <c r="F442" s="20"/>
      <c r="G442" s="20"/>
      <c r="H442" s="20"/>
      <c r="I442" s="20"/>
      <c r="J442" s="18"/>
      <c r="K442" s="20"/>
      <c r="L442" s="20"/>
      <c r="M442" s="20"/>
      <c r="N442" s="20"/>
      <c r="O442" s="20"/>
      <c r="P442" s="20"/>
      <c r="Q442" s="20"/>
      <c r="R442" s="20"/>
    </row>
    <row r="443" customFormat="false" ht="15" hidden="false" customHeight="false" outlineLevel="0" collapsed="false">
      <c r="A443" s="18"/>
      <c r="B443" s="20"/>
      <c r="C443" s="20"/>
      <c r="D443" s="18" t="str">
        <f aca="false">IF(C443="","",IFERROR(INDEX(Products!$A:$A,MATCH(C443,Products!$B:$B,0)),"Not found"))</f>
        <v/>
      </c>
      <c r="E443" s="20"/>
      <c r="F443" s="20"/>
      <c r="G443" s="20"/>
      <c r="H443" s="20"/>
      <c r="I443" s="20"/>
      <c r="J443" s="18"/>
      <c r="K443" s="20"/>
      <c r="L443" s="20"/>
      <c r="M443" s="20"/>
      <c r="N443" s="20"/>
      <c r="O443" s="20"/>
      <c r="P443" s="20"/>
      <c r="Q443" s="20"/>
      <c r="R443" s="20"/>
    </row>
    <row r="444" customFormat="false" ht="15" hidden="false" customHeight="false" outlineLevel="0" collapsed="false">
      <c r="A444" s="18"/>
      <c r="B444" s="20"/>
      <c r="C444" s="20"/>
      <c r="D444" s="18" t="str">
        <f aca="false">IF(C444="","",IFERROR(INDEX(Products!$A:$A,MATCH(C444,Products!$B:$B,0)),"Not found"))</f>
        <v/>
      </c>
      <c r="E444" s="20"/>
      <c r="F444" s="20"/>
      <c r="G444" s="20"/>
      <c r="H444" s="20"/>
      <c r="I444" s="20"/>
      <c r="J444" s="18"/>
      <c r="K444" s="20"/>
      <c r="L444" s="20"/>
      <c r="M444" s="20"/>
      <c r="N444" s="20"/>
      <c r="O444" s="20"/>
      <c r="P444" s="20"/>
      <c r="Q444" s="20"/>
      <c r="R444" s="20"/>
    </row>
    <row r="445" customFormat="false" ht="15" hidden="false" customHeight="false" outlineLevel="0" collapsed="false">
      <c r="A445" s="18"/>
      <c r="B445" s="20"/>
      <c r="C445" s="20"/>
      <c r="D445" s="18" t="str">
        <f aca="false">IF(C445="","",IFERROR(INDEX(Products!$A:$A,MATCH(C445,Products!$B:$B,0)),"Not found"))</f>
        <v/>
      </c>
      <c r="E445" s="20"/>
      <c r="F445" s="20"/>
      <c r="G445" s="20"/>
      <c r="H445" s="20"/>
      <c r="I445" s="20"/>
      <c r="J445" s="18"/>
      <c r="K445" s="20"/>
      <c r="L445" s="20"/>
      <c r="M445" s="20"/>
      <c r="N445" s="20"/>
      <c r="O445" s="20"/>
      <c r="P445" s="20"/>
      <c r="Q445" s="20"/>
      <c r="R445" s="20"/>
    </row>
    <row r="446" customFormat="false" ht="15" hidden="false" customHeight="false" outlineLevel="0" collapsed="false">
      <c r="A446" s="18"/>
      <c r="B446" s="20"/>
      <c r="C446" s="20"/>
      <c r="D446" s="18" t="str">
        <f aca="false">IF(C446="","",IFERROR(INDEX(Products!$A:$A,MATCH(C446,Products!$B:$B,0)),"Not found"))</f>
        <v/>
      </c>
      <c r="E446" s="20"/>
      <c r="F446" s="20"/>
      <c r="G446" s="20"/>
      <c r="H446" s="20"/>
      <c r="I446" s="20"/>
      <c r="J446" s="18"/>
      <c r="K446" s="20"/>
      <c r="L446" s="20"/>
      <c r="M446" s="20"/>
      <c r="N446" s="20"/>
      <c r="O446" s="20"/>
      <c r="P446" s="20"/>
      <c r="Q446" s="20"/>
      <c r="R446" s="20"/>
    </row>
    <row r="447" customFormat="false" ht="15" hidden="false" customHeight="false" outlineLevel="0" collapsed="false">
      <c r="A447" s="18"/>
      <c r="B447" s="20"/>
      <c r="C447" s="20"/>
      <c r="D447" s="18" t="str">
        <f aca="false">IF(C447="","",IFERROR(INDEX(Products!$A:$A,MATCH(C447,Products!$B:$B,0)),"Not found"))</f>
        <v/>
      </c>
      <c r="E447" s="20"/>
      <c r="F447" s="20"/>
      <c r="G447" s="20"/>
      <c r="H447" s="20"/>
      <c r="I447" s="20"/>
      <c r="J447" s="18"/>
      <c r="K447" s="20"/>
      <c r="L447" s="20"/>
      <c r="M447" s="20"/>
      <c r="N447" s="20"/>
      <c r="O447" s="20"/>
      <c r="P447" s="20"/>
      <c r="Q447" s="20"/>
      <c r="R447" s="20"/>
    </row>
    <row r="448" customFormat="false" ht="15" hidden="false" customHeight="false" outlineLevel="0" collapsed="false">
      <c r="A448" s="18"/>
      <c r="B448" s="20"/>
      <c r="C448" s="20"/>
      <c r="D448" s="18" t="str">
        <f aca="false">IF(C448="","",IFERROR(INDEX(Products!$A:$A,MATCH(C448,Products!$B:$B,0)),"Not found"))</f>
        <v/>
      </c>
      <c r="E448" s="20"/>
      <c r="F448" s="20"/>
      <c r="G448" s="20"/>
      <c r="H448" s="20"/>
      <c r="I448" s="20"/>
      <c r="J448" s="18"/>
      <c r="K448" s="20"/>
      <c r="L448" s="20"/>
      <c r="M448" s="20"/>
      <c r="N448" s="20"/>
      <c r="O448" s="20"/>
      <c r="P448" s="20"/>
      <c r="Q448" s="20"/>
      <c r="R448" s="20"/>
    </row>
    <row r="449" customFormat="false" ht="15" hidden="false" customHeight="false" outlineLevel="0" collapsed="false">
      <c r="A449" s="18"/>
      <c r="B449" s="20"/>
      <c r="C449" s="20"/>
      <c r="D449" s="18" t="str">
        <f aca="false">IF(C449="","",IFERROR(INDEX(Products!$A:$A,MATCH(C449,Products!$B:$B,0)),"Not found"))</f>
        <v/>
      </c>
      <c r="E449" s="20"/>
      <c r="F449" s="20"/>
      <c r="G449" s="20"/>
      <c r="H449" s="20"/>
      <c r="I449" s="20"/>
      <c r="J449" s="18"/>
      <c r="K449" s="20"/>
      <c r="L449" s="20"/>
      <c r="M449" s="20"/>
      <c r="N449" s="20"/>
      <c r="O449" s="20"/>
      <c r="P449" s="20"/>
      <c r="Q449" s="20"/>
      <c r="R449" s="20"/>
    </row>
    <row r="450" customFormat="false" ht="15" hidden="false" customHeight="false" outlineLevel="0" collapsed="false">
      <c r="A450" s="18"/>
      <c r="B450" s="20"/>
      <c r="C450" s="20"/>
      <c r="D450" s="18" t="str">
        <f aca="false">IF(C450="","",IFERROR(INDEX(Products!$A:$A,MATCH(C450,Products!$B:$B,0)),"Not found"))</f>
        <v/>
      </c>
      <c r="E450" s="20"/>
      <c r="F450" s="20"/>
      <c r="G450" s="20"/>
      <c r="H450" s="20"/>
      <c r="I450" s="20"/>
      <c r="J450" s="18"/>
      <c r="K450" s="20"/>
      <c r="L450" s="20"/>
      <c r="M450" s="20"/>
      <c r="N450" s="20"/>
      <c r="O450" s="20"/>
      <c r="P450" s="20"/>
      <c r="Q450" s="20"/>
      <c r="R450" s="20"/>
    </row>
    <row r="451" customFormat="false" ht="15" hidden="false" customHeight="false" outlineLevel="0" collapsed="false">
      <c r="A451" s="18"/>
      <c r="B451" s="20"/>
      <c r="C451" s="20"/>
      <c r="D451" s="18" t="str">
        <f aca="false">IF(C451="","",IFERROR(INDEX(Products!$A:$A,MATCH(C451,Products!$B:$B,0)),"Not found"))</f>
        <v/>
      </c>
      <c r="E451" s="20"/>
      <c r="F451" s="20"/>
      <c r="G451" s="20"/>
      <c r="H451" s="20"/>
      <c r="I451" s="20"/>
      <c r="J451" s="18"/>
      <c r="K451" s="20"/>
      <c r="L451" s="20"/>
      <c r="M451" s="20"/>
      <c r="N451" s="20"/>
      <c r="O451" s="20"/>
      <c r="P451" s="20"/>
      <c r="Q451" s="20"/>
      <c r="R451" s="20"/>
    </row>
    <row r="452" customFormat="false" ht="15" hidden="false" customHeight="false" outlineLevel="0" collapsed="false">
      <c r="A452" s="18"/>
      <c r="B452" s="20"/>
      <c r="C452" s="20"/>
      <c r="D452" s="18" t="str">
        <f aca="false">IF(C452="","",IFERROR(INDEX(Products!$A:$A,MATCH(C452,Products!$B:$B,0)),"Not found"))</f>
        <v/>
      </c>
      <c r="E452" s="20"/>
      <c r="F452" s="20"/>
      <c r="G452" s="20"/>
      <c r="H452" s="20"/>
      <c r="I452" s="20"/>
      <c r="J452" s="18"/>
      <c r="K452" s="20"/>
      <c r="L452" s="20"/>
      <c r="M452" s="20"/>
      <c r="N452" s="20"/>
      <c r="O452" s="20"/>
      <c r="P452" s="20"/>
      <c r="Q452" s="20"/>
      <c r="R452" s="20"/>
    </row>
    <row r="453" customFormat="false" ht="15" hidden="false" customHeight="false" outlineLevel="0" collapsed="false">
      <c r="A453" s="18"/>
      <c r="B453" s="20"/>
      <c r="C453" s="20"/>
      <c r="D453" s="18" t="str">
        <f aca="false">IF(C453="","",IFERROR(INDEX(Products!$A:$A,MATCH(C453,Products!$B:$B,0)),"Not found"))</f>
        <v/>
      </c>
      <c r="E453" s="20"/>
      <c r="F453" s="20"/>
      <c r="G453" s="20"/>
      <c r="H453" s="20"/>
      <c r="I453" s="20"/>
      <c r="J453" s="18"/>
      <c r="K453" s="20"/>
      <c r="L453" s="20"/>
      <c r="M453" s="20"/>
      <c r="N453" s="20"/>
      <c r="O453" s="20"/>
      <c r="P453" s="20"/>
      <c r="Q453" s="20"/>
      <c r="R453" s="20"/>
    </row>
    <row r="454" customFormat="false" ht="15" hidden="false" customHeight="false" outlineLevel="0" collapsed="false">
      <c r="A454" s="18"/>
      <c r="B454" s="20"/>
      <c r="C454" s="20"/>
      <c r="D454" s="18" t="str">
        <f aca="false">IF(C454="","",IFERROR(INDEX(Products!$A:$A,MATCH(C454,Products!$B:$B,0)),"Not found"))</f>
        <v/>
      </c>
      <c r="E454" s="20"/>
      <c r="F454" s="20"/>
      <c r="G454" s="20"/>
      <c r="H454" s="20"/>
      <c r="I454" s="20"/>
      <c r="J454" s="18"/>
      <c r="K454" s="20"/>
      <c r="L454" s="20"/>
      <c r="M454" s="20"/>
      <c r="N454" s="20"/>
      <c r="O454" s="20"/>
      <c r="P454" s="20"/>
      <c r="Q454" s="20"/>
      <c r="R454" s="20"/>
    </row>
    <row r="455" customFormat="false" ht="15" hidden="false" customHeight="false" outlineLevel="0" collapsed="false">
      <c r="A455" s="18"/>
      <c r="B455" s="20"/>
      <c r="C455" s="20"/>
      <c r="D455" s="18" t="str">
        <f aca="false">IF(C455="","",IFERROR(INDEX(Products!$A:$A,MATCH(C455,Products!$B:$B,0)),"Not found"))</f>
        <v/>
      </c>
      <c r="E455" s="20"/>
      <c r="F455" s="20"/>
      <c r="G455" s="20"/>
      <c r="H455" s="20"/>
      <c r="I455" s="20"/>
      <c r="J455" s="18"/>
      <c r="K455" s="20"/>
      <c r="L455" s="20"/>
      <c r="M455" s="20"/>
      <c r="N455" s="20"/>
      <c r="O455" s="20"/>
      <c r="P455" s="20"/>
      <c r="Q455" s="20"/>
      <c r="R455" s="20"/>
    </row>
    <row r="456" customFormat="false" ht="15" hidden="false" customHeight="false" outlineLevel="0" collapsed="false">
      <c r="A456" s="18"/>
      <c r="B456" s="20"/>
      <c r="C456" s="20"/>
      <c r="D456" s="18" t="str">
        <f aca="false">IF(C456="","",IFERROR(INDEX(Products!$A:$A,MATCH(C456,Products!$B:$B,0)),"Not found"))</f>
        <v/>
      </c>
      <c r="E456" s="20"/>
      <c r="F456" s="20"/>
      <c r="G456" s="20"/>
      <c r="H456" s="20"/>
      <c r="I456" s="20"/>
      <c r="J456" s="18"/>
      <c r="K456" s="20"/>
      <c r="L456" s="20"/>
      <c r="M456" s="20"/>
      <c r="N456" s="20"/>
      <c r="O456" s="20"/>
      <c r="P456" s="20"/>
      <c r="Q456" s="20"/>
      <c r="R456" s="20"/>
    </row>
    <row r="457" customFormat="false" ht="15" hidden="false" customHeight="false" outlineLevel="0" collapsed="false">
      <c r="A457" s="18"/>
      <c r="B457" s="20"/>
      <c r="C457" s="20"/>
      <c r="D457" s="18" t="str">
        <f aca="false">IF(C457="","",IFERROR(INDEX(Products!$A:$A,MATCH(C457,Products!$B:$B,0)),"Not found"))</f>
        <v/>
      </c>
      <c r="E457" s="20"/>
      <c r="F457" s="20"/>
      <c r="G457" s="20"/>
      <c r="H457" s="20"/>
      <c r="I457" s="20"/>
      <c r="J457" s="18"/>
      <c r="K457" s="20"/>
      <c r="L457" s="20"/>
      <c r="M457" s="20"/>
      <c r="N457" s="20"/>
      <c r="O457" s="20"/>
      <c r="P457" s="20"/>
      <c r="Q457" s="20"/>
      <c r="R457" s="20"/>
    </row>
    <row r="458" customFormat="false" ht="15" hidden="false" customHeight="false" outlineLevel="0" collapsed="false">
      <c r="A458" s="18"/>
      <c r="B458" s="20"/>
      <c r="C458" s="20"/>
      <c r="D458" s="18" t="str">
        <f aca="false">IF(C458="","",IFERROR(INDEX(Products!$A:$A,MATCH(C458,Products!$B:$B,0)),"Not found"))</f>
        <v/>
      </c>
      <c r="E458" s="20"/>
      <c r="F458" s="20"/>
      <c r="G458" s="20"/>
      <c r="H458" s="20"/>
      <c r="I458" s="20"/>
      <c r="J458" s="18"/>
      <c r="K458" s="20"/>
      <c r="L458" s="20"/>
      <c r="M458" s="20"/>
      <c r="N458" s="20"/>
      <c r="O458" s="20"/>
      <c r="P458" s="20"/>
      <c r="Q458" s="20"/>
      <c r="R458" s="20"/>
    </row>
    <row r="459" customFormat="false" ht="15" hidden="false" customHeight="false" outlineLevel="0" collapsed="false">
      <c r="A459" s="18"/>
      <c r="B459" s="20"/>
      <c r="C459" s="20"/>
      <c r="D459" s="18" t="str">
        <f aca="false">IF(C459="","",IFERROR(INDEX(Products!$A:$A,MATCH(C459,Products!$B:$B,0)),"Not found"))</f>
        <v/>
      </c>
      <c r="E459" s="20"/>
      <c r="F459" s="20"/>
      <c r="G459" s="20"/>
      <c r="H459" s="20"/>
      <c r="I459" s="20"/>
      <c r="J459" s="18"/>
      <c r="K459" s="20"/>
      <c r="L459" s="20"/>
      <c r="M459" s="20"/>
      <c r="N459" s="20"/>
      <c r="O459" s="20"/>
      <c r="P459" s="20"/>
      <c r="Q459" s="20"/>
      <c r="R459" s="20"/>
    </row>
    <row r="460" customFormat="false" ht="15" hidden="false" customHeight="false" outlineLevel="0" collapsed="false">
      <c r="A460" s="18"/>
      <c r="B460" s="20"/>
      <c r="C460" s="20"/>
      <c r="D460" s="18" t="str">
        <f aca="false">IF(C460="","",IFERROR(INDEX(Products!$A:$A,MATCH(C460,Products!$B:$B,0)),"Not found"))</f>
        <v/>
      </c>
      <c r="E460" s="20"/>
      <c r="F460" s="20"/>
      <c r="G460" s="20"/>
      <c r="H460" s="20"/>
      <c r="I460" s="20"/>
      <c r="J460" s="18"/>
      <c r="K460" s="20"/>
      <c r="L460" s="20"/>
      <c r="M460" s="20"/>
      <c r="N460" s="20"/>
      <c r="O460" s="20"/>
      <c r="P460" s="20"/>
      <c r="Q460" s="20"/>
      <c r="R460" s="20"/>
    </row>
    <row r="461" customFormat="false" ht="15" hidden="false" customHeight="false" outlineLevel="0" collapsed="false">
      <c r="A461" s="18"/>
      <c r="B461" s="20"/>
      <c r="C461" s="20"/>
      <c r="D461" s="18" t="str">
        <f aca="false">IF(C461="","",IFERROR(INDEX(Products!$A:$A,MATCH(C461,Products!$B:$B,0)),"Not found"))</f>
        <v/>
      </c>
      <c r="E461" s="20"/>
      <c r="F461" s="20"/>
      <c r="G461" s="20"/>
      <c r="H461" s="20"/>
      <c r="I461" s="20"/>
      <c r="J461" s="18"/>
      <c r="K461" s="20"/>
      <c r="L461" s="20"/>
      <c r="M461" s="20"/>
      <c r="N461" s="20"/>
      <c r="O461" s="20"/>
      <c r="P461" s="20"/>
      <c r="Q461" s="20"/>
      <c r="R461" s="20"/>
    </row>
    <row r="462" customFormat="false" ht="15" hidden="false" customHeight="false" outlineLevel="0" collapsed="false">
      <c r="A462" s="18"/>
      <c r="B462" s="20"/>
      <c r="C462" s="20"/>
      <c r="D462" s="18" t="str">
        <f aca="false">IF(C462="","",IFERROR(INDEX(Products!$A:$A,MATCH(C462,Products!$B:$B,0)),"Not found"))</f>
        <v/>
      </c>
      <c r="E462" s="20"/>
      <c r="F462" s="20"/>
      <c r="G462" s="20"/>
      <c r="H462" s="20"/>
      <c r="I462" s="20"/>
      <c r="J462" s="18"/>
      <c r="K462" s="20"/>
      <c r="L462" s="20"/>
      <c r="M462" s="20"/>
      <c r="N462" s="20"/>
      <c r="O462" s="20"/>
      <c r="P462" s="20"/>
      <c r="Q462" s="20"/>
      <c r="R462" s="20"/>
    </row>
    <row r="463" customFormat="false" ht="15" hidden="false" customHeight="false" outlineLevel="0" collapsed="false">
      <c r="A463" s="18"/>
      <c r="B463" s="20"/>
      <c r="C463" s="20"/>
      <c r="D463" s="18" t="str">
        <f aca="false">IF(C463="","",IFERROR(INDEX(Products!$A:$A,MATCH(C463,Products!$B:$B,0)),"Not found"))</f>
        <v/>
      </c>
      <c r="E463" s="20"/>
      <c r="F463" s="20"/>
      <c r="G463" s="20"/>
      <c r="H463" s="20"/>
      <c r="I463" s="20"/>
      <c r="J463" s="18"/>
      <c r="K463" s="20"/>
      <c r="L463" s="20"/>
      <c r="M463" s="20"/>
      <c r="N463" s="20"/>
      <c r="O463" s="20"/>
      <c r="P463" s="20"/>
      <c r="Q463" s="20"/>
      <c r="R463" s="20"/>
    </row>
    <row r="464" customFormat="false" ht="15" hidden="false" customHeight="false" outlineLevel="0" collapsed="false">
      <c r="A464" s="18"/>
      <c r="B464" s="20"/>
      <c r="C464" s="20"/>
      <c r="D464" s="18" t="str">
        <f aca="false">IF(C464="","",IFERROR(INDEX(Products!$A:$A,MATCH(C464,Products!$B:$B,0)),"Not found"))</f>
        <v/>
      </c>
      <c r="E464" s="20"/>
      <c r="F464" s="20"/>
      <c r="G464" s="20"/>
      <c r="H464" s="20"/>
      <c r="I464" s="20"/>
      <c r="J464" s="18"/>
      <c r="K464" s="20"/>
      <c r="L464" s="20"/>
      <c r="M464" s="20"/>
      <c r="N464" s="20"/>
      <c r="O464" s="20"/>
      <c r="P464" s="20"/>
      <c r="Q464" s="20"/>
      <c r="R464" s="20"/>
    </row>
    <row r="465" customFormat="false" ht="15" hidden="false" customHeight="false" outlineLevel="0" collapsed="false">
      <c r="A465" s="18"/>
      <c r="B465" s="20"/>
      <c r="C465" s="20"/>
      <c r="D465" s="18" t="str">
        <f aca="false">IF(C465="","",IFERROR(INDEX(Products!$A:$A,MATCH(C465,Products!$B:$B,0)),"Not found"))</f>
        <v/>
      </c>
      <c r="E465" s="20"/>
      <c r="F465" s="20"/>
      <c r="G465" s="20"/>
      <c r="H465" s="20"/>
      <c r="I465" s="20"/>
      <c r="J465" s="18"/>
      <c r="K465" s="20"/>
      <c r="L465" s="20"/>
      <c r="M465" s="20"/>
      <c r="N465" s="20"/>
      <c r="O465" s="20"/>
      <c r="P465" s="20"/>
      <c r="Q465" s="20"/>
      <c r="R465" s="20"/>
    </row>
    <row r="466" customFormat="false" ht="15" hidden="false" customHeight="false" outlineLevel="0" collapsed="false">
      <c r="A466" s="18"/>
      <c r="B466" s="20"/>
      <c r="C466" s="20"/>
      <c r="D466" s="18" t="str">
        <f aca="false">IF(C466="","",IFERROR(INDEX(Products!$A:$A,MATCH(C466,Products!$B:$B,0)),"Not found"))</f>
        <v/>
      </c>
      <c r="E466" s="20"/>
      <c r="F466" s="20"/>
      <c r="G466" s="20"/>
      <c r="H466" s="20"/>
      <c r="I466" s="20"/>
      <c r="J466" s="18"/>
      <c r="K466" s="20"/>
      <c r="L466" s="20"/>
      <c r="M466" s="20"/>
      <c r="N466" s="20"/>
      <c r="O466" s="20"/>
      <c r="P466" s="20"/>
      <c r="Q466" s="20"/>
      <c r="R466" s="20"/>
    </row>
    <row r="467" customFormat="false" ht="15" hidden="false" customHeight="false" outlineLevel="0" collapsed="false">
      <c r="A467" s="18"/>
      <c r="B467" s="20"/>
      <c r="C467" s="20"/>
      <c r="D467" s="18" t="str">
        <f aca="false">IF(C467="","",IFERROR(INDEX(Products!$A:$A,MATCH(C467,Products!$B:$B,0)),"Not found"))</f>
        <v/>
      </c>
      <c r="E467" s="20"/>
      <c r="F467" s="20"/>
      <c r="G467" s="20"/>
      <c r="H467" s="20"/>
      <c r="I467" s="20"/>
      <c r="J467" s="18"/>
      <c r="K467" s="20"/>
      <c r="L467" s="20"/>
      <c r="M467" s="20"/>
      <c r="N467" s="20"/>
      <c r="O467" s="20"/>
      <c r="P467" s="20"/>
      <c r="Q467" s="20"/>
      <c r="R467" s="20"/>
    </row>
    <row r="468" customFormat="false" ht="15" hidden="false" customHeight="false" outlineLevel="0" collapsed="false">
      <c r="A468" s="18"/>
      <c r="B468" s="20"/>
      <c r="C468" s="20"/>
      <c r="D468" s="18" t="str">
        <f aca="false">IF(C468="","",IFERROR(INDEX(Products!$A:$A,MATCH(C468,Products!$B:$B,0)),"Not found"))</f>
        <v/>
      </c>
      <c r="E468" s="20"/>
      <c r="F468" s="20"/>
      <c r="G468" s="20"/>
      <c r="H468" s="20"/>
      <c r="I468" s="20"/>
      <c r="J468" s="18"/>
      <c r="K468" s="20"/>
      <c r="L468" s="20"/>
      <c r="M468" s="20"/>
      <c r="N468" s="20"/>
      <c r="O468" s="20"/>
      <c r="P468" s="20"/>
      <c r="Q468" s="20"/>
      <c r="R468" s="20"/>
    </row>
    <row r="469" customFormat="false" ht="15" hidden="false" customHeight="false" outlineLevel="0" collapsed="false">
      <c r="A469" s="18"/>
      <c r="B469" s="20"/>
      <c r="C469" s="20"/>
      <c r="D469" s="18" t="str">
        <f aca="false">IF(C469="","",IFERROR(INDEX(Products!$A:$A,MATCH(C469,Products!$B:$B,0)),"Not found"))</f>
        <v/>
      </c>
      <c r="E469" s="20"/>
      <c r="F469" s="20"/>
      <c r="G469" s="20"/>
      <c r="H469" s="20"/>
      <c r="I469" s="20"/>
      <c r="J469" s="18"/>
      <c r="K469" s="20"/>
      <c r="L469" s="20"/>
      <c r="M469" s="20"/>
      <c r="N469" s="20"/>
      <c r="O469" s="20"/>
      <c r="P469" s="20"/>
      <c r="Q469" s="20"/>
      <c r="R469" s="20"/>
    </row>
    <row r="470" customFormat="false" ht="15" hidden="false" customHeight="false" outlineLevel="0" collapsed="false">
      <c r="A470" s="18"/>
      <c r="B470" s="20"/>
      <c r="C470" s="20"/>
      <c r="D470" s="18" t="str">
        <f aca="false">IF(C470="","",IFERROR(INDEX(Products!$A:$A,MATCH(C470,Products!$B:$B,0)),"Not found"))</f>
        <v/>
      </c>
      <c r="E470" s="20"/>
      <c r="F470" s="20"/>
      <c r="G470" s="20"/>
      <c r="H470" s="20"/>
      <c r="I470" s="20"/>
      <c r="J470" s="18"/>
      <c r="K470" s="20"/>
      <c r="L470" s="20"/>
      <c r="M470" s="20"/>
      <c r="N470" s="20"/>
      <c r="O470" s="20"/>
      <c r="P470" s="20"/>
      <c r="Q470" s="20"/>
      <c r="R470" s="20"/>
    </row>
    <row r="471" customFormat="false" ht="15" hidden="false" customHeight="false" outlineLevel="0" collapsed="false">
      <c r="A471" s="18"/>
      <c r="B471" s="20"/>
      <c r="C471" s="20"/>
      <c r="D471" s="18" t="str">
        <f aca="false">IF(C471="","",IFERROR(INDEX(Products!$A:$A,MATCH(C471,Products!$B:$B,0)),"Not found"))</f>
        <v/>
      </c>
      <c r="E471" s="20"/>
      <c r="F471" s="20"/>
      <c r="G471" s="20"/>
      <c r="H471" s="20"/>
      <c r="I471" s="20"/>
      <c r="J471" s="18"/>
      <c r="K471" s="20"/>
      <c r="L471" s="20"/>
      <c r="M471" s="20"/>
      <c r="N471" s="20"/>
      <c r="O471" s="20"/>
      <c r="P471" s="20"/>
      <c r="Q471" s="20"/>
      <c r="R471" s="20"/>
    </row>
    <row r="472" customFormat="false" ht="15" hidden="false" customHeight="false" outlineLevel="0" collapsed="false">
      <c r="A472" s="18"/>
      <c r="B472" s="20"/>
      <c r="C472" s="20"/>
      <c r="D472" s="18" t="str">
        <f aca="false">IF(C472="","",IFERROR(INDEX(Products!$A:$A,MATCH(C472,Products!$B:$B,0)),"Not found"))</f>
        <v/>
      </c>
      <c r="E472" s="20"/>
      <c r="F472" s="20"/>
      <c r="G472" s="20"/>
      <c r="H472" s="20"/>
      <c r="I472" s="20"/>
      <c r="J472" s="18"/>
      <c r="K472" s="20"/>
      <c r="L472" s="20"/>
      <c r="M472" s="20"/>
      <c r="N472" s="20"/>
      <c r="O472" s="20"/>
      <c r="P472" s="20"/>
      <c r="Q472" s="20"/>
      <c r="R472" s="20"/>
    </row>
    <row r="473" customFormat="false" ht="15" hidden="false" customHeight="false" outlineLevel="0" collapsed="false">
      <c r="A473" s="18"/>
      <c r="B473" s="20"/>
      <c r="C473" s="20"/>
      <c r="D473" s="18" t="str">
        <f aca="false">IF(C473="","",IFERROR(INDEX(Products!$A:$A,MATCH(C473,Products!$B:$B,0)),"Not found"))</f>
        <v/>
      </c>
      <c r="E473" s="20"/>
      <c r="F473" s="20"/>
      <c r="G473" s="20"/>
      <c r="H473" s="20"/>
      <c r="I473" s="20"/>
      <c r="J473" s="18"/>
      <c r="K473" s="20"/>
      <c r="L473" s="20"/>
      <c r="M473" s="20"/>
      <c r="N473" s="20"/>
      <c r="O473" s="20"/>
      <c r="P473" s="20"/>
      <c r="Q473" s="20"/>
      <c r="R473" s="20"/>
    </row>
    <row r="474" customFormat="false" ht="15" hidden="false" customHeight="false" outlineLevel="0" collapsed="false">
      <c r="A474" s="18"/>
      <c r="B474" s="20"/>
      <c r="C474" s="20"/>
      <c r="D474" s="18" t="str">
        <f aca="false">IF(C474="","",IFERROR(INDEX(Products!$A:$A,MATCH(C474,Products!$B:$B,0)),"Not found"))</f>
        <v/>
      </c>
      <c r="E474" s="20"/>
      <c r="F474" s="20"/>
      <c r="G474" s="20"/>
      <c r="H474" s="20"/>
      <c r="I474" s="20"/>
      <c r="J474" s="18"/>
      <c r="K474" s="20"/>
      <c r="L474" s="20"/>
      <c r="M474" s="20"/>
      <c r="N474" s="20"/>
      <c r="O474" s="20"/>
      <c r="P474" s="20"/>
      <c r="Q474" s="20"/>
      <c r="R474" s="20"/>
    </row>
    <row r="475" customFormat="false" ht="15" hidden="false" customHeight="false" outlineLevel="0" collapsed="false">
      <c r="A475" s="18"/>
      <c r="B475" s="20"/>
      <c r="C475" s="20"/>
      <c r="D475" s="18" t="str">
        <f aca="false">IF(C475="","",IFERROR(INDEX(Products!$A:$A,MATCH(C475,Products!$B:$B,0)),"Not found"))</f>
        <v/>
      </c>
      <c r="E475" s="20"/>
      <c r="F475" s="20"/>
      <c r="G475" s="20"/>
      <c r="H475" s="20"/>
      <c r="I475" s="20"/>
      <c r="J475" s="18"/>
      <c r="K475" s="20"/>
      <c r="L475" s="20"/>
      <c r="M475" s="20"/>
      <c r="N475" s="20"/>
      <c r="O475" s="20"/>
      <c r="P475" s="20"/>
      <c r="Q475" s="20"/>
      <c r="R475" s="20"/>
    </row>
    <row r="476" customFormat="false" ht="15" hidden="false" customHeight="false" outlineLevel="0" collapsed="false">
      <c r="A476" s="18"/>
      <c r="B476" s="20"/>
      <c r="C476" s="20"/>
      <c r="D476" s="18" t="str">
        <f aca="false">IF(C476="","",IFERROR(INDEX(Products!$A:$A,MATCH(C476,Products!$B:$B,0)),"Not found"))</f>
        <v/>
      </c>
      <c r="E476" s="20"/>
      <c r="F476" s="20"/>
      <c r="G476" s="20"/>
      <c r="H476" s="20"/>
      <c r="I476" s="20"/>
      <c r="J476" s="18"/>
      <c r="K476" s="20"/>
      <c r="L476" s="20"/>
      <c r="M476" s="20"/>
      <c r="N476" s="20"/>
      <c r="O476" s="20"/>
      <c r="P476" s="20"/>
      <c r="Q476" s="20"/>
      <c r="R476" s="20"/>
    </row>
    <row r="477" customFormat="false" ht="15" hidden="false" customHeight="false" outlineLevel="0" collapsed="false">
      <c r="A477" s="18"/>
      <c r="B477" s="20"/>
      <c r="C477" s="20"/>
      <c r="D477" s="18" t="str">
        <f aca="false">IF(C477="","",IFERROR(INDEX(Products!$A:$A,MATCH(C477,Products!$B:$B,0)),"Not found"))</f>
        <v/>
      </c>
      <c r="E477" s="20"/>
      <c r="F477" s="20"/>
      <c r="G477" s="20"/>
      <c r="H477" s="20"/>
      <c r="I477" s="20"/>
      <c r="J477" s="18"/>
      <c r="K477" s="20"/>
      <c r="L477" s="20"/>
      <c r="M477" s="20"/>
      <c r="N477" s="20"/>
      <c r="O477" s="20"/>
      <c r="P477" s="20"/>
      <c r="Q477" s="20"/>
      <c r="R477" s="20"/>
    </row>
    <row r="478" customFormat="false" ht="15" hidden="false" customHeight="false" outlineLevel="0" collapsed="false">
      <c r="A478" s="18"/>
      <c r="B478" s="20"/>
      <c r="C478" s="20"/>
      <c r="D478" s="18" t="str">
        <f aca="false">IF(C478="","",IFERROR(INDEX(Products!$A:$A,MATCH(C478,Products!$B:$B,0)),"Not found"))</f>
        <v/>
      </c>
      <c r="E478" s="20"/>
      <c r="F478" s="20"/>
      <c r="G478" s="20"/>
      <c r="H478" s="20"/>
      <c r="I478" s="20"/>
      <c r="J478" s="18"/>
      <c r="K478" s="20"/>
      <c r="L478" s="20"/>
      <c r="M478" s="20"/>
      <c r="N478" s="20"/>
      <c r="O478" s="20"/>
      <c r="P478" s="20"/>
      <c r="Q478" s="20"/>
      <c r="R478" s="20"/>
    </row>
    <row r="479" customFormat="false" ht="15" hidden="false" customHeight="false" outlineLevel="0" collapsed="false">
      <c r="A479" s="18"/>
      <c r="B479" s="20"/>
      <c r="C479" s="20"/>
      <c r="D479" s="18" t="str">
        <f aca="false">IF(C479="","",IFERROR(INDEX(Products!$A:$A,MATCH(C479,Products!$B:$B,0)),"Not found"))</f>
        <v/>
      </c>
      <c r="E479" s="20"/>
      <c r="F479" s="20"/>
      <c r="G479" s="20"/>
      <c r="H479" s="20"/>
      <c r="I479" s="20"/>
      <c r="J479" s="18"/>
      <c r="K479" s="20"/>
      <c r="L479" s="20"/>
      <c r="M479" s="20"/>
      <c r="N479" s="20"/>
      <c r="O479" s="20"/>
      <c r="P479" s="20"/>
      <c r="Q479" s="20"/>
      <c r="R479" s="20"/>
    </row>
    <row r="480" customFormat="false" ht="15" hidden="false" customHeight="false" outlineLevel="0" collapsed="false">
      <c r="A480" s="18"/>
      <c r="B480" s="20"/>
      <c r="C480" s="20"/>
      <c r="D480" s="18" t="str">
        <f aca="false">IF(C480="","",IFERROR(INDEX(Products!$A:$A,MATCH(C480,Products!$B:$B,0)),"Not found"))</f>
        <v/>
      </c>
      <c r="E480" s="20"/>
      <c r="F480" s="20"/>
      <c r="G480" s="20"/>
      <c r="H480" s="20"/>
      <c r="I480" s="20"/>
      <c r="J480" s="18"/>
      <c r="K480" s="20"/>
      <c r="L480" s="20"/>
      <c r="M480" s="20"/>
      <c r="N480" s="20"/>
      <c r="O480" s="20"/>
      <c r="P480" s="20"/>
      <c r="Q480" s="20"/>
      <c r="R480" s="20"/>
    </row>
    <row r="481" customFormat="false" ht="15" hidden="false" customHeight="false" outlineLevel="0" collapsed="false">
      <c r="A481" s="18"/>
      <c r="B481" s="20"/>
      <c r="C481" s="20"/>
      <c r="D481" s="18" t="str">
        <f aca="false">IF(C481="","",IFERROR(INDEX(Products!$A:$A,MATCH(C481,Products!$B:$B,0)),"Not found"))</f>
        <v/>
      </c>
      <c r="E481" s="20"/>
      <c r="F481" s="20"/>
      <c r="G481" s="20"/>
      <c r="H481" s="20"/>
      <c r="I481" s="20"/>
      <c r="J481" s="18"/>
      <c r="K481" s="20"/>
      <c r="L481" s="20"/>
      <c r="M481" s="20"/>
      <c r="N481" s="20"/>
      <c r="O481" s="20"/>
      <c r="P481" s="20"/>
      <c r="Q481" s="20"/>
      <c r="R481" s="20"/>
    </row>
    <row r="482" customFormat="false" ht="15" hidden="false" customHeight="false" outlineLevel="0" collapsed="false">
      <c r="A482" s="18"/>
      <c r="B482" s="20"/>
      <c r="C482" s="20"/>
      <c r="D482" s="18" t="str">
        <f aca="false">IF(C482="","",IFERROR(INDEX(Products!$A:$A,MATCH(C482,Products!$B:$B,0)),"Not found"))</f>
        <v/>
      </c>
      <c r="E482" s="20"/>
      <c r="F482" s="20"/>
      <c r="G482" s="20"/>
      <c r="H482" s="20"/>
      <c r="I482" s="20"/>
      <c r="J482" s="18"/>
      <c r="K482" s="20"/>
      <c r="L482" s="20"/>
      <c r="M482" s="20"/>
      <c r="N482" s="20"/>
      <c r="O482" s="20"/>
      <c r="P482" s="20"/>
      <c r="Q482" s="20"/>
      <c r="R482" s="20"/>
    </row>
    <row r="483" customFormat="false" ht="15" hidden="false" customHeight="false" outlineLevel="0" collapsed="false">
      <c r="A483" s="18"/>
      <c r="B483" s="20"/>
      <c r="C483" s="20"/>
      <c r="D483" s="18" t="str">
        <f aca="false">IF(C483="","",IFERROR(INDEX(Products!$A:$A,MATCH(C483,Products!$B:$B,0)),"Not found"))</f>
        <v/>
      </c>
      <c r="E483" s="20"/>
      <c r="F483" s="20"/>
      <c r="G483" s="20"/>
      <c r="H483" s="20"/>
      <c r="I483" s="20"/>
      <c r="J483" s="18"/>
      <c r="K483" s="20"/>
      <c r="L483" s="20"/>
      <c r="M483" s="20"/>
      <c r="N483" s="20"/>
      <c r="O483" s="20"/>
      <c r="P483" s="20"/>
      <c r="Q483" s="20"/>
      <c r="R483" s="20"/>
    </row>
    <row r="484" customFormat="false" ht="15" hidden="false" customHeight="false" outlineLevel="0" collapsed="false">
      <c r="A484" s="18"/>
      <c r="B484" s="20"/>
      <c r="C484" s="20"/>
      <c r="D484" s="18" t="str">
        <f aca="false">IF(C484="","",IFERROR(INDEX(Products!$A:$A,MATCH(C484,Products!$B:$B,0)),"Not found"))</f>
        <v/>
      </c>
      <c r="E484" s="20"/>
      <c r="F484" s="20"/>
      <c r="G484" s="20"/>
      <c r="H484" s="20"/>
      <c r="I484" s="20"/>
      <c r="J484" s="18"/>
      <c r="K484" s="20"/>
      <c r="L484" s="20"/>
      <c r="M484" s="20"/>
      <c r="N484" s="20"/>
      <c r="O484" s="20"/>
      <c r="P484" s="20"/>
      <c r="Q484" s="20"/>
      <c r="R484" s="20"/>
    </row>
    <row r="485" customFormat="false" ht="15" hidden="false" customHeight="false" outlineLevel="0" collapsed="false">
      <c r="A485" s="18"/>
      <c r="B485" s="20"/>
      <c r="C485" s="20"/>
      <c r="D485" s="18" t="str">
        <f aca="false">IF(C485="","",IFERROR(INDEX(Products!$A:$A,MATCH(C485,Products!$B:$B,0)),"Not found"))</f>
        <v/>
      </c>
      <c r="E485" s="20"/>
      <c r="F485" s="20"/>
      <c r="G485" s="20"/>
      <c r="H485" s="20"/>
      <c r="I485" s="20"/>
      <c r="J485" s="18"/>
      <c r="K485" s="20"/>
      <c r="L485" s="20"/>
      <c r="M485" s="20"/>
      <c r="N485" s="20"/>
      <c r="O485" s="20"/>
      <c r="P485" s="20"/>
      <c r="Q485" s="20"/>
      <c r="R485" s="20"/>
    </row>
    <row r="486" customFormat="false" ht="15" hidden="false" customHeight="false" outlineLevel="0" collapsed="false">
      <c r="A486" s="18"/>
      <c r="B486" s="20"/>
      <c r="C486" s="20"/>
      <c r="D486" s="18" t="str">
        <f aca="false">IF(C486="","",IFERROR(INDEX(Products!$A:$A,MATCH(C486,Products!$B:$B,0)),"Not found"))</f>
        <v/>
      </c>
      <c r="E486" s="20"/>
      <c r="F486" s="20"/>
      <c r="G486" s="20"/>
      <c r="H486" s="20"/>
      <c r="I486" s="20"/>
      <c r="J486" s="18"/>
      <c r="K486" s="20"/>
      <c r="L486" s="20"/>
      <c r="M486" s="20"/>
      <c r="N486" s="20"/>
      <c r="O486" s="20"/>
      <c r="P486" s="20"/>
      <c r="Q486" s="20"/>
      <c r="R486" s="20"/>
    </row>
    <row r="487" customFormat="false" ht="15" hidden="false" customHeight="false" outlineLevel="0" collapsed="false">
      <c r="A487" s="18"/>
      <c r="B487" s="20"/>
      <c r="C487" s="20"/>
      <c r="D487" s="18" t="str">
        <f aca="false">IF(C487="","",IFERROR(INDEX(Products!$A:$A,MATCH(C487,Products!$B:$B,0)),"Not found"))</f>
        <v/>
      </c>
      <c r="E487" s="20"/>
      <c r="F487" s="20"/>
      <c r="G487" s="20"/>
      <c r="H487" s="20"/>
      <c r="I487" s="20"/>
      <c r="J487" s="18"/>
      <c r="K487" s="20"/>
      <c r="L487" s="20"/>
      <c r="M487" s="20"/>
      <c r="N487" s="20"/>
      <c r="O487" s="20"/>
      <c r="P487" s="20"/>
      <c r="Q487" s="20"/>
      <c r="R487" s="20"/>
    </row>
    <row r="488" customFormat="false" ht="15" hidden="false" customHeight="false" outlineLevel="0" collapsed="false">
      <c r="A488" s="18"/>
      <c r="B488" s="20"/>
      <c r="C488" s="20"/>
      <c r="D488" s="18" t="str">
        <f aca="false">IF(C488="","",IFERROR(INDEX(Products!$A:$A,MATCH(C488,Products!$B:$B,0)),"Not found"))</f>
        <v/>
      </c>
      <c r="E488" s="20"/>
      <c r="F488" s="20"/>
      <c r="G488" s="20"/>
      <c r="H488" s="20"/>
      <c r="I488" s="20"/>
      <c r="J488" s="18"/>
      <c r="K488" s="20"/>
      <c r="L488" s="20"/>
      <c r="M488" s="20"/>
      <c r="N488" s="20"/>
      <c r="O488" s="20"/>
      <c r="P488" s="20"/>
      <c r="Q488" s="20"/>
      <c r="R488" s="20"/>
    </row>
    <row r="489" customFormat="false" ht="15" hidden="false" customHeight="false" outlineLevel="0" collapsed="false">
      <c r="A489" s="18"/>
      <c r="B489" s="20"/>
      <c r="C489" s="20"/>
      <c r="D489" s="18" t="str">
        <f aca="false">IF(C489="","",IFERROR(INDEX(Products!$A:$A,MATCH(C489,Products!$B:$B,0)),"Not found"))</f>
        <v/>
      </c>
      <c r="E489" s="20"/>
      <c r="F489" s="20"/>
      <c r="G489" s="20"/>
      <c r="H489" s="20"/>
      <c r="I489" s="20"/>
      <c r="J489" s="18"/>
      <c r="K489" s="20"/>
      <c r="L489" s="20"/>
      <c r="M489" s="20"/>
      <c r="N489" s="20"/>
      <c r="O489" s="20"/>
      <c r="P489" s="20"/>
      <c r="Q489" s="20"/>
      <c r="R489" s="20"/>
    </row>
    <row r="490" customFormat="false" ht="15" hidden="false" customHeight="false" outlineLevel="0" collapsed="false">
      <c r="A490" s="18"/>
      <c r="B490" s="20"/>
      <c r="C490" s="20"/>
      <c r="D490" s="18" t="str">
        <f aca="false">IF(C490="","",IFERROR(INDEX(Products!$A:$A,MATCH(C490,Products!$B:$B,0)),"Not found"))</f>
        <v/>
      </c>
      <c r="E490" s="20"/>
      <c r="F490" s="20"/>
      <c r="G490" s="20"/>
      <c r="H490" s="20"/>
      <c r="I490" s="20"/>
      <c r="J490" s="18"/>
      <c r="K490" s="20"/>
      <c r="L490" s="20"/>
      <c r="M490" s="20"/>
      <c r="N490" s="20"/>
      <c r="O490" s="20"/>
      <c r="P490" s="20"/>
      <c r="Q490" s="20"/>
      <c r="R490" s="20"/>
    </row>
    <row r="491" customFormat="false" ht="15" hidden="false" customHeight="false" outlineLevel="0" collapsed="false">
      <c r="A491" s="18"/>
      <c r="B491" s="20"/>
      <c r="C491" s="20"/>
      <c r="D491" s="18" t="str">
        <f aca="false">IF(C491="","",IFERROR(INDEX(Products!$A:$A,MATCH(C491,Products!$B:$B,0)),"Not found"))</f>
        <v/>
      </c>
      <c r="E491" s="20"/>
      <c r="F491" s="20"/>
      <c r="G491" s="20"/>
      <c r="H491" s="20"/>
      <c r="I491" s="20"/>
      <c r="J491" s="18"/>
      <c r="K491" s="20"/>
      <c r="L491" s="20"/>
      <c r="M491" s="20"/>
      <c r="N491" s="20"/>
      <c r="O491" s="20"/>
      <c r="P491" s="20"/>
      <c r="Q491" s="20"/>
      <c r="R491" s="20"/>
    </row>
    <row r="492" customFormat="false" ht="15" hidden="false" customHeight="false" outlineLevel="0" collapsed="false">
      <c r="A492" s="18"/>
      <c r="B492" s="20"/>
      <c r="C492" s="20"/>
      <c r="D492" s="18" t="str">
        <f aca="false">IF(C492="","",IFERROR(INDEX(Products!$A:$A,MATCH(C492,Products!$B:$B,0)),"Not found"))</f>
        <v/>
      </c>
      <c r="E492" s="20"/>
      <c r="F492" s="20"/>
      <c r="G492" s="20"/>
      <c r="H492" s="20"/>
      <c r="I492" s="20"/>
      <c r="J492" s="18"/>
      <c r="K492" s="20"/>
      <c r="L492" s="20"/>
      <c r="M492" s="20"/>
      <c r="N492" s="20"/>
      <c r="O492" s="20"/>
      <c r="P492" s="20"/>
      <c r="Q492" s="20"/>
      <c r="R492" s="20"/>
    </row>
    <row r="493" customFormat="false" ht="15" hidden="false" customHeight="false" outlineLevel="0" collapsed="false">
      <c r="A493" s="18"/>
      <c r="B493" s="20"/>
      <c r="C493" s="20"/>
      <c r="D493" s="18" t="str">
        <f aca="false">IF(C493="","",IFERROR(INDEX(Products!$A:$A,MATCH(C493,Products!$B:$B,0)),"Not found"))</f>
        <v/>
      </c>
      <c r="E493" s="20"/>
      <c r="F493" s="20"/>
      <c r="G493" s="20"/>
      <c r="H493" s="20"/>
      <c r="I493" s="20"/>
      <c r="J493" s="18"/>
      <c r="K493" s="20"/>
      <c r="L493" s="20"/>
      <c r="M493" s="20"/>
      <c r="N493" s="20"/>
      <c r="O493" s="20"/>
      <c r="P493" s="20"/>
      <c r="Q493" s="20"/>
      <c r="R493" s="20"/>
    </row>
    <row r="494" customFormat="false" ht="15" hidden="false" customHeight="false" outlineLevel="0" collapsed="false">
      <c r="A494" s="18"/>
      <c r="B494" s="20"/>
      <c r="C494" s="20"/>
      <c r="D494" s="18" t="str">
        <f aca="false">IF(C494="","",IFERROR(INDEX(Products!$A:$A,MATCH(C494,Products!$B:$B,0)),"Not found"))</f>
        <v/>
      </c>
      <c r="E494" s="20"/>
      <c r="F494" s="20"/>
      <c r="G494" s="20"/>
      <c r="H494" s="20"/>
      <c r="I494" s="20"/>
      <c r="J494" s="18"/>
      <c r="K494" s="20"/>
      <c r="L494" s="20"/>
      <c r="M494" s="20"/>
      <c r="N494" s="20"/>
      <c r="O494" s="20"/>
      <c r="P494" s="20"/>
      <c r="Q494" s="20"/>
      <c r="R494" s="20"/>
    </row>
    <row r="495" customFormat="false" ht="15" hidden="false" customHeight="false" outlineLevel="0" collapsed="false">
      <c r="A495" s="18"/>
      <c r="B495" s="20"/>
      <c r="C495" s="20"/>
      <c r="D495" s="18" t="str">
        <f aca="false">IF(C495="","",IFERROR(INDEX(Products!$A:$A,MATCH(C495,Products!$B:$B,0)),"Not found"))</f>
        <v/>
      </c>
      <c r="E495" s="20"/>
      <c r="F495" s="20"/>
      <c r="G495" s="20"/>
      <c r="H495" s="20"/>
      <c r="I495" s="20"/>
      <c r="J495" s="18"/>
      <c r="K495" s="20"/>
      <c r="L495" s="20"/>
      <c r="M495" s="20"/>
      <c r="N495" s="20"/>
      <c r="O495" s="20"/>
      <c r="P495" s="20"/>
      <c r="Q495" s="20"/>
      <c r="R495" s="20"/>
    </row>
    <row r="496" customFormat="false" ht="15" hidden="false" customHeight="false" outlineLevel="0" collapsed="false">
      <c r="A496" s="18"/>
      <c r="B496" s="20"/>
      <c r="C496" s="20"/>
      <c r="D496" s="18" t="str">
        <f aca="false">IF(C496="","",IFERROR(INDEX(Products!$A:$A,MATCH(C496,Products!$B:$B,0)),"Not found"))</f>
        <v/>
      </c>
      <c r="E496" s="20"/>
      <c r="F496" s="20"/>
      <c r="G496" s="20"/>
      <c r="H496" s="20"/>
      <c r="I496" s="20"/>
      <c r="J496" s="18"/>
      <c r="K496" s="20"/>
      <c r="L496" s="20"/>
      <c r="M496" s="20"/>
      <c r="N496" s="20"/>
      <c r="O496" s="20"/>
      <c r="P496" s="20"/>
      <c r="Q496" s="20"/>
      <c r="R496" s="20"/>
    </row>
    <row r="497" customFormat="false" ht="15" hidden="false" customHeight="false" outlineLevel="0" collapsed="false">
      <c r="A497" s="18"/>
      <c r="B497" s="20"/>
      <c r="C497" s="20"/>
      <c r="D497" s="18" t="str">
        <f aca="false">IF(C497="","",IFERROR(INDEX(Products!$A:$A,MATCH(C497,Products!$B:$B,0)),"Not found"))</f>
        <v/>
      </c>
      <c r="E497" s="20"/>
      <c r="F497" s="20"/>
      <c r="G497" s="20"/>
      <c r="H497" s="20"/>
      <c r="I497" s="20"/>
      <c r="J497" s="18"/>
      <c r="K497" s="20"/>
      <c r="L497" s="20"/>
      <c r="M497" s="20"/>
      <c r="N497" s="20"/>
      <c r="O497" s="20"/>
      <c r="P497" s="20"/>
      <c r="Q497" s="20"/>
      <c r="R497" s="20"/>
    </row>
    <row r="498" customFormat="false" ht="15" hidden="false" customHeight="false" outlineLevel="0" collapsed="false">
      <c r="A498" s="18"/>
      <c r="B498" s="20"/>
      <c r="C498" s="20"/>
      <c r="D498" s="18" t="str">
        <f aca="false">IF(C498="","",IFERROR(INDEX(Products!$A:$A,MATCH(C498,Products!$B:$B,0)),"Not found"))</f>
        <v/>
      </c>
      <c r="E498" s="20"/>
      <c r="F498" s="20"/>
      <c r="G498" s="20"/>
      <c r="H498" s="20"/>
      <c r="I498" s="20"/>
      <c r="J498" s="18"/>
      <c r="K498" s="20"/>
      <c r="L498" s="20"/>
      <c r="M498" s="20"/>
      <c r="N498" s="20"/>
      <c r="O498" s="20"/>
      <c r="P498" s="20"/>
      <c r="Q498" s="20"/>
      <c r="R498" s="20"/>
    </row>
    <row r="499" customFormat="false" ht="15" hidden="false" customHeight="false" outlineLevel="0" collapsed="false">
      <c r="A499" s="18"/>
      <c r="B499" s="20"/>
      <c r="C499" s="20"/>
      <c r="D499" s="18" t="str">
        <f aca="false">IF(C499="","",IFERROR(INDEX(Products!$A:$A,MATCH(C499,Products!$B:$B,0)),"Not found"))</f>
        <v/>
      </c>
      <c r="E499" s="20"/>
      <c r="F499" s="20"/>
      <c r="G499" s="20"/>
      <c r="H499" s="20"/>
      <c r="I499" s="20"/>
      <c r="J499" s="18"/>
      <c r="K499" s="20"/>
      <c r="L499" s="20"/>
      <c r="M499" s="20"/>
      <c r="N499" s="20"/>
      <c r="O499" s="20"/>
      <c r="P499" s="20"/>
      <c r="Q499" s="20"/>
      <c r="R499" s="20"/>
    </row>
    <row r="500" customFormat="false" ht="15" hidden="false" customHeight="false" outlineLevel="0" collapsed="false">
      <c r="A500" s="18"/>
      <c r="B500" s="20"/>
      <c r="C500" s="20"/>
      <c r="D500" s="18" t="str">
        <f aca="false">IF(C500="","",IFERROR(INDEX(Products!$A:$A,MATCH(C500,Products!$B:$B,0)),"Not found"))</f>
        <v/>
      </c>
      <c r="E500" s="20"/>
      <c r="F500" s="20"/>
      <c r="G500" s="20"/>
      <c r="H500" s="20"/>
      <c r="I500" s="20"/>
      <c r="J500" s="18"/>
      <c r="K500" s="20"/>
      <c r="L500" s="20"/>
      <c r="M500" s="20"/>
      <c r="N500" s="20"/>
      <c r="O500" s="20"/>
      <c r="P500" s="20"/>
      <c r="Q500" s="20"/>
      <c r="R500" s="20"/>
    </row>
    <row r="501" customFormat="false" ht="15" hidden="false" customHeight="false" outlineLevel="0" collapsed="false">
      <c r="A501" s="18"/>
      <c r="B501" s="20"/>
      <c r="C501" s="20"/>
      <c r="D501" s="18" t="str">
        <f aca="false">IF(C501="","",IFERROR(INDEX(Products!$A:$A,MATCH(C501,Products!$B:$B,0)),"Not found"))</f>
        <v/>
      </c>
      <c r="E501" s="20"/>
      <c r="F501" s="20"/>
      <c r="G501" s="20"/>
      <c r="H501" s="20"/>
      <c r="I501" s="20"/>
      <c r="J501" s="18"/>
      <c r="K501" s="20"/>
      <c r="L501" s="20"/>
      <c r="M501" s="20"/>
      <c r="N501" s="20"/>
      <c r="O501" s="20"/>
      <c r="P501" s="20"/>
      <c r="Q501" s="20"/>
      <c r="R501" s="20"/>
    </row>
    <row r="502" customFormat="false" ht="15" hidden="false" customHeight="false" outlineLevel="0" collapsed="false">
      <c r="A502" s="18"/>
      <c r="B502" s="20"/>
      <c r="C502" s="20"/>
      <c r="D502" s="18" t="str">
        <f aca="false">IF(C502="","",IFERROR(INDEX(Products!$A:$A,MATCH(C502,Products!$B:$B,0)),"Not found"))</f>
        <v/>
      </c>
      <c r="E502" s="20"/>
      <c r="F502" s="20"/>
      <c r="G502" s="20"/>
      <c r="H502" s="20"/>
      <c r="I502" s="20"/>
      <c r="J502" s="18"/>
      <c r="K502" s="20"/>
      <c r="L502" s="20"/>
      <c r="M502" s="20"/>
      <c r="N502" s="20"/>
      <c r="O502" s="20"/>
      <c r="P502" s="20"/>
      <c r="Q502" s="20"/>
      <c r="R502" s="20"/>
    </row>
    <row r="503" customFormat="false" ht="15" hidden="false" customHeight="false" outlineLevel="0" collapsed="false">
      <c r="A503" s="18"/>
      <c r="B503" s="20"/>
      <c r="C503" s="20"/>
      <c r="D503" s="18" t="str">
        <f aca="false">IF(C503="","",IFERROR(INDEX(Products!$A:$A,MATCH(C503,Products!$B:$B,0)),"Not found"))</f>
        <v/>
      </c>
      <c r="E503" s="20"/>
      <c r="F503" s="20"/>
      <c r="G503" s="20"/>
      <c r="H503" s="20"/>
      <c r="I503" s="20"/>
      <c r="J503" s="18"/>
      <c r="K503" s="20"/>
      <c r="L503" s="20"/>
      <c r="M503" s="20"/>
      <c r="N503" s="20"/>
      <c r="O503" s="20"/>
      <c r="P503" s="20"/>
      <c r="Q503" s="20"/>
      <c r="R503" s="20"/>
    </row>
    <row r="504" customFormat="false" ht="15" hidden="false" customHeight="false" outlineLevel="0" collapsed="false">
      <c r="A504" s="18"/>
      <c r="B504" s="20"/>
      <c r="C504" s="20"/>
      <c r="D504" s="18" t="str">
        <f aca="false">IF(C504="","",IFERROR(INDEX(Products!$A:$A,MATCH(C504,Products!$B:$B,0)),"Not found"))</f>
        <v/>
      </c>
      <c r="E504" s="20"/>
      <c r="F504" s="20"/>
      <c r="G504" s="20"/>
      <c r="H504" s="20"/>
      <c r="I504" s="20"/>
      <c r="J504" s="18"/>
      <c r="K504" s="20"/>
      <c r="L504" s="20"/>
      <c r="M504" s="20"/>
      <c r="N504" s="20"/>
      <c r="O504" s="20"/>
      <c r="P504" s="20"/>
      <c r="Q504" s="20"/>
      <c r="R504" s="20"/>
    </row>
  </sheetData>
  <autoFilter ref="A4:R504"/>
  <conditionalFormatting sqref="N5:N504">
    <cfRule type="cellIs" priority="2" operator="equal" aboveAverage="0" equalAverage="0" bottom="0" percent="0" rank="0" text="" dxfId="9">
      <formula>"Yes"</formula>
    </cfRule>
  </conditionalFormatting>
  <conditionalFormatting sqref="G5:G504">
    <cfRule type="cellIs" priority="3" operator="equal" aboveAverage="0" equalAverage="0" bottom="0" percent="0" rank="0" text="" dxfId="10">
      <formula>"Unknown"</formula>
    </cfRule>
  </conditionalFormatting>
  <dataValidations count="6">
    <dataValidation allowBlank="true" errorStyle="stop" operator="between" showDropDown="false" showErrorMessage="false" showInputMessage="false" sqref="C5:C504" type="list">
      <formula1>Products!$B$5:$B$154</formula1>
      <formula2>0</formula2>
    </dataValidation>
    <dataValidation allowBlank="true" errorStyle="stop" operator="between" showDropDown="false" showErrorMessage="false" showInputMessage="false" sqref="E5:E504" type="list">
      <formula1>"Wrong number,Stale,Missing,Slow,Access,Other"</formula1>
      <formula2>0</formula2>
    </dataValidation>
    <dataValidation allowBlank="true" errorStyle="stop" operator="between" showDropDown="false" showErrorMessage="false" showInputMessage="false" sqref="G5:G504" type="list">
      <formula1>"Platform,Platform to HRDW,HRDW to custom table,Inside the product,Manual step,Unknown"</formula1>
      <formula2>0</formula2>
    </dataValidation>
    <dataValidation allowBlank="true" errorStyle="stop" operator="between" showDropDown="false" showErrorMessage="false" showInputMessage="false" sqref="N5:N504" type="list">
      <formula1>"Yes,No,Unknown"</formula1>
      <formula2>0</formula2>
    </dataValidation>
    <dataValidation allowBlank="true" errorStyle="stop" operator="between" showDropDown="false" showErrorMessage="false" showInputMessage="false" sqref="P5:P504" type="list">
      <formula1>"Proposed,Accepted,Corrected,Rejected"</formula1>
      <formula2>0</formula2>
    </dataValidation>
    <dataValidation allowBlank="true" errorStyle="stop" operator="between" showDropDown="false" showErrorMessage="false" showInputMessage="false" sqref="R5:R504" type="list">
      <formula1>"Found,Inferred,Proposed,Human"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60"/>
    <col collapsed="false" customWidth="true" hidden="false" outlineLevel="0" max="4" min="4" style="0" width="36"/>
    <col collapsed="false" customWidth="true" hidden="false" outlineLevel="0" max="5" min="5" style="0" width="8"/>
    <col collapsed="false" customWidth="true" hidden="false" outlineLevel="0" max="6" min="6" style="0" width="24"/>
    <col collapsed="false" customWidth="true" hidden="false" outlineLevel="0" max="7" min="7" style="0" width="36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416</v>
      </c>
    </row>
    <row r="2" customFormat="false" ht="15" hidden="false" customHeight="false" outlineLevel="0" collapsed="false">
      <c r="A2" s="2" t="s">
        <v>564</v>
      </c>
    </row>
    <row r="4" customFormat="false" ht="33.75" hidden="false" customHeight="true" outlineLevel="0" collapsed="false">
      <c r="A4" s="16" t="s">
        <v>417</v>
      </c>
      <c r="B4" s="17" t="s">
        <v>389</v>
      </c>
      <c r="C4" s="17" t="s">
        <v>420</v>
      </c>
      <c r="D4" s="17" t="s">
        <v>423</v>
      </c>
      <c r="E4" s="16" t="s">
        <v>565</v>
      </c>
      <c r="F4" s="17" t="s">
        <v>426</v>
      </c>
      <c r="G4" s="17" t="s">
        <v>428</v>
      </c>
      <c r="H4" s="17" t="s">
        <v>431</v>
      </c>
      <c r="I4" s="17" t="s">
        <v>75</v>
      </c>
    </row>
    <row r="5" customFormat="false" ht="15" hidden="false" customHeight="false" outlineLevel="0" collapsed="false">
      <c r="A5" s="18"/>
      <c r="B5" s="20"/>
      <c r="C5" s="20"/>
      <c r="D5" s="20"/>
      <c r="E5" s="18"/>
      <c r="F5" s="20"/>
      <c r="G5" s="20"/>
      <c r="H5" s="20"/>
      <c r="I5" s="20"/>
    </row>
    <row r="6" customFormat="false" ht="15" hidden="false" customHeight="false" outlineLevel="0" collapsed="false">
      <c r="A6" s="18"/>
      <c r="B6" s="20"/>
      <c r="C6" s="20"/>
      <c r="D6" s="20"/>
      <c r="E6" s="18"/>
      <c r="F6" s="20"/>
      <c r="G6" s="20"/>
      <c r="H6" s="20"/>
      <c r="I6" s="20"/>
    </row>
    <row r="7" customFormat="false" ht="15" hidden="false" customHeight="false" outlineLevel="0" collapsed="false">
      <c r="A7" s="18"/>
      <c r="B7" s="20"/>
      <c r="C7" s="20"/>
      <c r="D7" s="20"/>
      <c r="E7" s="18"/>
      <c r="F7" s="20"/>
      <c r="G7" s="20"/>
      <c r="H7" s="20"/>
      <c r="I7" s="20"/>
    </row>
    <row r="8" customFormat="false" ht="15" hidden="false" customHeight="false" outlineLevel="0" collapsed="false">
      <c r="A8" s="18"/>
      <c r="B8" s="20"/>
      <c r="C8" s="20"/>
      <c r="D8" s="20"/>
      <c r="E8" s="18"/>
      <c r="F8" s="20"/>
      <c r="G8" s="20"/>
      <c r="H8" s="20"/>
      <c r="I8" s="20"/>
    </row>
    <row r="9" customFormat="false" ht="15" hidden="false" customHeight="false" outlineLevel="0" collapsed="false">
      <c r="A9" s="18"/>
      <c r="B9" s="20"/>
      <c r="C9" s="20"/>
      <c r="D9" s="20"/>
      <c r="E9" s="18"/>
      <c r="F9" s="20"/>
      <c r="G9" s="20"/>
      <c r="H9" s="20"/>
      <c r="I9" s="20"/>
    </row>
    <row r="10" customFormat="false" ht="15" hidden="false" customHeight="false" outlineLevel="0" collapsed="false">
      <c r="A10" s="18"/>
      <c r="B10" s="20"/>
      <c r="C10" s="20"/>
      <c r="D10" s="20"/>
      <c r="E10" s="18"/>
      <c r="F10" s="20"/>
      <c r="G10" s="20"/>
      <c r="H10" s="20"/>
      <c r="I10" s="20"/>
    </row>
    <row r="11" customFormat="false" ht="15" hidden="false" customHeight="false" outlineLevel="0" collapsed="false">
      <c r="A11" s="18"/>
      <c r="B11" s="20"/>
      <c r="C11" s="20"/>
      <c r="D11" s="20"/>
      <c r="E11" s="18"/>
      <c r="F11" s="20"/>
      <c r="G11" s="20"/>
      <c r="H11" s="20"/>
      <c r="I11" s="20"/>
    </row>
    <row r="12" customFormat="false" ht="15" hidden="false" customHeight="false" outlineLevel="0" collapsed="false">
      <c r="A12" s="18"/>
      <c r="B12" s="20"/>
      <c r="C12" s="20"/>
      <c r="D12" s="20"/>
      <c r="E12" s="18"/>
      <c r="F12" s="20"/>
      <c r="G12" s="20"/>
      <c r="H12" s="20"/>
      <c r="I12" s="20"/>
    </row>
    <row r="13" customFormat="false" ht="15" hidden="false" customHeight="false" outlineLevel="0" collapsed="false">
      <c r="A13" s="18"/>
      <c r="B13" s="20"/>
      <c r="C13" s="20"/>
      <c r="D13" s="20"/>
      <c r="E13" s="18"/>
      <c r="F13" s="20"/>
      <c r="G13" s="20"/>
      <c r="H13" s="20"/>
      <c r="I13" s="20"/>
    </row>
    <row r="14" customFormat="false" ht="15" hidden="false" customHeight="false" outlineLevel="0" collapsed="false">
      <c r="A14" s="18"/>
      <c r="B14" s="20"/>
      <c r="C14" s="20"/>
      <c r="D14" s="20"/>
      <c r="E14" s="18"/>
      <c r="F14" s="20"/>
      <c r="G14" s="20"/>
      <c r="H14" s="20"/>
      <c r="I14" s="20"/>
    </row>
    <row r="15" customFormat="false" ht="15" hidden="false" customHeight="false" outlineLevel="0" collapsed="false">
      <c r="A15" s="18"/>
      <c r="B15" s="20"/>
      <c r="C15" s="20"/>
      <c r="D15" s="20"/>
      <c r="E15" s="18"/>
      <c r="F15" s="20"/>
      <c r="G15" s="20"/>
      <c r="H15" s="20"/>
      <c r="I15" s="20"/>
    </row>
    <row r="16" customFormat="false" ht="15" hidden="false" customHeight="false" outlineLevel="0" collapsed="false">
      <c r="A16" s="18"/>
      <c r="B16" s="20"/>
      <c r="C16" s="20"/>
      <c r="D16" s="20"/>
      <c r="E16" s="18"/>
      <c r="F16" s="20"/>
      <c r="G16" s="20"/>
      <c r="H16" s="20"/>
      <c r="I16" s="20"/>
    </row>
    <row r="17" customFormat="false" ht="15" hidden="false" customHeight="false" outlineLevel="0" collapsed="false">
      <c r="A17" s="18"/>
      <c r="B17" s="20"/>
      <c r="C17" s="20"/>
      <c r="D17" s="20"/>
      <c r="E17" s="18"/>
      <c r="F17" s="20"/>
      <c r="G17" s="20"/>
      <c r="H17" s="20"/>
      <c r="I17" s="20"/>
    </row>
    <row r="18" customFormat="false" ht="15" hidden="false" customHeight="false" outlineLevel="0" collapsed="false">
      <c r="A18" s="18"/>
      <c r="B18" s="20"/>
      <c r="C18" s="20"/>
      <c r="D18" s="20"/>
      <c r="E18" s="18"/>
      <c r="F18" s="20"/>
      <c r="G18" s="20"/>
      <c r="H18" s="20"/>
      <c r="I18" s="20"/>
    </row>
    <row r="19" customFormat="false" ht="15" hidden="false" customHeight="false" outlineLevel="0" collapsed="false">
      <c r="A19" s="18"/>
      <c r="B19" s="20"/>
      <c r="C19" s="20"/>
      <c r="D19" s="20"/>
      <c r="E19" s="18"/>
      <c r="F19" s="20"/>
      <c r="G19" s="20"/>
      <c r="H19" s="20"/>
      <c r="I19" s="20"/>
    </row>
    <row r="20" customFormat="false" ht="15" hidden="false" customHeight="false" outlineLevel="0" collapsed="false">
      <c r="A20" s="18"/>
      <c r="B20" s="20"/>
      <c r="C20" s="20"/>
      <c r="D20" s="20"/>
      <c r="E20" s="18"/>
      <c r="F20" s="20"/>
      <c r="G20" s="20"/>
      <c r="H20" s="20"/>
      <c r="I20" s="20"/>
    </row>
    <row r="21" customFormat="false" ht="15" hidden="false" customHeight="false" outlineLevel="0" collapsed="false">
      <c r="A21" s="18"/>
      <c r="B21" s="20"/>
      <c r="C21" s="20"/>
      <c r="D21" s="20"/>
      <c r="E21" s="18"/>
      <c r="F21" s="20"/>
      <c r="G21" s="20"/>
      <c r="H21" s="20"/>
      <c r="I21" s="20"/>
    </row>
    <row r="22" customFormat="false" ht="15" hidden="false" customHeight="false" outlineLevel="0" collapsed="false">
      <c r="A22" s="18"/>
      <c r="B22" s="20"/>
      <c r="C22" s="20"/>
      <c r="D22" s="20"/>
      <c r="E22" s="18"/>
      <c r="F22" s="20"/>
      <c r="G22" s="20"/>
      <c r="H22" s="20"/>
      <c r="I22" s="20"/>
    </row>
    <row r="23" customFormat="false" ht="15" hidden="false" customHeight="false" outlineLevel="0" collapsed="false">
      <c r="A23" s="18"/>
      <c r="B23" s="20"/>
      <c r="C23" s="20"/>
      <c r="D23" s="20"/>
      <c r="E23" s="18"/>
      <c r="F23" s="20"/>
      <c r="G23" s="20"/>
      <c r="H23" s="20"/>
      <c r="I23" s="20"/>
    </row>
    <row r="24" customFormat="false" ht="15" hidden="false" customHeight="false" outlineLevel="0" collapsed="false">
      <c r="A24" s="18"/>
      <c r="B24" s="20"/>
      <c r="C24" s="20"/>
      <c r="D24" s="20"/>
      <c r="E24" s="18"/>
      <c r="F24" s="20"/>
      <c r="G24" s="20"/>
      <c r="H24" s="20"/>
      <c r="I24" s="20"/>
    </row>
    <row r="25" customFormat="false" ht="15" hidden="false" customHeight="false" outlineLevel="0" collapsed="false">
      <c r="A25" s="18"/>
      <c r="B25" s="20"/>
      <c r="C25" s="20"/>
      <c r="D25" s="20"/>
      <c r="E25" s="18"/>
      <c r="F25" s="20"/>
      <c r="G25" s="20"/>
      <c r="H25" s="20"/>
      <c r="I25" s="20"/>
    </row>
    <row r="26" customFormat="false" ht="15" hidden="false" customHeight="false" outlineLevel="0" collapsed="false">
      <c r="A26" s="18"/>
      <c r="B26" s="20"/>
      <c r="C26" s="20"/>
      <c r="D26" s="20"/>
      <c r="E26" s="18"/>
      <c r="F26" s="20"/>
      <c r="G26" s="20"/>
      <c r="H26" s="20"/>
      <c r="I26" s="20"/>
    </row>
    <row r="27" customFormat="false" ht="15" hidden="false" customHeight="false" outlineLevel="0" collapsed="false">
      <c r="A27" s="18"/>
      <c r="B27" s="20"/>
      <c r="C27" s="20"/>
      <c r="D27" s="20"/>
      <c r="E27" s="18"/>
      <c r="F27" s="20"/>
      <c r="G27" s="20"/>
      <c r="H27" s="20"/>
      <c r="I27" s="20"/>
    </row>
    <row r="28" customFormat="false" ht="15" hidden="false" customHeight="false" outlineLevel="0" collapsed="false">
      <c r="A28" s="18"/>
      <c r="B28" s="20"/>
      <c r="C28" s="20"/>
      <c r="D28" s="20"/>
      <c r="E28" s="18"/>
      <c r="F28" s="20"/>
      <c r="G28" s="20"/>
      <c r="H28" s="20"/>
      <c r="I28" s="20"/>
    </row>
    <row r="29" customFormat="false" ht="15" hidden="false" customHeight="false" outlineLevel="0" collapsed="false">
      <c r="A29" s="18"/>
      <c r="B29" s="20"/>
      <c r="C29" s="20"/>
      <c r="D29" s="20"/>
      <c r="E29" s="18"/>
      <c r="F29" s="20"/>
      <c r="G29" s="20"/>
      <c r="H29" s="20"/>
      <c r="I29" s="20"/>
    </row>
    <row r="30" customFormat="false" ht="15" hidden="false" customHeight="false" outlineLevel="0" collapsed="false">
      <c r="A30" s="18"/>
      <c r="B30" s="20"/>
      <c r="C30" s="20"/>
      <c r="D30" s="20"/>
      <c r="E30" s="18"/>
      <c r="F30" s="20"/>
      <c r="G30" s="20"/>
      <c r="H30" s="20"/>
      <c r="I30" s="20"/>
    </row>
    <row r="31" customFormat="false" ht="15" hidden="false" customHeight="false" outlineLevel="0" collapsed="false">
      <c r="A31" s="18"/>
      <c r="B31" s="20"/>
      <c r="C31" s="20"/>
      <c r="D31" s="20"/>
      <c r="E31" s="18"/>
      <c r="F31" s="20"/>
      <c r="G31" s="20"/>
      <c r="H31" s="20"/>
      <c r="I31" s="20"/>
    </row>
    <row r="32" customFormat="false" ht="15" hidden="false" customHeight="false" outlineLevel="0" collapsed="false">
      <c r="A32" s="18"/>
      <c r="B32" s="20"/>
      <c r="C32" s="20"/>
      <c r="D32" s="20"/>
      <c r="E32" s="18"/>
      <c r="F32" s="20"/>
      <c r="G32" s="20"/>
      <c r="H32" s="20"/>
      <c r="I32" s="20"/>
    </row>
    <row r="33" customFormat="false" ht="15" hidden="false" customHeight="false" outlineLevel="0" collapsed="false">
      <c r="A33" s="18"/>
      <c r="B33" s="20"/>
      <c r="C33" s="20"/>
      <c r="D33" s="20"/>
      <c r="E33" s="18"/>
      <c r="F33" s="20"/>
      <c r="G33" s="20"/>
      <c r="H33" s="20"/>
      <c r="I33" s="20"/>
    </row>
    <row r="34" customFormat="false" ht="15" hidden="false" customHeight="false" outlineLevel="0" collapsed="false">
      <c r="A34" s="18"/>
      <c r="B34" s="20"/>
      <c r="C34" s="20"/>
      <c r="D34" s="20"/>
      <c r="E34" s="18"/>
      <c r="F34" s="20"/>
      <c r="G34" s="20"/>
      <c r="H34" s="20"/>
      <c r="I34" s="20"/>
    </row>
    <row r="35" customFormat="false" ht="15" hidden="false" customHeight="false" outlineLevel="0" collapsed="false">
      <c r="A35" s="18"/>
      <c r="B35" s="20"/>
      <c r="C35" s="20"/>
      <c r="D35" s="20"/>
      <c r="E35" s="18"/>
      <c r="F35" s="20"/>
      <c r="G35" s="20"/>
      <c r="H35" s="20"/>
      <c r="I35" s="20"/>
    </row>
    <row r="36" customFormat="false" ht="15" hidden="false" customHeight="false" outlineLevel="0" collapsed="false">
      <c r="A36" s="18"/>
      <c r="B36" s="20"/>
      <c r="C36" s="20"/>
      <c r="D36" s="20"/>
      <c r="E36" s="18"/>
      <c r="F36" s="20"/>
      <c r="G36" s="20"/>
      <c r="H36" s="20"/>
      <c r="I36" s="20"/>
    </row>
    <row r="37" customFormat="false" ht="15" hidden="false" customHeight="false" outlineLevel="0" collapsed="false">
      <c r="A37" s="18"/>
      <c r="B37" s="20"/>
      <c r="C37" s="20"/>
      <c r="D37" s="20"/>
      <c r="E37" s="18"/>
      <c r="F37" s="20"/>
      <c r="G37" s="20"/>
      <c r="H37" s="20"/>
      <c r="I37" s="20"/>
    </row>
    <row r="38" customFormat="false" ht="15" hidden="false" customHeight="false" outlineLevel="0" collapsed="false">
      <c r="A38" s="18"/>
      <c r="B38" s="20"/>
      <c r="C38" s="20"/>
      <c r="D38" s="20"/>
      <c r="E38" s="18"/>
      <c r="F38" s="20"/>
      <c r="G38" s="20"/>
      <c r="H38" s="20"/>
      <c r="I38" s="20"/>
    </row>
    <row r="39" customFormat="false" ht="15" hidden="false" customHeight="false" outlineLevel="0" collapsed="false">
      <c r="A39" s="18"/>
      <c r="B39" s="20"/>
      <c r="C39" s="20"/>
      <c r="D39" s="20"/>
      <c r="E39" s="18"/>
      <c r="F39" s="20"/>
      <c r="G39" s="20"/>
      <c r="H39" s="20"/>
      <c r="I39" s="20"/>
    </row>
    <row r="40" customFormat="false" ht="15" hidden="false" customHeight="false" outlineLevel="0" collapsed="false">
      <c r="A40" s="18"/>
      <c r="B40" s="20"/>
      <c r="C40" s="20"/>
      <c r="D40" s="20"/>
      <c r="E40" s="18"/>
      <c r="F40" s="20"/>
      <c r="G40" s="20"/>
      <c r="H40" s="20"/>
      <c r="I40" s="20"/>
    </row>
    <row r="41" customFormat="false" ht="15" hidden="false" customHeight="false" outlineLevel="0" collapsed="false">
      <c r="A41" s="18"/>
      <c r="B41" s="20"/>
      <c r="C41" s="20"/>
      <c r="D41" s="20"/>
      <c r="E41" s="18"/>
      <c r="F41" s="20"/>
      <c r="G41" s="20"/>
      <c r="H41" s="20"/>
      <c r="I41" s="20"/>
    </row>
    <row r="42" customFormat="false" ht="15" hidden="false" customHeight="false" outlineLevel="0" collapsed="false">
      <c r="A42" s="18"/>
      <c r="B42" s="20"/>
      <c r="C42" s="20"/>
      <c r="D42" s="20"/>
      <c r="E42" s="18"/>
      <c r="F42" s="20"/>
      <c r="G42" s="20"/>
      <c r="H42" s="20"/>
      <c r="I42" s="20"/>
    </row>
    <row r="43" customFormat="false" ht="15" hidden="false" customHeight="false" outlineLevel="0" collapsed="false">
      <c r="A43" s="18"/>
      <c r="B43" s="20"/>
      <c r="C43" s="20"/>
      <c r="D43" s="20"/>
      <c r="E43" s="18"/>
      <c r="F43" s="20"/>
      <c r="G43" s="20"/>
      <c r="H43" s="20"/>
      <c r="I43" s="20"/>
    </row>
    <row r="44" customFormat="false" ht="15" hidden="false" customHeight="false" outlineLevel="0" collapsed="false">
      <c r="A44" s="18"/>
      <c r="B44" s="20"/>
      <c r="C44" s="20"/>
      <c r="D44" s="20"/>
      <c r="E44" s="18"/>
      <c r="F44" s="20"/>
      <c r="G44" s="20"/>
      <c r="H44" s="20"/>
      <c r="I44" s="20"/>
    </row>
    <row r="45" customFormat="false" ht="15" hidden="false" customHeight="false" outlineLevel="0" collapsed="false">
      <c r="A45" s="18"/>
      <c r="B45" s="20"/>
      <c r="C45" s="20"/>
      <c r="D45" s="20"/>
      <c r="E45" s="18"/>
      <c r="F45" s="20"/>
      <c r="G45" s="20"/>
      <c r="H45" s="20"/>
      <c r="I45" s="20"/>
    </row>
    <row r="46" customFormat="false" ht="15" hidden="false" customHeight="false" outlineLevel="0" collapsed="false">
      <c r="A46" s="18"/>
      <c r="B46" s="20"/>
      <c r="C46" s="20"/>
      <c r="D46" s="20"/>
      <c r="E46" s="18"/>
      <c r="F46" s="20"/>
      <c r="G46" s="20"/>
      <c r="H46" s="20"/>
      <c r="I46" s="20"/>
    </row>
    <row r="47" customFormat="false" ht="15" hidden="false" customHeight="false" outlineLevel="0" collapsed="false">
      <c r="A47" s="18"/>
      <c r="B47" s="20"/>
      <c r="C47" s="20"/>
      <c r="D47" s="20"/>
      <c r="E47" s="18"/>
      <c r="F47" s="20"/>
      <c r="G47" s="20"/>
      <c r="H47" s="20"/>
      <c r="I47" s="20"/>
    </row>
    <row r="48" customFormat="false" ht="15" hidden="false" customHeight="false" outlineLevel="0" collapsed="false">
      <c r="A48" s="18"/>
      <c r="B48" s="20"/>
      <c r="C48" s="20"/>
      <c r="D48" s="20"/>
      <c r="E48" s="18"/>
      <c r="F48" s="20"/>
      <c r="G48" s="20"/>
      <c r="H48" s="20"/>
      <c r="I48" s="20"/>
    </row>
    <row r="49" customFormat="false" ht="15" hidden="false" customHeight="false" outlineLevel="0" collapsed="false">
      <c r="A49" s="18"/>
      <c r="B49" s="20"/>
      <c r="C49" s="20"/>
      <c r="D49" s="20"/>
      <c r="E49" s="18"/>
      <c r="F49" s="20"/>
      <c r="G49" s="20"/>
      <c r="H49" s="20"/>
      <c r="I49" s="20"/>
    </row>
    <row r="50" customFormat="false" ht="15" hidden="false" customHeight="false" outlineLevel="0" collapsed="false">
      <c r="A50" s="18"/>
      <c r="B50" s="20"/>
      <c r="C50" s="20"/>
      <c r="D50" s="20"/>
      <c r="E50" s="18"/>
      <c r="F50" s="20"/>
      <c r="G50" s="20"/>
      <c r="H50" s="20"/>
      <c r="I50" s="20"/>
    </row>
    <row r="51" customFormat="false" ht="15" hidden="false" customHeight="false" outlineLevel="0" collapsed="false">
      <c r="A51" s="18"/>
      <c r="B51" s="20"/>
      <c r="C51" s="20"/>
      <c r="D51" s="20"/>
      <c r="E51" s="18"/>
      <c r="F51" s="20"/>
      <c r="G51" s="20"/>
      <c r="H51" s="20"/>
      <c r="I51" s="20"/>
    </row>
    <row r="52" customFormat="false" ht="15" hidden="false" customHeight="false" outlineLevel="0" collapsed="false">
      <c r="A52" s="18"/>
      <c r="B52" s="20"/>
      <c r="C52" s="20"/>
      <c r="D52" s="20"/>
      <c r="E52" s="18"/>
      <c r="F52" s="20"/>
      <c r="G52" s="20"/>
      <c r="H52" s="20"/>
      <c r="I52" s="20"/>
    </row>
    <row r="53" customFormat="false" ht="15" hidden="false" customHeight="false" outlineLevel="0" collapsed="false">
      <c r="A53" s="18"/>
      <c r="B53" s="20"/>
      <c r="C53" s="20"/>
      <c r="D53" s="20"/>
      <c r="E53" s="18"/>
      <c r="F53" s="20"/>
      <c r="G53" s="20"/>
      <c r="H53" s="20"/>
      <c r="I53" s="20"/>
    </row>
    <row r="54" customFormat="false" ht="15" hidden="false" customHeight="false" outlineLevel="0" collapsed="false">
      <c r="A54" s="18"/>
      <c r="B54" s="20"/>
      <c r="C54" s="20"/>
      <c r="D54" s="20"/>
      <c r="E54" s="18"/>
      <c r="F54" s="20"/>
      <c r="G54" s="20"/>
      <c r="H54" s="20"/>
      <c r="I54" s="20"/>
    </row>
    <row r="55" customFormat="false" ht="15" hidden="false" customHeight="false" outlineLevel="0" collapsed="false">
      <c r="A55" s="18"/>
      <c r="B55" s="20"/>
      <c r="C55" s="20"/>
      <c r="D55" s="20"/>
      <c r="E55" s="18"/>
      <c r="F55" s="20"/>
      <c r="G55" s="20"/>
      <c r="H55" s="20"/>
      <c r="I55" s="20"/>
    </row>
    <row r="56" customFormat="false" ht="15" hidden="false" customHeight="false" outlineLevel="0" collapsed="false">
      <c r="A56" s="18"/>
      <c r="B56" s="20"/>
      <c r="C56" s="20"/>
      <c r="D56" s="20"/>
      <c r="E56" s="18"/>
      <c r="F56" s="20"/>
      <c r="G56" s="20"/>
      <c r="H56" s="20"/>
      <c r="I56" s="20"/>
    </row>
    <row r="57" customFormat="false" ht="15" hidden="false" customHeight="false" outlineLevel="0" collapsed="false">
      <c r="A57" s="18"/>
      <c r="B57" s="20"/>
      <c r="C57" s="20"/>
      <c r="D57" s="20"/>
      <c r="E57" s="18"/>
      <c r="F57" s="20"/>
      <c r="G57" s="20"/>
      <c r="H57" s="20"/>
      <c r="I57" s="20"/>
    </row>
    <row r="58" customFormat="false" ht="15" hidden="false" customHeight="false" outlineLevel="0" collapsed="false">
      <c r="A58" s="18"/>
      <c r="B58" s="20"/>
      <c r="C58" s="20"/>
      <c r="D58" s="20"/>
      <c r="E58" s="18"/>
      <c r="F58" s="20"/>
      <c r="G58" s="20"/>
      <c r="H58" s="20"/>
      <c r="I58" s="20"/>
    </row>
    <row r="59" customFormat="false" ht="15" hidden="false" customHeight="false" outlineLevel="0" collapsed="false">
      <c r="A59" s="18"/>
      <c r="B59" s="20"/>
      <c r="C59" s="20"/>
      <c r="D59" s="20"/>
      <c r="E59" s="18"/>
      <c r="F59" s="20"/>
      <c r="G59" s="20"/>
      <c r="H59" s="20"/>
      <c r="I59" s="20"/>
    </row>
    <row r="60" customFormat="false" ht="15" hidden="false" customHeight="false" outlineLevel="0" collapsed="false">
      <c r="A60" s="18"/>
      <c r="B60" s="20"/>
      <c r="C60" s="20"/>
      <c r="D60" s="20"/>
      <c r="E60" s="18"/>
      <c r="F60" s="20"/>
      <c r="G60" s="20"/>
      <c r="H60" s="20"/>
      <c r="I60" s="20"/>
    </row>
    <row r="61" customFormat="false" ht="15" hidden="false" customHeight="false" outlineLevel="0" collapsed="false">
      <c r="A61" s="18"/>
      <c r="B61" s="20"/>
      <c r="C61" s="20"/>
      <c r="D61" s="20"/>
      <c r="E61" s="18"/>
      <c r="F61" s="20"/>
      <c r="G61" s="20"/>
      <c r="H61" s="20"/>
      <c r="I61" s="20"/>
    </row>
    <row r="62" customFormat="false" ht="15" hidden="false" customHeight="false" outlineLevel="0" collapsed="false">
      <c r="A62" s="18"/>
      <c r="B62" s="20"/>
      <c r="C62" s="20"/>
      <c r="D62" s="20"/>
      <c r="E62" s="18"/>
      <c r="F62" s="20"/>
      <c r="G62" s="20"/>
      <c r="H62" s="20"/>
      <c r="I62" s="20"/>
    </row>
    <row r="63" customFormat="false" ht="15" hidden="false" customHeight="false" outlineLevel="0" collapsed="false">
      <c r="A63" s="18"/>
      <c r="B63" s="20"/>
      <c r="C63" s="20"/>
      <c r="D63" s="20"/>
      <c r="E63" s="18"/>
      <c r="F63" s="20"/>
      <c r="G63" s="20"/>
      <c r="H63" s="20"/>
      <c r="I63" s="20"/>
    </row>
    <row r="64" customFormat="false" ht="15" hidden="false" customHeight="false" outlineLevel="0" collapsed="false">
      <c r="A64" s="18"/>
      <c r="B64" s="20"/>
      <c r="C64" s="20"/>
      <c r="D64" s="20"/>
      <c r="E64" s="18"/>
      <c r="F64" s="20"/>
      <c r="G64" s="20"/>
      <c r="H64" s="20"/>
      <c r="I64" s="20"/>
    </row>
    <row r="65" customFormat="false" ht="15" hidden="false" customHeight="false" outlineLevel="0" collapsed="false">
      <c r="A65" s="18"/>
      <c r="B65" s="20"/>
      <c r="C65" s="20"/>
      <c r="D65" s="20"/>
      <c r="E65" s="18"/>
      <c r="F65" s="20"/>
      <c r="G65" s="20"/>
      <c r="H65" s="20"/>
      <c r="I65" s="20"/>
    </row>
    <row r="66" customFormat="false" ht="15" hidden="false" customHeight="false" outlineLevel="0" collapsed="false">
      <c r="A66" s="18"/>
      <c r="B66" s="20"/>
      <c r="C66" s="20"/>
      <c r="D66" s="20"/>
      <c r="E66" s="18"/>
      <c r="F66" s="20"/>
      <c r="G66" s="20"/>
      <c r="H66" s="20"/>
      <c r="I66" s="20"/>
    </row>
    <row r="67" customFormat="false" ht="15" hidden="false" customHeight="false" outlineLevel="0" collapsed="false">
      <c r="A67" s="18"/>
      <c r="B67" s="20"/>
      <c r="C67" s="20"/>
      <c r="D67" s="20"/>
      <c r="E67" s="18"/>
      <c r="F67" s="20"/>
      <c r="G67" s="20"/>
      <c r="H67" s="20"/>
      <c r="I67" s="20"/>
    </row>
    <row r="68" customFormat="false" ht="15" hidden="false" customHeight="false" outlineLevel="0" collapsed="false">
      <c r="A68" s="18"/>
      <c r="B68" s="20"/>
      <c r="C68" s="20"/>
      <c r="D68" s="20"/>
      <c r="E68" s="18"/>
      <c r="F68" s="20"/>
      <c r="G68" s="20"/>
      <c r="H68" s="20"/>
      <c r="I68" s="20"/>
    </row>
    <row r="69" customFormat="false" ht="15" hidden="false" customHeight="false" outlineLevel="0" collapsed="false">
      <c r="A69" s="18"/>
      <c r="B69" s="20"/>
      <c r="C69" s="20"/>
      <c r="D69" s="20"/>
      <c r="E69" s="18"/>
      <c r="F69" s="20"/>
      <c r="G69" s="20"/>
      <c r="H69" s="20"/>
      <c r="I69" s="20"/>
    </row>
    <row r="70" customFormat="false" ht="15" hidden="false" customHeight="false" outlineLevel="0" collapsed="false">
      <c r="A70" s="18"/>
      <c r="B70" s="20"/>
      <c r="C70" s="20"/>
      <c r="D70" s="20"/>
      <c r="E70" s="18"/>
      <c r="F70" s="20"/>
      <c r="G70" s="20"/>
      <c r="H70" s="20"/>
      <c r="I70" s="20"/>
    </row>
    <row r="71" customFormat="false" ht="15" hidden="false" customHeight="false" outlineLevel="0" collapsed="false">
      <c r="A71" s="18"/>
      <c r="B71" s="20"/>
      <c r="C71" s="20"/>
      <c r="D71" s="20"/>
      <c r="E71" s="18"/>
      <c r="F71" s="20"/>
      <c r="G71" s="20"/>
      <c r="H71" s="20"/>
      <c r="I71" s="20"/>
    </row>
    <row r="72" customFormat="false" ht="15" hidden="false" customHeight="false" outlineLevel="0" collapsed="false">
      <c r="A72" s="18"/>
      <c r="B72" s="20"/>
      <c r="C72" s="20"/>
      <c r="D72" s="20"/>
      <c r="E72" s="18"/>
      <c r="F72" s="20"/>
      <c r="G72" s="20"/>
      <c r="H72" s="20"/>
      <c r="I72" s="20"/>
    </row>
    <row r="73" customFormat="false" ht="15" hidden="false" customHeight="false" outlineLevel="0" collapsed="false">
      <c r="A73" s="18"/>
      <c r="B73" s="20"/>
      <c r="C73" s="20"/>
      <c r="D73" s="20"/>
      <c r="E73" s="18"/>
      <c r="F73" s="20"/>
      <c r="G73" s="20"/>
      <c r="H73" s="20"/>
      <c r="I73" s="20"/>
    </row>
    <row r="74" customFormat="false" ht="15" hidden="false" customHeight="false" outlineLevel="0" collapsed="false">
      <c r="A74" s="18"/>
      <c r="B74" s="20"/>
      <c r="C74" s="20"/>
      <c r="D74" s="20"/>
      <c r="E74" s="18"/>
      <c r="F74" s="20"/>
      <c r="G74" s="20"/>
      <c r="H74" s="20"/>
      <c r="I74" s="20"/>
    </row>
    <row r="75" customFormat="false" ht="15" hidden="false" customHeight="false" outlineLevel="0" collapsed="false">
      <c r="A75" s="18"/>
      <c r="B75" s="20"/>
      <c r="C75" s="20"/>
      <c r="D75" s="20"/>
      <c r="E75" s="18"/>
      <c r="F75" s="20"/>
      <c r="G75" s="20"/>
      <c r="H75" s="20"/>
      <c r="I75" s="20"/>
    </row>
    <row r="76" customFormat="false" ht="15" hidden="false" customHeight="false" outlineLevel="0" collapsed="false">
      <c r="A76" s="18"/>
      <c r="B76" s="20"/>
      <c r="C76" s="20"/>
      <c r="D76" s="20"/>
      <c r="E76" s="18"/>
      <c r="F76" s="20"/>
      <c r="G76" s="20"/>
      <c r="H76" s="20"/>
      <c r="I76" s="20"/>
    </row>
    <row r="77" customFormat="false" ht="15" hidden="false" customHeight="false" outlineLevel="0" collapsed="false">
      <c r="A77" s="18"/>
      <c r="B77" s="20"/>
      <c r="C77" s="20"/>
      <c r="D77" s="20"/>
      <c r="E77" s="18"/>
      <c r="F77" s="20"/>
      <c r="G77" s="20"/>
      <c r="H77" s="20"/>
      <c r="I77" s="20"/>
    </row>
    <row r="78" customFormat="false" ht="15" hidden="false" customHeight="false" outlineLevel="0" collapsed="false">
      <c r="A78" s="18"/>
      <c r="B78" s="20"/>
      <c r="C78" s="20"/>
      <c r="D78" s="20"/>
      <c r="E78" s="18"/>
      <c r="F78" s="20"/>
      <c r="G78" s="20"/>
      <c r="H78" s="20"/>
      <c r="I78" s="20"/>
    </row>
    <row r="79" customFormat="false" ht="15" hidden="false" customHeight="false" outlineLevel="0" collapsed="false">
      <c r="A79" s="18"/>
      <c r="B79" s="20"/>
      <c r="C79" s="20"/>
      <c r="D79" s="20"/>
      <c r="E79" s="18"/>
      <c r="F79" s="20"/>
      <c r="G79" s="20"/>
      <c r="H79" s="20"/>
      <c r="I79" s="20"/>
    </row>
    <row r="80" customFormat="false" ht="15" hidden="false" customHeight="false" outlineLevel="0" collapsed="false">
      <c r="A80" s="18"/>
      <c r="B80" s="20"/>
      <c r="C80" s="20"/>
      <c r="D80" s="20"/>
      <c r="E80" s="18"/>
      <c r="F80" s="20"/>
      <c r="G80" s="20"/>
      <c r="H80" s="20"/>
      <c r="I80" s="20"/>
    </row>
    <row r="81" customFormat="false" ht="15" hidden="false" customHeight="false" outlineLevel="0" collapsed="false">
      <c r="A81" s="18"/>
      <c r="B81" s="20"/>
      <c r="C81" s="20"/>
      <c r="D81" s="20"/>
      <c r="E81" s="18"/>
      <c r="F81" s="20"/>
      <c r="G81" s="20"/>
      <c r="H81" s="20"/>
      <c r="I81" s="20"/>
    </row>
    <row r="82" customFormat="false" ht="15" hidden="false" customHeight="false" outlineLevel="0" collapsed="false">
      <c r="A82" s="18"/>
      <c r="B82" s="20"/>
      <c r="C82" s="20"/>
      <c r="D82" s="20"/>
      <c r="E82" s="18"/>
      <c r="F82" s="20"/>
      <c r="G82" s="20"/>
      <c r="H82" s="20"/>
      <c r="I82" s="20"/>
    </row>
    <row r="83" customFormat="false" ht="15" hidden="false" customHeight="false" outlineLevel="0" collapsed="false">
      <c r="A83" s="18"/>
      <c r="B83" s="20"/>
      <c r="C83" s="20"/>
      <c r="D83" s="20"/>
      <c r="E83" s="18"/>
      <c r="F83" s="20"/>
      <c r="G83" s="20"/>
      <c r="H83" s="20"/>
      <c r="I83" s="20"/>
    </row>
    <row r="84" customFormat="false" ht="15" hidden="false" customHeight="false" outlineLevel="0" collapsed="false">
      <c r="A84" s="18"/>
      <c r="B84" s="20"/>
      <c r="C84" s="20"/>
      <c r="D84" s="20"/>
      <c r="E84" s="18"/>
      <c r="F84" s="20"/>
      <c r="G84" s="20"/>
      <c r="H84" s="20"/>
      <c r="I84" s="20"/>
    </row>
    <row r="85" customFormat="false" ht="15" hidden="false" customHeight="false" outlineLevel="0" collapsed="false">
      <c r="A85" s="18"/>
      <c r="B85" s="20"/>
      <c r="C85" s="20"/>
      <c r="D85" s="20"/>
      <c r="E85" s="18"/>
      <c r="F85" s="20"/>
      <c r="G85" s="20"/>
      <c r="H85" s="20"/>
      <c r="I85" s="20"/>
    </row>
    <row r="86" customFormat="false" ht="15" hidden="false" customHeight="false" outlineLevel="0" collapsed="false">
      <c r="A86" s="18"/>
      <c r="B86" s="20"/>
      <c r="C86" s="20"/>
      <c r="D86" s="20"/>
      <c r="E86" s="18"/>
      <c r="F86" s="20"/>
      <c r="G86" s="20"/>
      <c r="H86" s="20"/>
      <c r="I86" s="20"/>
    </row>
    <row r="87" customFormat="false" ht="15" hidden="false" customHeight="false" outlineLevel="0" collapsed="false">
      <c r="A87" s="18"/>
      <c r="B87" s="20"/>
      <c r="C87" s="20"/>
      <c r="D87" s="20"/>
      <c r="E87" s="18"/>
      <c r="F87" s="20"/>
      <c r="G87" s="20"/>
      <c r="H87" s="20"/>
      <c r="I87" s="20"/>
    </row>
    <row r="88" customFormat="false" ht="15" hidden="false" customHeight="false" outlineLevel="0" collapsed="false">
      <c r="A88" s="18"/>
      <c r="B88" s="20"/>
      <c r="C88" s="20"/>
      <c r="D88" s="20"/>
      <c r="E88" s="18"/>
      <c r="F88" s="20"/>
      <c r="G88" s="20"/>
      <c r="H88" s="20"/>
      <c r="I88" s="20"/>
    </row>
    <row r="89" customFormat="false" ht="15" hidden="false" customHeight="false" outlineLevel="0" collapsed="false">
      <c r="A89" s="18"/>
      <c r="B89" s="20"/>
      <c r="C89" s="20"/>
      <c r="D89" s="20"/>
      <c r="E89" s="18"/>
      <c r="F89" s="20"/>
      <c r="G89" s="20"/>
      <c r="H89" s="20"/>
      <c r="I89" s="20"/>
    </row>
    <row r="90" customFormat="false" ht="15" hidden="false" customHeight="false" outlineLevel="0" collapsed="false">
      <c r="A90" s="18"/>
      <c r="B90" s="20"/>
      <c r="C90" s="20"/>
      <c r="D90" s="20"/>
      <c r="E90" s="18"/>
      <c r="F90" s="20"/>
      <c r="G90" s="20"/>
      <c r="H90" s="20"/>
      <c r="I90" s="20"/>
    </row>
    <row r="91" customFormat="false" ht="15" hidden="false" customHeight="false" outlineLevel="0" collapsed="false">
      <c r="A91" s="18"/>
      <c r="B91" s="20"/>
      <c r="C91" s="20"/>
      <c r="D91" s="20"/>
      <c r="E91" s="18"/>
      <c r="F91" s="20"/>
      <c r="G91" s="20"/>
      <c r="H91" s="20"/>
      <c r="I91" s="20"/>
    </row>
    <row r="92" customFormat="false" ht="15" hidden="false" customHeight="false" outlineLevel="0" collapsed="false">
      <c r="A92" s="18"/>
      <c r="B92" s="20"/>
      <c r="C92" s="20"/>
      <c r="D92" s="20"/>
      <c r="E92" s="18"/>
      <c r="F92" s="20"/>
      <c r="G92" s="20"/>
      <c r="H92" s="20"/>
      <c r="I92" s="20"/>
    </row>
    <row r="93" customFormat="false" ht="15" hidden="false" customHeight="false" outlineLevel="0" collapsed="false">
      <c r="A93" s="18"/>
      <c r="B93" s="20"/>
      <c r="C93" s="20"/>
      <c r="D93" s="20"/>
      <c r="E93" s="18"/>
      <c r="F93" s="20"/>
      <c r="G93" s="20"/>
      <c r="H93" s="20"/>
      <c r="I93" s="20"/>
    </row>
    <row r="94" customFormat="false" ht="15" hidden="false" customHeight="false" outlineLevel="0" collapsed="false">
      <c r="A94" s="18"/>
      <c r="B94" s="20"/>
      <c r="C94" s="20"/>
      <c r="D94" s="20"/>
      <c r="E94" s="18"/>
      <c r="F94" s="20"/>
      <c r="G94" s="20"/>
      <c r="H94" s="20"/>
      <c r="I94" s="20"/>
    </row>
    <row r="95" customFormat="false" ht="15" hidden="false" customHeight="false" outlineLevel="0" collapsed="false">
      <c r="A95" s="18"/>
      <c r="B95" s="20"/>
      <c r="C95" s="20"/>
      <c r="D95" s="20"/>
      <c r="E95" s="18"/>
      <c r="F95" s="20"/>
      <c r="G95" s="20"/>
      <c r="H95" s="20"/>
      <c r="I95" s="20"/>
    </row>
    <row r="96" customFormat="false" ht="15" hidden="false" customHeight="false" outlineLevel="0" collapsed="false">
      <c r="A96" s="18"/>
      <c r="B96" s="20"/>
      <c r="C96" s="20"/>
      <c r="D96" s="20"/>
      <c r="E96" s="18"/>
      <c r="F96" s="20"/>
      <c r="G96" s="20"/>
      <c r="H96" s="20"/>
      <c r="I96" s="20"/>
    </row>
    <row r="97" customFormat="false" ht="15" hidden="false" customHeight="false" outlineLevel="0" collapsed="false">
      <c r="A97" s="18"/>
      <c r="B97" s="20"/>
      <c r="C97" s="20"/>
      <c r="D97" s="20"/>
      <c r="E97" s="18"/>
      <c r="F97" s="20"/>
      <c r="G97" s="20"/>
      <c r="H97" s="20"/>
      <c r="I97" s="20"/>
    </row>
    <row r="98" customFormat="false" ht="15" hidden="false" customHeight="false" outlineLevel="0" collapsed="false">
      <c r="A98" s="18"/>
      <c r="B98" s="20"/>
      <c r="C98" s="20"/>
      <c r="D98" s="20"/>
      <c r="E98" s="18"/>
      <c r="F98" s="20"/>
      <c r="G98" s="20"/>
      <c r="H98" s="20"/>
      <c r="I98" s="20"/>
    </row>
    <row r="99" customFormat="false" ht="15" hidden="false" customHeight="false" outlineLevel="0" collapsed="false">
      <c r="A99" s="18"/>
      <c r="B99" s="20"/>
      <c r="C99" s="20"/>
      <c r="D99" s="20"/>
      <c r="E99" s="18"/>
      <c r="F99" s="20"/>
      <c r="G99" s="20"/>
      <c r="H99" s="20"/>
      <c r="I99" s="20"/>
    </row>
    <row r="100" customFormat="false" ht="15" hidden="false" customHeight="false" outlineLevel="0" collapsed="false">
      <c r="A100" s="18"/>
      <c r="B100" s="20"/>
      <c r="C100" s="20"/>
      <c r="D100" s="20"/>
      <c r="E100" s="18"/>
      <c r="F100" s="20"/>
      <c r="G100" s="20"/>
      <c r="H100" s="20"/>
      <c r="I100" s="20"/>
    </row>
    <row r="101" customFormat="false" ht="15" hidden="false" customHeight="false" outlineLevel="0" collapsed="false">
      <c r="A101" s="18"/>
      <c r="B101" s="20"/>
      <c r="C101" s="20"/>
      <c r="D101" s="20"/>
      <c r="E101" s="18"/>
      <c r="F101" s="20"/>
      <c r="G101" s="20"/>
      <c r="H101" s="20"/>
      <c r="I101" s="20"/>
    </row>
    <row r="102" customFormat="false" ht="15" hidden="false" customHeight="false" outlineLevel="0" collapsed="false">
      <c r="A102" s="18"/>
      <c r="B102" s="20"/>
      <c r="C102" s="20"/>
      <c r="D102" s="20"/>
      <c r="E102" s="18"/>
      <c r="F102" s="20"/>
      <c r="G102" s="20"/>
      <c r="H102" s="20"/>
      <c r="I102" s="20"/>
    </row>
    <row r="103" customFormat="false" ht="15" hidden="false" customHeight="false" outlineLevel="0" collapsed="false">
      <c r="A103" s="18"/>
      <c r="B103" s="20"/>
      <c r="C103" s="20"/>
      <c r="D103" s="20"/>
      <c r="E103" s="18"/>
      <c r="F103" s="20"/>
      <c r="G103" s="20"/>
      <c r="H103" s="20"/>
      <c r="I103" s="20"/>
    </row>
    <row r="104" customFormat="false" ht="15" hidden="false" customHeight="false" outlineLevel="0" collapsed="false">
      <c r="A104" s="18"/>
      <c r="B104" s="20"/>
      <c r="C104" s="20"/>
      <c r="D104" s="20"/>
      <c r="E104" s="18"/>
      <c r="F104" s="20"/>
      <c r="G104" s="20"/>
      <c r="H104" s="20"/>
      <c r="I104" s="20"/>
    </row>
    <row r="105" customFormat="false" ht="15" hidden="false" customHeight="false" outlineLevel="0" collapsed="false">
      <c r="A105" s="18"/>
      <c r="B105" s="20"/>
      <c r="C105" s="20"/>
      <c r="D105" s="20"/>
      <c r="E105" s="18"/>
      <c r="F105" s="20"/>
      <c r="G105" s="20"/>
      <c r="H105" s="20"/>
      <c r="I105" s="20"/>
    </row>
    <row r="106" customFormat="false" ht="15" hidden="false" customHeight="false" outlineLevel="0" collapsed="false">
      <c r="A106" s="18"/>
      <c r="B106" s="20"/>
      <c r="C106" s="20"/>
      <c r="D106" s="20"/>
      <c r="E106" s="18"/>
      <c r="F106" s="20"/>
      <c r="G106" s="20"/>
      <c r="H106" s="20"/>
      <c r="I106" s="20"/>
    </row>
    <row r="107" customFormat="false" ht="15" hidden="false" customHeight="false" outlineLevel="0" collapsed="false">
      <c r="A107" s="18"/>
      <c r="B107" s="20"/>
      <c r="C107" s="20"/>
      <c r="D107" s="20"/>
      <c r="E107" s="18"/>
      <c r="F107" s="20"/>
      <c r="G107" s="20"/>
      <c r="H107" s="20"/>
      <c r="I107" s="20"/>
    </row>
    <row r="108" customFormat="false" ht="15" hidden="false" customHeight="false" outlineLevel="0" collapsed="false">
      <c r="A108" s="18"/>
      <c r="B108" s="20"/>
      <c r="C108" s="20"/>
      <c r="D108" s="20"/>
      <c r="E108" s="18"/>
      <c r="F108" s="20"/>
      <c r="G108" s="20"/>
      <c r="H108" s="20"/>
      <c r="I108" s="20"/>
    </row>
    <row r="109" customFormat="false" ht="15" hidden="false" customHeight="false" outlineLevel="0" collapsed="false">
      <c r="A109" s="18"/>
      <c r="B109" s="20"/>
      <c r="C109" s="20"/>
      <c r="D109" s="20"/>
      <c r="E109" s="18"/>
      <c r="F109" s="20"/>
      <c r="G109" s="20"/>
      <c r="H109" s="20"/>
      <c r="I109" s="20"/>
    </row>
    <row r="110" customFormat="false" ht="15" hidden="false" customHeight="false" outlineLevel="0" collapsed="false">
      <c r="A110" s="18"/>
      <c r="B110" s="20"/>
      <c r="C110" s="20"/>
      <c r="D110" s="20"/>
      <c r="E110" s="18"/>
      <c r="F110" s="20"/>
      <c r="G110" s="20"/>
      <c r="H110" s="20"/>
      <c r="I110" s="20"/>
    </row>
    <row r="111" customFormat="false" ht="15" hidden="false" customHeight="false" outlineLevel="0" collapsed="false">
      <c r="A111" s="18"/>
      <c r="B111" s="20"/>
      <c r="C111" s="20"/>
      <c r="D111" s="20"/>
      <c r="E111" s="18"/>
      <c r="F111" s="20"/>
      <c r="G111" s="20"/>
      <c r="H111" s="20"/>
      <c r="I111" s="20"/>
    </row>
    <row r="112" customFormat="false" ht="15" hidden="false" customHeight="false" outlineLevel="0" collapsed="false">
      <c r="A112" s="18"/>
      <c r="B112" s="20"/>
      <c r="C112" s="20"/>
      <c r="D112" s="20"/>
      <c r="E112" s="18"/>
      <c r="F112" s="20"/>
      <c r="G112" s="20"/>
      <c r="H112" s="20"/>
      <c r="I112" s="20"/>
    </row>
    <row r="113" customFormat="false" ht="15" hidden="false" customHeight="false" outlineLevel="0" collapsed="false">
      <c r="A113" s="18"/>
      <c r="B113" s="20"/>
      <c r="C113" s="20"/>
      <c r="D113" s="20"/>
      <c r="E113" s="18"/>
      <c r="F113" s="20"/>
      <c r="G113" s="20"/>
      <c r="H113" s="20"/>
      <c r="I113" s="20"/>
    </row>
    <row r="114" customFormat="false" ht="15" hidden="false" customHeight="false" outlineLevel="0" collapsed="false">
      <c r="A114" s="18"/>
      <c r="B114" s="20"/>
      <c r="C114" s="20"/>
      <c r="D114" s="20"/>
      <c r="E114" s="18"/>
      <c r="F114" s="20"/>
      <c r="G114" s="20"/>
      <c r="H114" s="20"/>
      <c r="I114" s="20"/>
    </row>
    <row r="115" customFormat="false" ht="15" hidden="false" customHeight="false" outlineLevel="0" collapsed="false">
      <c r="A115" s="18"/>
      <c r="B115" s="20"/>
      <c r="C115" s="20"/>
      <c r="D115" s="20"/>
      <c r="E115" s="18"/>
      <c r="F115" s="20"/>
      <c r="G115" s="20"/>
      <c r="H115" s="20"/>
      <c r="I115" s="20"/>
    </row>
    <row r="116" customFormat="false" ht="15" hidden="false" customHeight="false" outlineLevel="0" collapsed="false">
      <c r="A116" s="18"/>
      <c r="B116" s="20"/>
      <c r="C116" s="20"/>
      <c r="D116" s="20"/>
      <c r="E116" s="18"/>
      <c r="F116" s="20"/>
      <c r="G116" s="20"/>
      <c r="H116" s="20"/>
      <c r="I116" s="20"/>
    </row>
    <row r="117" customFormat="false" ht="15" hidden="false" customHeight="false" outlineLevel="0" collapsed="false">
      <c r="A117" s="18"/>
      <c r="B117" s="20"/>
      <c r="C117" s="20"/>
      <c r="D117" s="20"/>
      <c r="E117" s="18"/>
      <c r="F117" s="20"/>
      <c r="G117" s="20"/>
      <c r="H117" s="20"/>
      <c r="I117" s="20"/>
    </row>
    <row r="118" customFormat="false" ht="15" hidden="false" customHeight="false" outlineLevel="0" collapsed="false">
      <c r="A118" s="18"/>
      <c r="B118" s="20"/>
      <c r="C118" s="20"/>
      <c r="D118" s="20"/>
      <c r="E118" s="18"/>
      <c r="F118" s="20"/>
      <c r="G118" s="20"/>
      <c r="H118" s="20"/>
      <c r="I118" s="20"/>
    </row>
    <row r="119" customFormat="false" ht="15" hidden="false" customHeight="false" outlineLevel="0" collapsed="false">
      <c r="A119" s="18"/>
      <c r="B119" s="20"/>
      <c r="C119" s="20"/>
      <c r="D119" s="20"/>
      <c r="E119" s="18"/>
      <c r="F119" s="20"/>
      <c r="G119" s="20"/>
      <c r="H119" s="20"/>
      <c r="I119" s="20"/>
    </row>
    <row r="120" customFormat="false" ht="15" hidden="false" customHeight="false" outlineLevel="0" collapsed="false">
      <c r="A120" s="18"/>
      <c r="B120" s="20"/>
      <c r="C120" s="20"/>
      <c r="D120" s="20"/>
      <c r="E120" s="18"/>
      <c r="F120" s="20"/>
      <c r="G120" s="20"/>
      <c r="H120" s="20"/>
      <c r="I120" s="20"/>
    </row>
    <row r="121" customFormat="false" ht="15" hidden="false" customHeight="false" outlineLevel="0" collapsed="false">
      <c r="A121" s="18"/>
      <c r="B121" s="20"/>
      <c r="C121" s="20"/>
      <c r="D121" s="20"/>
      <c r="E121" s="18"/>
      <c r="F121" s="20"/>
      <c r="G121" s="20"/>
      <c r="H121" s="20"/>
      <c r="I121" s="20"/>
    </row>
    <row r="122" customFormat="false" ht="15" hidden="false" customHeight="false" outlineLevel="0" collapsed="false">
      <c r="A122" s="18"/>
      <c r="B122" s="20"/>
      <c r="C122" s="20"/>
      <c r="D122" s="20"/>
      <c r="E122" s="18"/>
      <c r="F122" s="20"/>
      <c r="G122" s="20"/>
      <c r="H122" s="20"/>
      <c r="I122" s="20"/>
    </row>
    <row r="123" customFormat="false" ht="15" hidden="false" customHeight="false" outlineLevel="0" collapsed="false">
      <c r="A123" s="18"/>
      <c r="B123" s="20"/>
      <c r="C123" s="20"/>
      <c r="D123" s="20"/>
      <c r="E123" s="18"/>
      <c r="F123" s="20"/>
      <c r="G123" s="20"/>
      <c r="H123" s="20"/>
      <c r="I123" s="20"/>
    </row>
    <row r="124" customFormat="false" ht="15" hidden="false" customHeight="false" outlineLevel="0" collapsed="false">
      <c r="A124" s="18"/>
      <c r="B124" s="20"/>
      <c r="C124" s="20"/>
      <c r="D124" s="20"/>
      <c r="E124" s="18"/>
      <c r="F124" s="20"/>
      <c r="G124" s="20"/>
      <c r="H124" s="20"/>
      <c r="I124" s="20"/>
    </row>
    <row r="125" customFormat="false" ht="15" hidden="false" customHeight="false" outlineLevel="0" collapsed="false">
      <c r="A125" s="18"/>
      <c r="B125" s="20"/>
      <c r="C125" s="20"/>
      <c r="D125" s="20"/>
      <c r="E125" s="18"/>
      <c r="F125" s="20"/>
      <c r="G125" s="20"/>
      <c r="H125" s="20"/>
      <c r="I125" s="20"/>
    </row>
    <row r="126" customFormat="false" ht="15" hidden="false" customHeight="false" outlineLevel="0" collapsed="false">
      <c r="A126" s="18"/>
      <c r="B126" s="20"/>
      <c r="C126" s="20"/>
      <c r="D126" s="20"/>
      <c r="E126" s="18"/>
      <c r="F126" s="20"/>
      <c r="G126" s="20"/>
      <c r="H126" s="20"/>
      <c r="I126" s="20"/>
    </row>
    <row r="127" customFormat="false" ht="15" hidden="false" customHeight="false" outlineLevel="0" collapsed="false">
      <c r="A127" s="18"/>
      <c r="B127" s="20"/>
      <c r="C127" s="20"/>
      <c r="D127" s="20"/>
      <c r="E127" s="18"/>
      <c r="F127" s="20"/>
      <c r="G127" s="20"/>
      <c r="H127" s="20"/>
      <c r="I127" s="20"/>
    </row>
    <row r="128" customFormat="false" ht="15" hidden="false" customHeight="false" outlineLevel="0" collapsed="false">
      <c r="A128" s="18"/>
      <c r="B128" s="20"/>
      <c r="C128" s="20"/>
      <c r="D128" s="20"/>
      <c r="E128" s="18"/>
      <c r="F128" s="20"/>
      <c r="G128" s="20"/>
      <c r="H128" s="20"/>
      <c r="I128" s="20"/>
    </row>
    <row r="129" customFormat="false" ht="15" hidden="false" customHeight="false" outlineLevel="0" collapsed="false">
      <c r="A129" s="18"/>
      <c r="B129" s="20"/>
      <c r="C129" s="20"/>
      <c r="D129" s="20"/>
      <c r="E129" s="18"/>
      <c r="F129" s="20"/>
      <c r="G129" s="20"/>
      <c r="H129" s="20"/>
      <c r="I129" s="20"/>
    </row>
    <row r="130" customFormat="false" ht="15" hidden="false" customHeight="false" outlineLevel="0" collapsed="false">
      <c r="A130" s="18"/>
      <c r="B130" s="20"/>
      <c r="C130" s="20"/>
      <c r="D130" s="20"/>
      <c r="E130" s="18"/>
      <c r="F130" s="20"/>
      <c r="G130" s="20"/>
      <c r="H130" s="20"/>
      <c r="I130" s="20"/>
    </row>
    <row r="131" customFormat="false" ht="15" hidden="false" customHeight="false" outlineLevel="0" collapsed="false">
      <c r="A131" s="18"/>
      <c r="B131" s="20"/>
      <c r="C131" s="20"/>
      <c r="D131" s="20"/>
      <c r="E131" s="18"/>
      <c r="F131" s="20"/>
      <c r="G131" s="20"/>
      <c r="H131" s="20"/>
      <c r="I131" s="20"/>
    </row>
    <row r="132" customFormat="false" ht="15" hidden="false" customHeight="false" outlineLevel="0" collapsed="false">
      <c r="A132" s="18"/>
      <c r="B132" s="20"/>
      <c r="C132" s="20"/>
      <c r="D132" s="20"/>
      <c r="E132" s="18"/>
      <c r="F132" s="20"/>
      <c r="G132" s="20"/>
      <c r="H132" s="20"/>
      <c r="I132" s="20"/>
    </row>
    <row r="133" customFormat="false" ht="15" hidden="false" customHeight="false" outlineLevel="0" collapsed="false">
      <c r="A133" s="18"/>
      <c r="B133" s="20"/>
      <c r="C133" s="20"/>
      <c r="D133" s="20"/>
      <c r="E133" s="18"/>
      <c r="F133" s="20"/>
      <c r="G133" s="20"/>
      <c r="H133" s="20"/>
      <c r="I133" s="20"/>
    </row>
    <row r="134" customFormat="false" ht="15" hidden="false" customHeight="false" outlineLevel="0" collapsed="false">
      <c r="A134" s="18"/>
      <c r="B134" s="20"/>
      <c r="C134" s="20"/>
      <c r="D134" s="20"/>
      <c r="E134" s="18"/>
      <c r="F134" s="20"/>
      <c r="G134" s="20"/>
      <c r="H134" s="20"/>
      <c r="I134" s="20"/>
    </row>
    <row r="135" customFormat="false" ht="15" hidden="false" customHeight="false" outlineLevel="0" collapsed="false">
      <c r="A135" s="18"/>
      <c r="B135" s="20"/>
      <c r="C135" s="20"/>
      <c r="D135" s="20"/>
      <c r="E135" s="18"/>
      <c r="F135" s="20"/>
      <c r="G135" s="20"/>
      <c r="H135" s="20"/>
      <c r="I135" s="20"/>
    </row>
    <row r="136" customFormat="false" ht="15" hidden="false" customHeight="false" outlineLevel="0" collapsed="false">
      <c r="A136" s="18"/>
      <c r="B136" s="20"/>
      <c r="C136" s="20"/>
      <c r="D136" s="20"/>
      <c r="E136" s="18"/>
      <c r="F136" s="20"/>
      <c r="G136" s="20"/>
      <c r="H136" s="20"/>
      <c r="I136" s="20"/>
    </row>
    <row r="137" customFormat="false" ht="15" hidden="false" customHeight="false" outlineLevel="0" collapsed="false">
      <c r="A137" s="18"/>
      <c r="B137" s="20"/>
      <c r="C137" s="20"/>
      <c r="D137" s="20"/>
      <c r="E137" s="18"/>
      <c r="F137" s="20"/>
      <c r="G137" s="20"/>
      <c r="H137" s="20"/>
      <c r="I137" s="20"/>
    </row>
    <row r="138" customFormat="false" ht="15" hidden="false" customHeight="false" outlineLevel="0" collapsed="false">
      <c r="A138" s="18"/>
      <c r="B138" s="20"/>
      <c r="C138" s="20"/>
      <c r="D138" s="20"/>
      <c r="E138" s="18"/>
      <c r="F138" s="20"/>
      <c r="G138" s="20"/>
      <c r="H138" s="20"/>
      <c r="I138" s="20"/>
    </row>
    <row r="139" customFormat="false" ht="15" hidden="false" customHeight="false" outlineLevel="0" collapsed="false">
      <c r="A139" s="18"/>
      <c r="B139" s="20"/>
      <c r="C139" s="20"/>
      <c r="D139" s="20"/>
      <c r="E139" s="18"/>
      <c r="F139" s="20"/>
      <c r="G139" s="20"/>
      <c r="H139" s="20"/>
      <c r="I139" s="20"/>
    </row>
    <row r="140" customFormat="false" ht="15" hidden="false" customHeight="false" outlineLevel="0" collapsed="false">
      <c r="A140" s="18"/>
      <c r="B140" s="20"/>
      <c r="C140" s="20"/>
      <c r="D140" s="20"/>
      <c r="E140" s="18"/>
      <c r="F140" s="20"/>
      <c r="G140" s="20"/>
      <c r="H140" s="20"/>
      <c r="I140" s="20"/>
    </row>
    <row r="141" customFormat="false" ht="15" hidden="false" customHeight="false" outlineLevel="0" collapsed="false">
      <c r="A141" s="18"/>
      <c r="B141" s="20"/>
      <c r="C141" s="20"/>
      <c r="D141" s="20"/>
      <c r="E141" s="18"/>
      <c r="F141" s="20"/>
      <c r="G141" s="20"/>
      <c r="H141" s="20"/>
      <c r="I141" s="20"/>
    </row>
    <row r="142" customFormat="false" ht="15" hidden="false" customHeight="false" outlineLevel="0" collapsed="false">
      <c r="A142" s="18"/>
      <c r="B142" s="20"/>
      <c r="C142" s="20"/>
      <c r="D142" s="20"/>
      <c r="E142" s="18"/>
      <c r="F142" s="20"/>
      <c r="G142" s="20"/>
      <c r="H142" s="20"/>
      <c r="I142" s="20"/>
    </row>
    <row r="143" customFormat="false" ht="15" hidden="false" customHeight="false" outlineLevel="0" collapsed="false">
      <c r="A143" s="18"/>
      <c r="B143" s="20"/>
      <c r="C143" s="20"/>
      <c r="D143" s="20"/>
      <c r="E143" s="18"/>
      <c r="F143" s="20"/>
      <c r="G143" s="20"/>
      <c r="H143" s="20"/>
      <c r="I143" s="20"/>
    </row>
    <row r="144" customFormat="false" ht="15" hidden="false" customHeight="false" outlineLevel="0" collapsed="false">
      <c r="A144" s="18"/>
      <c r="B144" s="20"/>
      <c r="C144" s="20"/>
      <c r="D144" s="20"/>
      <c r="E144" s="18"/>
      <c r="F144" s="20"/>
      <c r="G144" s="20"/>
      <c r="H144" s="20"/>
      <c r="I144" s="20"/>
    </row>
    <row r="145" customFormat="false" ht="15" hidden="false" customHeight="false" outlineLevel="0" collapsed="false">
      <c r="A145" s="18"/>
      <c r="B145" s="20"/>
      <c r="C145" s="20"/>
      <c r="D145" s="20"/>
      <c r="E145" s="18"/>
      <c r="F145" s="20"/>
      <c r="G145" s="20"/>
      <c r="H145" s="20"/>
      <c r="I145" s="20"/>
    </row>
    <row r="146" customFormat="false" ht="15" hidden="false" customHeight="false" outlineLevel="0" collapsed="false">
      <c r="A146" s="18"/>
      <c r="B146" s="20"/>
      <c r="C146" s="20"/>
      <c r="D146" s="20"/>
      <c r="E146" s="18"/>
      <c r="F146" s="20"/>
      <c r="G146" s="20"/>
      <c r="H146" s="20"/>
      <c r="I146" s="20"/>
    </row>
    <row r="147" customFormat="false" ht="15" hidden="false" customHeight="false" outlineLevel="0" collapsed="false">
      <c r="A147" s="18"/>
      <c r="B147" s="20"/>
      <c r="C147" s="20"/>
      <c r="D147" s="20"/>
      <c r="E147" s="18"/>
      <c r="F147" s="20"/>
      <c r="G147" s="20"/>
      <c r="H147" s="20"/>
      <c r="I147" s="20"/>
    </row>
    <row r="148" customFormat="false" ht="15" hidden="false" customHeight="false" outlineLevel="0" collapsed="false">
      <c r="A148" s="18"/>
      <c r="B148" s="20"/>
      <c r="C148" s="20"/>
      <c r="D148" s="20"/>
      <c r="E148" s="18"/>
      <c r="F148" s="20"/>
      <c r="G148" s="20"/>
      <c r="H148" s="20"/>
      <c r="I148" s="20"/>
    </row>
    <row r="149" customFormat="false" ht="15" hidden="false" customHeight="false" outlineLevel="0" collapsed="false">
      <c r="A149" s="18"/>
      <c r="B149" s="20"/>
      <c r="C149" s="20"/>
      <c r="D149" s="20"/>
      <c r="E149" s="18"/>
      <c r="F149" s="20"/>
      <c r="G149" s="20"/>
      <c r="H149" s="20"/>
      <c r="I149" s="20"/>
    </row>
    <row r="150" customFormat="false" ht="15" hidden="false" customHeight="false" outlineLevel="0" collapsed="false">
      <c r="A150" s="18"/>
      <c r="B150" s="20"/>
      <c r="C150" s="20"/>
      <c r="D150" s="20"/>
      <c r="E150" s="18"/>
      <c r="F150" s="20"/>
      <c r="G150" s="20"/>
      <c r="H150" s="20"/>
      <c r="I150" s="20"/>
    </row>
    <row r="151" customFormat="false" ht="15" hidden="false" customHeight="false" outlineLevel="0" collapsed="false">
      <c r="A151" s="18"/>
      <c r="B151" s="20"/>
      <c r="C151" s="20"/>
      <c r="D151" s="20"/>
      <c r="E151" s="18"/>
      <c r="F151" s="20"/>
      <c r="G151" s="20"/>
      <c r="H151" s="20"/>
      <c r="I151" s="20"/>
    </row>
    <row r="152" customFormat="false" ht="15" hidden="false" customHeight="false" outlineLevel="0" collapsed="false">
      <c r="A152" s="18"/>
      <c r="B152" s="20"/>
      <c r="C152" s="20"/>
      <c r="D152" s="20"/>
      <c r="E152" s="18"/>
      <c r="F152" s="20"/>
      <c r="G152" s="20"/>
      <c r="H152" s="20"/>
      <c r="I152" s="20"/>
    </row>
    <row r="153" customFormat="false" ht="15" hidden="false" customHeight="false" outlineLevel="0" collapsed="false">
      <c r="A153" s="18"/>
      <c r="B153" s="20"/>
      <c r="C153" s="20"/>
      <c r="D153" s="20"/>
      <c r="E153" s="18"/>
      <c r="F153" s="20"/>
      <c r="G153" s="20"/>
      <c r="H153" s="20"/>
      <c r="I153" s="20"/>
    </row>
    <row r="154" customFormat="false" ht="15" hidden="false" customHeight="false" outlineLevel="0" collapsed="false">
      <c r="A154" s="18"/>
      <c r="B154" s="20"/>
      <c r="C154" s="20"/>
      <c r="D154" s="20"/>
      <c r="E154" s="18"/>
      <c r="F154" s="20"/>
      <c r="G154" s="20"/>
      <c r="H154" s="20"/>
      <c r="I154" s="20"/>
    </row>
    <row r="155" customFormat="false" ht="15" hidden="false" customHeight="false" outlineLevel="0" collapsed="false">
      <c r="A155" s="18"/>
      <c r="B155" s="20"/>
      <c r="C155" s="20"/>
      <c r="D155" s="20"/>
      <c r="E155" s="18"/>
      <c r="F155" s="20"/>
      <c r="G155" s="20"/>
      <c r="H155" s="20"/>
      <c r="I155" s="20"/>
    </row>
    <row r="156" customFormat="false" ht="15" hidden="false" customHeight="false" outlineLevel="0" collapsed="false">
      <c r="A156" s="18"/>
      <c r="B156" s="20"/>
      <c r="C156" s="20"/>
      <c r="D156" s="20"/>
      <c r="E156" s="18"/>
      <c r="F156" s="20"/>
      <c r="G156" s="20"/>
      <c r="H156" s="20"/>
      <c r="I156" s="20"/>
    </row>
    <row r="157" customFormat="false" ht="15" hidden="false" customHeight="false" outlineLevel="0" collapsed="false">
      <c r="A157" s="18"/>
      <c r="B157" s="20"/>
      <c r="C157" s="20"/>
      <c r="D157" s="20"/>
      <c r="E157" s="18"/>
      <c r="F157" s="20"/>
      <c r="G157" s="20"/>
      <c r="H157" s="20"/>
      <c r="I157" s="20"/>
    </row>
    <row r="158" customFormat="false" ht="15" hidden="false" customHeight="false" outlineLevel="0" collapsed="false">
      <c r="A158" s="18"/>
      <c r="B158" s="20"/>
      <c r="C158" s="20"/>
      <c r="D158" s="20"/>
      <c r="E158" s="18"/>
      <c r="F158" s="20"/>
      <c r="G158" s="20"/>
      <c r="H158" s="20"/>
      <c r="I158" s="20"/>
    </row>
    <row r="159" customFormat="false" ht="15" hidden="false" customHeight="false" outlineLevel="0" collapsed="false">
      <c r="A159" s="18"/>
      <c r="B159" s="20"/>
      <c r="C159" s="20"/>
      <c r="D159" s="20"/>
      <c r="E159" s="18"/>
      <c r="F159" s="20"/>
      <c r="G159" s="20"/>
      <c r="H159" s="20"/>
      <c r="I159" s="20"/>
    </row>
    <row r="160" customFormat="false" ht="15" hidden="false" customHeight="false" outlineLevel="0" collapsed="false">
      <c r="A160" s="18"/>
      <c r="B160" s="20"/>
      <c r="C160" s="20"/>
      <c r="D160" s="20"/>
      <c r="E160" s="18"/>
      <c r="F160" s="20"/>
      <c r="G160" s="20"/>
      <c r="H160" s="20"/>
      <c r="I160" s="20"/>
    </row>
    <row r="161" customFormat="false" ht="15" hidden="false" customHeight="false" outlineLevel="0" collapsed="false">
      <c r="A161" s="18"/>
      <c r="B161" s="20"/>
      <c r="C161" s="20"/>
      <c r="D161" s="20"/>
      <c r="E161" s="18"/>
      <c r="F161" s="20"/>
      <c r="G161" s="20"/>
      <c r="H161" s="20"/>
      <c r="I161" s="20"/>
    </row>
    <row r="162" customFormat="false" ht="15" hidden="false" customHeight="false" outlineLevel="0" collapsed="false">
      <c r="A162" s="18"/>
      <c r="B162" s="20"/>
      <c r="C162" s="20"/>
      <c r="D162" s="20"/>
      <c r="E162" s="18"/>
      <c r="F162" s="20"/>
      <c r="G162" s="20"/>
      <c r="H162" s="20"/>
      <c r="I162" s="20"/>
    </row>
    <row r="163" customFormat="false" ht="15" hidden="false" customHeight="false" outlineLevel="0" collapsed="false">
      <c r="A163" s="18"/>
      <c r="B163" s="20"/>
      <c r="C163" s="20"/>
      <c r="D163" s="20"/>
      <c r="E163" s="18"/>
      <c r="F163" s="20"/>
      <c r="G163" s="20"/>
      <c r="H163" s="20"/>
      <c r="I163" s="20"/>
    </row>
    <row r="164" customFormat="false" ht="15" hidden="false" customHeight="false" outlineLevel="0" collapsed="false">
      <c r="A164" s="18"/>
      <c r="B164" s="20"/>
      <c r="C164" s="20"/>
      <c r="D164" s="20"/>
      <c r="E164" s="18"/>
      <c r="F164" s="20"/>
      <c r="G164" s="20"/>
      <c r="H164" s="20"/>
      <c r="I164" s="20"/>
    </row>
    <row r="165" customFormat="false" ht="15" hidden="false" customHeight="false" outlineLevel="0" collapsed="false">
      <c r="A165" s="18"/>
      <c r="B165" s="20"/>
      <c r="C165" s="20"/>
      <c r="D165" s="20"/>
      <c r="E165" s="18"/>
      <c r="F165" s="20"/>
      <c r="G165" s="20"/>
      <c r="H165" s="20"/>
      <c r="I165" s="20"/>
    </row>
    <row r="166" customFormat="false" ht="15" hidden="false" customHeight="false" outlineLevel="0" collapsed="false">
      <c r="A166" s="18"/>
      <c r="B166" s="20"/>
      <c r="C166" s="20"/>
      <c r="D166" s="20"/>
      <c r="E166" s="18"/>
      <c r="F166" s="20"/>
      <c r="G166" s="20"/>
      <c r="H166" s="20"/>
      <c r="I166" s="20"/>
    </row>
    <row r="167" customFormat="false" ht="15" hidden="false" customHeight="false" outlineLevel="0" collapsed="false">
      <c r="A167" s="18"/>
      <c r="B167" s="20"/>
      <c r="C167" s="20"/>
      <c r="D167" s="20"/>
      <c r="E167" s="18"/>
      <c r="F167" s="20"/>
      <c r="G167" s="20"/>
      <c r="H167" s="20"/>
      <c r="I167" s="20"/>
    </row>
    <row r="168" customFormat="false" ht="15" hidden="false" customHeight="false" outlineLevel="0" collapsed="false">
      <c r="A168" s="18"/>
      <c r="B168" s="20"/>
      <c r="C168" s="20"/>
      <c r="D168" s="20"/>
      <c r="E168" s="18"/>
      <c r="F168" s="20"/>
      <c r="G168" s="20"/>
      <c r="H168" s="20"/>
      <c r="I168" s="20"/>
    </row>
    <row r="169" customFormat="false" ht="15" hidden="false" customHeight="false" outlineLevel="0" collapsed="false">
      <c r="A169" s="18"/>
      <c r="B169" s="20"/>
      <c r="C169" s="20"/>
      <c r="D169" s="20"/>
      <c r="E169" s="18"/>
      <c r="F169" s="20"/>
      <c r="G169" s="20"/>
      <c r="H169" s="20"/>
      <c r="I169" s="20"/>
    </row>
    <row r="170" customFormat="false" ht="15" hidden="false" customHeight="false" outlineLevel="0" collapsed="false">
      <c r="A170" s="18"/>
      <c r="B170" s="20"/>
      <c r="C170" s="20"/>
      <c r="D170" s="20"/>
      <c r="E170" s="18"/>
      <c r="F170" s="20"/>
      <c r="G170" s="20"/>
      <c r="H170" s="20"/>
      <c r="I170" s="20"/>
    </row>
    <row r="171" customFormat="false" ht="15" hidden="false" customHeight="false" outlineLevel="0" collapsed="false">
      <c r="A171" s="18"/>
      <c r="B171" s="20"/>
      <c r="C171" s="20"/>
      <c r="D171" s="20"/>
      <c r="E171" s="18"/>
      <c r="F171" s="20"/>
      <c r="G171" s="20"/>
      <c r="H171" s="20"/>
      <c r="I171" s="20"/>
    </row>
    <row r="172" customFormat="false" ht="15" hidden="false" customHeight="false" outlineLevel="0" collapsed="false">
      <c r="A172" s="18"/>
      <c r="B172" s="20"/>
      <c r="C172" s="20"/>
      <c r="D172" s="20"/>
      <c r="E172" s="18"/>
      <c r="F172" s="20"/>
      <c r="G172" s="20"/>
      <c r="H172" s="20"/>
      <c r="I172" s="20"/>
    </row>
    <row r="173" customFormat="false" ht="15" hidden="false" customHeight="false" outlineLevel="0" collapsed="false">
      <c r="A173" s="18"/>
      <c r="B173" s="20"/>
      <c r="C173" s="20"/>
      <c r="D173" s="20"/>
      <c r="E173" s="18"/>
      <c r="F173" s="20"/>
      <c r="G173" s="20"/>
      <c r="H173" s="20"/>
      <c r="I173" s="20"/>
    </row>
    <row r="174" customFormat="false" ht="15" hidden="false" customHeight="false" outlineLevel="0" collapsed="false">
      <c r="A174" s="18"/>
      <c r="B174" s="20"/>
      <c r="C174" s="20"/>
      <c r="D174" s="20"/>
      <c r="E174" s="18"/>
      <c r="F174" s="20"/>
      <c r="G174" s="20"/>
      <c r="H174" s="20"/>
      <c r="I174" s="20"/>
    </row>
    <row r="175" customFormat="false" ht="15" hidden="false" customHeight="false" outlineLevel="0" collapsed="false">
      <c r="A175" s="18"/>
      <c r="B175" s="20"/>
      <c r="C175" s="20"/>
      <c r="D175" s="20"/>
      <c r="E175" s="18"/>
      <c r="F175" s="20"/>
      <c r="G175" s="20"/>
      <c r="H175" s="20"/>
      <c r="I175" s="20"/>
    </row>
    <row r="176" customFormat="false" ht="15" hidden="false" customHeight="false" outlineLevel="0" collapsed="false">
      <c r="A176" s="18"/>
      <c r="B176" s="20"/>
      <c r="C176" s="20"/>
      <c r="D176" s="20"/>
      <c r="E176" s="18"/>
      <c r="F176" s="20"/>
      <c r="G176" s="20"/>
      <c r="H176" s="20"/>
      <c r="I176" s="20"/>
    </row>
    <row r="177" customFormat="false" ht="15" hidden="false" customHeight="false" outlineLevel="0" collapsed="false">
      <c r="A177" s="18"/>
      <c r="B177" s="20"/>
      <c r="C177" s="20"/>
      <c r="D177" s="20"/>
      <c r="E177" s="18"/>
      <c r="F177" s="20"/>
      <c r="G177" s="20"/>
      <c r="H177" s="20"/>
      <c r="I177" s="20"/>
    </row>
    <row r="178" customFormat="false" ht="15" hidden="false" customHeight="false" outlineLevel="0" collapsed="false">
      <c r="A178" s="18"/>
      <c r="B178" s="20"/>
      <c r="C178" s="20"/>
      <c r="D178" s="20"/>
      <c r="E178" s="18"/>
      <c r="F178" s="20"/>
      <c r="G178" s="20"/>
      <c r="H178" s="20"/>
      <c r="I178" s="20"/>
    </row>
    <row r="179" customFormat="false" ht="15" hidden="false" customHeight="false" outlineLevel="0" collapsed="false">
      <c r="A179" s="18"/>
      <c r="B179" s="20"/>
      <c r="C179" s="20"/>
      <c r="D179" s="20"/>
      <c r="E179" s="18"/>
      <c r="F179" s="20"/>
      <c r="G179" s="20"/>
      <c r="H179" s="20"/>
      <c r="I179" s="20"/>
    </row>
    <row r="180" customFormat="false" ht="15" hidden="false" customHeight="false" outlineLevel="0" collapsed="false">
      <c r="A180" s="18"/>
      <c r="B180" s="20"/>
      <c r="C180" s="20"/>
      <c r="D180" s="20"/>
      <c r="E180" s="18"/>
      <c r="F180" s="20"/>
      <c r="G180" s="20"/>
      <c r="H180" s="20"/>
      <c r="I180" s="20"/>
    </row>
    <row r="181" customFormat="false" ht="15" hidden="false" customHeight="false" outlineLevel="0" collapsed="false">
      <c r="A181" s="18"/>
      <c r="B181" s="20"/>
      <c r="C181" s="20"/>
      <c r="D181" s="20"/>
      <c r="E181" s="18"/>
      <c r="F181" s="20"/>
      <c r="G181" s="20"/>
      <c r="H181" s="20"/>
      <c r="I181" s="20"/>
    </row>
    <row r="182" customFormat="false" ht="15" hidden="false" customHeight="false" outlineLevel="0" collapsed="false">
      <c r="A182" s="18"/>
      <c r="B182" s="20"/>
      <c r="C182" s="20"/>
      <c r="D182" s="20"/>
      <c r="E182" s="18"/>
      <c r="F182" s="20"/>
      <c r="G182" s="20"/>
      <c r="H182" s="20"/>
      <c r="I182" s="20"/>
    </row>
    <row r="183" customFormat="false" ht="15" hidden="false" customHeight="false" outlineLevel="0" collapsed="false">
      <c r="A183" s="18"/>
      <c r="B183" s="20"/>
      <c r="C183" s="20"/>
      <c r="D183" s="20"/>
      <c r="E183" s="18"/>
      <c r="F183" s="20"/>
      <c r="G183" s="20"/>
      <c r="H183" s="20"/>
      <c r="I183" s="20"/>
    </row>
    <row r="184" customFormat="false" ht="15" hidden="false" customHeight="false" outlineLevel="0" collapsed="false">
      <c r="A184" s="18"/>
      <c r="B184" s="20"/>
      <c r="C184" s="20"/>
      <c r="D184" s="20"/>
      <c r="E184" s="18"/>
      <c r="F184" s="20"/>
      <c r="G184" s="20"/>
      <c r="H184" s="20"/>
      <c r="I184" s="20"/>
    </row>
    <row r="185" customFormat="false" ht="15" hidden="false" customHeight="false" outlineLevel="0" collapsed="false">
      <c r="A185" s="18"/>
      <c r="B185" s="20"/>
      <c r="C185" s="20"/>
      <c r="D185" s="20"/>
      <c r="E185" s="18"/>
      <c r="F185" s="20"/>
      <c r="G185" s="20"/>
      <c r="H185" s="20"/>
      <c r="I185" s="20"/>
    </row>
    <row r="186" customFormat="false" ht="15" hidden="false" customHeight="false" outlineLevel="0" collapsed="false">
      <c r="A186" s="18"/>
      <c r="B186" s="20"/>
      <c r="C186" s="20"/>
      <c r="D186" s="20"/>
      <c r="E186" s="18"/>
      <c r="F186" s="20"/>
      <c r="G186" s="20"/>
      <c r="H186" s="20"/>
      <c r="I186" s="20"/>
    </row>
    <row r="187" customFormat="false" ht="15" hidden="false" customHeight="false" outlineLevel="0" collapsed="false">
      <c r="A187" s="18"/>
      <c r="B187" s="20"/>
      <c r="C187" s="20"/>
      <c r="D187" s="20"/>
      <c r="E187" s="18"/>
      <c r="F187" s="20"/>
      <c r="G187" s="20"/>
      <c r="H187" s="20"/>
      <c r="I187" s="20"/>
    </row>
    <row r="188" customFormat="false" ht="15" hidden="false" customHeight="false" outlineLevel="0" collapsed="false">
      <c r="A188" s="18"/>
      <c r="B188" s="20"/>
      <c r="C188" s="20"/>
      <c r="D188" s="20"/>
      <c r="E188" s="18"/>
      <c r="F188" s="20"/>
      <c r="G188" s="20"/>
      <c r="H188" s="20"/>
      <c r="I188" s="20"/>
    </row>
    <row r="189" customFormat="false" ht="15" hidden="false" customHeight="false" outlineLevel="0" collapsed="false">
      <c r="A189" s="18"/>
      <c r="B189" s="20"/>
      <c r="C189" s="20"/>
      <c r="D189" s="20"/>
      <c r="E189" s="18"/>
      <c r="F189" s="20"/>
      <c r="G189" s="20"/>
      <c r="H189" s="20"/>
      <c r="I189" s="20"/>
    </row>
    <row r="190" customFormat="false" ht="15" hidden="false" customHeight="false" outlineLevel="0" collapsed="false">
      <c r="A190" s="18"/>
      <c r="B190" s="20"/>
      <c r="C190" s="20"/>
      <c r="D190" s="20"/>
      <c r="E190" s="18"/>
      <c r="F190" s="20"/>
      <c r="G190" s="20"/>
      <c r="H190" s="20"/>
      <c r="I190" s="20"/>
    </row>
    <row r="191" customFormat="false" ht="15" hidden="false" customHeight="false" outlineLevel="0" collapsed="false">
      <c r="A191" s="18"/>
      <c r="B191" s="20"/>
      <c r="C191" s="20"/>
      <c r="D191" s="20"/>
      <c r="E191" s="18"/>
      <c r="F191" s="20"/>
      <c r="G191" s="20"/>
      <c r="H191" s="20"/>
      <c r="I191" s="20"/>
    </row>
    <row r="192" customFormat="false" ht="15" hidden="false" customHeight="false" outlineLevel="0" collapsed="false">
      <c r="A192" s="18"/>
      <c r="B192" s="20"/>
      <c r="C192" s="20"/>
      <c r="D192" s="20"/>
      <c r="E192" s="18"/>
      <c r="F192" s="20"/>
      <c r="G192" s="20"/>
      <c r="H192" s="20"/>
      <c r="I192" s="20"/>
    </row>
    <row r="193" customFormat="false" ht="15" hidden="false" customHeight="false" outlineLevel="0" collapsed="false">
      <c r="A193" s="18"/>
      <c r="B193" s="20"/>
      <c r="C193" s="20"/>
      <c r="D193" s="20"/>
      <c r="E193" s="18"/>
      <c r="F193" s="20"/>
      <c r="G193" s="20"/>
      <c r="H193" s="20"/>
      <c r="I193" s="20"/>
    </row>
    <row r="194" customFormat="false" ht="15" hidden="false" customHeight="false" outlineLevel="0" collapsed="false">
      <c r="A194" s="18"/>
      <c r="B194" s="20"/>
      <c r="C194" s="20"/>
      <c r="D194" s="20"/>
      <c r="E194" s="18"/>
      <c r="F194" s="20"/>
      <c r="G194" s="20"/>
      <c r="H194" s="20"/>
      <c r="I194" s="20"/>
    </row>
    <row r="195" customFormat="false" ht="15" hidden="false" customHeight="false" outlineLevel="0" collapsed="false">
      <c r="A195" s="18"/>
      <c r="B195" s="20"/>
      <c r="C195" s="20"/>
      <c r="D195" s="20"/>
      <c r="E195" s="18"/>
      <c r="F195" s="20"/>
      <c r="G195" s="20"/>
      <c r="H195" s="20"/>
      <c r="I195" s="20"/>
    </row>
    <row r="196" customFormat="false" ht="15" hidden="false" customHeight="false" outlineLevel="0" collapsed="false">
      <c r="A196" s="18"/>
      <c r="B196" s="20"/>
      <c r="C196" s="20"/>
      <c r="D196" s="20"/>
      <c r="E196" s="18"/>
      <c r="F196" s="20"/>
      <c r="G196" s="20"/>
      <c r="H196" s="20"/>
      <c r="I196" s="20"/>
    </row>
    <row r="197" customFormat="false" ht="15" hidden="false" customHeight="false" outlineLevel="0" collapsed="false">
      <c r="A197" s="18"/>
      <c r="B197" s="20"/>
      <c r="C197" s="20"/>
      <c r="D197" s="20"/>
      <c r="E197" s="18"/>
      <c r="F197" s="20"/>
      <c r="G197" s="20"/>
      <c r="H197" s="20"/>
      <c r="I197" s="20"/>
    </row>
    <row r="198" customFormat="false" ht="15" hidden="false" customHeight="false" outlineLevel="0" collapsed="false">
      <c r="A198" s="18"/>
      <c r="B198" s="20"/>
      <c r="C198" s="20"/>
      <c r="D198" s="20"/>
      <c r="E198" s="18"/>
      <c r="F198" s="20"/>
      <c r="G198" s="20"/>
      <c r="H198" s="20"/>
      <c r="I198" s="20"/>
    </row>
    <row r="199" customFormat="false" ht="15" hidden="false" customHeight="false" outlineLevel="0" collapsed="false">
      <c r="A199" s="18"/>
      <c r="B199" s="20"/>
      <c r="C199" s="20"/>
      <c r="D199" s="20"/>
      <c r="E199" s="18"/>
      <c r="F199" s="20"/>
      <c r="G199" s="20"/>
      <c r="H199" s="20"/>
      <c r="I199" s="20"/>
    </row>
    <row r="200" customFormat="false" ht="15" hidden="false" customHeight="false" outlineLevel="0" collapsed="false">
      <c r="A200" s="18"/>
      <c r="B200" s="20"/>
      <c r="C200" s="20"/>
      <c r="D200" s="20"/>
      <c r="E200" s="18"/>
      <c r="F200" s="20"/>
      <c r="G200" s="20"/>
      <c r="H200" s="20"/>
      <c r="I200" s="20"/>
    </row>
    <row r="201" customFormat="false" ht="15" hidden="false" customHeight="false" outlineLevel="0" collapsed="false">
      <c r="A201" s="18"/>
      <c r="B201" s="20"/>
      <c r="C201" s="20"/>
      <c r="D201" s="20"/>
      <c r="E201" s="18"/>
      <c r="F201" s="20"/>
      <c r="G201" s="20"/>
      <c r="H201" s="20"/>
      <c r="I201" s="20"/>
    </row>
    <row r="202" customFormat="false" ht="15" hidden="false" customHeight="false" outlineLevel="0" collapsed="false">
      <c r="A202" s="18"/>
      <c r="B202" s="20"/>
      <c r="C202" s="20"/>
      <c r="D202" s="20"/>
      <c r="E202" s="18"/>
      <c r="F202" s="20"/>
      <c r="G202" s="20"/>
      <c r="H202" s="20"/>
      <c r="I202" s="20"/>
    </row>
    <row r="203" customFormat="false" ht="15" hidden="false" customHeight="false" outlineLevel="0" collapsed="false">
      <c r="A203" s="18"/>
      <c r="B203" s="20"/>
      <c r="C203" s="20"/>
      <c r="D203" s="20"/>
      <c r="E203" s="18"/>
      <c r="F203" s="20"/>
      <c r="G203" s="20"/>
      <c r="H203" s="20"/>
      <c r="I203" s="20"/>
    </row>
    <row r="204" customFormat="false" ht="15" hidden="false" customHeight="false" outlineLevel="0" collapsed="false">
      <c r="A204" s="18"/>
      <c r="B204" s="20"/>
      <c r="C204" s="20"/>
      <c r="D204" s="20"/>
      <c r="E204" s="18"/>
      <c r="F204" s="20"/>
      <c r="G204" s="20"/>
      <c r="H204" s="20"/>
      <c r="I204" s="20"/>
    </row>
    <row r="205" customFormat="false" ht="15" hidden="false" customHeight="false" outlineLevel="0" collapsed="false">
      <c r="A205" s="18"/>
      <c r="B205" s="20"/>
      <c r="C205" s="20"/>
      <c r="D205" s="20"/>
      <c r="E205" s="18"/>
      <c r="F205" s="20"/>
      <c r="G205" s="20"/>
      <c r="H205" s="20"/>
      <c r="I205" s="20"/>
    </row>
    <row r="206" customFormat="false" ht="15" hidden="false" customHeight="false" outlineLevel="0" collapsed="false">
      <c r="A206" s="18"/>
      <c r="B206" s="20"/>
      <c r="C206" s="20"/>
      <c r="D206" s="20"/>
      <c r="E206" s="18"/>
      <c r="F206" s="20"/>
      <c r="G206" s="20"/>
      <c r="H206" s="20"/>
      <c r="I206" s="20"/>
    </row>
    <row r="207" customFormat="false" ht="15" hidden="false" customHeight="false" outlineLevel="0" collapsed="false">
      <c r="A207" s="18"/>
      <c r="B207" s="20"/>
      <c r="C207" s="20"/>
      <c r="D207" s="20"/>
      <c r="E207" s="18"/>
      <c r="F207" s="20"/>
      <c r="G207" s="20"/>
      <c r="H207" s="20"/>
      <c r="I207" s="20"/>
    </row>
    <row r="208" customFormat="false" ht="15" hidden="false" customHeight="false" outlineLevel="0" collapsed="false">
      <c r="A208" s="18"/>
      <c r="B208" s="20"/>
      <c r="C208" s="20"/>
      <c r="D208" s="20"/>
      <c r="E208" s="18"/>
      <c r="F208" s="20"/>
      <c r="G208" s="20"/>
      <c r="H208" s="20"/>
      <c r="I208" s="20"/>
    </row>
    <row r="209" customFormat="false" ht="15" hidden="false" customHeight="false" outlineLevel="0" collapsed="false">
      <c r="A209" s="18"/>
      <c r="B209" s="20"/>
      <c r="C209" s="20"/>
      <c r="D209" s="20"/>
      <c r="E209" s="18"/>
      <c r="F209" s="20"/>
      <c r="G209" s="20"/>
      <c r="H209" s="20"/>
      <c r="I209" s="20"/>
    </row>
    <row r="210" customFormat="false" ht="15" hidden="false" customHeight="false" outlineLevel="0" collapsed="false">
      <c r="A210" s="18"/>
      <c r="B210" s="20"/>
      <c r="C210" s="20"/>
      <c r="D210" s="20"/>
      <c r="E210" s="18"/>
      <c r="F210" s="20"/>
      <c r="G210" s="20"/>
      <c r="H210" s="20"/>
      <c r="I210" s="20"/>
    </row>
    <row r="211" customFormat="false" ht="15" hidden="false" customHeight="false" outlineLevel="0" collapsed="false">
      <c r="A211" s="18"/>
      <c r="B211" s="20"/>
      <c r="C211" s="20"/>
      <c r="D211" s="20"/>
      <c r="E211" s="18"/>
      <c r="F211" s="20"/>
      <c r="G211" s="20"/>
      <c r="H211" s="20"/>
      <c r="I211" s="20"/>
    </row>
    <row r="212" customFormat="false" ht="15" hidden="false" customHeight="false" outlineLevel="0" collapsed="false">
      <c r="A212" s="18"/>
      <c r="B212" s="20"/>
      <c r="C212" s="20"/>
      <c r="D212" s="20"/>
      <c r="E212" s="18"/>
      <c r="F212" s="20"/>
      <c r="G212" s="20"/>
      <c r="H212" s="20"/>
      <c r="I212" s="20"/>
    </row>
    <row r="213" customFormat="false" ht="15" hidden="false" customHeight="false" outlineLevel="0" collapsed="false">
      <c r="A213" s="18"/>
      <c r="B213" s="20"/>
      <c r="C213" s="20"/>
      <c r="D213" s="20"/>
      <c r="E213" s="18"/>
      <c r="F213" s="20"/>
      <c r="G213" s="20"/>
      <c r="H213" s="20"/>
      <c r="I213" s="20"/>
    </row>
    <row r="214" customFormat="false" ht="15" hidden="false" customHeight="false" outlineLevel="0" collapsed="false">
      <c r="A214" s="18"/>
      <c r="B214" s="20"/>
      <c r="C214" s="20"/>
      <c r="D214" s="20"/>
      <c r="E214" s="18"/>
      <c r="F214" s="20"/>
      <c r="G214" s="20"/>
      <c r="H214" s="20"/>
      <c r="I214" s="20"/>
    </row>
    <row r="215" customFormat="false" ht="15" hidden="false" customHeight="false" outlineLevel="0" collapsed="false">
      <c r="A215" s="18"/>
      <c r="B215" s="20"/>
      <c r="C215" s="20"/>
      <c r="D215" s="20"/>
      <c r="E215" s="18"/>
      <c r="F215" s="20"/>
      <c r="G215" s="20"/>
      <c r="H215" s="20"/>
      <c r="I215" s="20"/>
    </row>
    <row r="216" customFormat="false" ht="15" hidden="false" customHeight="false" outlineLevel="0" collapsed="false">
      <c r="A216" s="18"/>
      <c r="B216" s="20"/>
      <c r="C216" s="20"/>
      <c r="D216" s="20"/>
      <c r="E216" s="18"/>
      <c r="F216" s="20"/>
      <c r="G216" s="20"/>
      <c r="H216" s="20"/>
      <c r="I216" s="20"/>
    </row>
    <row r="217" customFormat="false" ht="15" hidden="false" customHeight="false" outlineLevel="0" collapsed="false">
      <c r="A217" s="18"/>
      <c r="B217" s="20"/>
      <c r="C217" s="20"/>
      <c r="D217" s="20"/>
      <c r="E217" s="18"/>
      <c r="F217" s="20"/>
      <c r="G217" s="20"/>
      <c r="H217" s="20"/>
      <c r="I217" s="20"/>
    </row>
    <row r="218" customFormat="false" ht="15" hidden="false" customHeight="false" outlineLevel="0" collapsed="false">
      <c r="A218" s="18"/>
      <c r="B218" s="20"/>
      <c r="C218" s="20"/>
      <c r="D218" s="20"/>
      <c r="E218" s="18"/>
      <c r="F218" s="20"/>
      <c r="G218" s="20"/>
      <c r="H218" s="20"/>
      <c r="I218" s="20"/>
    </row>
    <row r="219" customFormat="false" ht="15" hidden="false" customHeight="false" outlineLevel="0" collapsed="false">
      <c r="A219" s="18"/>
      <c r="B219" s="20"/>
      <c r="C219" s="20"/>
      <c r="D219" s="20"/>
      <c r="E219" s="18"/>
      <c r="F219" s="20"/>
      <c r="G219" s="20"/>
      <c r="H219" s="20"/>
      <c r="I219" s="20"/>
    </row>
    <row r="220" customFormat="false" ht="15" hidden="false" customHeight="false" outlineLevel="0" collapsed="false">
      <c r="A220" s="18"/>
      <c r="B220" s="20"/>
      <c r="C220" s="20"/>
      <c r="D220" s="20"/>
      <c r="E220" s="18"/>
      <c r="F220" s="20"/>
      <c r="G220" s="20"/>
      <c r="H220" s="20"/>
      <c r="I220" s="20"/>
    </row>
    <row r="221" customFormat="false" ht="15" hidden="false" customHeight="false" outlineLevel="0" collapsed="false">
      <c r="A221" s="18"/>
      <c r="B221" s="20"/>
      <c r="C221" s="20"/>
      <c r="D221" s="20"/>
      <c r="E221" s="18"/>
      <c r="F221" s="20"/>
      <c r="G221" s="20"/>
      <c r="H221" s="20"/>
      <c r="I221" s="20"/>
    </row>
    <row r="222" customFormat="false" ht="15" hidden="false" customHeight="false" outlineLevel="0" collapsed="false">
      <c r="A222" s="18"/>
      <c r="B222" s="20"/>
      <c r="C222" s="20"/>
      <c r="D222" s="20"/>
      <c r="E222" s="18"/>
      <c r="F222" s="20"/>
      <c r="G222" s="20"/>
      <c r="H222" s="20"/>
      <c r="I222" s="20"/>
    </row>
    <row r="223" customFormat="false" ht="15" hidden="false" customHeight="false" outlineLevel="0" collapsed="false">
      <c r="A223" s="18"/>
      <c r="B223" s="20"/>
      <c r="C223" s="20"/>
      <c r="D223" s="20"/>
      <c r="E223" s="18"/>
      <c r="F223" s="20"/>
      <c r="G223" s="20"/>
      <c r="H223" s="20"/>
      <c r="I223" s="20"/>
    </row>
    <row r="224" customFormat="false" ht="15" hidden="false" customHeight="false" outlineLevel="0" collapsed="false">
      <c r="A224" s="18"/>
      <c r="B224" s="20"/>
      <c r="C224" s="20"/>
      <c r="D224" s="20"/>
      <c r="E224" s="18"/>
      <c r="F224" s="20"/>
      <c r="G224" s="20"/>
      <c r="H224" s="20"/>
      <c r="I224" s="20"/>
    </row>
    <row r="225" customFormat="false" ht="15" hidden="false" customHeight="false" outlineLevel="0" collapsed="false">
      <c r="A225" s="18"/>
      <c r="B225" s="20"/>
      <c r="C225" s="20"/>
      <c r="D225" s="20"/>
      <c r="E225" s="18"/>
      <c r="F225" s="20"/>
      <c r="G225" s="20"/>
      <c r="H225" s="20"/>
      <c r="I225" s="20"/>
    </row>
    <row r="226" customFormat="false" ht="15" hidden="false" customHeight="false" outlineLevel="0" collapsed="false">
      <c r="A226" s="18"/>
      <c r="B226" s="20"/>
      <c r="C226" s="20"/>
      <c r="D226" s="20"/>
      <c r="E226" s="18"/>
      <c r="F226" s="20"/>
      <c r="G226" s="20"/>
      <c r="H226" s="20"/>
      <c r="I226" s="20"/>
    </row>
    <row r="227" customFormat="false" ht="15" hidden="false" customHeight="false" outlineLevel="0" collapsed="false">
      <c r="A227" s="18"/>
      <c r="B227" s="20"/>
      <c r="C227" s="20"/>
      <c r="D227" s="20"/>
      <c r="E227" s="18"/>
      <c r="F227" s="20"/>
      <c r="G227" s="20"/>
      <c r="H227" s="20"/>
      <c r="I227" s="20"/>
    </row>
    <row r="228" customFormat="false" ht="15" hidden="false" customHeight="false" outlineLevel="0" collapsed="false">
      <c r="A228" s="18"/>
      <c r="B228" s="20"/>
      <c r="C228" s="20"/>
      <c r="D228" s="20"/>
      <c r="E228" s="18"/>
      <c r="F228" s="20"/>
      <c r="G228" s="20"/>
      <c r="H228" s="20"/>
      <c r="I228" s="20"/>
    </row>
    <row r="229" customFormat="false" ht="15" hidden="false" customHeight="false" outlineLevel="0" collapsed="false">
      <c r="A229" s="18"/>
      <c r="B229" s="20"/>
      <c r="C229" s="20"/>
      <c r="D229" s="20"/>
      <c r="E229" s="18"/>
      <c r="F229" s="20"/>
      <c r="G229" s="20"/>
      <c r="H229" s="20"/>
      <c r="I229" s="20"/>
    </row>
    <row r="230" customFormat="false" ht="15" hidden="false" customHeight="false" outlineLevel="0" collapsed="false">
      <c r="A230" s="18"/>
      <c r="B230" s="20"/>
      <c r="C230" s="20"/>
      <c r="D230" s="20"/>
      <c r="E230" s="18"/>
      <c r="F230" s="20"/>
      <c r="G230" s="20"/>
      <c r="H230" s="20"/>
      <c r="I230" s="20"/>
    </row>
    <row r="231" customFormat="false" ht="15" hidden="false" customHeight="false" outlineLevel="0" collapsed="false">
      <c r="A231" s="18"/>
      <c r="B231" s="20"/>
      <c r="C231" s="20"/>
      <c r="D231" s="20"/>
      <c r="E231" s="18"/>
      <c r="F231" s="20"/>
      <c r="G231" s="20"/>
      <c r="H231" s="20"/>
      <c r="I231" s="20"/>
    </row>
    <row r="232" customFormat="false" ht="15" hidden="false" customHeight="false" outlineLevel="0" collapsed="false">
      <c r="A232" s="18"/>
      <c r="B232" s="20"/>
      <c r="C232" s="20"/>
      <c r="D232" s="20"/>
      <c r="E232" s="18"/>
      <c r="F232" s="20"/>
      <c r="G232" s="20"/>
      <c r="H232" s="20"/>
      <c r="I232" s="20"/>
    </row>
    <row r="233" customFormat="false" ht="15" hidden="false" customHeight="false" outlineLevel="0" collapsed="false">
      <c r="A233" s="18"/>
      <c r="B233" s="20"/>
      <c r="C233" s="20"/>
      <c r="D233" s="20"/>
      <c r="E233" s="18"/>
      <c r="F233" s="20"/>
      <c r="G233" s="20"/>
      <c r="H233" s="20"/>
      <c r="I233" s="20"/>
    </row>
    <row r="234" customFormat="false" ht="15" hidden="false" customHeight="false" outlineLevel="0" collapsed="false">
      <c r="A234" s="18"/>
      <c r="B234" s="20"/>
      <c r="C234" s="20"/>
      <c r="D234" s="20"/>
      <c r="E234" s="18"/>
      <c r="F234" s="20"/>
      <c r="G234" s="20"/>
      <c r="H234" s="20"/>
      <c r="I234" s="20"/>
    </row>
    <row r="235" customFormat="false" ht="15" hidden="false" customHeight="false" outlineLevel="0" collapsed="false">
      <c r="A235" s="18"/>
      <c r="B235" s="20"/>
      <c r="C235" s="20"/>
      <c r="D235" s="20"/>
      <c r="E235" s="18"/>
      <c r="F235" s="20"/>
      <c r="G235" s="20"/>
      <c r="H235" s="20"/>
      <c r="I235" s="20"/>
    </row>
    <row r="236" customFormat="false" ht="15" hidden="false" customHeight="false" outlineLevel="0" collapsed="false">
      <c r="A236" s="18"/>
      <c r="B236" s="20"/>
      <c r="C236" s="20"/>
      <c r="D236" s="20"/>
      <c r="E236" s="18"/>
      <c r="F236" s="20"/>
      <c r="G236" s="20"/>
      <c r="H236" s="20"/>
      <c r="I236" s="20"/>
    </row>
    <row r="237" customFormat="false" ht="15" hidden="false" customHeight="false" outlineLevel="0" collapsed="false">
      <c r="A237" s="18"/>
      <c r="B237" s="20"/>
      <c r="C237" s="20"/>
      <c r="D237" s="20"/>
      <c r="E237" s="18"/>
      <c r="F237" s="20"/>
      <c r="G237" s="20"/>
      <c r="H237" s="20"/>
      <c r="I237" s="20"/>
    </row>
    <row r="238" customFormat="false" ht="15" hidden="false" customHeight="false" outlineLevel="0" collapsed="false">
      <c r="A238" s="18"/>
      <c r="B238" s="20"/>
      <c r="C238" s="20"/>
      <c r="D238" s="20"/>
      <c r="E238" s="18"/>
      <c r="F238" s="20"/>
      <c r="G238" s="20"/>
      <c r="H238" s="20"/>
      <c r="I238" s="20"/>
    </row>
    <row r="239" customFormat="false" ht="15" hidden="false" customHeight="false" outlineLevel="0" collapsed="false">
      <c r="A239" s="18"/>
      <c r="B239" s="20"/>
      <c r="C239" s="20"/>
      <c r="D239" s="20"/>
      <c r="E239" s="18"/>
      <c r="F239" s="20"/>
      <c r="G239" s="20"/>
      <c r="H239" s="20"/>
      <c r="I239" s="20"/>
    </row>
    <row r="240" customFormat="false" ht="15" hidden="false" customHeight="false" outlineLevel="0" collapsed="false">
      <c r="A240" s="18"/>
      <c r="B240" s="20"/>
      <c r="C240" s="20"/>
      <c r="D240" s="20"/>
      <c r="E240" s="18"/>
      <c r="F240" s="20"/>
      <c r="G240" s="20"/>
      <c r="H240" s="20"/>
      <c r="I240" s="20"/>
    </row>
    <row r="241" customFormat="false" ht="15" hidden="false" customHeight="false" outlineLevel="0" collapsed="false">
      <c r="A241" s="18"/>
      <c r="B241" s="20"/>
      <c r="C241" s="20"/>
      <c r="D241" s="20"/>
      <c r="E241" s="18"/>
      <c r="F241" s="20"/>
      <c r="G241" s="20"/>
      <c r="H241" s="20"/>
      <c r="I241" s="20"/>
    </row>
    <row r="242" customFormat="false" ht="15" hidden="false" customHeight="false" outlineLevel="0" collapsed="false">
      <c r="A242" s="18"/>
      <c r="B242" s="20"/>
      <c r="C242" s="20"/>
      <c r="D242" s="20"/>
      <c r="E242" s="18"/>
      <c r="F242" s="20"/>
      <c r="G242" s="20"/>
      <c r="H242" s="20"/>
      <c r="I242" s="20"/>
    </row>
    <row r="243" customFormat="false" ht="15" hidden="false" customHeight="false" outlineLevel="0" collapsed="false">
      <c r="A243" s="18"/>
      <c r="B243" s="20"/>
      <c r="C243" s="20"/>
      <c r="D243" s="20"/>
      <c r="E243" s="18"/>
      <c r="F243" s="20"/>
      <c r="G243" s="20"/>
      <c r="H243" s="20"/>
      <c r="I243" s="20"/>
    </row>
    <row r="244" customFormat="false" ht="15" hidden="false" customHeight="false" outlineLevel="0" collapsed="false">
      <c r="A244" s="18"/>
      <c r="B244" s="20"/>
      <c r="C244" s="20"/>
      <c r="D244" s="20"/>
      <c r="E244" s="18"/>
      <c r="F244" s="20"/>
      <c r="G244" s="20"/>
      <c r="H244" s="20"/>
      <c r="I244" s="20"/>
    </row>
    <row r="245" customFormat="false" ht="15" hidden="false" customHeight="false" outlineLevel="0" collapsed="false">
      <c r="A245" s="18"/>
      <c r="B245" s="20"/>
      <c r="C245" s="20"/>
      <c r="D245" s="20"/>
      <c r="E245" s="18"/>
      <c r="F245" s="20"/>
      <c r="G245" s="20"/>
      <c r="H245" s="20"/>
      <c r="I245" s="20"/>
    </row>
    <row r="246" customFormat="false" ht="15" hidden="false" customHeight="false" outlineLevel="0" collapsed="false">
      <c r="A246" s="18"/>
      <c r="B246" s="20"/>
      <c r="C246" s="20"/>
      <c r="D246" s="20"/>
      <c r="E246" s="18"/>
      <c r="F246" s="20"/>
      <c r="G246" s="20"/>
      <c r="H246" s="20"/>
      <c r="I246" s="20"/>
    </row>
    <row r="247" customFormat="false" ht="15" hidden="false" customHeight="false" outlineLevel="0" collapsed="false">
      <c r="A247" s="18"/>
      <c r="B247" s="20"/>
      <c r="C247" s="20"/>
      <c r="D247" s="20"/>
      <c r="E247" s="18"/>
      <c r="F247" s="20"/>
      <c r="G247" s="20"/>
      <c r="H247" s="20"/>
      <c r="I247" s="20"/>
    </row>
    <row r="248" customFormat="false" ht="15" hidden="false" customHeight="false" outlineLevel="0" collapsed="false">
      <c r="A248" s="18"/>
      <c r="B248" s="20"/>
      <c r="C248" s="20"/>
      <c r="D248" s="20"/>
      <c r="E248" s="18"/>
      <c r="F248" s="20"/>
      <c r="G248" s="20"/>
      <c r="H248" s="20"/>
      <c r="I248" s="20"/>
    </row>
    <row r="249" customFormat="false" ht="15" hidden="false" customHeight="false" outlineLevel="0" collapsed="false">
      <c r="A249" s="18"/>
      <c r="B249" s="20"/>
      <c r="C249" s="20"/>
      <c r="D249" s="20"/>
      <c r="E249" s="18"/>
      <c r="F249" s="20"/>
      <c r="G249" s="20"/>
      <c r="H249" s="20"/>
      <c r="I249" s="20"/>
    </row>
    <row r="250" customFormat="false" ht="15" hidden="false" customHeight="false" outlineLevel="0" collapsed="false">
      <c r="A250" s="18"/>
      <c r="B250" s="20"/>
      <c r="C250" s="20"/>
      <c r="D250" s="20"/>
      <c r="E250" s="18"/>
      <c r="F250" s="20"/>
      <c r="G250" s="20"/>
      <c r="H250" s="20"/>
      <c r="I250" s="20"/>
    </row>
    <row r="251" customFormat="false" ht="15" hidden="false" customHeight="false" outlineLevel="0" collapsed="false">
      <c r="A251" s="18"/>
      <c r="B251" s="20"/>
      <c r="C251" s="20"/>
      <c r="D251" s="20"/>
      <c r="E251" s="18"/>
      <c r="F251" s="20"/>
      <c r="G251" s="20"/>
      <c r="H251" s="20"/>
      <c r="I251" s="20"/>
    </row>
    <row r="252" customFormat="false" ht="15" hidden="false" customHeight="false" outlineLevel="0" collapsed="false">
      <c r="A252" s="18"/>
      <c r="B252" s="20"/>
      <c r="C252" s="20"/>
      <c r="D252" s="20"/>
      <c r="E252" s="18"/>
      <c r="F252" s="20"/>
      <c r="G252" s="20"/>
      <c r="H252" s="20"/>
      <c r="I252" s="20"/>
    </row>
    <row r="253" customFormat="false" ht="15" hidden="false" customHeight="false" outlineLevel="0" collapsed="false">
      <c r="A253" s="18"/>
      <c r="B253" s="20"/>
      <c r="C253" s="20"/>
      <c r="D253" s="20"/>
      <c r="E253" s="18"/>
      <c r="F253" s="20"/>
      <c r="G253" s="20"/>
      <c r="H253" s="20"/>
      <c r="I253" s="20"/>
    </row>
    <row r="254" customFormat="false" ht="15" hidden="false" customHeight="false" outlineLevel="0" collapsed="false">
      <c r="A254" s="18"/>
      <c r="B254" s="20"/>
      <c r="C254" s="20"/>
      <c r="D254" s="20"/>
      <c r="E254" s="18"/>
      <c r="F254" s="20"/>
      <c r="G254" s="20"/>
      <c r="H254" s="20"/>
      <c r="I254" s="20"/>
    </row>
    <row r="255" customFormat="false" ht="15" hidden="false" customHeight="false" outlineLevel="0" collapsed="false">
      <c r="A255" s="18"/>
      <c r="B255" s="20"/>
      <c r="C255" s="20"/>
      <c r="D255" s="20"/>
      <c r="E255" s="18"/>
      <c r="F255" s="20"/>
      <c r="G255" s="20"/>
      <c r="H255" s="20"/>
      <c r="I255" s="20"/>
    </row>
    <row r="256" customFormat="false" ht="15" hidden="false" customHeight="false" outlineLevel="0" collapsed="false">
      <c r="A256" s="18"/>
      <c r="B256" s="20"/>
      <c r="C256" s="20"/>
      <c r="D256" s="20"/>
      <c r="E256" s="18"/>
      <c r="F256" s="20"/>
      <c r="G256" s="20"/>
      <c r="H256" s="20"/>
      <c r="I256" s="20"/>
    </row>
    <row r="257" customFormat="false" ht="15" hidden="false" customHeight="false" outlineLevel="0" collapsed="false">
      <c r="A257" s="18"/>
      <c r="B257" s="20"/>
      <c r="C257" s="20"/>
      <c r="D257" s="20"/>
      <c r="E257" s="18"/>
      <c r="F257" s="20"/>
      <c r="G257" s="20"/>
      <c r="H257" s="20"/>
      <c r="I257" s="20"/>
    </row>
    <row r="258" customFormat="false" ht="15" hidden="false" customHeight="false" outlineLevel="0" collapsed="false">
      <c r="A258" s="18"/>
      <c r="B258" s="20"/>
      <c r="C258" s="20"/>
      <c r="D258" s="20"/>
      <c r="E258" s="18"/>
      <c r="F258" s="20"/>
      <c r="G258" s="20"/>
      <c r="H258" s="20"/>
      <c r="I258" s="20"/>
    </row>
    <row r="259" customFormat="false" ht="15" hidden="false" customHeight="false" outlineLevel="0" collapsed="false">
      <c r="A259" s="18"/>
      <c r="B259" s="20"/>
      <c r="C259" s="20"/>
      <c r="D259" s="20"/>
      <c r="E259" s="18"/>
      <c r="F259" s="20"/>
      <c r="G259" s="20"/>
      <c r="H259" s="20"/>
      <c r="I259" s="20"/>
    </row>
    <row r="260" customFormat="false" ht="15" hidden="false" customHeight="false" outlineLevel="0" collapsed="false">
      <c r="A260" s="18"/>
      <c r="B260" s="20"/>
      <c r="C260" s="20"/>
      <c r="D260" s="20"/>
      <c r="E260" s="18"/>
      <c r="F260" s="20"/>
      <c r="G260" s="20"/>
      <c r="H260" s="20"/>
      <c r="I260" s="20"/>
    </row>
    <row r="261" customFormat="false" ht="15" hidden="false" customHeight="false" outlineLevel="0" collapsed="false">
      <c r="A261" s="18"/>
      <c r="B261" s="20"/>
      <c r="C261" s="20"/>
      <c r="D261" s="20"/>
      <c r="E261" s="18"/>
      <c r="F261" s="20"/>
      <c r="G261" s="20"/>
      <c r="H261" s="20"/>
      <c r="I261" s="20"/>
    </row>
    <row r="262" customFormat="false" ht="15" hidden="false" customHeight="false" outlineLevel="0" collapsed="false">
      <c r="A262" s="18"/>
      <c r="B262" s="20"/>
      <c r="C262" s="20"/>
      <c r="D262" s="20"/>
      <c r="E262" s="18"/>
      <c r="F262" s="20"/>
      <c r="G262" s="20"/>
      <c r="H262" s="20"/>
      <c r="I262" s="20"/>
    </row>
    <row r="263" customFormat="false" ht="15" hidden="false" customHeight="false" outlineLevel="0" collapsed="false">
      <c r="A263" s="18"/>
      <c r="B263" s="20"/>
      <c r="C263" s="20"/>
      <c r="D263" s="20"/>
      <c r="E263" s="18"/>
      <c r="F263" s="20"/>
      <c r="G263" s="20"/>
      <c r="H263" s="20"/>
      <c r="I263" s="20"/>
    </row>
    <row r="264" customFormat="false" ht="15" hidden="false" customHeight="false" outlineLevel="0" collapsed="false">
      <c r="A264" s="18"/>
      <c r="B264" s="20"/>
      <c r="C264" s="20"/>
      <c r="D264" s="20"/>
      <c r="E264" s="18"/>
      <c r="F264" s="20"/>
      <c r="G264" s="20"/>
      <c r="H264" s="20"/>
      <c r="I264" s="20"/>
    </row>
    <row r="265" customFormat="false" ht="15" hidden="false" customHeight="false" outlineLevel="0" collapsed="false">
      <c r="A265" s="18"/>
      <c r="B265" s="20"/>
      <c r="C265" s="20"/>
      <c r="D265" s="20"/>
      <c r="E265" s="18"/>
      <c r="F265" s="20"/>
      <c r="G265" s="20"/>
      <c r="H265" s="20"/>
      <c r="I265" s="20"/>
    </row>
    <row r="266" customFormat="false" ht="15" hidden="false" customHeight="false" outlineLevel="0" collapsed="false">
      <c r="A266" s="18"/>
      <c r="B266" s="20"/>
      <c r="C266" s="20"/>
      <c r="D266" s="20"/>
      <c r="E266" s="18"/>
      <c r="F266" s="20"/>
      <c r="G266" s="20"/>
      <c r="H266" s="20"/>
      <c r="I266" s="20"/>
    </row>
    <row r="267" customFormat="false" ht="15" hidden="false" customHeight="false" outlineLevel="0" collapsed="false">
      <c r="A267" s="18"/>
      <c r="B267" s="20"/>
      <c r="C267" s="20"/>
      <c r="D267" s="20"/>
      <c r="E267" s="18"/>
      <c r="F267" s="20"/>
      <c r="G267" s="20"/>
      <c r="H267" s="20"/>
      <c r="I267" s="20"/>
    </row>
    <row r="268" customFormat="false" ht="15" hidden="false" customHeight="false" outlineLevel="0" collapsed="false">
      <c r="A268" s="18"/>
      <c r="B268" s="20"/>
      <c r="C268" s="20"/>
      <c r="D268" s="20"/>
      <c r="E268" s="18"/>
      <c r="F268" s="20"/>
      <c r="G268" s="20"/>
      <c r="H268" s="20"/>
      <c r="I268" s="20"/>
    </row>
    <row r="269" customFormat="false" ht="15" hidden="false" customHeight="false" outlineLevel="0" collapsed="false">
      <c r="A269" s="18"/>
      <c r="B269" s="20"/>
      <c r="C269" s="20"/>
      <c r="D269" s="20"/>
      <c r="E269" s="18"/>
      <c r="F269" s="20"/>
      <c r="G269" s="20"/>
      <c r="H269" s="20"/>
      <c r="I269" s="20"/>
    </row>
    <row r="270" customFormat="false" ht="15" hidden="false" customHeight="false" outlineLevel="0" collapsed="false">
      <c r="A270" s="18"/>
      <c r="B270" s="20"/>
      <c r="C270" s="20"/>
      <c r="D270" s="20"/>
      <c r="E270" s="18"/>
      <c r="F270" s="20"/>
      <c r="G270" s="20"/>
      <c r="H270" s="20"/>
      <c r="I270" s="20"/>
    </row>
    <row r="271" customFormat="false" ht="15" hidden="false" customHeight="false" outlineLevel="0" collapsed="false">
      <c r="A271" s="18"/>
      <c r="B271" s="20"/>
      <c r="C271" s="20"/>
      <c r="D271" s="20"/>
      <c r="E271" s="18"/>
      <c r="F271" s="20"/>
      <c r="G271" s="20"/>
      <c r="H271" s="20"/>
      <c r="I271" s="20"/>
    </row>
    <row r="272" customFormat="false" ht="15" hidden="false" customHeight="false" outlineLevel="0" collapsed="false">
      <c r="A272" s="18"/>
      <c r="B272" s="20"/>
      <c r="C272" s="20"/>
      <c r="D272" s="20"/>
      <c r="E272" s="18"/>
      <c r="F272" s="20"/>
      <c r="G272" s="20"/>
      <c r="H272" s="20"/>
      <c r="I272" s="20"/>
    </row>
    <row r="273" customFormat="false" ht="15" hidden="false" customHeight="false" outlineLevel="0" collapsed="false">
      <c r="A273" s="18"/>
      <c r="B273" s="20"/>
      <c r="C273" s="20"/>
      <c r="D273" s="20"/>
      <c r="E273" s="18"/>
      <c r="F273" s="20"/>
      <c r="G273" s="20"/>
      <c r="H273" s="20"/>
      <c r="I273" s="20"/>
    </row>
    <row r="274" customFormat="false" ht="15" hidden="false" customHeight="false" outlineLevel="0" collapsed="false">
      <c r="A274" s="18"/>
      <c r="B274" s="20"/>
      <c r="C274" s="20"/>
      <c r="D274" s="20"/>
      <c r="E274" s="18"/>
      <c r="F274" s="20"/>
      <c r="G274" s="20"/>
      <c r="H274" s="20"/>
      <c r="I274" s="20"/>
    </row>
    <row r="275" customFormat="false" ht="15" hidden="false" customHeight="false" outlineLevel="0" collapsed="false">
      <c r="A275" s="18"/>
      <c r="B275" s="20"/>
      <c r="C275" s="20"/>
      <c r="D275" s="20"/>
      <c r="E275" s="18"/>
      <c r="F275" s="20"/>
      <c r="G275" s="20"/>
      <c r="H275" s="20"/>
      <c r="I275" s="20"/>
    </row>
    <row r="276" customFormat="false" ht="15" hidden="false" customHeight="false" outlineLevel="0" collapsed="false">
      <c r="A276" s="18"/>
      <c r="B276" s="20"/>
      <c r="C276" s="20"/>
      <c r="D276" s="20"/>
      <c r="E276" s="18"/>
      <c r="F276" s="20"/>
      <c r="G276" s="20"/>
      <c r="H276" s="20"/>
      <c r="I276" s="20"/>
    </row>
    <row r="277" customFormat="false" ht="15" hidden="false" customHeight="false" outlineLevel="0" collapsed="false">
      <c r="A277" s="18"/>
      <c r="B277" s="20"/>
      <c r="C277" s="20"/>
      <c r="D277" s="20"/>
      <c r="E277" s="18"/>
      <c r="F277" s="20"/>
      <c r="G277" s="20"/>
      <c r="H277" s="20"/>
      <c r="I277" s="20"/>
    </row>
    <row r="278" customFormat="false" ht="15" hidden="false" customHeight="false" outlineLevel="0" collapsed="false">
      <c r="A278" s="18"/>
      <c r="B278" s="20"/>
      <c r="C278" s="20"/>
      <c r="D278" s="20"/>
      <c r="E278" s="18"/>
      <c r="F278" s="20"/>
      <c r="G278" s="20"/>
      <c r="H278" s="20"/>
      <c r="I278" s="20"/>
    </row>
    <row r="279" customFormat="false" ht="15" hidden="false" customHeight="false" outlineLevel="0" collapsed="false">
      <c r="A279" s="18"/>
      <c r="B279" s="20"/>
      <c r="C279" s="20"/>
      <c r="D279" s="20"/>
      <c r="E279" s="18"/>
      <c r="F279" s="20"/>
      <c r="G279" s="20"/>
      <c r="H279" s="20"/>
      <c r="I279" s="20"/>
    </row>
    <row r="280" customFormat="false" ht="15" hidden="false" customHeight="false" outlineLevel="0" collapsed="false">
      <c r="A280" s="18"/>
      <c r="B280" s="20"/>
      <c r="C280" s="20"/>
      <c r="D280" s="20"/>
      <c r="E280" s="18"/>
      <c r="F280" s="20"/>
      <c r="G280" s="20"/>
      <c r="H280" s="20"/>
      <c r="I280" s="20"/>
    </row>
    <row r="281" customFormat="false" ht="15" hidden="false" customHeight="false" outlineLevel="0" collapsed="false">
      <c r="A281" s="18"/>
      <c r="B281" s="20"/>
      <c r="C281" s="20"/>
      <c r="D281" s="20"/>
      <c r="E281" s="18"/>
      <c r="F281" s="20"/>
      <c r="G281" s="20"/>
      <c r="H281" s="20"/>
      <c r="I281" s="20"/>
    </row>
    <row r="282" customFormat="false" ht="15" hidden="false" customHeight="false" outlineLevel="0" collapsed="false">
      <c r="A282" s="18"/>
      <c r="B282" s="20"/>
      <c r="C282" s="20"/>
      <c r="D282" s="20"/>
      <c r="E282" s="18"/>
      <c r="F282" s="20"/>
      <c r="G282" s="20"/>
      <c r="H282" s="20"/>
      <c r="I282" s="20"/>
    </row>
    <row r="283" customFormat="false" ht="15" hidden="false" customHeight="false" outlineLevel="0" collapsed="false">
      <c r="A283" s="18"/>
      <c r="B283" s="20"/>
      <c r="C283" s="20"/>
      <c r="D283" s="20"/>
      <c r="E283" s="18"/>
      <c r="F283" s="20"/>
      <c r="G283" s="20"/>
      <c r="H283" s="20"/>
      <c r="I283" s="20"/>
    </row>
    <row r="284" customFormat="false" ht="15" hidden="false" customHeight="false" outlineLevel="0" collapsed="false">
      <c r="A284" s="18"/>
      <c r="B284" s="20"/>
      <c r="C284" s="20"/>
      <c r="D284" s="20"/>
      <c r="E284" s="18"/>
      <c r="F284" s="20"/>
      <c r="G284" s="20"/>
      <c r="H284" s="20"/>
      <c r="I284" s="20"/>
    </row>
    <row r="285" customFormat="false" ht="15" hidden="false" customHeight="false" outlineLevel="0" collapsed="false">
      <c r="A285" s="18"/>
      <c r="B285" s="20"/>
      <c r="C285" s="20"/>
      <c r="D285" s="20"/>
      <c r="E285" s="18"/>
      <c r="F285" s="20"/>
      <c r="G285" s="20"/>
      <c r="H285" s="20"/>
      <c r="I285" s="20"/>
    </row>
    <row r="286" customFormat="false" ht="15" hidden="false" customHeight="false" outlineLevel="0" collapsed="false">
      <c r="A286" s="18"/>
      <c r="B286" s="20"/>
      <c r="C286" s="20"/>
      <c r="D286" s="20"/>
      <c r="E286" s="18"/>
      <c r="F286" s="20"/>
      <c r="G286" s="20"/>
      <c r="H286" s="20"/>
      <c r="I286" s="20"/>
    </row>
    <row r="287" customFormat="false" ht="15" hidden="false" customHeight="false" outlineLevel="0" collapsed="false">
      <c r="A287" s="18"/>
      <c r="B287" s="20"/>
      <c r="C287" s="20"/>
      <c r="D287" s="20"/>
      <c r="E287" s="18"/>
      <c r="F287" s="20"/>
      <c r="G287" s="20"/>
      <c r="H287" s="20"/>
      <c r="I287" s="20"/>
    </row>
    <row r="288" customFormat="false" ht="15" hidden="false" customHeight="false" outlineLevel="0" collapsed="false">
      <c r="A288" s="18"/>
      <c r="B288" s="20"/>
      <c r="C288" s="20"/>
      <c r="D288" s="20"/>
      <c r="E288" s="18"/>
      <c r="F288" s="20"/>
      <c r="G288" s="20"/>
      <c r="H288" s="20"/>
      <c r="I288" s="20"/>
    </row>
    <row r="289" customFormat="false" ht="15" hidden="false" customHeight="false" outlineLevel="0" collapsed="false">
      <c r="A289" s="18"/>
      <c r="B289" s="20"/>
      <c r="C289" s="20"/>
      <c r="D289" s="20"/>
      <c r="E289" s="18"/>
      <c r="F289" s="20"/>
      <c r="G289" s="20"/>
      <c r="H289" s="20"/>
      <c r="I289" s="20"/>
    </row>
    <row r="290" customFormat="false" ht="15" hidden="false" customHeight="false" outlineLevel="0" collapsed="false">
      <c r="A290" s="18"/>
      <c r="B290" s="20"/>
      <c r="C290" s="20"/>
      <c r="D290" s="20"/>
      <c r="E290" s="18"/>
      <c r="F290" s="20"/>
      <c r="G290" s="20"/>
      <c r="H290" s="20"/>
      <c r="I290" s="20"/>
    </row>
    <row r="291" customFormat="false" ht="15" hidden="false" customHeight="false" outlineLevel="0" collapsed="false">
      <c r="A291" s="18"/>
      <c r="B291" s="20"/>
      <c r="C291" s="20"/>
      <c r="D291" s="20"/>
      <c r="E291" s="18"/>
      <c r="F291" s="20"/>
      <c r="G291" s="20"/>
      <c r="H291" s="20"/>
      <c r="I291" s="20"/>
    </row>
    <row r="292" customFormat="false" ht="15" hidden="false" customHeight="false" outlineLevel="0" collapsed="false">
      <c r="A292" s="18"/>
      <c r="B292" s="20"/>
      <c r="C292" s="20"/>
      <c r="D292" s="20"/>
      <c r="E292" s="18"/>
      <c r="F292" s="20"/>
      <c r="G292" s="20"/>
      <c r="H292" s="20"/>
      <c r="I292" s="20"/>
    </row>
    <row r="293" customFormat="false" ht="15" hidden="false" customHeight="false" outlineLevel="0" collapsed="false">
      <c r="A293" s="18"/>
      <c r="B293" s="20"/>
      <c r="C293" s="20"/>
      <c r="D293" s="20"/>
      <c r="E293" s="18"/>
      <c r="F293" s="20"/>
      <c r="G293" s="20"/>
      <c r="H293" s="20"/>
      <c r="I293" s="20"/>
    </row>
    <row r="294" customFormat="false" ht="15" hidden="false" customHeight="false" outlineLevel="0" collapsed="false">
      <c r="A294" s="18"/>
      <c r="B294" s="20"/>
      <c r="C294" s="20"/>
      <c r="D294" s="20"/>
      <c r="E294" s="18"/>
      <c r="F294" s="20"/>
      <c r="G294" s="20"/>
      <c r="H294" s="20"/>
      <c r="I294" s="20"/>
    </row>
    <row r="295" customFormat="false" ht="15" hidden="false" customHeight="false" outlineLevel="0" collapsed="false">
      <c r="A295" s="18"/>
      <c r="B295" s="20"/>
      <c r="C295" s="20"/>
      <c r="D295" s="20"/>
      <c r="E295" s="18"/>
      <c r="F295" s="20"/>
      <c r="G295" s="20"/>
      <c r="H295" s="20"/>
      <c r="I295" s="20"/>
    </row>
    <row r="296" customFormat="false" ht="15" hidden="false" customHeight="false" outlineLevel="0" collapsed="false">
      <c r="A296" s="18"/>
      <c r="B296" s="20"/>
      <c r="C296" s="20"/>
      <c r="D296" s="20"/>
      <c r="E296" s="18"/>
      <c r="F296" s="20"/>
      <c r="G296" s="20"/>
      <c r="H296" s="20"/>
      <c r="I296" s="20"/>
    </row>
    <row r="297" customFormat="false" ht="15" hidden="false" customHeight="false" outlineLevel="0" collapsed="false">
      <c r="A297" s="18"/>
      <c r="B297" s="20"/>
      <c r="C297" s="20"/>
      <c r="D297" s="20"/>
      <c r="E297" s="18"/>
      <c r="F297" s="20"/>
      <c r="G297" s="20"/>
      <c r="H297" s="20"/>
      <c r="I297" s="20"/>
    </row>
    <row r="298" customFormat="false" ht="15" hidden="false" customHeight="false" outlineLevel="0" collapsed="false">
      <c r="A298" s="18"/>
      <c r="B298" s="20"/>
      <c r="C298" s="20"/>
      <c r="D298" s="20"/>
      <c r="E298" s="18"/>
      <c r="F298" s="20"/>
      <c r="G298" s="20"/>
      <c r="H298" s="20"/>
      <c r="I298" s="20"/>
    </row>
    <row r="299" customFormat="false" ht="15" hidden="false" customHeight="false" outlineLevel="0" collapsed="false">
      <c r="A299" s="18"/>
      <c r="B299" s="20"/>
      <c r="C299" s="20"/>
      <c r="D299" s="20"/>
      <c r="E299" s="18"/>
      <c r="F299" s="20"/>
      <c r="G299" s="20"/>
      <c r="H299" s="20"/>
      <c r="I299" s="20"/>
    </row>
    <row r="300" customFormat="false" ht="15" hidden="false" customHeight="false" outlineLevel="0" collapsed="false">
      <c r="A300" s="18"/>
      <c r="B300" s="20"/>
      <c r="C300" s="20"/>
      <c r="D300" s="20"/>
      <c r="E300" s="18"/>
      <c r="F300" s="20"/>
      <c r="G300" s="20"/>
      <c r="H300" s="20"/>
      <c r="I300" s="20"/>
    </row>
    <row r="301" customFormat="false" ht="15" hidden="false" customHeight="false" outlineLevel="0" collapsed="false">
      <c r="A301" s="18"/>
      <c r="B301" s="20"/>
      <c r="C301" s="20"/>
      <c r="D301" s="20"/>
      <c r="E301" s="18"/>
      <c r="F301" s="20"/>
      <c r="G301" s="20"/>
      <c r="H301" s="20"/>
      <c r="I301" s="20"/>
    </row>
    <row r="302" customFormat="false" ht="15" hidden="false" customHeight="false" outlineLevel="0" collapsed="false">
      <c r="A302" s="18"/>
      <c r="B302" s="20"/>
      <c r="C302" s="20"/>
      <c r="D302" s="20"/>
      <c r="E302" s="18"/>
      <c r="F302" s="20"/>
      <c r="G302" s="20"/>
      <c r="H302" s="20"/>
      <c r="I302" s="20"/>
    </row>
    <row r="303" customFormat="false" ht="15" hidden="false" customHeight="false" outlineLevel="0" collapsed="false">
      <c r="A303" s="18"/>
      <c r="B303" s="20"/>
      <c r="C303" s="20"/>
      <c r="D303" s="20"/>
      <c r="E303" s="18"/>
      <c r="F303" s="20"/>
      <c r="G303" s="20"/>
      <c r="H303" s="20"/>
      <c r="I303" s="20"/>
    </row>
    <row r="304" customFormat="false" ht="15" hidden="false" customHeight="false" outlineLevel="0" collapsed="false">
      <c r="A304" s="18"/>
      <c r="B304" s="20"/>
      <c r="C304" s="20"/>
      <c r="D304" s="20"/>
      <c r="E304" s="18"/>
      <c r="F304" s="20"/>
      <c r="G304" s="20"/>
      <c r="H304" s="20"/>
      <c r="I304" s="20"/>
    </row>
  </sheetData>
  <autoFilter ref="A4:I304"/>
  <dataValidations count="1">
    <dataValidation allowBlank="true" errorStyle="stop" operator="between" showDropDown="false" showErrorMessage="false" showInputMessage="false" sqref="H5:H304" type="list">
      <formula1>"Agreed,In progress,Done,Reopened"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8"/>
    <col collapsed="false" customWidth="true" hidden="false" outlineLevel="0" max="6" min="6" style="0" width="56"/>
    <col collapsed="false" customWidth="true" hidden="false" outlineLevel="0" max="7" min="7" style="0" width="48"/>
    <col collapsed="false" customWidth="true" hidden="false" outlineLevel="0" max="8" min="8" style="0" width="10"/>
    <col collapsed="false" customWidth="true" hidden="false" outlineLevel="0" max="9" min="9" style="0" width="44"/>
    <col collapsed="false" customWidth="true" hidden="false" outlineLevel="0" max="10" min="10" style="0" width="14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433</v>
      </c>
    </row>
    <row r="2" customFormat="false" ht="15" hidden="false" customHeight="false" outlineLevel="0" collapsed="false">
      <c r="A2" s="2" t="s">
        <v>566</v>
      </c>
    </row>
    <row r="4" customFormat="false" ht="33.75" hidden="false" customHeight="true" outlineLevel="0" collapsed="false">
      <c r="A4" s="16" t="s">
        <v>434</v>
      </c>
      <c r="B4" s="17" t="s">
        <v>436</v>
      </c>
      <c r="C4" s="17" t="s">
        <v>55</v>
      </c>
      <c r="D4" s="17" t="s">
        <v>438</v>
      </c>
      <c r="E4" s="16" t="s">
        <v>567</v>
      </c>
      <c r="F4" s="17" t="s">
        <v>441</v>
      </c>
      <c r="G4" s="17" t="s">
        <v>444</v>
      </c>
      <c r="H4" s="17" t="s">
        <v>431</v>
      </c>
      <c r="I4" s="17" t="s">
        <v>448</v>
      </c>
      <c r="J4" s="17" t="s">
        <v>449</v>
      </c>
      <c r="K4" s="17" t="s">
        <v>450</v>
      </c>
    </row>
    <row r="5" customFormat="false" ht="15" hidden="false" customHeight="false" outlineLevel="0" collapsed="false">
      <c r="A5" s="18"/>
      <c r="B5" s="20"/>
      <c r="C5" s="20"/>
      <c r="D5" s="20"/>
      <c r="E5" s="18"/>
      <c r="F5" s="20"/>
      <c r="G5" s="20"/>
      <c r="H5" s="20"/>
      <c r="I5" s="20"/>
      <c r="J5" s="20"/>
      <c r="K5" s="20"/>
    </row>
    <row r="6" customFormat="false" ht="15" hidden="false" customHeight="false" outlineLevel="0" collapsed="false">
      <c r="A6" s="18"/>
      <c r="B6" s="20"/>
      <c r="C6" s="20"/>
      <c r="D6" s="20"/>
      <c r="E6" s="18"/>
      <c r="F6" s="20"/>
      <c r="G6" s="20"/>
      <c r="H6" s="20"/>
      <c r="I6" s="20"/>
      <c r="J6" s="20"/>
      <c r="K6" s="20"/>
    </row>
    <row r="7" customFormat="false" ht="15" hidden="false" customHeight="false" outlineLevel="0" collapsed="false">
      <c r="A7" s="18"/>
      <c r="B7" s="20"/>
      <c r="C7" s="20"/>
      <c r="D7" s="20"/>
      <c r="E7" s="18"/>
      <c r="F7" s="20"/>
      <c r="G7" s="20"/>
      <c r="H7" s="20"/>
      <c r="I7" s="20"/>
      <c r="J7" s="20"/>
      <c r="K7" s="20"/>
    </row>
    <row r="8" customFormat="false" ht="15" hidden="false" customHeight="false" outlineLevel="0" collapsed="false">
      <c r="A8" s="18"/>
      <c r="B8" s="20"/>
      <c r="C8" s="20"/>
      <c r="D8" s="20"/>
      <c r="E8" s="18"/>
      <c r="F8" s="20"/>
      <c r="G8" s="20"/>
      <c r="H8" s="20"/>
      <c r="I8" s="20"/>
      <c r="J8" s="20"/>
      <c r="K8" s="20"/>
    </row>
    <row r="9" customFormat="false" ht="15" hidden="false" customHeight="false" outlineLevel="0" collapsed="false">
      <c r="A9" s="18"/>
      <c r="B9" s="20"/>
      <c r="C9" s="20"/>
      <c r="D9" s="20"/>
      <c r="E9" s="18"/>
      <c r="F9" s="20"/>
      <c r="G9" s="20"/>
      <c r="H9" s="20"/>
      <c r="I9" s="20"/>
      <c r="J9" s="20"/>
      <c r="K9" s="20"/>
    </row>
    <row r="10" customFormat="false" ht="15" hidden="false" customHeight="false" outlineLevel="0" collapsed="false">
      <c r="A10" s="18"/>
      <c r="B10" s="20"/>
      <c r="C10" s="20"/>
      <c r="D10" s="20"/>
      <c r="E10" s="18"/>
      <c r="F10" s="20"/>
      <c r="G10" s="20"/>
      <c r="H10" s="20"/>
      <c r="I10" s="20"/>
      <c r="J10" s="20"/>
      <c r="K10" s="20"/>
    </row>
    <row r="11" customFormat="false" ht="15" hidden="false" customHeight="false" outlineLevel="0" collapsed="false">
      <c r="A11" s="18"/>
      <c r="B11" s="20"/>
      <c r="C11" s="20"/>
      <c r="D11" s="20"/>
      <c r="E11" s="18"/>
      <c r="F11" s="20"/>
      <c r="G11" s="20"/>
      <c r="H11" s="20"/>
      <c r="I11" s="20"/>
      <c r="J11" s="20"/>
      <c r="K11" s="20"/>
    </row>
    <row r="12" customFormat="false" ht="15" hidden="false" customHeight="false" outlineLevel="0" collapsed="false">
      <c r="A12" s="18"/>
      <c r="B12" s="20"/>
      <c r="C12" s="20"/>
      <c r="D12" s="20"/>
      <c r="E12" s="18"/>
      <c r="F12" s="20"/>
      <c r="G12" s="20"/>
      <c r="H12" s="20"/>
      <c r="I12" s="20"/>
      <c r="J12" s="20"/>
      <c r="K12" s="20"/>
    </row>
    <row r="13" customFormat="false" ht="15" hidden="false" customHeight="false" outlineLevel="0" collapsed="false">
      <c r="A13" s="18"/>
      <c r="B13" s="20"/>
      <c r="C13" s="20"/>
      <c r="D13" s="20"/>
      <c r="E13" s="18"/>
      <c r="F13" s="20"/>
      <c r="G13" s="20"/>
      <c r="H13" s="20"/>
      <c r="I13" s="20"/>
      <c r="J13" s="20"/>
      <c r="K13" s="20"/>
    </row>
    <row r="14" customFormat="false" ht="15" hidden="false" customHeight="false" outlineLevel="0" collapsed="false">
      <c r="A14" s="18"/>
      <c r="B14" s="20"/>
      <c r="C14" s="20"/>
      <c r="D14" s="20"/>
      <c r="E14" s="18"/>
      <c r="F14" s="20"/>
      <c r="G14" s="20"/>
      <c r="H14" s="20"/>
      <c r="I14" s="20"/>
      <c r="J14" s="20"/>
      <c r="K14" s="20"/>
    </row>
    <row r="15" customFormat="false" ht="15" hidden="false" customHeight="false" outlineLevel="0" collapsed="false">
      <c r="A15" s="18"/>
      <c r="B15" s="20"/>
      <c r="C15" s="20"/>
      <c r="D15" s="20"/>
      <c r="E15" s="18"/>
      <c r="F15" s="20"/>
      <c r="G15" s="20"/>
      <c r="H15" s="20"/>
      <c r="I15" s="20"/>
      <c r="J15" s="20"/>
      <c r="K15" s="20"/>
    </row>
    <row r="16" customFormat="false" ht="15" hidden="false" customHeight="false" outlineLevel="0" collapsed="false">
      <c r="A16" s="18"/>
      <c r="B16" s="20"/>
      <c r="C16" s="20"/>
      <c r="D16" s="20"/>
      <c r="E16" s="18"/>
      <c r="F16" s="20"/>
      <c r="G16" s="20"/>
      <c r="H16" s="20"/>
      <c r="I16" s="20"/>
      <c r="J16" s="20"/>
      <c r="K16" s="20"/>
    </row>
    <row r="17" customFormat="false" ht="15" hidden="false" customHeight="false" outlineLevel="0" collapsed="false">
      <c r="A17" s="18"/>
      <c r="B17" s="20"/>
      <c r="C17" s="20"/>
      <c r="D17" s="20"/>
      <c r="E17" s="18"/>
      <c r="F17" s="20"/>
      <c r="G17" s="20"/>
      <c r="H17" s="20"/>
      <c r="I17" s="20"/>
      <c r="J17" s="20"/>
      <c r="K17" s="20"/>
    </row>
    <row r="18" customFormat="false" ht="15" hidden="false" customHeight="false" outlineLevel="0" collapsed="false">
      <c r="A18" s="18"/>
      <c r="B18" s="20"/>
      <c r="C18" s="20"/>
      <c r="D18" s="20"/>
      <c r="E18" s="18"/>
      <c r="F18" s="20"/>
      <c r="G18" s="20"/>
      <c r="H18" s="20"/>
      <c r="I18" s="20"/>
      <c r="J18" s="20"/>
      <c r="K18" s="20"/>
    </row>
    <row r="19" customFormat="false" ht="15" hidden="false" customHeight="false" outlineLevel="0" collapsed="false">
      <c r="A19" s="18"/>
      <c r="B19" s="20"/>
      <c r="C19" s="20"/>
      <c r="D19" s="20"/>
      <c r="E19" s="18"/>
      <c r="F19" s="20"/>
      <c r="G19" s="20"/>
      <c r="H19" s="20"/>
      <c r="I19" s="20"/>
      <c r="J19" s="20"/>
      <c r="K19" s="20"/>
    </row>
    <row r="20" customFormat="false" ht="15" hidden="false" customHeight="false" outlineLevel="0" collapsed="false">
      <c r="A20" s="18"/>
      <c r="B20" s="20"/>
      <c r="C20" s="20"/>
      <c r="D20" s="20"/>
      <c r="E20" s="18"/>
      <c r="F20" s="20"/>
      <c r="G20" s="20"/>
      <c r="H20" s="20"/>
      <c r="I20" s="20"/>
      <c r="J20" s="20"/>
      <c r="K20" s="20"/>
    </row>
    <row r="21" customFormat="false" ht="15" hidden="false" customHeight="false" outlineLevel="0" collapsed="false">
      <c r="A21" s="18"/>
      <c r="B21" s="20"/>
      <c r="C21" s="20"/>
      <c r="D21" s="20"/>
      <c r="E21" s="18"/>
      <c r="F21" s="20"/>
      <c r="G21" s="20"/>
      <c r="H21" s="20"/>
      <c r="I21" s="20"/>
      <c r="J21" s="20"/>
      <c r="K21" s="20"/>
    </row>
    <row r="22" customFormat="false" ht="15" hidden="false" customHeight="false" outlineLevel="0" collapsed="false">
      <c r="A22" s="18"/>
      <c r="B22" s="20"/>
      <c r="C22" s="20"/>
      <c r="D22" s="20"/>
      <c r="E22" s="18"/>
      <c r="F22" s="20"/>
      <c r="G22" s="20"/>
      <c r="H22" s="20"/>
      <c r="I22" s="20"/>
      <c r="J22" s="20"/>
      <c r="K22" s="20"/>
    </row>
    <row r="23" customFormat="false" ht="15" hidden="false" customHeight="false" outlineLevel="0" collapsed="false">
      <c r="A23" s="18"/>
      <c r="B23" s="20"/>
      <c r="C23" s="20"/>
      <c r="D23" s="20"/>
      <c r="E23" s="18"/>
      <c r="F23" s="20"/>
      <c r="G23" s="20"/>
      <c r="H23" s="20"/>
      <c r="I23" s="20"/>
      <c r="J23" s="20"/>
      <c r="K23" s="20"/>
    </row>
    <row r="24" customFormat="false" ht="15" hidden="false" customHeight="false" outlineLevel="0" collapsed="false">
      <c r="A24" s="18"/>
      <c r="B24" s="20"/>
      <c r="C24" s="20"/>
      <c r="D24" s="20"/>
      <c r="E24" s="18"/>
      <c r="F24" s="20"/>
      <c r="G24" s="20"/>
      <c r="H24" s="20"/>
      <c r="I24" s="20"/>
      <c r="J24" s="20"/>
      <c r="K24" s="20"/>
    </row>
    <row r="25" customFormat="false" ht="15" hidden="false" customHeight="false" outlineLevel="0" collapsed="false">
      <c r="A25" s="18"/>
      <c r="B25" s="20"/>
      <c r="C25" s="20"/>
      <c r="D25" s="20"/>
      <c r="E25" s="18"/>
      <c r="F25" s="20"/>
      <c r="G25" s="20"/>
      <c r="H25" s="20"/>
      <c r="I25" s="20"/>
      <c r="J25" s="20"/>
      <c r="K25" s="20"/>
    </row>
    <row r="26" customFormat="false" ht="15" hidden="false" customHeight="false" outlineLevel="0" collapsed="false">
      <c r="A26" s="18"/>
      <c r="B26" s="20"/>
      <c r="C26" s="20"/>
      <c r="D26" s="20"/>
      <c r="E26" s="18"/>
      <c r="F26" s="20"/>
      <c r="G26" s="20"/>
      <c r="H26" s="20"/>
      <c r="I26" s="20"/>
      <c r="J26" s="20"/>
      <c r="K26" s="20"/>
    </row>
    <row r="27" customFormat="false" ht="15" hidden="false" customHeight="false" outlineLevel="0" collapsed="false">
      <c r="A27" s="18"/>
      <c r="B27" s="20"/>
      <c r="C27" s="20"/>
      <c r="D27" s="20"/>
      <c r="E27" s="18"/>
      <c r="F27" s="20"/>
      <c r="G27" s="20"/>
      <c r="H27" s="20"/>
      <c r="I27" s="20"/>
      <c r="J27" s="20"/>
      <c r="K27" s="20"/>
    </row>
    <row r="28" customFormat="false" ht="15" hidden="false" customHeight="false" outlineLevel="0" collapsed="false">
      <c r="A28" s="18"/>
      <c r="B28" s="20"/>
      <c r="C28" s="20"/>
      <c r="D28" s="20"/>
      <c r="E28" s="18"/>
      <c r="F28" s="20"/>
      <c r="G28" s="20"/>
      <c r="H28" s="20"/>
      <c r="I28" s="20"/>
      <c r="J28" s="20"/>
      <c r="K28" s="20"/>
    </row>
    <row r="29" customFormat="false" ht="15" hidden="false" customHeight="false" outlineLevel="0" collapsed="false">
      <c r="A29" s="18"/>
      <c r="B29" s="20"/>
      <c r="C29" s="20"/>
      <c r="D29" s="20"/>
      <c r="E29" s="18"/>
      <c r="F29" s="20"/>
      <c r="G29" s="20"/>
      <c r="H29" s="20"/>
      <c r="I29" s="20"/>
      <c r="J29" s="20"/>
      <c r="K29" s="20"/>
    </row>
    <row r="30" customFormat="false" ht="15" hidden="false" customHeight="false" outlineLevel="0" collapsed="false">
      <c r="A30" s="18"/>
      <c r="B30" s="20"/>
      <c r="C30" s="20"/>
      <c r="D30" s="20"/>
      <c r="E30" s="18"/>
      <c r="F30" s="20"/>
      <c r="G30" s="20"/>
      <c r="H30" s="20"/>
      <c r="I30" s="20"/>
      <c r="J30" s="20"/>
      <c r="K30" s="20"/>
    </row>
    <row r="31" customFormat="false" ht="15" hidden="false" customHeight="false" outlineLevel="0" collapsed="false">
      <c r="A31" s="18"/>
      <c r="B31" s="20"/>
      <c r="C31" s="20"/>
      <c r="D31" s="20"/>
      <c r="E31" s="18"/>
      <c r="F31" s="20"/>
      <c r="G31" s="20"/>
      <c r="H31" s="20"/>
      <c r="I31" s="20"/>
      <c r="J31" s="20"/>
      <c r="K31" s="20"/>
    </row>
    <row r="32" customFormat="false" ht="15" hidden="false" customHeight="false" outlineLevel="0" collapsed="false">
      <c r="A32" s="18"/>
      <c r="B32" s="20"/>
      <c r="C32" s="20"/>
      <c r="D32" s="20"/>
      <c r="E32" s="18"/>
      <c r="F32" s="20"/>
      <c r="G32" s="20"/>
      <c r="H32" s="20"/>
      <c r="I32" s="20"/>
      <c r="J32" s="20"/>
      <c r="K32" s="20"/>
    </row>
    <row r="33" customFormat="false" ht="15" hidden="false" customHeight="false" outlineLevel="0" collapsed="false">
      <c r="A33" s="18"/>
      <c r="B33" s="20"/>
      <c r="C33" s="20"/>
      <c r="D33" s="20"/>
      <c r="E33" s="18"/>
      <c r="F33" s="20"/>
      <c r="G33" s="20"/>
      <c r="H33" s="20"/>
      <c r="I33" s="20"/>
      <c r="J33" s="20"/>
      <c r="K33" s="20"/>
    </row>
    <row r="34" customFormat="false" ht="15" hidden="false" customHeight="false" outlineLevel="0" collapsed="false">
      <c r="A34" s="18"/>
      <c r="B34" s="20"/>
      <c r="C34" s="20"/>
      <c r="D34" s="20"/>
      <c r="E34" s="18"/>
      <c r="F34" s="20"/>
      <c r="G34" s="20"/>
      <c r="H34" s="20"/>
      <c r="I34" s="20"/>
      <c r="J34" s="20"/>
      <c r="K34" s="20"/>
    </row>
    <row r="35" customFormat="false" ht="15" hidden="false" customHeight="false" outlineLevel="0" collapsed="false">
      <c r="A35" s="18"/>
      <c r="B35" s="20"/>
      <c r="C35" s="20"/>
      <c r="D35" s="20"/>
      <c r="E35" s="18"/>
      <c r="F35" s="20"/>
      <c r="G35" s="20"/>
      <c r="H35" s="20"/>
      <c r="I35" s="20"/>
      <c r="J35" s="20"/>
      <c r="K35" s="20"/>
    </row>
    <row r="36" customFormat="false" ht="15" hidden="false" customHeight="false" outlineLevel="0" collapsed="false">
      <c r="A36" s="18"/>
      <c r="B36" s="20"/>
      <c r="C36" s="20"/>
      <c r="D36" s="20"/>
      <c r="E36" s="18"/>
      <c r="F36" s="20"/>
      <c r="G36" s="20"/>
      <c r="H36" s="20"/>
      <c r="I36" s="20"/>
      <c r="J36" s="20"/>
      <c r="K36" s="20"/>
    </row>
    <row r="37" customFormat="false" ht="15" hidden="false" customHeight="false" outlineLevel="0" collapsed="false">
      <c r="A37" s="18"/>
      <c r="B37" s="20"/>
      <c r="C37" s="20"/>
      <c r="D37" s="20"/>
      <c r="E37" s="18"/>
      <c r="F37" s="20"/>
      <c r="G37" s="20"/>
      <c r="H37" s="20"/>
      <c r="I37" s="20"/>
      <c r="J37" s="20"/>
      <c r="K37" s="20"/>
    </row>
    <row r="38" customFormat="false" ht="15" hidden="false" customHeight="false" outlineLevel="0" collapsed="false">
      <c r="A38" s="18"/>
      <c r="B38" s="20"/>
      <c r="C38" s="20"/>
      <c r="D38" s="20"/>
      <c r="E38" s="18"/>
      <c r="F38" s="20"/>
      <c r="G38" s="20"/>
      <c r="H38" s="20"/>
      <c r="I38" s="20"/>
      <c r="J38" s="20"/>
      <c r="K38" s="20"/>
    </row>
    <row r="39" customFormat="false" ht="15" hidden="false" customHeight="false" outlineLevel="0" collapsed="false">
      <c r="A39" s="18"/>
      <c r="B39" s="20"/>
      <c r="C39" s="20"/>
      <c r="D39" s="20"/>
      <c r="E39" s="18"/>
      <c r="F39" s="20"/>
      <c r="G39" s="20"/>
      <c r="H39" s="20"/>
      <c r="I39" s="20"/>
      <c r="J39" s="20"/>
      <c r="K39" s="20"/>
    </row>
    <row r="40" customFormat="false" ht="15" hidden="false" customHeight="false" outlineLevel="0" collapsed="false">
      <c r="A40" s="18"/>
      <c r="B40" s="20"/>
      <c r="C40" s="20"/>
      <c r="D40" s="20"/>
      <c r="E40" s="18"/>
      <c r="F40" s="20"/>
      <c r="G40" s="20"/>
      <c r="H40" s="20"/>
      <c r="I40" s="20"/>
      <c r="J40" s="20"/>
      <c r="K40" s="20"/>
    </row>
    <row r="41" customFormat="false" ht="15" hidden="false" customHeight="false" outlineLevel="0" collapsed="false">
      <c r="A41" s="18"/>
      <c r="B41" s="20"/>
      <c r="C41" s="20"/>
      <c r="D41" s="20"/>
      <c r="E41" s="18"/>
      <c r="F41" s="20"/>
      <c r="G41" s="20"/>
      <c r="H41" s="20"/>
      <c r="I41" s="20"/>
      <c r="J41" s="20"/>
      <c r="K41" s="20"/>
    </row>
    <row r="42" customFormat="false" ht="15" hidden="false" customHeight="false" outlineLevel="0" collapsed="false">
      <c r="A42" s="18"/>
      <c r="B42" s="20"/>
      <c r="C42" s="20"/>
      <c r="D42" s="20"/>
      <c r="E42" s="18"/>
      <c r="F42" s="20"/>
      <c r="G42" s="20"/>
      <c r="H42" s="20"/>
      <c r="I42" s="20"/>
      <c r="J42" s="20"/>
      <c r="K42" s="20"/>
    </row>
    <row r="43" customFormat="false" ht="15" hidden="false" customHeight="false" outlineLevel="0" collapsed="false">
      <c r="A43" s="18"/>
      <c r="B43" s="20"/>
      <c r="C43" s="20"/>
      <c r="D43" s="20"/>
      <c r="E43" s="18"/>
      <c r="F43" s="20"/>
      <c r="G43" s="20"/>
      <c r="H43" s="20"/>
      <c r="I43" s="20"/>
      <c r="J43" s="20"/>
      <c r="K43" s="20"/>
    </row>
    <row r="44" customFormat="false" ht="15" hidden="false" customHeight="false" outlineLevel="0" collapsed="false">
      <c r="A44" s="18"/>
      <c r="B44" s="20"/>
      <c r="C44" s="20"/>
      <c r="D44" s="20"/>
      <c r="E44" s="18"/>
      <c r="F44" s="20"/>
      <c r="G44" s="20"/>
      <c r="H44" s="20"/>
      <c r="I44" s="20"/>
      <c r="J44" s="20"/>
      <c r="K44" s="20"/>
    </row>
    <row r="45" customFormat="false" ht="15" hidden="false" customHeight="false" outlineLevel="0" collapsed="false">
      <c r="A45" s="18"/>
      <c r="B45" s="20"/>
      <c r="C45" s="20"/>
      <c r="D45" s="20"/>
      <c r="E45" s="18"/>
      <c r="F45" s="20"/>
      <c r="G45" s="20"/>
      <c r="H45" s="20"/>
      <c r="I45" s="20"/>
      <c r="J45" s="20"/>
      <c r="K45" s="20"/>
    </row>
    <row r="46" customFormat="false" ht="15" hidden="false" customHeight="false" outlineLevel="0" collapsed="false">
      <c r="A46" s="18"/>
      <c r="B46" s="20"/>
      <c r="C46" s="20"/>
      <c r="D46" s="20"/>
      <c r="E46" s="18"/>
      <c r="F46" s="20"/>
      <c r="G46" s="20"/>
      <c r="H46" s="20"/>
      <c r="I46" s="20"/>
      <c r="J46" s="20"/>
      <c r="K46" s="20"/>
    </row>
    <row r="47" customFormat="false" ht="15" hidden="false" customHeight="false" outlineLevel="0" collapsed="false">
      <c r="A47" s="18"/>
      <c r="B47" s="20"/>
      <c r="C47" s="20"/>
      <c r="D47" s="20"/>
      <c r="E47" s="18"/>
      <c r="F47" s="20"/>
      <c r="G47" s="20"/>
      <c r="H47" s="20"/>
      <c r="I47" s="20"/>
      <c r="J47" s="20"/>
      <c r="K47" s="20"/>
    </row>
    <row r="48" customFormat="false" ht="15" hidden="false" customHeight="false" outlineLevel="0" collapsed="false">
      <c r="A48" s="18"/>
      <c r="B48" s="20"/>
      <c r="C48" s="20"/>
      <c r="D48" s="20"/>
      <c r="E48" s="18"/>
      <c r="F48" s="20"/>
      <c r="G48" s="20"/>
      <c r="H48" s="20"/>
      <c r="I48" s="20"/>
      <c r="J48" s="20"/>
      <c r="K48" s="20"/>
    </row>
    <row r="49" customFormat="false" ht="15" hidden="false" customHeight="false" outlineLevel="0" collapsed="false">
      <c r="A49" s="18"/>
      <c r="B49" s="20"/>
      <c r="C49" s="20"/>
      <c r="D49" s="20"/>
      <c r="E49" s="18"/>
      <c r="F49" s="20"/>
      <c r="G49" s="20"/>
      <c r="H49" s="20"/>
      <c r="I49" s="20"/>
      <c r="J49" s="20"/>
      <c r="K49" s="20"/>
    </row>
    <row r="50" customFormat="false" ht="15" hidden="false" customHeight="false" outlineLevel="0" collapsed="false">
      <c r="A50" s="18"/>
      <c r="B50" s="20"/>
      <c r="C50" s="20"/>
      <c r="D50" s="20"/>
      <c r="E50" s="18"/>
      <c r="F50" s="20"/>
      <c r="G50" s="20"/>
      <c r="H50" s="20"/>
      <c r="I50" s="20"/>
      <c r="J50" s="20"/>
      <c r="K50" s="20"/>
    </row>
    <row r="51" customFormat="false" ht="15" hidden="false" customHeight="false" outlineLevel="0" collapsed="false">
      <c r="A51" s="18"/>
      <c r="B51" s="20"/>
      <c r="C51" s="20"/>
      <c r="D51" s="20"/>
      <c r="E51" s="18"/>
      <c r="F51" s="20"/>
      <c r="G51" s="20"/>
      <c r="H51" s="20"/>
      <c r="I51" s="20"/>
      <c r="J51" s="20"/>
      <c r="K51" s="20"/>
    </row>
    <row r="52" customFormat="false" ht="15" hidden="false" customHeight="false" outlineLevel="0" collapsed="false">
      <c r="A52" s="18"/>
      <c r="B52" s="20"/>
      <c r="C52" s="20"/>
      <c r="D52" s="20"/>
      <c r="E52" s="18"/>
      <c r="F52" s="20"/>
      <c r="G52" s="20"/>
      <c r="H52" s="20"/>
      <c r="I52" s="20"/>
      <c r="J52" s="20"/>
      <c r="K52" s="20"/>
    </row>
    <row r="53" customFormat="false" ht="15" hidden="false" customHeight="false" outlineLevel="0" collapsed="false">
      <c r="A53" s="18"/>
      <c r="B53" s="20"/>
      <c r="C53" s="20"/>
      <c r="D53" s="20"/>
      <c r="E53" s="18"/>
      <c r="F53" s="20"/>
      <c r="G53" s="20"/>
      <c r="H53" s="20"/>
      <c r="I53" s="20"/>
      <c r="J53" s="20"/>
      <c r="K53" s="20"/>
    </row>
    <row r="54" customFormat="false" ht="15" hidden="false" customHeight="false" outlineLevel="0" collapsed="false">
      <c r="A54" s="18"/>
      <c r="B54" s="20"/>
      <c r="C54" s="20"/>
      <c r="D54" s="20"/>
      <c r="E54" s="18"/>
      <c r="F54" s="20"/>
      <c r="G54" s="20"/>
      <c r="H54" s="20"/>
      <c r="I54" s="20"/>
      <c r="J54" s="20"/>
      <c r="K54" s="20"/>
    </row>
    <row r="55" customFormat="false" ht="15" hidden="false" customHeight="false" outlineLevel="0" collapsed="false">
      <c r="A55" s="18"/>
      <c r="B55" s="20"/>
      <c r="C55" s="20"/>
      <c r="D55" s="20"/>
      <c r="E55" s="18"/>
      <c r="F55" s="20"/>
      <c r="G55" s="20"/>
      <c r="H55" s="20"/>
      <c r="I55" s="20"/>
      <c r="J55" s="20"/>
      <c r="K55" s="20"/>
    </row>
    <row r="56" customFormat="false" ht="15" hidden="false" customHeight="false" outlineLevel="0" collapsed="false">
      <c r="A56" s="18"/>
      <c r="B56" s="20"/>
      <c r="C56" s="20"/>
      <c r="D56" s="20"/>
      <c r="E56" s="18"/>
      <c r="F56" s="20"/>
      <c r="G56" s="20"/>
      <c r="H56" s="20"/>
      <c r="I56" s="20"/>
      <c r="J56" s="20"/>
      <c r="K56" s="20"/>
    </row>
    <row r="57" customFormat="false" ht="15" hidden="false" customHeight="false" outlineLevel="0" collapsed="false">
      <c r="A57" s="18"/>
      <c r="B57" s="20"/>
      <c r="C57" s="20"/>
      <c r="D57" s="20"/>
      <c r="E57" s="18"/>
      <c r="F57" s="20"/>
      <c r="G57" s="20"/>
      <c r="H57" s="20"/>
      <c r="I57" s="20"/>
      <c r="J57" s="20"/>
      <c r="K57" s="20"/>
    </row>
    <row r="58" customFormat="false" ht="15" hidden="false" customHeight="false" outlineLevel="0" collapsed="false">
      <c r="A58" s="18"/>
      <c r="B58" s="20"/>
      <c r="C58" s="20"/>
      <c r="D58" s="20"/>
      <c r="E58" s="18"/>
      <c r="F58" s="20"/>
      <c r="G58" s="20"/>
      <c r="H58" s="20"/>
      <c r="I58" s="20"/>
      <c r="J58" s="20"/>
      <c r="K58" s="20"/>
    </row>
    <row r="59" customFormat="false" ht="15" hidden="false" customHeight="false" outlineLevel="0" collapsed="false">
      <c r="A59" s="18"/>
      <c r="B59" s="20"/>
      <c r="C59" s="20"/>
      <c r="D59" s="20"/>
      <c r="E59" s="18"/>
      <c r="F59" s="20"/>
      <c r="G59" s="20"/>
      <c r="H59" s="20"/>
      <c r="I59" s="20"/>
      <c r="J59" s="20"/>
      <c r="K59" s="20"/>
    </row>
    <row r="60" customFormat="false" ht="15" hidden="false" customHeight="false" outlineLevel="0" collapsed="false">
      <c r="A60" s="18"/>
      <c r="B60" s="20"/>
      <c r="C60" s="20"/>
      <c r="D60" s="20"/>
      <c r="E60" s="18"/>
      <c r="F60" s="20"/>
      <c r="G60" s="20"/>
      <c r="H60" s="20"/>
      <c r="I60" s="20"/>
      <c r="J60" s="20"/>
      <c r="K60" s="20"/>
    </row>
    <row r="61" customFormat="false" ht="15" hidden="false" customHeight="false" outlineLevel="0" collapsed="false">
      <c r="A61" s="18"/>
      <c r="B61" s="20"/>
      <c r="C61" s="20"/>
      <c r="D61" s="20"/>
      <c r="E61" s="18"/>
      <c r="F61" s="20"/>
      <c r="G61" s="20"/>
      <c r="H61" s="20"/>
      <c r="I61" s="20"/>
      <c r="J61" s="20"/>
      <c r="K61" s="20"/>
    </row>
    <row r="62" customFormat="false" ht="15" hidden="false" customHeight="false" outlineLevel="0" collapsed="false">
      <c r="A62" s="18"/>
      <c r="B62" s="20"/>
      <c r="C62" s="20"/>
      <c r="D62" s="20"/>
      <c r="E62" s="18"/>
      <c r="F62" s="20"/>
      <c r="G62" s="20"/>
      <c r="H62" s="20"/>
      <c r="I62" s="20"/>
      <c r="J62" s="20"/>
      <c r="K62" s="20"/>
    </row>
    <row r="63" customFormat="false" ht="15" hidden="false" customHeight="false" outlineLevel="0" collapsed="false">
      <c r="A63" s="18"/>
      <c r="B63" s="20"/>
      <c r="C63" s="20"/>
      <c r="D63" s="20"/>
      <c r="E63" s="18"/>
      <c r="F63" s="20"/>
      <c r="G63" s="20"/>
      <c r="H63" s="20"/>
      <c r="I63" s="20"/>
      <c r="J63" s="20"/>
      <c r="K63" s="20"/>
    </row>
    <row r="64" customFormat="false" ht="15" hidden="false" customHeight="false" outlineLevel="0" collapsed="false">
      <c r="A64" s="18"/>
      <c r="B64" s="20"/>
      <c r="C64" s="20"/>
      <c r="D64" s="20"/>
      <c r="E64" s="18"/>
      <c r="F64" s="20"/>
      <c r="G64" s="20"/>
      <c r="H64" s="20"/>
      <c r="I64" s="20"/>
      <c r="J64" s="20"/>
      <c r="K64" s="20"/>
    </row>
    <row r="65" customFormat="false" ht="15" hidden="false" customHeight="false" outlineLevel="0" collapsed="false">
      <c r="A65" s="18"/>
      <c r="B65" s="20"/>
      <c r="C65" s="20"/>
      <c r="D65" s="20"/>
      <c r="E65" s="18"/>
      <c r="F65" s="20"/>
      <c r="G65" s="20"/>
      <c r="H65" s="20"/>
      <c r="I65" s="20"/>
      <c r="J65" s="20"/>
      <c r="K65" s="20"/>
    </row>
    <row r="66" customFormat="false" ht="15" hidden="false" customHeight="false" outlineLevel="0" collapsed="false">
      <c r="A66" s="18"/>
      <c r="B66" s="20"/>
      <c r="C66" s="20"/>
      <c r="D66" s="20"/>
      <c r="E66" s="18"/>
      <c r="F66" s="20"/>
      <c r="G66" s="20"/>
      <c r="H66" s="20"/>
      <c r="I66" s="20"/>
      <c r="J66" s="20"/>
      <c r="K66" s="20"/>
    </row>
    <row r="67" customFormat="false" ht="15" hidden="false" customHeight="false" outlineLevel="0" collapsed="false">
      <c r="A67" s="18"/>
      <c r="B67" s="20"/>
      <c r="C67" s="20"/>
      <c r="D67" s="20"/>
      <c r="E67" s="18"/>
      <c r="F67" s="20"/>
      <c r="G67" s="20"/>
      <c r="H67" s="20"/>
      <c r="I67" s="20"/>
      <c r="J67" s="20"/>
      <c r="K67" s="20"/>
    </row>
    <row r="68" customFormat="false" ht="15" hidden="false" customHeight="false" outlineLevel="0" collapsed="false">
      <c r="A68" s="18"/>
      <c r="B68" s="20"/>
      <c r="C68" s="20"/>
      <c r="D68" s="20"/>
      <c r="E68" s="18"/>
      <c r="F68" s="20"/>
      <c r="G68" s="20"/>
      <c r="H68" s="20"/>
      <c r="I68" s="20"/>
      <c r="J68" s="20"/>
      <c r="K68" s="20"/>
    </row>
    <row r="69" customFormat="false" ht="15" hidden="false" customHeight="false" outlineLevel="0" collapsed="false">
      <c r="A69" s="18"/>
      <c r="B69" s="20"/>
      <c r="C69" s="20"/>
      <c r="D69" s="20"/>
      <c r="E69" s="18"/>
      <c r="F69" s="20"/>
      <c r="G69" s="20"/>
      <c r="H69" s="20"/>
      <c r="I69" s="20"/>
      <c r="J69" s="20"/>
      <c r="K69" s="20"/>
    </row>
    <row r="70" customFormat="false" ht="15" hidden="false" customHeight="false" outlineLevel="0" collapsed="false">
      <c r="A70" s="18"/>
      <c r="B70" s="20"/>
      <c r="C70" s="20"/>
      <c r="D70" s="20"/>
      <c r="E70" s="18"/>
      <c r="F70" s="20"/>
      <c r="G70" s="20"/>
      <c r="H70" s="20"/>
      <c r="I70" s="20"/>
      <c r="J70" s="20"/>
      <c r="K70" s="20"/>
    </row>
    <row r="71" customFormat="false" ht="15" hidden="false" customHeight="false" outlineLevel="0" collapsed="false">
      <c r="A71" s="18"/>
      <c r="B71" s="20"/>
      <c r="C71" s="20"/>
      <c r="D71" s="20"/>
      <c r="E71" s="18"/>
      <c r="F71" s="20"/>
      <c r="G71" s="20"/>
      <c r="H71" s="20"/>
      <c r="I71" s="20"/>
      <c r="J71" s="20"/>
      <c r="K71" s="20"/>
    </row>
    <row r="72" customFormat="false" ht="15" hidden="false" customHeight="false" outlineLevel="0" collapsed="false">
      <c r="A72" s="18"/>
      <c r="B72" s="20"/>
      <c r="C72" s="20"/>
      <c r="D72" s="20"/>
      <c r="E72" s="18"/>
      <c r="F72" s="20"/>
      <c r="G72" s="20"/>
      <c r="H72" s="20"/>
      <c r="I72" s="20"/>
      <c r="J72" s="20"/>
      <c r="K72" s="20"/>
    </row>
    <row r="73" customFormat="false" ht="15" hidden="false" customHeight="false" outlineLevel="0" collapsed="false">
      <c r="A73" s="18"/>
      <c r="B73" s="20"/>
      <c r="C73" s="20"/>
      <c r="D73" s="20"/>
      <c r="E73" s="18"/>
      <c r="F73" s="20"/>
      <c r="G73" s="20"/>
      <c r="H73" s="20"/>
      <c r="I73" s="20"/>
      <c r="J73" s="20"/>
      <c r="K73" s="20"/>
    </row>
    <row r="74" customFormat="false" ht="15" hidden="false" customHeight="false" outlineLevel="0" collapsed="false">
      <c r="A74" s="18"/>
      <c r="B74" s="20"/>
      <c r="C74" s="20"/>
      <c r="D74" s="20"/>
      <c r="E74" s="18"/>
      <c r="F74" s="20"/>
      <c r="G74" s="20"/>
      <c r="H74" s="20"/>
      <c r="I74" s="20"/>
      <c r="J74" s="20"/>
      <c r="K74" s="20"/>
    </row>
    <row r="75" customFormat="false" ht="15" hidden="false" customHeight="false" outlineLevel="0" collapsed="false">
      <c r="A75" s="18"/>
      <c r="B75" s="20"/>
      <c r="C75" s="20"/>
      <c r="D75" s="20"/>
      <c r="E75" s="18"/>
      <c r="F75" s="20"/>
      <c r="G75" s="20"/>
      <c r="H75" s="20"/>
      <c r="I75" s="20"/>
      <c r="J75" s="20"/>
      <c r="K75" s="20"/>
    </row>
    <row r="76" customFormat="false" ht="15" hidden="false" customHeight="false" outlineLevel="0" collapsed="false">
      <c r="A76" s="18"/>
      <c r="B76" s="20"/>
      <c r="C76" s="20"/>
      <c r="D76" s="20"/>
      <c r="E76" s="18"/>
      <c r="F76" s="20"/>
      <c r="G76" s="20"/>
      <c r="H76" s="20"/>
      <c r="I76" s="20"/>
      <c r="J76" s="20"/>
      <c r="K76" s="20"/>
    </row>
    <row r="77" customFormat="false" ht="15" hidden="false" customHeight="false" outlineLevel="0" collapsed="false">
      <c r="A77" s="18"/>
      <c r="B77" s="20"/>
      <c r="C77" s="20"/>
      <c r="D77" s="20"/>
      <c r="E77" s="18"/>
      <c r="F77" s="20"/>
      <c r="G77" s="20"/>
      <c r="H77" s="20"/>
      <c r="I77" s="20"/>
      <c r="J77" s="20"/>
      <c r="K77" s="20"/>
    </row>
    <row r="78" customFormat="false" ht="15" hidden="false" customHeight="false" outlineLevel="0" collapsed="false">
      <c r="A78" s="18"/>
      <c r="B78" s="20"/>
      <c r="C78" s="20"/>
      <c r="D78" s="20"/>
      <c r="E78" s="18"/>
      <c r="F78" s="20"/>
      <c r="G78" s="20"/>
      <c r="H78" s="20"/>
      <c r="I78" s="20"/>
      <c r="J78" s="20"/>
      <c r="K78" s="20"/>
    </row>
    <row r="79" customFormat="false" ht="15" hidden="false" customHeight="false" outlineLevel="0" collapsed="false">
      <c r="A79" s="18"/>
      <c r="B79" s="20"/>
      <c r="C79" s="20"/>
      <c r="D79" s="20"/>
      <c r="E79" s="18"/>
      <c r="F79" s="20"/>
      <c r="G79" s="20"/>
      <c r="H79" s="20"/>
      <c r="I79" s="20"/>
      <c r="J79" s="20"/>
      <c r="K79" s="20"/>
    </row>
    <row r="80" customFormat="false" ht="15" hidden="false" customHeight="false" outlineLevel="0" collapsed="false">
      <c r="A80" s="18"/>
      <c r="B80" s="20"/>
      <c r="C80" s="20"/>
      <c r="D80" s="20"/>
      <c r="E80" s="18"/>
      <c r="F80" s="20"/>
      <c r="G80" s="20"/>
      <c r="H80" s="20"/>
      <c r="I80" s="20"/>
      <c r="J80" s="20"/>
      <c r="K80" s="20"/>
    </row>
    <row r="81" customFormat="false" ht="15" hidden="false" customHeight="false" outlineLevel="0" collapsed="false">
      <c r="A81" s="18"/>
      <c r="B81" s="20"/>
      <c r="C81" s="20"/>
      <c r="D81" s="20"/>
      <c r="E81" s="18"/>
      <c r="F81" s="20"/>
      <c r="G81" s="20"/>
      <c r="H81" s="20"/>
      <c r="I81" s="20"/>
      <c r="J81" s="20"/>
      <c r="K81" s="20"/>
    </row>
    <row r="82" customFormat="false" ht="15" hidden="false" customHeight="false" outlineLevel="0" collapsed="false">
      <c r="A82" s="18"/>
      <c r="B82" s="20"/>
      <c r="C82" s="20"/>
      <c r="D82" s="20"/>
      <c r="E82" s="18"/>
      <c r="F82" s="20"/>
      <c r="G82" s="20"/>
      <c r="H82" s="20"/>
      <c r="I82" s="20"/>
      <c r="J82" s="20"/>
      <c r="K82" s="20"/>
    </row>
    <row r="83" customFormat="false" ht="15" hidden="false" customHeight="false" outlineLevel="0" collapsed="false">
      <c r="A83" s="18"/>
      <c r="B83" s="20"/>
      <c r="C83" s="20"/>
      <c r="D83" s="20"/>
      <c r="E83" s="18"/>
      <c r="F83" s="20"/>
      <c r="G83" s="20"/>
      <c r="H83" s="20"/>
      <c r="I83" s="20"/>
      <c r="J83" s="20"/>
      <c r="K83" s="20"/>
    </row>
    <row r="84" customFormat="false" ht="15" hidden="false" customHeight="false" outlineLevel="0" collapsed="false">
      <c r="A84" s="18"/>
      <c r="B84" s="20"/>
      <c r="C84" s="20"/>
      <c r="D84" s="20"/>
      <c r="E84" s="18"/>
      <c r="F84" s="20"/>
      <c r="G84" s="20"/>
      <c r="H84" s="20"/>
      <c r="I84" s="20"/>
      <c r="J84" s="20"/>
      <c r="K84" s="20"/>
    </row>
    <row r="85" customFormat="false" ht="15" hidden="false" customHeight="false" outlineLevel="0" collapsed="false">
      <c r="A85" s="18"/>
      <c r="B85" s="20"/>
      <c r="C85" s="20"/>
      <c r="D85" s="20"/>
      <c r="E85" s="18"/>
      <c r="F85" s="20"/>
      <c r="G85" s="20"/>
      <c r="H85" s="20"/>
      <c r="I85" s="20"/>
      <c r="J85" s="20"/>
      <c r="K85" s="20"/>
    </row>
    <row r="86" customFormat="false" ht="15" hidden="false" customHeight="false" outlineLevel="0" collapsed="false">
      <c r="A86" s="18"/>
      <c r="B86" s="20"/>
      <c r="C86" s="20"/>
      <c r="D86" s="20"/>
      <c r="E86" s="18"/>
      <c r="F86" s="20"/>
      <c r="G86" s="20"/>
      <c r="H86" s="20"/>
      <c r="I86" s="20"/>
      <c r="J86" s="20"/>
      <c r="K86" s="20"/>
    </row>
    <row r="87" customFormat="false" ht="15" hidden="false" customHeight="false" outlineLevel="0" collapsed="false">
      <c r="A87" s="18"/>
      <c r="B87" s="20"/>
      <c r="C87" s="20"/>
      <c r="D87" s="20"/>
      <c r="E87" s="18"/>
      <c r="F87" s="20"/>
      <c r="G87" s="20"/>
      <c r="H87" s="20"/>
      <c r="I87" s="20"/>
      <c r="J87" s="20"/>
      <c r="K87" s="20"/>
    </row>
    <row r="88" customFormat="false" ht="15" hidden="false" customHeight="false" outlineLevel="0" collapsed="false">
      <c r="A88" s="18"/>
      <c r="B88" s="20"/>
      <c r="C88" s="20"/>
      <c r="D88" s="20"/>
      <c r="E88" s="18"/>
      <c r="F88" s="20"/>
      <c r="G88" s="20"/>
      <c r="H88" s="20"/>
      <c r="I88" s="20"/>
      <c r="J88" s="20"/>
      <c r="K88" s="20"/>
    </row>
    <row r="89" customFormat="false" ht="15" hidden="false" customHeight="false" outlineLevel="0" collapsed="false">
      <c r="A89" s="18"/>
      <c r="B89" s="20"/>
      <c r="C89" s="20"/>
      <c r="D89" s="20"/>
      <c r="E89" s="18"/>
      <c r="F89" s="20"/>
      <c r="G89" s="20"/>
      <c r="H89" s="20"/>
      <c r="I89" s="20"/>
      <c r="J89" s="20"/>
      <c r="K89" s="20"/>
    </row>
    <row r="90" customFormat="false" ht="15" hidden="false" customHeight="false" outlineLevel="0" collapsed="false">
      <c r="A90" s="18"/>
      <c r="B90" s="20"/>
      <c r="C90" s="20"/>
      <c r="D90" s="20"/>
      <c r="E90" s="18"/>
      <c r="F90" s="20"/>
      <c r="G90" s="20"/>
      <c r="H90" s="20"/>
      <c r="I90" s="20"/>
      <c r="J90" s="20"/>
      <c r="K90" s="20"/>
    </row>
    <row r="91" customFormat="false" ht="15" hidden="false" customHeight="false" outlineLevel="0" collapsed="false">
      <c r="A91" s="18"/>
      <c r="B91" s="20"/>
      <c r="C91" s="20"/>
      <c r="D91" s="20"/>
      <c r="E91" s="18"/>
      <c r="F91" s="20"/>
      <c r="G91" s="20"/>
      <c r="H91" s="20"/>
      <c r="I91" s="20"/>
      <c r="J91" s="20"/>
      <c r="K91" s="20"/>
    </row>
    <row r="92" customFormat="false" ht="15" hidden="false" customHeight="false" outlineLevel="0" collapsed="false">
      <c r="A92" s="18"/>
      <c r="B92" s="20"/>
      <c r="C92" s="20"/>
      <c r="D92" s="20"/>
      <c r="E92" s="18"/>
      <c r="F92" s="20"/>
      <c r="G92" s="20"/>
      <c r="H92" s="20"/>
      <c r="I92" s="20"/>
      <c r="J92" s="20"/>
      <c r="K92" s="20"/>
    </row>
    <row r="93" customFormat="false" ht="15" hidden="false" customHeight="false" outlineLevel="0" collapsed="false">
      <c r="A93" s="18"/>
      <c r="B93" s="20"/>
      <c r="C93" s="20"/>
      <c r="D93" s="20"/>
      <c r="E93" s="18"/>
      <c r="F93" s="20"/>
      <c r="G93" s="20"/>
      <c r="H93" s="20"/>
      <c r="I93" s="20"/>
      <c r="J93" s="20"/>
      <c r="K93" s="20"/>
    </row>
    <row r="94" customFormat="false" ht="15" hidden="false" customHeight="false" outlineLevel="0" collapsed="false">
      <c r="A94" s="18"/>
      <c r="B94" s="20"/>
      <c r="C94" s="20"/>
      <c r="D94" s="20"/>
      <c r="E94" s="18"/>
      <c r="F94" s="20"/>
      <c r="G94" s="20"/>
      <c r="H94" s="20"/>
      <c r="I94" s="20"/>
      <c r="J94" s="20"/>
      <c r="K94" s="20"/>
    </row>
    <row r="95" customFormat="false" ht="15" hidden="false" customHeight="false" outlineLevel="0" collapsed="false">
      <c r="A95" s="18"/>
      <c r="B95" s="20"/>
      <c r="C95" s="20"/>
      <c r="D95" s="20"/>
      <c r="E95" s="18"/>
      <c r="F95" s="20"/>
      <c r="G95" s="20"/>
      <c r="H95" s="20"/>
      <c r="I95" s="20"/>
      <c r="J95" s="20"/>
      <c r="K95" s="20"/>
    </row>
    <row r="96" customFormat="false" ht="15" hidden="false" customHeight="false" outlineLevel="0" collapsed="false">
      <c r="A96" s="18"/>
      <c r="B96" s="20"/>
      <c r="C96" s="20"/>
      <c r="D96" s="20"/>
      <c r="E96" s="18"/>
      <c r="F96" s="20"/>
      <c r="G96" s="20"/>
      <c r="H96" s="20"/>
      <c r="I96" s="20"/>
      <c r="J96" s="20"/>
      <c r="K96" s="20"/>
    </row>
    <row r="97" customFormat="false" ht="15" hidden="false" customHeight="false" outlineLevel="0" collapsed="false">
      <c r="A97" s="18"/>
      <c r="B97" s="20"/>
      <c r="C97" s="20"/>
      <c r="D97" s="20"/>
      <c r="E97" s="18"/>
      <c r="F97" s="20"/>
      <c r="G97" s="20"/>
      <c r="H97" s="20"/>
      <c r="I97" s="20"/>
      <c r="J97" s="20"/>
      <c r="K97" s="20"/>
    </row>
    <row r="98" customFormat="false" ht="15" hidden="false" customHeight="false" outlineLevel="0" collapsed="false">
      <c r="A98" s="18"/>
      <c r="B98" s="20"/>
      <c r="C98" s="20"/>
      <c r="D98" s="20"/>
      <c r="E98" s="18"/>
      <c r="F98" s="20"/>
      <c r="G98" s="20"/>
      <c r="H98" s="20"/>
      <c r="I98" s="20"/>
      <c r="J98" s="20"/>
      <c r="K98" s="20"/>
    </row>
    <row r="99" customFormat="false" ht="15" hidden="false" customHeight="false" outlineLevel="0" collapsed="false">
      <c r="A99" s="18"/>
      <c r="B99" s="20"/>
      <c r="C99" s="20"/>
      <c r="D99" s="20"/>
      <c r="E99" s="18"/>
      <c r="F99" s="20"/>
      <c r="G99" s="20"/>
      <c r="H99" s="20"/>
      <c r="I99" s="20"/>
      <c r="J99" s="20"/>
      <c r="K99" s="20"/>
    </row>
    <row r="100" customFormat="false" ht="15" hidden="false" customHeight="false" outlineLevel="0" collapsed="false">
      <c r="A100" s="18"/>
      <c r="B100" s="20"/>
      <c r="C100" s="20"/>
      <c r="D100" s="20"/>
      <c r="E100" s="18"/>
      <c r="F100" s="20"/>
      <c r="G100" s="20"/>
      <c r="H100" s="20"/>
      <c r="I100" s="20"/>
      <c r="J100" s="20"/>
      <c r="K100" s="20"/>
    </row>
    <row r="101" customFormat="false" ht="15" hidden="false" customHeight="false" outlineLevel="0" collapsed="false">
      <c r="A101" s="18"/>
      <c r="B101" s="20"/>
      <c r="C101" s="20"/>
      <c r="D101" s="20"/>
      <c r="E101" s="18"/>
      <c r="F101" s="20"/>
      <c r="G101" s="20"/>
      <c r="H101" s="20"/>
      <c r="I101" s="20"/>
      <c r="J101" s="20"/>
      <c r="K101" s="20"/>
    </row>
    <row r="102" customFormat="false" ht="15" hidden="false" customHeight="false" outlineLevel="0" collapsed="false">
      <c r="A102" s="18"/>
      <c r="B102" s="20"/>
      <c r="C102" s="20"/>
      <c r="D102" s="20"/>
      <c r="E102" s="18"/>
      <c r="F102" s="20"/>
      <c r="G102" s="20"/>
      <c r="H102" s="20"/>
      <c r="I102" s="20"/>
      <c r="J102" s="20"/>
      <c r="K102" s="20"/>
    </row>
    <row r="103" customFormat="false" ht="15" hidden="false" customHeight="false" outlineLevel="0" collapsed="false">
      <c r="A103" s="18"/>
      <c r="B103" s="20"/>
      <c r="C103" s="20"/>
      <c r="D103" s="20"/>
      <c r="E103" s="18"/>
      <c r="F103" s="20"/>
      <c r="G103" s="20"/>
      <c r="H103" s="20"/>
      <c r="I103" s="20"/>
      <c r="J103" s="20"/>
      <c r="K103" s="20"/>
    </row>
    <row r="104" customFormat="false" ht="15" hidden="false" customHeight="false" outlineLevel="0" collapsed="false">
      <c r="A104" s="18"/>
      <c r="B104" s="20"/>
      <c r="C104" s="20"/>
      <c r="D104" s="20"/>
      <c r="E104" s="18"/>
      <c r="F104" s="20"/>
      <c r="G104" s="20"/>
      <c r="H104" s="20"/>
      <c r="I104" s="20"/>
      <c r="J104" s="20"/>
      <c r="K104" s="20"/>
    </row>
    <row r="105" customFormat="false" ht="15" hidden="false" customHeight="false" outlineLevel="0" collapsed="false">
      <c r="A105" s="18"/>
      <c r="B105" s="20"/>
      <c r="C105" s="20"/>
      <c r="D105" s="20"/>
      <c r="E105" s="18"/>
      <c r="F105" s="20"/>
      <c r="G105" s="20"/>
      <c r="H105" s="20"/>
      <c r="I105" s="20"/>
      <c r="J105" s="20"/>
      <c r="K105" s="20"/>
    </row>
    <row r="106" customFormat="false" ht="15" hidden="false" customHeight="false" outlineLevel="0" collapsed="false">
      <c r="A106" s="18"/>
      <c r="B106" s="20"/>
      <c r="C106" s="20"/>
      <c r="D106" s="20"/>
      <c r="E106" s="18"/>
      <c r="F106" s="20"/>
      <c r="G106" s="20"/>
      <c r="H106" s="20"/>
      <c r="I106" s="20"/>
      <c r="J106" s="20"/>
      <c r="K106" s="20"/>
    </row>
    <row r="107" customFormat="false" ht="15" hidden="false" customHeight="false" outlineLevel="0" collapsed="false">
      <c r="A107" s="18"/>
      <c r="B107" s="20"/>
      <c r="C107" s="20"/>
      <c r="D107" s="20"/>
      <c r="E107" s="18"/>
      <c r="F107" s="20"/>
      <c r="G107" s="20"/>
      <c r="H107" s="20"/>
      <c r="I107" s="20"/>
      <c r="J107" s="20"/>
      <c r="K107" s="20"/>
    </row>
    <row r="108" customFormat="false" ht="15" hidden="false" customHeight="false" outlineLevel="0" collapsed="false">
      <c r="A108" s="18"/>
      <c r="B108" s="20"/>
      <c r="C108" s="20"/>
      <c r="D108" s="20"/>
      <c r="E108" s="18"/>
      <c r="F108" s="20"/>
      <c r="G108" s="20"/>
      <c r="H108" s="20"/>
      <c r="I108" s="20"/>
      <c r="J108" s="20"/>
      <c r="K108" s="20"/>
    </row>
    <row r="109" customFormat="false" ht="15" hidden="false" customHeight="false" outlineLevel="0" collapsed="false">
      <c r="A109" s="18"/>
      <c r="B109" s="20"/>
      <c r="C109" s="20"/>
      <c r="D109" s="20"/>
      <c r="E109" s="18"/>
      <c r="F109" s="20"/>
      <c r="G109" s="20"/>
      <c r="H109" s="20"/>
      <c r="I109" s="20"/>
      <c r="J109" s="20"/>
      <c r="K109" s="20"/>
    </row>
    <row r="110" customFormat="false" ht="15" hidden="false" customHeight="false" outlineLevel="0" collapsed="false">
      <c r="A110" s="18"/>
      <c r="B110" s="20"/>
      <c r="C110" s="20"/>
      <c r="D110" s="20"/>
      <c r="E110" s="18"/>
      <c r="F110" s="20"/>
      <c r="G110" s="20"/>
      <c r="H110" s="20"/>
      <c r="I110" s="20"/>
      <c r="J110" s="20"/>
      <c r="K110" s="20"/>
    </row>
    <row r="111" customFormat="false" ht="15" hidden="false" customHeight="false" outlineLevel="0" collapsed="false">
      <c r="A111" s="18"/>
      <c r="B111" s="20"/>
      <c r="C111" s="20"/>
      <c r="D111" s="20"/>
      <c r="E111" s="18"/>
      <c r="F111" s="20"/>
      <c r="G111" s="20"/>
      <c r="H111" s="20"/>
      <c r="I111" s="20"/>
      <c r="J111" s="20"/>
      <c r="K111" s="20"/>
    </row>
    <row r="112" customFormat="false" ht="15" hidden="false" customHeight="false" outlineLevel="0" collapsed="false">
      <c r="A112" s="18"/>
      <c r="B112" s="20"/>
      <c r="C112" s="20"/>
      <c r="D112" s="20"/>
      <c r="E112" s="18"/>
      <c r="F112" s="20"/>
      <c r="G112" s="20"/>
      <c r="H112" s="20"/>
      <c r="I112" s="20"/>
      <c r="J112" s="20"/>
      <c r="K112" s="20"/>
    </row>
    <row r="113" customFormat="false" ht="15" hidden="false" customHeight="false" outlineLevel="0" collapsed="false">
      <c r="A113" s="18"/>
      <c r="B113" s="20"/>
      <c r="C113" s="20"/>
      <c r="D113" s="20"/>
      <c r="E113" s="18"/>
      <c r="F113" s="20"/>
      <c r="G113" s="20"/>
      <c r="H113" s="20"/>
      <c r="I113" s="20"/>
      <c r="J113" s="20"/>
      <c r="K113" s="20"/>
    </row>
    <row r="114" customFormat="false" ht="15" hidden="false" customHeight="false" outlineLevel="0" collapsed="false">
      <c r="A114" s="18"/>
      <c r="B114" s="20"/>
      <c r="C114" s="20"/>
      <c r="D114" s="20"/>
      <c r="E114" s="18"/>
      <c r="F114" s="20"/>
      <c r="G114" s="20"/>
      <c r="H114" s="20"/>
      <c r="I114" s="20"/>
      <c r="J114" s="20"/>
      <c r="K114" s="20"/>
    </row>
    <row r="115" customFormat="false" ht="15" hidden="false" customHeight="false" outlineLevel="0" collapsed="false">
      <c r="A115" s="18"/>
      <c r="B115" s="20"/>
      <c r="C115" s="20"/>
      <c r="D115" s="20"/>
      <c r="E115" s="18"/>
      <c r="F115" s="20"/>
      <c r="G115" s="20"/>
      <c r="H115" s="20"/>
      <c r="I115" s="20"/>
      <c r="J115" s="20"/>
      <c r="K115" s="20"/>
    </row>
    <row r="116" customFormat="false" ht="15" hidden="false" customHeight="false" outlineLevel="0" collapsed="false">
      <c r="A116" s="18"/>
      <c r="B116" s="20"/>
      <c r="C116" s="20"/>
      <c r="D116" s="20"/>
      <c r="E116" s="18"/>
      <c r="F116" s="20"/>
      <c r="G116" s="20"/>
      <c r="H116" s="20"/>
      <c r="I116" s="20"/>
      <c r="J116" s="20"/>
      <c r="K116" s="20"/>
    </row>
    <row r="117" customFormat="false" ht="15" hidden="false" customHeight="false" outlineLevel="0" collapsed="false">
      <c r="A117" s="18"/>
      <c r="B117" s="20"/>
      <c r="C117" s="20"/>
      <c r="D117" s="20"/>
      <c r="E117" s="18"/>
      <c r="F117" s="20"/>
      <c r="G117" s="20"/>
      <c r="H117" s="20"/>
      <c r="I117" s="20"/>
      <c r="J117" s="20"/>
      <c r="K117" s="20"/>
    </row>
    <row r="118" customFormat="false" ht="15" hidden="false" customHeight="false" outlineLevel="0" collapsed="false">
      <c r="A118" s="18"/>
      <c r="B118" s="20"/>
      <c r="C118" s="20"/>
      <c r="D118" s="20"/>
      <c r="E118" s="18"/>
      <c r="F118" s="20"/>
      <c r="G118" s="20"/>
      <c r="H118" s="20"/>
      <c r="I118" s="20"/>
      <c r="J118" s="20"/>
      <c r="K118" s="20"/>
    </row>
    <row r="119" customFormat="false" ht="15" hidden="false" customHeight="false" outlineLevel="0" collapsed="false">
      <c r="A119" s="18"/>
      <c r="B119" s="20"/>
      <c r="C119" s="20"/>
      <c r="D119" s="20"/>
      <c r="E119" s="18"/>
      <c r="F119" s="20"/>
      <c r="G119" s="20"/>
      <c r="H119" s="20"/>
      <c r="I119" s="20"/>
      <c r="J119" s="20"/>
      <c r="K119" s="20"/>
    </row>
    <row r="120" customFormat="false" ht="15" hidden="false" customHeight="false" outlineLevel="0" collapsed="false">
      <c r="A120" s="18"/>
      <c r="B120" s="20"/>
      <c r="C120" s="20"/>
      <c r="D120" s="20"/>
      <c r="E120" s="18"/>
      <c r="F120" s="20"/>
      <c r="G120" s="20"/>
      <c r="H120" s="20"/>
      <c r="I120" s="20"/>
      <c r="J120" s="20"/>
      <c r="K120" s="20"/>
    </row>
    <row r="121" customFormat="false" ht="15" hidden="false" customHeight="false" outlineLevel="0" collapsed="false">
      <c r="A121" s="18"/>
      <c r="B121" s="20"/>
      <c r="C121" s="20"/>
      <c r="D121" s="20"/>
      <c r="E121" s="18"/>
      <c r="F121" s="20"/>
      <c r="G121" s="20"/>
      <c r="H121" s="20"/>
      <c r="I121" s="20"/>
      <c r="J121" s="20"/>
      <c r="K121" s="20"/>
    </row>
    <row r="122" customFormat="false" ht="15" hidden="false" customHeight="false" outlineLevel="0" collapsed="false">
      <c r="A122" s="18"/>
      <c r="B122" s="20"/>
      <c r="C122" s="20"/>
      <c r="D122" s="20"/>
      <c r="E122" s="18"/>
      <c r="F122" s="20"/>
      <c r="G122" s="20"/>
      <c r="H122" s="20"/>
      <c r="I122" s="20"/>
      <c r="J122" s="20"/>
      <c r="K122" s="20"/>
    </row>
    <row r="123" customFormat="false" ht="15" hidden="false" customHeight="false" outlineLevel="0" collapsed="false">
      <c r="A123" s="18"/>
      <c r="B123" s="20"/>
      <c r="C123" s="20"/>
      <c r="D123" s="20"/>
      <c r="E123" s="18"/>
      <c r="F123" s="20"/>
      <c r="G123" s="20"/>
      <c r="H123" s="20"/>
      <c r="I123" s="20"/>
      <c r="J123" s="20"/>
      <c r="K123" s="20"/>
    </row>
    <row r="124" customFormat="false" ht="15" hidden="false" customHeight="false" outlineLevel="0" collapsed="false">
      <c r="A124" s="18"/>
      <c r="B124" s="20"/>
      <c r="C124" s="20"/>
      <c r="D124" s="20"/>
      <c r="E124" s="18"/>
      <c r="F124" s="20"/>
      <c r="G124" s="20"/>
      <c r="H124" s="20"/>
      <c r="I124" s="20"/>
      <c r="J124" s="20"/>
      <c r="K124" s="20"/>
    </row>
    <row r="125" customFormat="false" ht="15" hidden="false" customHeight="false" outlineLevel="0" collapsed="false">
      <c r="A125" s="18"/>
      <c r="B125" s="20"/>
      <c r="C125" s="20"/>
      <c r="D125" s="20"/>
      <c r="E125" s="18"/>
      <c r="F125" s="20"/>
      <c r="G125" s="20"/>
      <c r="H125" s="20"/>
      <c r="I125" s="20"/>
      <c r="J125" s="20"/>
      <c r="K125" s="20"/>
    </row>
    <row r="126" customFormat="false" ht="15" hidden="false" customHeight="false" outlineLevel="0" collapsed="false">
      <c r="A126" s="18"/>
      <c r="B126" s="20"/>
      <c r="C126" s="20"/>
      <c r="D126" s="20"/>
      <c r="E126" s="18"/>
      <c r="F126" s="20"/>
      <c r="G126" s="20"/>
      <c r="H126" s="20"/>
      <c r="I126" s="20"/>
      <c r="J126" s="20"/>
      <c r="K126" s="20"/>
    </row>
    <row r="127" customFormat="false" ht="15" hidden="false" customHeight="false" outlineLevel="0" collapsed="false">
      <c r="A127" s="18"/>
      <c r="B127" s="20"/>
      <c r="C127" s="20"/>
      <c r="D127" s="20"/>
      <c r="E127" s="18"/>
      <c r="F127" s="20"/>
      <c r="G127" s="20"/>
      <c r="H127" s="20"/>
      <c r="I127" s="20"/>
      <c r="J127" s="20"/>
      <c r="K127" s="20"/>
    </row>
    <row r="128" customFormat="false" ht="15" hidden="false" customHeight="false" outlineLevel="0" collapsed="false">
      <c r="A128" s="18"/>
      <c r="B128" s="20"/>
      <c r="C128" s="20"/>
      <c r="D128" s="20"/>
      <c r="E128" s="18"/>
      <c r="F128" s="20"/>
      <c r="G128" s="20"/>
      <c r="H128" s="20"/>
      <c r="I128" s="20"/>
      <c r="J128" s="20"/>
      <c r="K128" s="20"/>
    </row>
    <row r="129" customFormat="false" ht="15" hidden="false" customHeight="false" outlineLevel="0" collapsed="false">
      <c r="A129" s="18"/>
      <c r="B129" s="20"/>
      <c r="C129" s="20"/>
      <c r="D129" s="20"/>
      <c r="E129" s="18"/>
      <c r="F129" s="20"/>
      <c r="G129" s="20"/>
      <c r="H129" s="20"/>
      <c r="I129" s="20"/>
      <c r="J129" s="20"/>
      <c r="K129" s="20"/>
    </row>
    <row r="130" customFormat="false" ht="15" hidden="false" customHeight="false" outlineLevel="0" collapsed="false">
      <c r="A130" s="18"/>
      <c r="B130" s="20"/>
      <c r="C130" s="20"/>
      <c r="D130" s="20"/>
      <c r="E130" s="18"/>
      <c r="F130" s="20"/>
      <c r="G130" s="20"/>
      <c r="H130" s="20"/>
      <c r="I130" s="20"/>
      <c r="J130" s="20"/>
      <c r="K130" s="20"/>
    </row>
    <row r="131" customFormat="false" ht="15" hidden="false" customHeight="false" outlineLevel="0" collapsed="false">
      <c r="A131" s="18"/>
      <c r="B131" s="20"/>
      <c r="C131" s="20"/>
      <c r="D131" s="20"/>
      <c r="E131" s="18"/>
      <c r="F131" s="20"/>
      <c r="G131" s="20"/>
      <c r="H131" s="20"/>
      <c r="I131" s="20"/>
      <c r="J131" s="20"/>
      <c r="K131" s="20"/>
    </row>
    <row r="132" customFormat="false" ht="15" hidden="false" customHeight="false" outlineLevel="0" collapsed="false">
      <c r="A132" s="18"/>
      <c r="B132" s="20"/>
      <c r="C132" s="20"/>
      <c r="D132" s="20"/>
      <c r="E132" s="18"/>
      <c r="F132" s="20"/>
      <c r="G132" s="20"/>
      <c r="H132" s="20"/>
      <c r="I132" s="20"/>
      <c r="J132" s="20"/>
      <c r="K132" s="20"/>
    </row>
    <row r="133" customFormat="false" ht="15" hidden="false" customHeight="false" outlineLevel="0" collapsed="false">
      <c r="A133" s="18"/>
      <c r="B133" s="20"/>
      <c r="C133" s="20"/>
      <c r="D133" s="20"/>
      <c r="E133" s="18"/>
      <c r="F133" s="20"/>
      <c r="G133" s="20"/>
      <c r="H133" s="20"/>
      <c r="I133" s="20"/>
      <c r="J133" s="20"/>
      <c r="K133" s="20"/>
    </row>
    <row r="134" customFormat="false" ht="15" hidden="false" customHeight="false" outlineLevel="0" collapsed="false">
      <c r="A134" s="18"/>
      <c r="B134" s="20"/>
      <c r="C134" s="20"/>
      <c r="D134" s="20"/>
      <c r="E134" s="18"/>
      <c r="F134" s="20"/>
      <c r="G134" s="20"/>
      <c r="H134" s="20"/>
      <c r="I134" s="20"/>
      <c r="J134" s="20"/>
      <c r="K134" s="20"/>
    </row>
    <row r="135" customFormat="false" ht="15" hidden="false" customHeight="false" outlineLevel="0" collapsed="false">
      <c r="A135" s="18"/>
      <c r="B135" s="20"/>
      <c r="C135" s="20"/>
      <c r="D135" s="20"/>
      <c r="E135" s="18"/>
      <c r="F135" s="20"/>
      <c r="G135" s="20"/>
      <c r="H135" s="20"/>
      <c r="I135" s="20"/>
      <c r="J135" s="20"/>
      <c r="K135" s="20"/>
    </row>
    <row r="136" customFormat="false" ht="15" hidden="false" customHeight="false" outlineLevel="0" collapsed="false">
      <c r="A136" s="18"/>
      <c r="B136" s="20"/>
      <c r="C136" s="20"/>
      <c r="D136" s="20"/>
      <c r="E136" s="18"/>
      <c r="F136" s="20"/>
      <c r="G136" s="20"/>
      <c r="H136" s="20"/>
      <c r="I136" s="20"/>
      <c r="J136" s="20"/>
      <c r="K136" s="20"/>
    </row>
    <row r="137" customFormat="false" ht="15" hidden="false" customHeight="false" outlineLevel="0" collapsed="false">
      <c r="A137" s="18"/>
      <c r="B137" s="20"/>
      <c r="C137" s="20"/>
      <c r="D137" s="20"/>
      <c r="E137" s="18"/>
      <c r="F137" s="20"/>
      <c r="G137" s="20"/>
      <c r="H137" s="20"/>
      <c r="I137" s="20"/>
      <c r="J137" s="20"/>
      <c r="K137" s="20"/>
    </row>
    <row r="138" customFormat="false" ht="15" hidden="false" customHeight="false" outlineLevel="0" collapsed="false">
      <c r="A138" s="18"/>
      <c r="B138" s="20"/>
      <c r="C138" s="20"/>
      <c r="D138" s="20"/>
      <c r="E138" s="18"/>
      <c r="F138" s="20"/>
      <c r="G138" s="20"/>
      <c r="H138" s="20"/>
      <c r="I138" s="20"/>
      <c r="J138" s="20"/>
      <c r="K138" s="20"/>
    </row>
    <row r="139" customFormat="false" ht="15" hidden="false" customHeight="false" outlineLevel="0" collapsed="false">
      <c r="A139" s="18"/>
      <c r="B139" s="20"/>
      <c r="C139" s="20"/>
      <c r="D139" s="20"/>
      <c r="E139" s="18"/>
      <c r="F139" s="20"/>
      <c r="G139" s="20"/>
      <c r="H139" s="20"/>
      <c r="I139" s="20"/>
      <c r="J139" s="20"/>
      <c r="K139" s="20"/>
    </row>
    <row r="140" customFormat="false" ht="15" hidden="false" customHeight="false" outlineLevel="0" collapsed="false">
      <c r="A140" s="18"/>
      <c r="B140" s="20"/>
      <c r="C140" s="20"/>
      <c r="D140" s="20"/>
      <c r="E140" s="18"/>
      <c r="F140" s="20"/>
      <c r="G140" s="20"/>
      <c r="H140" s="20"/>
      <c r="I140" s="20"/>
      <c r="J140" s="20"/>
      <c r="K140" s="20"/>
    </row>
    <row r="141" customFormat="false" ht="15" hidden="false" customHeight="false" outlineLevel="0" collapsed="false">
      <c r="A141" s="18"/>
      <c r="B141" s="20"/>
      <c r="C141" s="20"/>
      <c r="D141" s="20"/>
      <c r="E141" s="18"/>
      <c r="F141" s="20"/>
      <c r="G141" s="20"/>
      <c r="H141" s="20"/>
      <c r="I141" s="20"/>
      <c r="J141" s="20"/>
      <c r="K141" s="20"/>
    </row>
    <row r="142" customFormat="false" ht="15" hidden="false" customHeight="false" outlineLevel="0" collapsed="false">
      <c r="A142" s="18"/>
      <c r="B142" s="20"/>
      <c r="C142" s="20"/>
      <c r="D142" s="20"/>
      <c r="E142" s="18"/>
      <c r="F142" s="20"/>
      <c r="G142" s="20"/>
      <c r="H142" s="20"/>
      <c r="I142" s="20"/>
      <c r="J142" s="20"/>
      <c r="K142" s="20"/>
    </row>
    <row r="143" customFormat="false" ht="15" hidden="false" customHeight="false" outlineLevel="0" collapsed="false">
      <c r="A143" s="18"/>
      <c r="B143" s="20"/>
      <c r="C143" s="20"/>
      <c r="D143" s="20"/>
      <c r="E143" s="18"/>
      <c r="F143" s="20"/>
      <c r="G143" s="20"/>
      <c r="H143" s="20"/>
      <c r="I143" s="20"/>
      <c r="J143" s="20"/>
      <c r="K143" s="20"/>
    </row>
    <row r="144" customFormat="false" ht="15" hidden="false" customHeight="false" outlineLevel="0" collapsed="false">
      <c r="A144" s="18"/>
      <c r="B144" s="20"/>
      <c r="C144" s="20"/>
      <c r="D144" s="20"/>
      <c r="E144" s="18"/>
      <c r="F144" s="20"/>
      <c r="G144" s="20"/>
      <c r="H144" s="20"/>
      <c r="I144" s="20"/>
      <c r="J144" s="20"/>
      <c r="K144" s="20"/>
    </row>
    <row r="145" customFormat="false" ht="15" hidden="false" customHeight="false" outlineLevel="0" collapsed="false">
      <c r="A145" s="18"/>
      <c r="B145" s="20"/>
      <c r="C145" s="20"/>
      <c r="D145" s="20"/>
      <c r="E145" s="18"/>
      <c r="F145" s="20"/>
      <c r="G145" s="20"/>
      <c r="H145" s="20"/>
      <c r="I145" s="20"/>
      <c r="J145" s="20"/>
      <c r="K145" s="20"/>
    </row>
    <row r="146" customFormat="false" ht="15" hidden="false" customHeight="false" outlineLevel="0" collapsed="false">
      <c r="A146" s="18"/>
      <c r="B146" s="20"/>
      <c r="C146" s="20"/>
      <c r="D146" s="20"/>
      <c r="E146" s="18"/>
      <c r="F146" s="20"/>
      <c r="G146" s="20"/>
      <c r="H146" s="20"/>
      <c r="I146" s="20"/>
      <c r="J146" s="20"/>
      <c r="K146" s="20"/>
    </row>
    <row r="147" customFormat="false" ht="15" hidden="false" customHeight="false" outlineLevel="0" collapsed="false">
      <c r="A147" s="18"/>
      <c r="B147" s="20"/>
      <c r="C147" s="20"/>
      <c r="D147" s="20"/>
      <c r="E147" s="18"/>
      <c r="F147" s="20"/>
      <c r="G147" s="20"/>
      <c r="H147" s="20"/>
      <c r="I147" s="20"/>
      <c r="J147" s="20"/>
      <c r="K147" s="20"/>
    </row>
    <row r="148" customFormat="false" ht="15" hidden="false" customHeight="false" outlineLevel="0" collapsed="false">
      <c r="A148" s="18"/>
      <c r="B148" s="20"/>
      <c r="C148" s="20"/>
      <c r="D148" s="20"/>
      <c r="E148" s="18"/>
      <c r="F148" s="20"/>
      <c r="G148" s="20"/>
      <c r="H148" s="20"/>
      <c r="I148" s="20"/>
      <c r="J148" s="20"/>
      <c r="K148" s="20"/>
    </row>
    <row r="149" customFormat="false" ht="15" hidden="false" customHeight="false" outlineLevel="0" collapsed="false">
      <c r="A149" s="18"/>
      <c r="B149" s="20"/>
      <c r="C149" s="20"/>
      <c r="D149" s="20"/>
      <c r="E149" s="18"/>
      <c r="F149" s="20"/>
      <c r="G149" s="20"/>
      <c r="H149" s="20"/>
      <c r="I149" s="20"/>
      <c r="J149" s="20"/>
      <c r="K149" s="20"/>
    </row>
    <row r="150" customFormat="false" ht="15" hidden="false" customHeight="false" outlineLevel="0" collapsed="false">
      <c r="A150" s="18"/>
      <c r="B150" s="20"/>
      <c r="C150" s="20"/>
      <c r="D150" s="20"/>
      <c r="E150" s="18"/>
      <c r="F150" s="20"/>
      <c r="G150" s="20"/>
      <c r="H150" s="20"/>
      <c r="I150" s="20"/>
      <c r="J150" s="20"/>
      <c r="K150" s="20"/>
    </row>
    <row r="151" customFormat="false" ht="15" hidden="false" customHeight="false" outlineLevel="0" collapsed="false">
      <c r="A151" s="18"/>
      <c r="B151" s="20"/>
      <c r="C151" s="20"/>
      <c r="D151" s="20"/>
      <c r="E151" s="18"/>
      <c r="F151" s="20"/>
      <c r="G151" s="20"/>
      <c r="H151" s="20"/>
      <c r="I151" s="20"/>
      <c r="J151" s="20"/>
      <c r="K151" s="20"/>
    </row>
    <row r="152" customFormat="false" ht="15" hidden="false" customHeight="false" outlineLevel="0" collapsed="false">
      <c r="A152" s="18"/>
      <c r="B152" s="20"/>
      <c r="C152" s="20"/>
      <c r="D152" s="20"/>
      <c r="E152" s="18"/>
      <c r="F152" s="20"/>
      <c r="G152" s="20"/>
      <c r="H152" s="20"/>
      <c r="I152" s="20"/>
      <c r="J152" s="20"/>
      <c r="K152" s="20"/>
    </row>
    <row r="153" customFormat="false" ht="15" hidden="false" customHeight="false" outlineLevel="0" collapsed="false">
      <c r="A153" s="18"/>
      <c r="B153" s="20"/>
      <c r="C153" s="20"/>
      <c r="D153" s="20"/>
      <c r="E153" s="18"/>
      <c r="F153" s="20"/>
      <c r="G153" s="20"/>
      <c r="H153" s="20"/>
      <c r="I153" s="20"/>
      <c r="J153" s="20"/>
      <c r="K153" s="20"/>
    </row>
    <row r="154" customFormat="false" ht="15" hidden="false" customHeight="false" outlineLevel="0" collapsed="false">
      <c r="A154" s="18"/>
      <c r="B154" s="20"/>
      <c r="C154" s="20"/>
      <c r="D154" s="20"/>
      <c r="E154" s="18"/>
      <c r="F154" s="20"/>
      <c r="G154" s="20"/>
      <c r="H154" s="20"/>
      <c r="I154" s="20"/>
      <c r="J154" s="20"/>
      <c r="K154" s="20"/>
    </row>
    <row r="155" customFormat="false" ht="15" hidden="false" customHeight="false" outlineLevel="0" collapsed="false">
      <c r="A155" s="18"/>
      <c r="B155" s="20"/>
      <c r="C155" s="20"/>
      <c r="D155" s="20"/>
      <c r="E155" s="18"/>
      <c r="F155" s="20"/>
      <c r="G155" s="20"/>
      <c r="H155" s="20"/>
      <c r="I155" s="20"/>
      <c r="J155" s="20"/>
      <c r="K155" s="20"/>
    </row>
    <row r="156" customFormat="false" ht="15" hidden="false" customHeight="false" outlineLevel="0" collapsed="false">
      <c r="A156" s="18"/>
      <c r="B156" s="20"/>
      <c r="C156" s="20"/>
      <c r="D156" s="20"/>
      <c r="E156" s="18"/>
      <c r="F156" s="20"/>
      <c r="G156" s="20"/>
      <c r="H156" s="20"/>
      <c r="I156" s="20"/>
      <c r="J156" s="20"/>
      <c r="K156" s="20"/>
    </row>
    <row r="157" customFormat="false" ht="15" hidden="false" customHeight="false" outlineLevel="0" collapsed="false">
      <c r="A157" s="18"/>
      <c r="B157" s="20"/>
      <c r="C157" s="20"/>
      <c r="D157" s="20"/>
      <c r="E157" s="18"/>
      <c r="F157" s="20"/>
      <c r="G157" s="20"/>
      <c r="H157" s="20"/>
      <c r="I157" s="20"/>
      <c r="J157" s="20"/>
      <c r="K157" s="20"/>
    </row>
    <row r="158" customFormat="false" ht="15" hidden="false" customHeight="false" outlineLevel="0" collapsed="false">
      <c r="A158" s="18"/>
      <c r="B158" s="20"/>
      <c r="C158" s="20"/>
      <c r="D158" s="20"/>
      <c r="E158" s="18"/>
      <c r="F158" s="20"/>
      <c r="G158" s="20"/>
      <c r="H158" s="20"/>
      <c r="I158" s="20"/>
      <c r="J158" s="20"/>
      <c r="K158" s="20"/>
    </row>
    <row r="159" customFormat="false" ht="15" hidden="false" customHeight="false" outlineLevel="0" collapsed="false">
      <c r="A159" s="18"/>
      <c r="B159" s="20"/>
      <c r="C159" s="20"/>
      <c r="D159" s="20"/>
      <c r="E159" s="18"/>
      <c r="F159" s="20"/>
      <c r="G159" s="20"/>
      <c r="H159" s="20"/>
      <c r="I159" s="20"/>
      <c r="J159" s="20"/>
      <c r="K159" s="20"/>
    </row>
    <row r="160" customFormat="false" ht="15" hidden="false" customHeight="false" outlineLevel="0" collapsed="false">
      <c r="A160" s="18"/>
      <c r="B160" s="20"/>
      <c r="C160" s="20"/>
      <c r="D160" s="20"/>
      <c r="E160" s="18"/>
      <c r="F160" s="20"/>
      <c r="G160" s="20"/>
      <c r="H160" s="20"/>
      <c r="I160" s="20"/>
      <c r="J160" s="20"/>
      <c r="K160" s="20"/>
    </row>
    <row r="161" customFormat="false" ht="15" hidden="false" customHeight="false" outlineLevel="0" collapsed="false">
      <c r="A161" s="18"/>
      <c r="B161" s="20"/>
      <c r="C161" s="20"/>
      <c r="D161" s="20"/>
      <c r="E161" s="18"/>
      <c r="F161" s="20"/>
      <c r="G161" s="20"/>
      <c r="H161" s="20"/>
      <c r="I161" s="20"/>
      <c r="J161" s="20"/>
      <c r="K161" s="20"/>
    </row>
    <row r="162" customFormat="false" ht="15" hidden="false" customHeight="false" outlineLevel="0" collapsed="false">
      <c r="A162" s="18"/>
      <c r="B162" s="20"/>
      <c r="C162" s="20"/>
      <c r="D162" s="20"/>
      <c r="E162" s="18"/>
      <c r="F162" s="20"/>
      <c r="G162" s="20"/>
      <c r="H162" s="20"/>
      <c r="I162" s="20"/>
      <c r="J162" s="20"/>
      <c r="K162" s="20"/>
    </row>
    <row r="163" customFormat="false" ht="15" hidden="false" customHeight="false" outlineLevel="0" collapsed="false">
      <c r="A163" s="18"/>
      <c r="B163" s="20"/>
      <c r="C163" s="20"/>
      <c r="D163" s="20"/>
      <c r="E163" s="18"/>
      <c r="F163" s="20"/>
      <c r="G163" s="20"/>
      <c r="H163" s="20"/>
      <c r="I163" s="20"/>
      <c r="J163" s="20"/>
      <c r="K163" s="20"/>
    </row>
    <row r="164" customFormat="false" ht="15" hidden="false" customHeight="false" outlineLevel="0" collapsed="false">
      <c r="A164" s="18"/>
      <c r="B164" s="20"/>
      <c r="C164" s="20"/>
      <c r="D164" s="20"/>
      <c r="E164" s="18"/>
      <c r="F164" s="20"/>
      <c r="G164" s="20"/>
      <c r="H164" s="20"/>
      <c r="I164" s="20"/>
      <c r="J164" s="20"/>
      <c r="K164" s="20"/>
    </row>
    <row r="165" customFormat="false" ht="15" hidden="false" customHeight="false" outlineLevel="0" collapsed="false">
      <c r="A165" s="18"/>
      <c r="B165" s="20"/>
      <c r="C165" s="20"/>
      <c r="D165" s="20"/>
      <c r="E165" s="18"/>
      <c r="F165" s="20"/>
      <c r="G165" s="20"/>
      <c r="H165" s="20"/>
      <c r="I165" s="20"/>
      <c r="J165" s="20"/>
      <c r="K165" s="20"/>
    </row>
    <row r="166" customFormat="false" ht="15" hidden="false" customHeight="false" outlineLevel="0" collapsed="false">
      <c r="A166" s="18"/>
      <c r="B166" s="20"/>
      <c r="C166" s="20"/>
      <c r="D166" s="20"/>
      <c r="E166" s="18"/>
      <c r="F166" s="20"/>
      <c r="G166" s="20"/>
      <c r="H166" s="20"/>
      <c r="I166" s="20"/>
      <c r="J166" s="20"/>
      <c r="K166" s="20"/>
    </row>
    <row r="167" customFormat="false" ht="15" hidden="false" customHeight="false" outlineLevel="0" collapsed="false">
      <c r="A167" s="18"/>
      <c r="B167" s="20"/>
      <c r="C167" s="20"/>
      <c r="D167" s="20"/>
      <c r="E167" s="18"/>
      <c r="F167" s="20"/>
      <c r="G167" s="20"/>
      <c r="H167" s="20"/>
      <c r="I167" s="20"/>
      <c r="J167" s="20"/>
      <c r="K167" s="20"/>
    </row>
    <row r="168" customFormat="false" ht="15" hidden="false" customHeight="false" outlineLevel="0" collapsed="false">
      <c r="A168" s="18"/>
      <c r="B168" s="20"/>
      <c r="C168" s="20"/>
      <c r="D168" s="20"/>
      <c r="E168" s="18"/>
      <c r="F168" s="20"/>
      <c r="G168" s="20"/>
      <c r="H168" s="20"/>
      <c r="I168" s="20"/>
      <c r="J168" s="20"/>
      <c r="K168" s="20"/>
    </row>
    <row r="169" customFormat="false" ht="15" hidden="false" customHeight="false" outlineLevel="0" collapsed="false">
      <c r="A169" s="18"/>
      <c r="B169" s="20"/>
      <c r="C169" s="20"/>
      <c r="D169" s="20"/>
      <c r="E169" s="18"/>
      <c r="F169" s="20"/>
      <c r="G169" s="20"/>
      <c r="H169" s="20"/>
      <c r="I169" s="20"/>
      <c r="J169" s="20"/>
      <c r="K169" s="20"/>
    </row>
    <row r="170" customFormat="false" ht="15" hidden="false" customHeight="false" outlineLevel="0" collapsed="false">
      <c r="A170" s="18"/>
      <c r="B170" s="20"/>
      <c r="C170" s="20"/>
      <c r="D170" s="20"/>
      <c r="E170" s="18"/>
      <c r="F170" s="20"/>
      <c r="G170" s="20"/>
      <c r="H170" s="20"/>
      <c r="I170" s="20"/>
      <c r="J170" s="20"/>
      <c r="K170" s="20"/>
    </row>
    <row r="171" customFormat="false" ht="15" hidden="false" customHeight="false" outlineLevel="0" collapsed="false">
      <c r="A171" s="18"/>
      <c r="B171" s="20"/>
      <c r="C171" s="20"/>
      <c r="D171" s="20"/>
      <c r="E171" s="18"/>
      <c r="F171" s="20"/>
      <c r="G171" s="20"/>
      <c r="H171" s="20"/>
      <c r="I171" s="20"/>
      <c r="J171" s="20"/>
      <c r="K171" s="20"/>
    </row>
    <row r="172" customFormat="false" ht="15" hidden="false" customHeight="false" outlineLevel="0" collapsed="false">
      <c r="A172" s="18"/>
      <c r="B172" s="20"/>
      <c r="C172" s="20"/>
      <c r="D172" s="20"/>
      <c r="E172" s="18"/>
      <c r="F172" s="20"/>
      <c r="G172" s="20"/>
      <c r="H172" s="20"/>
      <c r="I172" s="20"/>
      <c r="J172" s="20"/>
      <c r="K172" s="20"/>
    </row>
    <row r="173" customFormat="false" ht="15" hidden="false" customHeight="false" outlineLevel="0" collapsed="false">
      <c r="A173" s="18"/>
      <c r="B173" s="20"/>
      <c r="C173" s="20"/>
      <c r="D173" s="20"/>
      <c r="E173" s="18"/>
      <c r="F173" s="20"/>
      <c r="G173" s="20"/>
      <c r="H173" s="20"/>
      <c r="I173" s="20"/>
      <c r="J173" s="20"/>
      <c r="K173" s="20"/>
    </row>
    <row r="174" customFormat="false" ht="15" hidden="false" customHeight="false" outlineLevel="0" collapsed="false">
      <c r="A174" s="18"/>
      <c r="B174" s="20"/>
      <c r="C174" s="20"/>
      <c r="D174" s="20"/>
      <c r="E174" s="18"/>
      <c r="F174" s="20"/>
      <c r="G174" s="20"/>
      <c r="H174" s="20"/>
      <c r="I174" s="20"/>
      <c r="J174" s="20"/>
      <c r="K174" s="20"/>
    </row>
    <row r="175" customFormat="false" ht="15" hidden="false" customHeight="false" outlineLevel="0" collapsed="false">
      <c r="A175" s="18"/>
      <c r="B175" s="20"/>
      <c r="C175" s="20"/>
      <c r="D175" s="20"/>
      <c r="E175" s="18"/>
      <c r="F175" s="20"/>
      <c r="G175" s="20"/>
      <c r="H175" s="20"/>
      <c r="I175" s="20"/>
      <c r="J175" s="20"/>
      <c r="K175" s="20"/>
    </row>
    <row r="176" customFormat="false" ht="15" hidden="false" customHeight="false" outlineLevel="0" collapsed="false">
      <c r="A176" s="18"/>
      <c r="B176" s="20"/>
      <c r="C176" s="20"/>
      <c r="D176" s="20"/>
      <c r="E176" s="18"/>
      <c r="F176" s="20"/>
      <c r="G176" s="20"/>
      <c r="H176" s="20"/>
      <c r="I176" s="20"/>
      <c r="J176" s="20"/>
      <c r="K176" s="20"/>
    </row>
    <row r="177" customFormat="false" ht="15" hidden="false" customHeight="false" outlineLevel="0" collapsed="false">
      <c r="A177" s="18"/>
      <c r="B177" s="20"/>
      <c r="C177" s="20"/>
      <c r="D177" s="20"/>
      <c r="E177" s="18"/>
      <c r="F177" s="20"/>
      <c r="G177" s="20"/>
      <c r="H177" s="20"/>
      <c r="I177" s="20"/>
      <c r="J177" s="20"/>
      <c r="K177" s="20"/>
    </row>
    <row r="178" customFormat="false" ht="15" hidden="false" customHeight="false" outlineLevel="0" collapsed="false">
      <c r="A178" s="18"/>
      <c r="B178" s="20"/>
      <c r="C178" s="20"/>
      <c r="D178" s="20"/>
      <c r="E178" s="18"/>
      <c r="F178" s="20"/>
      <c r="G178" s="20"/>
      <c r="H178" s="20"/>
      <c r="I178" s="20"/>
      <c r="J178" s="20"/>
      <c r="K178" s="20"/>
    </row>
    <row r="179" customFormat="false" ht="15" hidden="false" customHeight="false" outlineLevel="0" collapsed="false">
      <c r="A179" s="18"/>
      <c r="B179" s="20"/>
      <c r="C179" s="20"/>
      <c r="D179" s="20"/>
      <c r="E179" s="18"/>
      <c r="F179" s="20"/>
      <c r="G179" s="20"/>
      <c r="H179" s="20"/>
      <c r="I179" s="20"/>
      <c r="J179" s="20"/>
      <c r="K179" s="20"/>
    </row>
    <row r="180" customFormat="false" ht="15" hidden="false" customHeight="false" outlineLevel="0" collapsed="false">
      <c r="A180" s="18"/>
      <c r="B180" s="20"/>
      <c r="C180" s="20"/>
      <c r="D180" s="20"/>
      <c r="E180" s="18"/>
      <c r="F180" s="20"/>
      <c r="G180" s="20"/>
      <c r="H180" s="20"/>
      <c r="I180" s="20"/>
      <c r="J180" s="20"/>
      <c r="K180" s="20"/>
    </row>
    <row r="181" customFormat="false" ht="15" hidden="false" customHeight="false" outlineLevel="0" collapsed="false">
      <c r="A181" s="18"/>
      <c r="B181" s="20"/>
      <c r="C181" s="20"/>
      <c r="D181" s="20"/>
      <c r="E181" s="18"/>
      <c r="F181" s="20"/>
      <c r="G181" s="20"/>
      <c r="H181" s="20"/>
      <c r="I181" s="20"/>
      <c r="J181" s="20"/>
      <c r="K181" s="20"/>
    </row>
    <row r="182" customFormat="false" ht="15" hidden="false" customHeight="false" outlineLevel="0" collapsed="false">
      <c r="A182" s="18"/>
      <c r="B182" s="20"/>
      <c r="C182" s="20"/>
      <c r="D182" s="20"/>
      <c r="E182" s="18"/>
      <c r="F182" s="20"/>
      <c r="G182" s="20"/>
      <c r="H182" s="20"/>
      <c r="I182" s="20"/>
      <c r="J182" s="20"/>
      <c r="K182" s="20"/>
    </row>
    <row r="183" customFormat="false" ht="15" hidden="false" customHeight="false" outlineLevel="0" collapsed="false">
      <c r="A183" s="18"/>
      <c r="B183" s="20"/>
      <c r="C183" s="20"/>
      <c r="D183" s="20"/>
      <c r="E183" s="18"/>
      <c r="F183" s="20"/>
      <c r="G183" s="20"/>
      <c r="H183" s="20"/>
      <c r="I183" s="20"/>
      <c r="J183" s="20"/>
      <c r="K183" s="20"/>
    </row>
    <row r="184" customFormat="false" ht="15" hidden="false" customHeight="false" outlineLevel="0" collapsed="false">
      <c r="A184" s="18"/>
      <c r="B184" s="20"/>
      <c r="C184" s="20"/>
      <c r="D184" s="20"/>
      <c r="E184" s="18"/>
      <c r="F184" s="20"/>
      <c r="G184" s="20"/>
      <c r="H184" s="20"/>
      <c r="I184" s="20"/>
      <c r="J184" s="20"/>
      <c r="K184" s="20"/>
    </row>
    <row r="185" customFormat="false" ht="15" hidden="false" customHeight="false" outlineLevel="0" collapsed="false">
      <c r="A185" s="18"/>
      <c r="B185" s="20"/>
      <c r="C185" s="20"/>
      <c r="D185" s="20"/>
      <c r="E185" s="18"/>
      <c r="F185" s="20"/>
      <c r="G185" s="20"/>
      <c r="H185" s="20"/>
      <c r="I185" s="20"/>
      <c r="J185" s="20"/>
      <c r="K185" s="20"/>
    </row>
    <row r="186" customFormat="false" ht="15" hidden="false" customHeight="false" outlineLevel="0" collapsed="false">
      <c r="A186" s="18"/>
      <c r="B186" s="20"/>
      <c r="C186" s="20"/>
      <c r="D186" s="20"/>
      <c r="E186" s="18"/>
      <c r="F186" s="20"/>
      <c r="G186" s="20"/>
      <c r="H186" s="20"/>
      <c r="I186" s="20"/>
      <c r="J186" s="20"/>
      <c r="K186" s="20"/>
    </row>
    <row r="187" customFormat="false" ht="15" hidden="false" customHeight="false" outlineLevel="0" collapsed="false">
      <c r="A187" s="18"/>
      <c r="B187" s="20"/>
      <c r="C187" s="20"/>
      <c r="D187" s="20"/>
      <c r="E187" s="18"/>
      <c r="F187" s="20"/>
      <c r="G187" s="20"/>
      <c r="H187" s="20"/>
      <c r="I187" s="20"/>
      <c r="J187" s="20"/>
      <c r="K187" s="20"/>
    </row>
    <row r="188" customFormat="false" ht="15" hidden="false" customHeight="false" outlineLevel="0" collapsed="false">
      <c r="A188" s="18"/>
      <c r="B188" s="20"/>
      <c r="C188" s="20"/>
      <c r="D188" s="20"/>
      <c r="E188" s="18"/>
      <c r="F188" s="20"/>
      <c r="G188" s="20"/>
      <c r="H188" s="20"/>
      <c r="I188" s="20"/>
      <c r="J188" s="20"/>
      <c r="K188" s="20"/>
    </row>
    <row r="189" customFormat="false" ht="15" hidden="false" customHeight="false" outlineLevel="0" collapsed="false">
      <c r="A189" s="18"/>
      <c r="B189" s="20"/>
      <c r="C189" s="20"/>
      <c r="D189" s="20"/>
      <c r="E189" s="18"/>
      <c r="F189" s="20"/>
      <c r="G189" s="20"/>
      <c r="H189" s="20"/>
      <c r="I189" s="20"/>
      <c r="J189" s="20"/>
      <c r="K189" s="20"/>
    </row>
    <row r="190" customFormat="false" ht="15" hidden="false" customHeight="false" outlineLevel="0" collapsed="false">
      <c r="A190" s="18"/>
      <c r="B190" s="20"/>
      <c r="C190" s="20"/>
      <c r="D190" s="20"/>
      <c r="E190" s="18"/>
      <c r="F190" s="20"/>
      <c r="G190" s="20"/>
      <c r="H190" s="20"/>
      <c r="I190" s="20"/>
      <c r="J190" s="20"/>
      <c r="K190" s="20"/>
    </row>
    <row r="191" customFormat="false" ht="15" hidden="false" customHeight="false" outlineLevel="0" collapsed="false">
      <c r="A191" s="18"/>
      <c r="B191" s="20"/>
      <c r="C191" s="20"/>
      <c r="D191" s="20"/>
      <c r="E191" s="18"/>
      <c r="F191" s="20"/>
      <c r="G191" s="20"/>
      <c r="H191" s="20"/>
      <c r="I191" s="20"/>
      <c r="J191" s="20"/>
      <c r="K191" s="20"/>
    </row>
    <row r="192" customFormat="false" ht="15" hidden="false" customHeight="false" outlineLevel="0" collapsed="false">
      <c r="A192" s="18"/>
      <c r="B192" s="20"/>
      <c r="C192" s="20"/>
      <c r="D192" s="20"/>
      <c r="E192" s="18"/>
      <c r="F192" s="20"/>
      <c r="G192" s="20"/>
      <c r="H192" s="20"/>
      <c r="I192" s="20"/>
      <c r="J192" s="20"/>
      <c r="K192" s="20"/>
    </row>
    <row r="193" customFormat="false" ht="15" hidden="false" customHeight="false" outlineLevel="0" collapsed="false">
      <c r="A193" s="18"/>
      <c r="B193" s="20"/>
      <c r="C193" s="20"/>
      <c r="D193" s="20"/>
      <c r="E193" s="18"/>
      <c r="F193" s="20"/>
      <c r="G193" s="20"/>
      <c r="H193" s="20"/>
      <c r="I193" s="20"/>
      <c r="J193" s="20"/>
      <c r="K193" s="20"/>
    </row>
    <row r="194" customFormat="false" ht="15" hidden="false" customHeight="false" outlineLevel="0" collapsed="false">
      <c r="A194" s="18"/>
      <c r="B194" s="20"/>
      <c r="C194" s="20"/>
      <c r="D194" s="20"/>
      <c r="E194" s="18"/>
      <c r="F194" s="20"/>
      <c r="G194" s="20"/>
      <c r="H194" s="20"/>
      <c r="I194" s="20"/>
      <c r="J194" s="20"/>
      <c r="K194" s="20"/>
    </row>
    <row r="195" customFormat="false" ht="15" hidden="false" customHeight="false" outlineLevel="0" collapsed="false">
      <c r="A195" s="18"/>
      <c r="B195" s="20"/>
      <c r="C195" s="20"/>
      <c r="D195" s="20"/>
      <c r="E195" s="18"/>
      <c r="F195" s="20"/>
      <c r="G195" s="20"/>
      <c r="H195" s="20"/>
      <c r="I195" s="20"/>
      <c r="J195" s="20"/>
      <c r="K195" s="20"/>
    </row>
    <row r="196" customFormat="false" ht="15" hidden="false" customHeight="false" outlineLevel="0" collapsed="false">
      <c r="A196" s="18"/>
      <c r="B196" s="20"/>
      <c r="C196" s="20"/>
      <c r="D196" s="20"/>
      <c r="E196" s="18"/>
      <c r="F196" s="20"/>
      <c r="G196" s="20"/>
      <c r="H196" s="20"/>
      <c r="I196" s="20"/>
      <c r="J196" s="20"/>
      <c r="K196" s="20"/>
    </row>
    <row r="197" customFormat="false" ht="15" hidden="false" customHeight="false" outlineLevel="0" collapsed="false">
      <c r="A197" s="18"/>
      <c r="B197" s="20"/>
      <c r="C197" s="20"/>
      <c r="D197" s="20"/>
      <c r="E197" s="18"/>
      <c r="F197" s="20"/>
      <c r="G197" s="20"/>
      <c r="H197" s="20"/>
      <c r="I197" s="20"/>
      <c r="J197" s="20"/>
      <c r="K197" s="20"/>
    </row>
    <row r="198" customFormat="false" ht="15" hidden="false" customHeight="false" outlineLevel="0" collapsed="false">
      <c r="A198" s="18"/>
      <c r="B198" s="20"/>
      <c r="C198" s="20"/>
      <c r="D198" s="20"/>
      <c r="E198" s="18"/>
      <c r="F198" s="20"/>
      <c r="G198" s="20"/>
      <c r="H198" s="20"/>
      <c r="I198" s="20"/>
      <c r="J198" s="20"/>
      <c r="K198" s="20"/>
    </row>
    <row r="199" customFormat="false" ht="15" hidden="false" customHeight="false" outlineLevel="0" collapsed="false">
      <c r="A199" s="18"/>
      <c r="B199" s="20"/>
      <c r="C199" s="20"/>
      <c r="D199" s="20"/>
      <c r="E199" s="18"/>
      <c r="F199" s="20"/>
      <c r="G199" s="20"/>
      <c r="H199" s="20"/>
      <c r="I199" s="20"/>
      <c r="J199" s="20"/>
      <c r="K199" s="20"/>
    </row>
    <row r="200" customFormat="false" ht="15" hidden="false" customHeight="false" outlineLevel="0" collapsed="false">
      <c r="A200" s="18"/>
      <c r="B200" s="20"/>
      <c r="C200" s="20"/>
      <c r="D200" s="20"/>
      <c r="E200" s="18"/>
      <c r="F200" s="20"/>
      <c r="G200" s="20"/>
      <c r="H200" s="20"/>
      <c r="I200" s="20"/>
      <c r="J200" s="20"/>
      <c r="K200" s="20"/>
    </row>
    <row r="201" customFormat="false" ht="15" hidden="false" customHeight="false" outlineLevel="0" collapsed="false">
      <c r="A201" s="18"/>
      <c r="B201" s="20"/>
      <c r="C201" s="20"/>
      <c r="D201" s="20"/>
      <c r="E201" s="18"/>
      <c r="F201" s="20"/>
      <c r="G201" s="20"/>
      <c r="H201" s="20"/>
      <c r="I201" s="20"/>
      <c r="J201" s="20"/>
      <c r="K201" s="20"/>
    </row>
    <row r="202" customFormat="false" ht="15" hidden="false" customHeight="false" outlineLevel="0" collapsed="false">
      <c r="A202" s="18"/>
      <c r="B202" s="20"/>
      <c r="C202" s="20"/>
      <c r="D202" s="20"/>
      <c r="E202" s="18"/>
      <c r="F202" s="20"/>
      <c r="G202" s="20"/>
      <c r="H202" s="20"/>
      <c r="I202" s="20"/>
      <c r="J202" s="20"/>
      <c r="K202" s="20"/>
    </row>
    <row r="203" customFormat="false" ht="15" hidden="false" customHeight="false" outlineLevel="0" collapsed="false">
      <c r="A203" s="18"/>
      <c r="B203" s="20"/>
      <c r="C203" s="20"/>
      <c r="D203" s="20"/>
      <c r="E203" s="18"/>
      <c r="F203" s="20"/>
      <c r="G203" s="20"/>
      <c r="H203" s="20"/>
      <c r="I203" s="20"/>
      <c r="J203" s="20"/>
      <c r="K203" s="20"/>
    </row>
    <row r="204" customFormat="false" ht="15" hidden="false" customHeight="false" outlineLevel="0" collapsed="false">
      <c r="A204" s="18"/>
      <c r="B204" s="20"/>
      <c r="C204" s="20"/>
      <c r="D204" s="20"/>
      <c r="E204" s="18"/>
      <c r="F204" s="20"/>
      <c r="G204" s="20"/>
      <c r="H204" s="20"/>
      <c r="I204" s="20"/>
      <c r="J204" s="20"/>
      <c r="K204" s="20"/>
    </row>
    <row r="205" customFormat="false" ht="15" hidden="false" customHeight="false" outlineLevel="0" collapsed="false">
      <c r="A205" s="18"/>
      <c r="B205" s="20"/>
      <c r="C205" s="20"/>
      <c r="D205" s="20"/>
      <c r="E205" s="18"/>
      <c r="F205" s="20"/>
      <c r="G205" s="20"/>
      <c r="H205" s="20"/>
      <c r="I205" s="20"/>
      <c r="J205" s="20"/>
      <c r="K205" s="20"/>
    </row>
    <row r="206" customFormat="false" ht="15" hidden="false" customHeight="false" outlineLevel="0" collapsed="false">
      <c r="A206" s="18"/>
      <c r="B206" s="20"/>
      <c r="C206" s="20"/>
      <c r="D206" s="20"/>
      <c r="E206" s="18"/>
      <c r="F206" s="20"/>
      <c r="G206" s="20"/>
      <c r="H206" s="20"/>
      <c r="I206" s="20"/>
      <c r="J206" s="20"/>
      <c r="K206" s="20"/>
    </row>
    <row r="207" customFormat="false" ht="15" hidden="false" customHeight="false" outlineLevel="0" collapsed="false">
      <c r="A207" s="18"/>
      <c r="B207" s="20"/>
      <c r="C207" s="20"/>
      <c r="D207" s="20"/>
      <c r="E207" s="18"/>
      <c r="F207" s="20"/>
      <c r="G207" s="20"/>
      <c r="H207" s="20"/>
      <c r="I207" s="20"/>
      <c r="J207" s="20"/>
      <c r="K207" s="20"/>
    </row>
    <row r="208" customFormat="false" ht="15" hidden="false" customHeight="false" outlineLevel="0" collapsed="false">
      <c r="A208" s="18"/>
      <c r="B208" s="20"/>
      <c r="C208" s="20"/>
      <c r="D208" s="20"/>
      <c r="E208" s="18"/>
      <c r="F208" s="20"/>
      <c r="G208" s="20"/>
      <c r="H208" s="20"/>
      <c r="I208" s="20"/>
      <c r="J208" s="20"/>
      <c r="K208" s="20"/>
    </row>
    <row r="209" customFormat="false" ht="15" hidden="false" customHeight="false" outlineLevel="0" collapsed="false">
      <c r="A209" s="18"/>
      <c r="B209" s="20"/>
      <c r="C209" s="20"/>
      <c r="D209" s="20"/>
      <c r="E209" s="18"/>
      <c r="F209" s="20"/>
      <c r="G209" s="20"/>
      <c r="H209" s="20"/>
      <c r="I209" s="20"/>
      <c r="J209" s="20"/>
      <c r="K209" s="20"/>
    </row>
    <row r="210" customFormat="false" ht="15" hidden="false" customHeight="false" outlineLevel="0" collapsed="false">
      <c r="A210" s="18"/>
      <c r="B210" s="20"/>
      <c r="C210" s="20"/>
      <c r="D210" s="20"/>
      <c r="E210" s="18"/>
      <c r="F210" s="20"/>
      <c r="G210" s="20"/>
      <c r="H210" s="20"/>
      <c r="I210" s="20"/>
      <c r="J210" s="20"/>
      <c r="K210" s="20"/>
    </row>
    <row r="211" customFormat="false" ht="15" hidden="false" customHeight="false" outlineLevel="0" collapsed="false">
      <c r="A211" s="18"/>
      <c r="B211" s="20"/>
      <c r="C211" s="20"/>
      <c r="D211" s="20"/>
      <c r="E211" s="18"/>
      <c r="F211" s="20"/>
      <c r="G211" s="20"/>
      <c r="H211" s="20"/>
      <c r="I211" s="20"/>
      <c r="J211" s="20"/>
      <c r="K211" s="20"/>
    </row>
    <row r="212" customFormat="false" ht="15" hidden="false" customHeight="false" outlineLevel="0" collapsed="false">
      <c r="A212" s="18"/>
      <c r="B212" s="20"/>
      <c r="C212" s="20"/>
      <c r="D212" s="20"/>
      <c r="E212" s="18"/>
      <c r="F212" s="20"/>
      <c r="G212" s="20"/>
      <c r="H212" s="20"/>
      <c r="I212" s="20"/>
      <c r="J212" s="20"/>
      <c r="K212" s="20"/>
    </row>
    <row r="213" customFormat="false" ht="15" hidden="false" customHeight="false" outlineLevel="0" collapsed="false">
      <c r="A213" s="18"/>
      <c r="B213" s="20"/>
      <c r="C213" s="20"/>
      <c r="D213" s="20"/>
      <c r="E213" s="18"/>
      <c r="F213" s="20"/>
      <c r="G213" s="20"/>
      <c r="H213" s="20"/>
      <c r="I213" s="20"/>
      <c r="J213" s="20"/>
      <c r="K213" s="20"/>
    </row>
    <row r="214" customFormat="false" ht="15" hidden="false" customHeight="false" outlineLevel="0" collapsed="false">
      <c r="A214" s="18"/>
      <c r="B214" s="20"/>
      <c r="C214" s="20"/>
      <c r="D214" s="20"/>
      <c r="E214" s="18"/>
      <c r="F214" s="20"/>
      <c r="G214" s="20"/>
      <c r="H214" s="20"/>
      <c r="I214" s="20"/>
      <c r="J214" s="20"/>
      <c r="K214" s="20"/>
    </row>
    <row r="215" customFormat="false" ht="15" hidden="false" customHeight="false" outlineLevel="0" collapsed="false">
      <c r="A215" s="18"/>
      <c r="B215" s="20"/>
      <c r="C215" s="20"/>
      <c r="D215" s="20"/>
      <c r="E215" s="18"/>
      <c r="F215" s="20"/>
      <c r="G215" s="20"/>
      <c r="H215" s="20"/>
      <c r="I215" s="20"/>
      <c r="J215" s="20"/>
      <c r="K215" s="20"/>
    </row>
    <row r="216" customFormat="false" ht="15" hidden="false" customHeight="false" outlineLevel="0" collapsed="false">
      <c r="A216" s="18"/>
      <c r="B216" s="20"/>
      <c r="C216" s="20"/>
      <c r="D216" s="20"/>
      <c r="E216" s="18"/>
      <c r="F216" s="20"/>
      <c r="G216" s="20"/>
      <c r="H216" s="20"/>
      <c r="I216" s="20"/>
      <c r="J216" s="20"/>
      <c r="K216" s="20"/>
    </row>
    <row r="217" customFormat="false" ht="15" hidden="false" customHeight="false" outlineLevel="0" collapsed="false">
      <c r="A217" s="18"/>
      <c r="B217" s="20"/>
      <c r="C217" s="20"/>
      <c r="D217" s="20"/>
      <c r="E217" s="18"/>
      <c r="F217" s="20"/>
      <c r="G217" s="20"/>
      <c r="H217" s="20"/>
      <c r="I217" s="20"/>
      <c r="J217" s="20"/>
      <c r="K217" s="20"/>
    </row>
    <row r="218" customFormat="false" ht="15" hidden="false" customHeight="false" outlineLevel="0" collapsed="false">
      <c r="A218" s="18"/>
      <c r="B218" s="20"/>
      <c r="C218" s="20"/>
      <c r="D218" s="20"/>
      <c r="E218" s="18"/>
      <c r="F218" s="20"/>
      <c r="G218" s="20"/>
      <c r="H218" s="20"/>
      <c r="I218" s="20"/>
      <c r="J218" s="20"/>
      <c r="K218" s="20"/>
    </row>
    <row r="219" customFormat="false" ht="15" hidden="false" customHeight="false" outlineLevel="0" collapsed="false">
      <c r="A219" s="18"/>
      <c r="B219" s="20"/>
      <c r="C219" s="20"/>
      <c r="D219" s="20"/>
      <c r="E219" s="18"/>
      <c r="F219" s="20"/>
      <c r="G219" s="20"/>
      <c r="H219" s="20"/>
      <c r="I219" s="20"/>
      <c r="J219" s="20"/>
      <c r="K219" s="20"/>
    </row>
    <row r="220" customFormat="false" ht="15" hidden="false" customHeight="false" outlineLevel="0" collapsed="false">
      <c r="A220" s="18"/>
      <c r="B220" s="20"/>
      <c r="C220" s="20"/>
      <c r="D220" s="20"/>
      <c r="E220" s="18"/>
      <c r="F220" s="20"/>
      <c r="G220" s="20"/>
      <c r="H220" s="20"/>
      <c r="I220" s="20"/>
      <c r="J220" s="20"/>
      <c r="K220" s="20"/>
    </row>
    <row r="221" customFormat="false" ht="15" hidden="false" customHeight="false" outlineLevel="0" collapsed="false">
      <c r="A221" s="18"/>
      <c r="B221" s="20"/>
      <c r="C221" s="20"/>
      <c r="D221" s="20"/>
      <c r="E221" s="18"/>
      <c r="F221" s="20"/>
      <c r="G221" s="20"/>
      <c r="H221" s="20"/>
      <c r="I221" s="20"/>
      <c r="J221" s="20"/>
      <c r="K221" s="20"/>
    </row>
    <row r="222" customFormat="false" ht="15" hidden="false" customHeight="false" outlineLevel="0" collapsed="false">
      <c r="A222" s="18"/>
      <c r="B222" s="20"/>
      <c r="C222" s="20"/>
      <c r="D222" s="20"/>
      <c r="E222" s="18"/>
      <c r="F222" s="20"/>
      <c r="G222" s="20"/>
      <c r="H222" s="20"/>
      <c r="I222" s="20"/>
      <c r="J222" s="20"/>
      <c r="K222" s="20"/>
    </row>
    <row r="223" customFormat="false" ht="15" hidden="false" customHeight="false" outlineLevel="0" collapsed="false">
      <c r="A223" s="18"/>
      <c r="B223" s="20"/>
      <c r="C223" s="20"/>
      <c r="D223" s="20"/>
      <c r="E223" s="18"/>
      <c r="F223" s="20"/>
      <c r="G223" s="20"/>
      <c r="H223" s="20"/>
      <c r="I223" s="20"/>
      <c r="J223" s="20"/>
      <c r="K223" s="20"/>
    </row>
    <row r="224" customFormat="false" ht="15" hidden="false" customHeight="false" outlineLevel="0" collapsed="false">
      <c r="A224" s="18"/>
      <c r="B224" s="20"/>
      <c r="C224" s="20"/>
      <c r="D224" s="20"/>
      <c r="E224" s="18"/>
      <c r="F224" s="20"/>
      <c r="G224" s="20"/>
      <c r="H224" s="20"/>
      <c r="I224" s="20"/>
      <c r="J224" s="20"/>
      <c r="K224" s="20"/>
    </row>
    <row r="225" customFormat="false" ht="15" hidden="false" customHeight="false" outlineLevel="0" collapsed="false">
      <c r="A225" s="18"/>
      <c r="B225" s="20"/>
      <c r="C225" s="20"/>
      <c r="D225" s="20"/>
      <c r="E225" s="18"/>
      <c r="F225" s="20"/>
      <c r="G225" s="20"/>
      <c r="H225" s="20"/>
      <c r="I225" s="20"/>
      <c r="J225" s="20"/>
      <c r="K225" s="20"/>
    </row>
    <row r="226" customFormat="false" ht="15" hidden="false" customHeight="false" outlineLevel="0" collapsed="false">
      <c r="A226" s="18"/>
      <c r="B226" s="20"/>
      <c r="C226" s="20"/>
      <c r="D226" s="20"/>
      <c r="E226" s="18"/>
      <c r="F226" s="20"/>
      <c r="G226" s="20"/>
      <c r="H226" s="20"/>
      <c r="I226" s="20"/>
      <c r="J226" s="20"/>
      <c r="K226" s="20"/>
    </row>
    <row r="227" customFormat="false" ht="15" hidden="false" customHeight="false" outlineLevel="0" collapsed="false">
      <c r="A227" s="18"/>
      <c r="B227" s="20"/>
      <c r="C227" s="20"/>
      <c r="D227" s="20"/>
      <c r="E227" s="18"/>
      <c r="F227" s="20"/>
      <c r="G227" s="20"/>
      <c r="H227" s="20"/>
      <c r="I227" s="20"/>
      <c r="J227" s="20"/>
      <c r="K227" s="20"/>
    </row>
    <row r="228" customFormat="false" ht="15" hidden="false" customHeight="false" outlineLevel="0" collapsed="false">
      <c r="A228" s="18"/>
      <c r="B228" s="20"/>
      <c r="C228" s="20"/>
      <c r="D228" s="20"/>
      <c r="E228" s="18"/>
      <c r="F228" s="20"/>
      <c r="G228" s="20"/>
      <c r="H228" s="20"/>
      <c r="I228" s="20"/>
      <c r="J228" s="20"/>
      <c r="K228" s="20"/>
    </row>
    <row r="229" customFormat="false" ht="15" hidden="false" customHeight="false" outlineLevel="0" collapsed="false">
      <c r="A229" s="18"/>
      <c r="B229" s="20"/>
      <c r="C229" s="20"/>
      <c r="D229" s="20"/>
      <c r="E229" s="18"/>
      <c r="F229" s="20"/>
      <c r="G229" s="20"/>
      <c r="H229" s="20"/>
      <c r="I229" s="20"/>
      <c r="J229" s="20"/>
      <c r="K229" s="20"/>
    </row>
    <row r="230" customFormat="false" ht="15" hidden="false" customHeight="false" outlineLevel="0" collapsed="false">
      <c r="A230" s="18"/>
      <c r="B230" s="20"/>
      <c r="C230" s="20"/>
      <c r="D230" s="20"/>
      <c r="E230" s="18"/>
      <c r="F230" s="20"/>
      <c r="G230" s="20"/>
      <c r="H230" s="20"/>
      <c r="I230" s="20"/>
      <c r="J230" s="20"/>
      <c r="K230" s="20"/>
    </row>
    <row r="231" customFormat="false" ht="15" hidden="false" customHeight="false" outlineLevel="0" collapsed="false">
      <c r="A231" s="18"/>
      <c r="B231" s="20"/>
      <c r="C231" s="20"/>
      <c r="D231" s="20"/>
      <c r="E231" s="18"/>
      <c r="F231" s="20"/>
      <c r="G231" s="20"/>
      <c r="H231" s="20"/>
      <c r="I231" s="20"/>
      <c r="J231" s="20"/>
      <c r="K231" s="20"/>
    </row>
    <row r="232" customFormat="false" ht="15" hidden="false" customHeight="false" outlineLevel="0" collapsed="false">
      <c r="A232" s="18"/>
      <c r="B232" s="20"/>
      <c r="C232" s="20"/>
      <c r="D232" s="20"/>
      <c r="E232" s="18"/>
      <c r="F232" s="20"/>
      <c r="G232" s="20"/>
      <c r="H232" s="20"/>
      <c r="I232" s="20"/>
      <c r="J232" s="20"/>
      <c r="K232" s="20"/>
    </row>
    <row r="233" customFormat="false" ht="15" hidden="false" customHeight="false" outlineLevel="0" collapsed="false">
      <c r="A233" s="18"/>
      <c r="B233" s="20"/>
      <c r="C233" s="20"/>
      <c r="D233" s="20"/>
      <c r="E233" s="18"/>
      <c r="F233" s="20"/>
      <c r="G233" s="20"/>
      <c r="H233" s="20"/>
      <c r="I233" s="20"/>
      <c r="J233" s="20"/>
      <c r="K233" s="20"/>
    </row>
    <row r="234" customFormat="false" ht="15" hidden="false" customHeight="false" outlineLevel="0" collapsed="false">
      <c r="A234" s="18"/>
      <c r="B234" s="20"/>
      <c r="C234" s="20"/>
      <c r="D234" s="20"/>
      <c r="E234" s="18"/>
      <c r="F234" s="20"/>
      <c r="G234" s="20"/>
      <c r="H234" s="20"/>
      <c r="I234" s="20"/>
      <c r="J234" s="20"/>
      <c r="K234" s="20"/>
    </row>
    <row r="235" customFormat="false" ht="15" hidden="false" customHeight="false" outlineLevel="0" collapsed="false">
      <c r="A235" s="18"/>
      <c r="B235" s="20"/>
      <c r="C235" s="20"/>
      <c r="D235" s="20"/>
      <c r="E235" s="18"/>
      <c r="F235" s="20"/>
      <c r="G235" s="20"/>
      <c r="H235" s="20"/>
      <c r="I235" s="20"/>
      <c r="J235" s="20"/>
      <c r="K235" s="20"/>
    </row>
    <row r="236" customFormat="false" ht="15" hidden="false" customHeight="false" outlineLevel="0" collapsed="false">
      <c r="A236" s="18"/>
      <c r="B236" s="20"/>
      <c r="C236" s="20"/>
      <c r="D236" s="20"/>
      <c r="E236" s="18"/>
      <c r="F236" s="20"/>
      <c r="G236" s="20"/>
      <c r="H236" s="20"/>
      <c r="I236" s="20"/>
      <c r="J236" s="20"/>
      <c r="K236" s="20"/>
    </row>
    <row r="237" customFormat="false" ht="15" hidden="false" customHeight="false" outlineLevel="0" collapsed="false">
      <c r="A237" s="18"/>
      <c r="B237" s="20"/>
      <c r="C237" s="20"/>
      <c r="D237" s="20"/>
      <c r="E237" s="18"/>
      <c r="F237" s="20"/>
      <c r="G237" s="20"/>
      <c r="H237" s="20"/>
      <c r="I237" s="20"/>
      <c r="J237" s="20"/>
      <c r="K237" s="20"/>
    </row>
    <row r="238" customFormat="false" ht="15" hidden="false" customHeight="false" outlineLevel="0" collapsed="false">
      <c r="A238" s="18"/>
      <c r="B238" s="20"/>
      <c r="C238" s="20"/>
      <c r="D238" s="20"/>
      <c r="E238" s="18"/>
      <c r="F238" s="20"/>
      <c r="G238" s="20"/>
      <c r="H238" s="20"/>
      <c r="I238" s="20"/>
      <c r="J238" s="20"/>
      <c r="K238" s="20"/>
    </row>
    <row r="239" customFormat="false" ht="15" hidden="false" customHeight="false" outlineLevel="0" collapsed="false">
      <c r="A239" s="18"/>
      <c r="B239" s="20"/>
      <c r="C239" s="20"/>
      <c r="D239" s="20"/>
      <c r="E239" s="18"/>
      <c r="F239" s="20"/>
      <c r="G239" s="20"/>
      <c r="H239" s="20"/>
      <c r="I239" s="20"/>
      <c r="J239" s="20"/>
      <c r="K239" s="20"/>
    </row>
    <row r="240" customFormat="false" ht="15" hidden="false" customHeight="false" outlineLevel="0" collapsed="false">
      <c r="A240" s="18"/>
      <c r="B240" s="20"/>
      <c r="C240" s="20"/>
      <c r="D240" s="20"/>
      <c r="E240" s="18"/>
      <c r="F240" s="20"/>
      <c r="G240" s="20"/>
      <c r="H240" s="20"/>
      <c r="I240" s="20"/>
      <c r="J240" s="20"/>
      <c r="K240" s="20"/>
    </row>
    <row r="241" customFormat="false" ht="15" hidden="false" customHeight="false" outlineLevel="0" collapsed="false">
      <c r="A241" s="18"/>
      <c r="B241" s="20"/>
      <c r="C241" s="20"/>
      <c r="D241" s="20"/>
      <c r="E241" s="18"/>
      <c r="F241" s="20"/>
      <c r="G241" s="20"/>
      <c r="H241" s="20"/>
      <c r="I241" s="20"/>
      <c r="J241" s="20"/>
      <c r="K241" s="20"/>
    </row>
    <row r="242" customFormat="false" ht="15" hidden="false" customHeight="false" outlineLevel="0" collapsed="false">
      <c r="A242" s="18"/>
      <c r="B242" s="20"/>
      <c r="C242" s="20"/>
      <c r="D242" s="20"/>
      <c r="E242" s="18"/>
      <c r="F242" s="20"/>
      <c r="G242" s="20"/>
      <c r="H242" s="20"/>
      <c r="I242" s="20"/>
      <c r="J242" s="20"/>
      <c r="K242" s="20"/>
    </row>
    <row r="243" customFormat="false" ht="15" hidden="false" customHeight="false" outlineLevel="0" collapsed="false">
      <c r="A243" s="18"/>
      <c r="B243" s="20"/>
      <c r="C243" s="20"/>
      <c r="D243" s="20"/>
      <c r="E243" s="18"/>
      <c r="F243" s="20"/>
      <c r="G243" s="20"/>
      <c r="H243" s="20"/>
      <c r="I243" s="20"/>
      <c r="J243" s="20"/>
      <c r="K243" s="20"/>
    </row>
    <row r="244" customFormat="false" ht="15" hidden="false" customHeight="false" outlineLevel="0" collapsed="false">
      <c r="A244" s="18"/>
      <c r="B244" s="20"/>
      <c r="C244" s="20"/>
      <c r="D244" s="20"/>
      <c r="E244" s="18"/>
      <c r="F244" s="20"/>
      <c r="G244" s="20"/>
      <c r="H244" s="20"/>
      <c r="I244" s="20"/>
      <c r="J244" s="20"/>
      <c r="K244" s="20"/>
    </row>
    <row r="245" customFormat="false" ht="15" hidden="false" customHeight="false" outlineLevel="0" collapsed="false">
      <c r="A245" s="18"/>
      <c r="B245" s="20"/>
      <c r="C245" s="20"/>
      <c r="D245" s="20"/>
      <c r="E245" s="18"/>
      <c r="F245" s="20"/>
      <c r="G245" s="20"/>
      <c r="H245" s="20"/>
      <c r="I245" s="20"/>
      <c r="J245" s="20"/>
      <c r="K245" s="20"/>
    </row>
    <row r="246" customFormat="false" ht="15" hidden="false" customHeight="false" outlineLevel="0" collapsed="false">
      <c r="A246" s="18"/>
      <c r="B246" s="20"/>
      <c r="C246" s="20"/>
      <c r="D246" s="20"/>
      <c r="E246" s="18"/>
      <c r="F246" s="20"/>
      <c r="G246" s="20"/>
      <c r="H246" s="20"/>
      <c r="I246" s="20"/>
      <c r="J246" s="20"/>
      <c r="K246" s="20"/>
    </row>
    <row r="247" customFormat="false" ht="15" hidden="false" customHeight="false" outlineLevel="0" collapsed="false">
      <c r="A247" s="18"/>
      <c r="B247" s="20"/>
      <c r="C247" s="20"/>
      <c r="D247" s="20"/>
      <c r="E247" s="18"/>
      <c r="F247" s="20"/>
      <c r="G247" s="20"/>
      <c r="H247" s="20"/>
      <c r="I247" s="20"/>
      <c r="J247" s="20"/>
      <c r="K247" s="20"/>
    </row>
    <row r="248" customFormat="false" ht="15" hidden="false" customHeight="false" outlineLevel="0" collapsed="false">
      <c r="A248" s="18"/>
      <c r="B248" s="20"/>
      <c r="C248" s="20"/>
      <c r="D248" s="20"/>
      <c r="E248" s="18"/>
      <c r="F248" s="20"/>
      <c r="G248" s="20"/>
      <c r="H248" s="20"/>
      <c r="I248" s="20"/>
      <c r="J248" s="20"/>
      <c r="K248" s="20"/>
    </row>
    <row r="249" customFormat="false" ht="15" hidden="false" customHeight="false" outlineLevel="0" collapsed="false">
      <c r="A249" s="18"/>
      <c r="B249" s="20"/>
      <c r="C249" s="20"/>
      <c r="D249" s="20"/>
      <c r="E249" s="18"/>
      <c r="F249" s="20"/>
      <c r="G249" s="20"/>
      <c r="H249" s="20"/>
      <c r="I249" s="20"/>
      <c r="J249" s="20"/>
      <c r="K249" s="20"/>
    </row>
    <row r="250" customFormat="false" ht="15" hidden="false" customHeight="false" outlineLevel="0" collapsed="false">
      <c r="A250" s="18"/>
      <c r="B250" s="20"/>
      <c r="C250" s="20"/>
      <c r="D250" s="20"/>
      <c r="E250" s="18"/>
      <c r="F250" s="20"/>
      <c r="G250" s="20"/>
      <c r="H250" s="20"/>
      <c r="I250" s="20"/>
      <c r="J250" s="20"/>
      <c r="K250" s="20"/>
    </row>
    <row r="251" customFormat="false" ht="15" hidden="false" customHeight="false" outlineLevel="0" collapsed="false">
      <c r="A251" s="18"/>
      <c r="B251" s="20"/>
      <c r="C251" s="20"/>
      <c r="D251" s="20"/>
      <c r="E251" s="18"/>
      <c r="F251" s="20"/>
      <c r="G251" s="20"/>
      <c r="H251" s="20"/>
      <c r="I251" s="20"/>
      <c r="J251" s="20"/>
      <c r="K251" s="20"/>
    </row>
    <row r="252" customFormat="false" ht="15" hidden="false" customHeight="false" outlineLevel="0" collapsed="false">
      <c r="A252" s="18"/>
      <c r="B252" s="20"/>
      <c r="C252" s="20"/>
      <c r="D252" s="20"/>
      <c r="E252" s="18"/>
      <c r="F252" s="20"/>
      <c r="G252" s="20"/>
      <c r="H252" s="20"/>
      <c r="I252" s="20"/>
      <c r="J252" s="20"/>
      <c r="K252" s="20"/>
    </row>
    <row r="253" customFormat="false" ht="15" hidden="false" customHeight="false" outlineLevel="0" collapsed="false">
      <c r="A253" s="18"/>
      <c r="B253" s="20"/>
      <c r="C253" s="20"/>
      <c r="D253" s="20"/>
      <c r="E253" s="18"/>
      <c r="F253" s="20"/>
      <c r="G253" s="20"/>
      <c r="H253" s="20"/>
      <c r="I253" s="20"/>
      <c r="J253" s="20"/>
      <c r="K253" s="20"/>
    </row>
    <row r="254" customFormat="false" ht="15" hidden="false" customHeight="false" outlineLevel="0" collapsed="false">
      <c r="A254" s="18"/>
      <c r="B254" s="20"/>
      <c r="C254" s="20"/>
      <c r="D254" s="20"/>
      <c r="E254" s="18"/>
      <c r="F254" s="20"/>
      <c r="G254" s="20"/>
      <c r="H254" s="20"/>
      <c r="I254" s="20"/>
      <c r="J254" s="20"/>
      <c r="K254" s="20"/>
    </row>
    <row r="255" customFormat="false" ht="15" hidden="false" customHeight="false" outlineLevel="0" collapsed="false">
      <c r="A255" s="18"/>
      <c r="B255" s="20"/>
      <c r="C255" s="20"/>
      <c r="D255" s="20"/>
      <c r="E255" s="18"/>
      <c r="F255" s="20"/>
      <c r="G255" s="20"/>
      <c r="H255" s="20"/>
      <c r="I255" s="20"/>
      <c r="J255" s="20"/>
      <c r="K255" s="20"/>
    </row>
    <row r="256" customFormat="false" ht="15" hidden="false" customHeight="false" outlineLevel="0" collapsed="false">
      <c r="A256" s="18"/>
      <c r="B256" s="20"/>
      <c r="C256" s="20"/>
      <c r="D256" s="20"/>
      <c r="E256" s="18"/>
      <c r="F256" s="20"/>
      <c r="G256" s="20"/>
      <c r="H256" s="20"/>
      <c r="I256" s="20"/>
      <c r="J256" s="20"/>
      <c r="K256" s="20"/>
    </row>
    <row r="257" customFormat="false" ht="15" hidden="false" customHeight="false" outlineLevel="0" collapsed="false">
      <c r="A257" s="18"/>
      <c r="B257" s="20"/>
      <c r="C257" s="20"/>
      <c r="D257" s="20"/>
      <c r="E257" s="18"/>
      <c r="F257" s="20"/>
      <c r="G257" s="20"/>
      <c r="H257" s="20"/>
      <c r="I257" s="20"/>
      <c r="J257" s="20"/>
      <c r="K257" s="20"/>
    </row>
    <row r="258" customFormat="false" ht="15" hidden="false" customHeight="false" outlineLevel="0" collapsed="false">
      <c r="A258" s="18"/>
      <c r="B258" s="20"/>
      <c r="C258" s="20"/>
      <c r="D258" s="20"/>
      <c r="E258" s="18"/>
      <c r="F258" s="20"/>
      <c r="G258" s="20"/>
      <c r="H258" s="20"/>
      <c r="I258" s="20"/>
      <c r="J258" s="20"/>
      <c r="K258" s="20"/>
    </row>
    <row r="259" customFormat="false" ht="15" hidden="false" customHeight="false" outlineLevel="0" collapsed="false">
      <c r="A259" s="18"/>
      <c r="B259" s="20"/>
      <c r="C259" s="20"/>
      <c r="D259" s="20"/>
      <c r="E259" s="18"/>
      <c r="F259" s="20"/>
      <c r="G259" s="20"/>
      <c r="H259" s="20"/>
      <c r="I259" s="20"/>
      <c r="J259" s="20"/>
      <c r="K259" s="20"/>
    </row>
    <row r="260" customFormat="false" ht="15" hidden="false" customHeight="false" outlineLevel="0" collapsed="false">
      <c r="A260" s="18"/>
      <c r="B260" s="20"/>
      <c r="C260" s="20"/>
      <c r="D260" s="20"/>
      <c r="E260" s="18"/>
      <c r="F260" s="20"/>
      <c r="G260" s="20"/>
      <c r="H260" s="20"/>
      <c r="I260" s="20"/>
      <c r="J260" s="20"/>
      <c r="K260" s="20"/>
    </row>
    <row r="261" customFormat="false" ht="15" hidden="false" customHeight="false" outlineLevel="0" collapsed="false">
      <c r="A261" s="18"/>
      <c r="B261" s="20"/>
      <c r="C261" s="20"/>
      <c r="D261" s="20"/>
      <c r="E261" s="18"/>
      <c r="F261" s="20"/>
      <c r="G261" s="20"/>
      <c r="H261" s="20"/>
      <c r="I261" s="20"/>
      <c r="J261" s="20"/>
      <c r="K261" s="20"/>
    </row>
    <row r="262" customFormat="false" ht="15" hidden="false" customHeight="false" outlineLevel="0" collapsed="false">
      <c r="A262" s="18"/>
      <c r="B262" s="20"/>
      <c r="C262" s="20"/>
      <c r="D262" s="20"/>
      <c r="E262" s="18"/>
      <c r="F262" s="20"/>
      <c r="G262" s="20"/>
      <c r="H262" s="20"/>
      <c r="I262" s="20"/>
      <c r="J262" s="20"/>
      <c r="K262" s="20"/>
    </row>
    <row r="263" customFormat="false" ht="15" hidden="false" customHeight="false" outlineLevel="0" collapsed="false">
      <c r="A263" s="18"/>
      <c r="B263" s="20"/>
      <c r="C263" s="20"/>
      <c r="D263" s="20"/>
      <c r="E263" s="18"/>
      <c r="F263" s="20"/>
      <c r="G263" s="20"/>
      <c r="H263" s="20"/>
      <c r="I263" s="20"/>
      <c r="J263" s="20"/>
      <c r="K263" s="20"/>
    </row>
    <row r="264" customFormat="false" ht="15" hidden="false" customHeight="false" outlineLevel="0" collapsed="false">
      <c r="A264" s="18"/>
      <c r="B264" s="20"/>
      <c r="C264" s="20"/>
      <c r="D264" s="20"/>
      <c r="E264" s="18"/>
      <c r="F264" s="20"/>
      <c r="G264" s="20"/>
      <c r="H264" s="20"/>
      <c r="I264" s="20"/>
      <c r="J264" s="20"/>
      <c r="K264" s="20"/>
    </row>
    <row r="265" customFormat="false" ht="15" hidden="false" customHeight="false" outlineLevel="0" collapsed="false">
      <c r="A265" s="18"/>
      <c r="B265" s="20"/>
      <c r="C265" s="20"/>
      <c r="D265" s="20"/>
      <c r="E265" s="18"/>
      <c r="F265" s="20"/>
      <c r="G265" s="20"/>
      <c r="H265" s="20"/>
      <c r="I265" s="20"/>
      <c r="J265" s="20"/>
      <c r="K265" s="20"/>
    </row>
    <row r="266" customFormat="false" ht="15" hidden="false" customHeight="false" outlineLevel="0" collapsed="false">
      <c r="A266" s="18"/>
      <c r="B266" s="20"/>
      <c r="C266" s="20"/>
      <c r="D266" s="20"/>
      <c r="E266" s="18"/>
      <c r="F266" s="20"/>
      <c r="G266" s="20"/>
      <c r="H266" s="20"/>
      <c r="I266" s="20"/>
      <c r="J266" s="20"/>
      <c r="K266" s="20"/>
    </row>
    <row r="267" customFormat="false" ht="15" hidden="false" customHeight="false" outlineLevel="0" collapsed="false">
      <c r="A267" s="18"/>
      <c r="B267" s="20"/>
      <c r="C267" s="20"/>
      <c r="D267" s="20"/>
      <c r="E267" s="18"/>
      <c r="F267" s="20"/>
      <c r="G267" s="20"/>
      <c r="H267" s="20"/>
      <c r="I267" s="20"/>
      <c r="J267" s="20"/>
      <c r="K267" s="20"/>
    </row>
    <row r="268" customFormat="false" ht="15" hidden="false" customHeight="false" outlineLevel="0" collapsed="false">
      <c r="A268" s="18"/>
      <c r="B268" s="20"/>
      <c r="C268" s="20"/>
      <c r="D268" s="20"/>
      <c r="E268" s="18"/>
      <c r="F268" s="20"/>
      <c r="G268" s="20"/>
      <c r="H268" s="20"/>
      <c r="I268" s="20"/>
      <c r="J268" s="20"/>
      <c r="K268" s="20"/>
    </row>
    <row r="269" customFormat="false" ht="15" hidden="false" customHeight="false" outlineLevel="0" collapsed="false">
      <c r="A269" s="18"/>
      <c r="B269" s="20"/>
      <c r="C269" s="20"/>
      <c r="D269" s="20"/>
      <c r="E269" s="18"/>
      <c r="F269" s="20"/>
      <c r="G269" s="20"/>
      <c r="H269" s="20"/>
      <c r="I269" s="20"/>
      <c r="J269" s="20"/>
      <c r="K269" s="20"/>
    </row>
    <row r="270" customFormat="false" ht="15" hidden="false" customHeight="false" outlineLevel="0" collapsed="false">
      <c r="A270" s="18"/>
      <c r="B270" s="20"/>
      <c r="C270" s="20"/>
      <c r="D270" s="20"/>
      <c r="E270" s="18"/>
      <c r="F270" s="20"/>
      <c r="G270" s="20"/>
      <c r="H270" s="20"/>
      <c r="I270" s="20"/>
      <c r="J270" s="20"/>
      <c r="K270" s="20"/>
    </row>
    <row r="271" customFormat="false" ht="15" hidden="false" customHeight="false" outlineLevel="0" collapsed="false">
      <c r="A271" s="18"/>
      <c r="B271" s="20"/>
      <c r="C271" s="20"/>
      <c r="D271" s="20"/>
      <c r="E271" s="18"/>
      <c r="F271" s="20"/>
      <c r="G271" s="20"/>
      <c r="H271" s="20"/>
      <c r="I271" s="20"/>
      <c r="J271" s="20"/>
      <c r="K271" s="20"/>
    </row>
    <row r="272" customFormat="false" ht="15" hidden="false" customHeight="false" outlineLevel="0" collapsed="false">
      <c r="A272" s="18"/>
      <c r="B272" s="20"/>
      <c r="C272" s="20"/>
      <c r="D272" s="20"/>
      <c r="E272" s="18"/>
      <c r="F272" s="20"/>
      <c r="G272" s="20"/>
      <c r="H272" s="20"/>
      <c r="I272" s="20"/>
      <c r="J272" s="20"/>
      <c r="K272" s="20"/>
    </row>
    <row r="273" customFormat="false" ht="15" hidden="false" customHeight="false" outlineLevel="0" collapsed="false">
      <c r="A273" s="18"/>
      <c r="B273" s="20"/>
      <c r="C273" s="20"/>
      <c r="D273" s="20"/>
      <c r="E273" s="18"/>
      <c r="F273" s="20"/>
      <c r="G273" s="20"/>
      <c r="H273" s="20"/>
      <c r="I273" s="20"/>
      <c r="J273" s="20"/>
      <c r="K273" s="20"/>
    </row>
    <row r="274" customFormat="false" ht="15" hidden="false" customHeight="false" outlineLevel="0" collapsed="false">
      <c r="A274" s="18"/>
      <c r="B274" s="20"/>
      <c r="C274" s="20"/>
      <c r="D274" s="20"/>
      <c r="E274" s="18"/>
      <c r="F274" s="20"/>
      <c r="G274" s="20"/>
      <c r="H274" s="20"/>
      <c r="I274" s="20"/>
      <c r="J274" s="20"/>
      <c r="K274" s="20"/>
    </row>
    <row r="275" customFormat="false" ht="15" hidden="false" customHeight="false" outlineLevel="0" collapsed="false">
      <c r="A275" s="18"/>
      <c r="B275" s="20"/>
      <c r="C275" s="20"/>
      <c r="D275" s="20"/>
      <c r="E275" s="18"/>
      <c r="F275" s="20"/>
      <c r="G275" s="20"/>
      <c r="H275" s="20"/>
      <c r="I275" s="20"/>
      <c r="J275" s="20"/>
      <c r="K275" s="20"/>
    </row>
    <row r="276" customFormat="false" ht="15" hidden="false" customHeight="false" outlineLevel="0" collapsed="false">
      <c r="A276" s="18"/>
      <c r="B276" s="20"/>
      <c r="C276" s="20"/>
      <c r="D276" s="20"/>
      <c r="E276" s="18"/>
      <c r="F276" s="20"/>
      <c r="G276" s="20"/>
      <c r="H276" s="20"/>
      <c r="I276" s="20"/>
      <c r="J276" s="20"/>
      <c r="K276" s="20"/>
    </row>
    <row r="277" customFormat="false" ht="15" hidden="false" customHeight="false" outlineLevel="0" collapsed="false">
      <c r="A277" s="18"/>
      <c r="B277" s="20"/>
      <c r="C277" s="20"/>
      <c r="D277" s="20"/>
      <c r="E277" s="18"/>
      <c r="F277" s="20"/>
      <c r="G277" s="20"/>
      <c r="H277" s="20"/>
      <c r="I277" s="20"/>
      <c r="J277" s="20"/>
      <c r="K277" s="20"/>
    </row>
    <row r="278" customFormat="false" ht="15" hidden="false" customHeight="false" outlineLevel="0" collapsed="false">
      <c r="A278" s="18"/>
      <c r="B278" s="20"/>
      <c r="C278" s="20"/>
      <c r="D278" s="20"/>
      <c r="E278" s="18"/>
      <c r="F278" s="20"/>
      <c r="G278" s="20"/>
      <c r="H278" s="20"/>
      <c r="I278" s="20"/>
      <c r="J278" s="20"/>
      <c r="K278" s="20"/>
    </row>
    <row r="279" customFormat="false" ht="15" hidden="false" customHeight="false" outlineLevel="0" collapsed="false">
      <c r="A279" s="18"/>
      <c r="B279" s="20"/>
      <c r="C279" s="20"/>
      <c r="D279" s="20"/>
      <c r="E279" s="18"/>
      <c r="F279" s="20"/>
      <c r="G279" s="20"/>
      <c r="H279" s="20"/>
      <c r="I279" s="20"/>
      <c r="J279" s="20"/>
      <c r="K279" s="20"/>
    </row>
    <row r="280" customFormat="false" ht="15" hidden="false" customHeight="false" outlineLevel="0" collapsed="false">
      <c r="A280" s="18"/>
      <c r="B280" s="20"/>
      <c r="C280" s="20"/>
      <c r="D280" s="20"/>
      <c r="E280" s="18"/>
      <c r="F280" s="20"/>
      <c r="G280" s="20"/>
      <c r="H280" s="20"/>
      <c r="I280" s="20"/>
      <c r="J280" s="20"/>
      <c r="K280" s="20"/>
    </row>
    <row r="281" customFormat="false" ht="15" hidden="false" customHeight="false" outlineLevel="0" collapsed="false">
      <c r="A281" s="18"/>
      <c r="B281" s="20"/>
      <c r="C281" s="20"/>
      <c r="D281" s="20"/>
      <c r="E281" s="18"/>
      <c r="F281" s="20"/>
      <c r="G281" s="20"/>
      <c r="H281" s="20"/>
      <c r="I281" s="20"/>
      <c r="J281" s="20"/>
      <c r="K281" s="20"/>
    </row>
    <row r="282" customFormat="false" ht="15" hidden="false" customHeight="false" outlineLevel="0" collapsed="false">
      <c r="A282" s="18"/>
      <c r="B282" s="20"/>
      <c r="C282" s="20"/>
      <c r="D282" s="20"/>
      <c r="E282" s="18"/>
      <c r="F282" s="20"/>
      <c r="G282" s="20"/>
      <c r="H282" s="20"/>
      <c r="I282" s="20"/>
      <c r="J282" s="20"/>
      <c r="K282" s="20"/>
    </row>
    <row r="283" customFormat="false" ht="15" hidden="false" customHeight="false" outlineLevel="0" collapsed="false">
      <c r="A283" s="18"/>
      <c r="B283" s="20"/>
      <c r="C283" s="20"/>
      <c r="D283" s="20"/>
      <c r="E283" s="18"/>
      <c r="F283" s="20"/>
      <c r="G283" s="20"/>
      <c r="H283" s="20"/>
      <c r="I283" s="20"/>
      <c r="J283" s="20"/>
      <c r="K283" s="20"/>
    </row>
    <row r="284" customFormat="false" ht="15" hidden="false" customHeight="false" outlineLevel="0" collapsed="false">
      <c r="A284" s="18"/>
      <c r="B284" s="20"/>
      <c r="C284" s="20"/>
      <c r="D284" s="20"/>
      <c r="E284" s="18"/>
      <c r="F284" s="20"/>
      <c r="G284" s="20"/>
      <c r="H284" s="20"/>
      <c r="I284" s="20"/>
      <c r="J284" s="20"/>
      <c r="K284" s="20"/>
    </row>
    <row r="285" customFormat="false" ht="15" hidden="false" customHeight="false" outlineLevel="0" collapsed="false">
      <c r="A285" s="18"/>
      <c r="B285" s="20"/>
      <c r="C285" s="20"/>
      <c r="D285" s="20"/>
      <c r="E285" s="18"/>
      <c r="F285" s="20"/>
      <c r="G285" s="20"/>
      <c r="H285" s="20"/>
      <c r="I285" s="20"/>
      <c r="J285" s="20"/>
      <c r="K285" s="20"/>
    </row>
    <row r="286" customFormat="false" ht="15" hidden="false" customHeight="false" outlineLevel="0" collapsed="false">
      <c r="A286" s="18"/>
      <c r="B286" s="20"/>
      <c r="C286" s="20"/>
      <c r="D286" s="20"/>
      <c r="E286" s="18"/>
      <c r="F286" s="20"/>
      <c r="G286" s="20"/>
      <c r="H286" s="20"/>
      <c r="I286" s="20"/>
      <c r="J286" s="20"/>
      <c r="K286" s="20"/>
    </row>
    <row r="287" customFormat="false" ht="15" hidden="false" customHeight="false" outlineLevel="0" collapsed="false">
      <c r="A287" s="18"/>
      <c r="B287" s="20"/>
      <c r="C287" s="20"/>
      <c r="D287" s="20"/>
      <c r="E287" s="18"/>
      <c r="F287" s="20"/>
      <c r="G287" s="20"/>
      <c r="H287" s="20"/>
      <c r="I287" s="20"/>
      <c r="J287" s="20"/>
      <c r="K287" s="20"/>
    </row>
    <row r="288" customFormat="false" ht="15" hidden="false" customHeight="false" outlineLevel="0" collapsed="false">
      <c r="A288" s="18"/>
      <c r="B288" s="20"/>
      <c r="C288" s="20"/>
      <c r="D288" s="20"/>
      <c r="E288" s="18"/>
      <c r="F288" s="20"/>
      <c r="G288" s="20"/>
      <c r="H288" s="20"/>
      <c r="I288" s="20"/>
      <c r="J288" s="20"/>
      <c r="K288" s="20"/>
    </row>
    <row r="289" customFormat="false" ht="15" hidden="false" customHeight="false" outlineLevel="0" collapsed="false">
      <c r="A289" s="18"/>
      <c r="B289" s="20"/>
      <c r="C289" s="20"/>
      <c r="D289" s="20"/>
      <c r="E289" s="18"/>
      <c r="F289" s="20"/>
      <c r="G289" s="20"/>
      <c r="H289" s="20"/>
      <c r="I289" s="20"/>
      <c r="J289" s="20"/>
      <c r="K289" s="20"/>
    </row>
    <row r="290" customFormat="false" ht="15" hidden="false" customHeight="false" outlineLevel="0" collapsed="false">
      <c r="A290" s="18"/>
      <c r="B290" s="20"/>
      <c r="C290" s="20"/>
      <c r="D290" s="20"/>
      <c r="E290" s="18"/>
      <c r="F290" s="20"/>
      <c r="G290" s="20"/>
      <c r="H290" s="20"/>
      <c r="I290" s="20"/>
      <c r="J290" s="20"/>
      <c r="K290" s="20"/>
    </row>
    <row r="291" customFormat="false" ht="15" hidden="false" customHeight="false" outlineLevel="0" collapsed="false">
      <c r="A291" s="18"/>
      <c r="B291" s="20"/>
      <c r="C291" s="20"/>
      <c r="D291" s="20"/>
      <c r="E291" s="18"/>
      <c r="F291" s="20"/>
      <c r="G291" s="20"/>
      <c r="H291" s="20"/>
      <c r="I291" s="20"/>
      <c r="J291" s="20"/>
      <c r="K291" s="20"/>
    </row>
    <row r="292" customFormat="false" ht="15" hidden="false" customHeight="false" outlineLevel="0" collapsed="false">
      <c r="A292" s="18"/>
      <c r="B292" s="20"/>
      <c r="C292" s="20"/>
      <c r="D292" s="20"/>
      <c r="E292" s="18"/>
      <c r="F292" s="20"/>
      <c r="G292" s="20"/>
      <c r="H292" s="20"/>
      <c r="I292" s="20"/>
      <c r="J292" s="20"/>
      <c r="K292" s="20"/>
    </row>
    <row r="293" customFormat="false" ht="15" hidden="false" customHeight="false" outlineLevel="0" collapsed="false">
      <c r="A293" s="18"/>
      <c r="B293" s="20"/>
      <c r="C293" s="20"/>
      <c r="D293" s="20"/>
      <c r="E293" s="18"/>
      <c r="F293" s="20"/>
      <c r="G293" s="20"/>
      <c r="H293" s="20"/>
      <c r="I293" s="20"/>
      <c r="J293" s="20"/>
      <c r="K293" s="20"/>
    </row>
    <row r="294" customFormat="false" ht="15" hidden="false" customHeight="false" outlineLevel="0" collapsed="false">
      <c r="A294" s="18"/>
      <c r="B294" s="20"/>
      <c r="C294" s="20"/>
      <c r="D294" s="20"/>
      <c r="E294" s="18"/>
      <c r="F294" s="20"/>
      <c r="G294" s="20"/>
      <c r="H294" s="20"/>
      <c r="I294" s="20"/>
      <c r="J294" s="20"/>
      <c r="K294" s="20"/>
    </row>
    <row r="295" customFormat="false" ht="15" hidden="false" customHeight="false" outlineLevel="0" collapsed="false">
      <c r="A295" s="18"/>
      <c r="B295" s="20"/>
      <c r="C295" s="20"/>
      <c r="D295" s="20"/>
      <c r="E295" s="18"/>
      <c r="F295" s="20"/>
      <c r="G295" s="20"/>
      <c r="H295" s="20"/>
      <c r="I295" s="20"/>
      <c r="J295" s="20"/>
      <c r="K295" s="20"/>
    </row>
    <row r="296" customFormat="false" ht="15" hidden="false" customHeight="false" outlineLevel="0" collapsed="false">
      <c r="A296" s="18"/>
      <c r="B296" s="20"/>
      <c r="C296" s="20"/>
      <c r="D296" s="20"/>
      <c r="E296" s="18"/>
      <c r="F296" s="20"/>
      <c r="G296" s="20"/>
      <c r="H296" s="20"/>
      <c r="I296" s="20"/>
      <c r="J296" s="20"/>
      <c r="K296" s="20"/>
    </row>
    <row r="297" customFormat="false" ht="15" hidden="false" customHeight="false" outlineLevel="0" collapsed="false">
      <c r="A297" s="18"/>
      <c r="B297" s="20"/>
      <c r="C297" s="20"/>
      <c r="D297" s="20"/>
      <c r="E297" s="18"/>
      <c r="F297" s="20"/>
      <c r="G297" s="20"/>
      <c r="H297" s="20"/>
      <c r="I297" s="20"/>
      <c r="J297" s="20"/>
      <c r="K297" s="20"/>
    </row>
    <row r="298" customFormat="false" ht="15" hidden="false" customHeight="false" outlineLevel="0" collapsed="false">
      <c r="A298" s="18"/>
      <c r="B298" s="20"/>
      <c r="C298" s="20"/>
      <c r="D298" s="20"/>
      <c r="E298" s="18"/>
      <c r="F298" s="20"/>
      <c r="G298" s="20"/>
      <c r="H298" s="20"/>
      <c r="I298" s="20"/>
      <c r="J298" s="20"/>
      <c r="K298" s="20"/>
    </row>
    <row r="299" customFormat="false" ht="15" hidden="false" customHeight="false" outlineLevel="0" collapsed="false">
      <c r="A299" s="18"/>
      <c r="B299" s="20"/>
      <c r="C299" s="20"/>
      <c r="D299" s="20"/>
      <c r="E299" s="18"/>
      <c r="F299" s="20"/>
      <c r="G299" s="20"/>
      <c r="H299" s="20"/>
      <c r="I299" s="20"/>
      <c r="J299" s="20"/>
      <c r="K299" s="20"/>
    </row>
    <row r="300" customFormat="false" ht="15" hidden="false" customHeight="false" outlineLevel="0" collapsed="false">
      <c r="A300" s="18"/>
      <c r="B300" s="20"/>
      <c r="C300" s="20"/>
      <c r="D300" s="20"/>
      <c r="E300" s="18"/>
      <c r="F300" s="20"/>
      <c r="G300" s="20"/>
      <c r="H300" s="20"/>
      <c r="I300" s="20"/>
      <c r="J300" s="20"/>
      <c r="K300" s="20"/>
    </row>
    <row r="301" customFormat="false" ht="15" hidden="false" customHeight="false" outlineLevel="0" collapsed="false">
      <c r="A301" s="18"/>
      <c r="B301" s="20"/>
      <c r="C301" s="20"/>
      <c r="D301" s="20"/>
      <c r="E301" s="18"/>
      <c r="F301" s="20"/>
      <c r="G301" s="20"/>
      <c r="H301" s="20"/>
      <c r="I301" s="20"/>
      <c r="J301" s="20"/>
      <c r="K301" s="20"/>
    </row>
    <row r="302" customFormat="false" ht="15" hidden="false" customHeight="false" outlineLevel="0" collapsed="false">
      <c r="A302" s="18"/>
      <c r="B302" s="20"/>
      <c r="C302" s="20"/>
      <c r="D302" s="20"/>
      <c r="E302" s="18"/>
      <c r="F302" s="20"/>
      <c r="G302" s="20"/>
      <c r="H302" s="20"/>
      <c r="I302" s="20"/>
      <c r="J302" s="20"/>
      <c r="K302" s="20"/>
    </row>
    <row r="303" customFormat="false" ht="15" hidden="false" customHeight="false" outlineLevel="0" collapsed="false">
      <c r="A303" s="18"/>
      <c r="B303" s="20"/>
      <c r="C303" s="20"/>
      <c r="D303" s="20"/>
      <c r="E303" s="18"/>
      <c r="F303" s="20"/>
      <c r="G303" s="20"/>
      <c r="H303" s="20"/>
      <c r="I303" s="20"/>
      <c r="J303" s="20"/>
      <c r="K303" s="20"/>
    </row>
    <row r="304" customFormat="false" ht="15" hidden="false" customHeight="false" outlineLevel="0" collapsed="false">
      <c r="A304" s="18"/>
      <c r="B304" s="20"/>
      <c r="C304" s="20"/>
      <c r="D304" s="20"/>
      <c r="E304" s="18"/>
      <c r="F304" s="20"/>
      <c r="G304" s="20"/>
      <c r="H304" s="20"/>
      <c r="I304" s="20"/>
      <c r="J304" s="20"/>
      <c r="K304" s="20"/>
    </row>
    <row r="305" customFormat="false" ht="15" hidden="false" customHeight="false" outlineLevel="0" collapsed="false">
      <c r="A305" s="18"/>
      <c r="B305" s="20"/>
      <c r="C305" s="20"/>
      <c r="D305" s="20"/>
      <c r="E305" s="18"/>
      <c r="F305" s="20"/>
      <c r="G305" s="20"/>
      <c r="H305" s="20"/>
      <c r="I305" s="20"/>
      <c r="J305" s="20"/>
      <c r="K305" s="20"/>
    </row>
    <row r="306" customFormat="false" ht="15" hidden="false" customHeight="false" outlineLevel="0" collapsed="false">
      <c r="A306" s="18"/>
      <c r="B306" s="20"/>
      <c r="C306" s="20"/>
      <c r="D306" s="20"/>
      <c r="E306" s="18"/>
      <c r="F306" s="20"/>
      <c r="G306" s="20"/>
      <c r="H306" s="20"/>
      <c r="I306" s="20"/>
      <c r="J306" s="20"/>
      <c r="K306" s="20"/>
    </row>
    <row r="307" customFormat="false" ht="15" hidden="false" customHeight="false" outlineLevel="0" collapsed="false">
      <c r="A307" s="18"/>
      <c r="B307" s="20"/>
      <c r="C307" s="20"/>
      <c r="D307" s="20"/>
      <c r="E307" s="18"/>
      <c r="F307" s="20"/>
      <c r="G307" s="20"/>
      <c r="H307" s="20"/>
      <c r="I307" s="20"/>
      <c r="J307" s="20"/>
      <c r="K307" s="20"/>
    </row>
    <row r="308" customFormat="false" ht="15" hidden="false" customHeight="false" outlineLevel="0" collapsed="false">
      <c r="A308" s="18"/>
      <c r="B308" s="20"/>
      <c r="C308" s="20"/>
      <c r="D308" s="20"/>
      <c r="E308" s="18"/>
      <c r="F308" s="20"/>
      <c r="G308" s="20"/>
      <c r="H308" s="20"/>
      <c r="I308" s="20"/>
      <c r="J308" s="20"/>
      <c r="K308" s="20"/>
    </row>
    <row r="309" customFormat="false" ht="15" hidden="false" customHeight="false" outlineLevel="0" collapsed="false">
      <c r="A309" s="18"/>
      <c r="B309" s="20"/>
      <c r="C309" s="20"/>
      <c r="D309" s="20"/>
      <c r="E309" s="18"/>
      <c r="F309" s="20"/>
      <c r="G309" s="20"/>
      <c r="H309" s="20"/>
      <c r="I309" s="20"/>
      <c r="J309" s="20"/>
      <c r="K309" s="20"/>
    </row>
    <row r="310" customFormat="false" ht="15" hidden="false" customHeight="false" outlineLevel="0" collapsed="false">
      <c r="A310" s="18"/>
      <c r="B310" s="20"/>
      <c r="C310" s="20"/>
      <c r="D310" s="20"/>
      <c r="E310" s="18"/>
      <c r="F310" s="20"/>
      <c r="G310" s="20"/>
      <c r="H310" s="20"/>
      <c r="I310" s="20"/>
      <c r="J310" s="20"/>
      <c r="K310" s="20"/>
    </row>
    <row r="311" customFormat="false" ht="15" hidden="false" customHeight="false" outlineLevel="0" collapsed="false">
      <c r="A311" s="18"/>
      <c r="B311" s="20"/>
      <c r="C311" s="20"/>
      <c r="D311" s="20"/>
      <c r="E311" s="18"/>
      <c r="F311" s="20"/>
      <c r="G311" s="20"/>
      <c r="H311" s="20"/>
      <c r="I311" s="20"/>
      <c r="J311" s="20"/>
      <c r="K311" s="20"/>
    </row>
    <row r="312" customFormat="false" ht="15" hidden="false" customHeight="false" outlineLevel="0" collapsed="false">
      <c r="A312" s="18"/>
      <c r="B312" s="20"/>
      <c r="C312" s="20"/>
      <c r="D312" s="20"/>
      <c r="E312" s="18"/>
      <c r="F312" s="20"/>
      <c r="G312" s="20"/>
      <c r="H312" s="20"/>
      <c r="I312" s="20"/>
      <c r="J312" s="20"/>
      <c r="K312" s="20"/>
    </row>
    <row r="313" customFormat="false" ht="15" hidden="false" customHeight="false" outlineLevel="0" collapsed="false">
      <c r="A313" s="18"/>
      <c r="B313" s="20"/>
      <c r="C313" s="20"/>
      <c r="D313" s="20"/>
      <c r="E313" s="18"/>
      <c r="F313" s="20"/>
      <c r="G313" s="20"/>
      <c r="H313" s="20"/>
      <c r="I313" s="20"/>
      <c r="J313" s="20"/>
      <c r="K313" s="20"/>
    </row>
    <row r="314" customFormat="false" ht="15" hidden="false" customHeight="false" outlineLevel="0" collapsed="false">
      <c r="A314" s="18"/>
      <c r="B314" s="20"/>
      <c r="C314" s="20"/>
      <c r="D314" s="20"/>
      <c r="E314" s="18"/>
      <c r="F314" s="20"/>
      <c r="G314" s="20"/>
      <c r="H314" s="20"/>
      <c r="I314" s="20"/>
      <c r="J314" s="20"/>
      <c r="K314" s="20"/>
    </row>
    <row r="315" customFormat="false" ht="15" hidden="false" customHeight="false" outlineLevel="0" collapsed="false">
      <c r="A315" s="18"/>
      <c r="B315" s="20"/>
      <c r="C315" s="20"/>
      <c r="D315" s="20"/>
      <c r="E315" s="18"/>
      <c r="F315" s="20"/>
      <c r="G315" s="20"/>
      <c r="H315" s="20"/>
      <c r="I315" s="20"/>
      <c r="J315" s="20"/>
      <c r="K315" s="20"/>
    </row>
    <row r="316" customFormat="false" ht="15" hidden="false" customHeight="false" outlineLevel="0" collapsed="false">
      <c r="A316" s="18"/>
      <c r="B316" s="20"/>
      <c r="C316" s="20"/>
      <c r="D316" s="20"/>
      <c r="E316" s="18"/>
      <c r="F316" s="20"/>
      <c r="G316" s="20"/>
      <c r="H316" s="20"/>
      <c r="I316" s="20"/>
      <c r="J316" s="20"/>
      <c r="K316" s="20"/>
    </row>
    <row r="317" customFormat="false" ht="15" hidden="false" customHeight="false" outlineLevel="0" collapsed="false">
      <c r="A317" s="18"/>
      <c r="B317" s="20"/>
      <c r="C317" s="20"/>
      <c r="D317" s="20"/>
      <c r="E317" s="18"/>
      <c r="F317" s="20"/>
      <c r="G317" s="20"/>
      <c r="H317" s="20"/>
      <c r="I317" s="20"/>
      <c r="J317" s="20"/>
      <c r="K317" s="20"/>
    </row>
    <row r="318" customFormat="false" ht="15" hidden="false" customHeight="false" outlineLevel="0" collapsed="false">
      <c r="A318" s="18"/>
      <c r="B318" s="20"/>
      <c r="C318" s="20"/>
      <c r="D318" s="20"/>
      <c r="E318" s="18"/>
      <c r="F318" s="20"/>
      <c r="G318" s="20"/>
      <c r="H318" s="20"/>
      <c r="I318" s="20"/>
      <c r="J318" s="20"/>
      <c r="K318" s="20"/>
    </row>
    <row r="319" customFormat="false" ht="15" hidden="false" customHeight="false" outlineLevel="0" collapsed="false">
      <c r="A319" s="18"/>
      <c r="B319" s="20"/>
      <c r="C319" s="20"/>
      <c r="D319" s="20"/>
      <c r="E319" s="18"/>
      <c r="F319" s="20"/>
      <c r="G319" s="20"/>
      <c r="H319" s="20"/>
      <c r="I319" s="20"/>
      <c r="J319" s="20"/>
      <c r="K319" s="20"/>
    </row>
    <row r="320" customFormat="false" ht="15" hidden="false" customHeight="false" outlineLevel="0" collapsed="false">
      <c r="A320" s="18"/>
      <c r="B320" s="20"/>
      <c r="C320" s="20"/>
      <c r="D320" s="20"/>
      <c r="E320" s="18"/>
      <c r="F320" s="20"/>
      <c r="G320" s="20"/>
      <c r="H320" s="20"/>
      <c r="I320" s="20"/>
      <c r="J320" s="20"/>
      <c r="K320" s="20"/>
    </row>
    <row r="321" customFormat="false" ht="15" hidden="false" customHeight="false" outlineLevel="0" collapsed="false">
      <c r="A321" s="18"/>
      <c r="B321" s="20"/>
      <c r="C321" s="20"/>
      <c r="D321" s="20"/>
      <c r="E321" s="18"/>
      <c r="F321" s="20"/>
      <c r="G321" s="20"/>
      <c r="H321" s="20"/>
      <c r="I321" s="20"/>
      <c r="J321" s="20"/>
      <c r="K321" s="20"/>
    </row>
    <row r="322" customFormat="false" ht="15" hidden="false" customHeight="false" outlineLevel="0" collapsed="false">
      <c r="A322" s="18"/>
      <c r="B322" s="20"/>
      <c r="C322" s="20"/>
      <c r="D322" s="20"/>
      <c r="E322" s="18"/>
      <c r="F322" s="20"/>
      <c r="G322" s="20"/>
      <c r="H322" s="20"/>
      <c r="I322" s="20"/>
      <c r="J322" s="20"/>
      <c r="K322" s="20"/>
    </row>
    <row r="323" customFormat="false" ht="15" hidden="false" customHeight="false" outlineLevel="0" collapsed="false">
      <c r="A323" s="18"/>
      <c r="B323" s="20"/>
      <c r="C323" s="20"/>
      <c r="D323" s="20"/>
      <c r="E323" s="18"/>
      <c r="F323" s="20"/>
      <c r="G323" s="20"/>
      <c r="H323" s="20"/>
      <c r="I323" s="20"/>
      <c r="J323" s="20"/>
      <c r="K323" s="20"/>
    </row>
    <row r="324" customFormat="false" ht="15" hidden="false" customHeight="false" outlineLevel="0" collapsed="false">
      <c r="A324" s="18"/>
      <c r="B324" s="20"/>
      <c r="C324" s="20"/>
      <c r="D324" s="20"/>
      <c r="E324" s="18"/>
      <c r="F324" s="20"/>
      <c r="G324" s="20"/>
      <c r="H324" s="20"/>
      <c r="I324" s="20"/>
      <c r="J324" s="20"/>
      <c r="K324" s="20"/>
    </row>
    <row r="325" customFormat="false" ht="15" hidden="false" customHeight="false" outlineLevel="0" collapsed="false">
      <c r="A325" s="18"/>
      <c r="B325" s="20"/>
      <c r="C325" s="20"/>
      <c r="D325" s="20"/>
      <c r="E325" s="18"/>
      <c r="F325" s="20"/>
      <c r="G325" s="20"/>
      <c r="H325" s="20"/>
      <c r="I325" s="20"/>
      <c r="J325" s="20"/>
      <c r="K325" s="20"/>
    </row>
    <row r="326" customFormat="false" ht="15" hidden="false" customHeight="false" outlineLevel="0" collapsed="false">
      <c r="A326" s="18"/>
      <c r="B326" s="20"/>
      <c r="C326" s="20"/>
      <c r="D326" s="20"/>
      <c r="E326" s="18"/>
      <c r="F326" s="20"/>
      <c r="G326" s="20"/>
      <c r="H326" s="20"/>
      <c r="I326" s="20"/>
      <c r="J326" s="20"/>
      <c r="K326" s="20"/>
    </row>
    <row r="327" customFormat="false" ht="15" hidden="false" customHeight="false" outlineLevel="0" collapsed="false">
      <c r="A327" s="18"/>
      <c r="B327" s="20"/>
      <c r="C327" s="20"/>
      <c r="D327" s="20"/>
      <c r="E327" s="18"/>
      <c r="F327" s="20"/>
      <c r="G327" s="20"/>
      <c r="H327" s="20"/>
      <c r="I327" s="20"/>
      <c r="J327" s="20"/>
      <c r="K327" s="20"/>
    </row>
    <row r="328" customFormat="false" ht="15" hidden="false" customHeight="false" outlineLevel="0" collapsed="false">
      <c r="A328" s="18"/>
      <c r="B328" s="20"/>
      <c r="C328" s="20"/>
      <c r="D328" s="20"/>
      <c r="E328" s="18"/>
      <c r="F328" s="20"/>
      <c r="G328" s="20"/>
      <c r="H328" s="20"/>
      <c r="I328" s="20"/>
      <c r="J328" s="20"/>
      <c r="K328" s="20"/>
    </row>
    <row r="329" customFormat="false" ht="15" hidden="false" customHeight="false" outlineLevel="0" collapsed="false">
      <c r="A329" s="18"/>
      <c r="B329" s="20"/>
      <c r="C329" s="20"/>
      <c r="D329" s="20"/>
      <c r="E329" s="18"/>
      <c r="F329" s="20"/>
      <c r="G329" s="20"/>
      <c r="H329" s="20"/>
      <c r="I329" s="20"/>
      <c r="J329" s="20"/>
      <c r="K329" s="20"/>
    </row>
    <row r="330" customFormat="false" ht="15" hidden="false" customHeight="false" outlineLevel="0" collapsed="false">
      <c r="A330" s="18"/>
      <c r="B330" s="20"/>
      <c r="C330" s="20"/>
      <c r="D330" s="20"/>
      <c r="E330" s="18"/>
      <c r="F330" s="20"/>
      <c r="G330" s="20"/>
      <c r="H330" s="20"/>
      <c r="I330" s="20"/>
      <c r="J330" s="20"/>
      <c r="K330" s="20"/>
    </row>
    <row r="331" customFormat="false" ht="15" hidden="false" customHeight="false" outlineLevel="0" collapsed="false">
      <c r="A331" s="18"/>
      <c r="B331" s="20"/>
      <c r="C331" s="20"/>
      <c r="D331" s="20"/>
      <c r="E331" s="18"/>
      <c r="F331" s="20"/>
      <c r="G331" s="20"/>
      <c r="H331" s="20"/>
      <c r="I331" s="20"/>
      <c r="J331" s="20"/>
      <c r="K331" s="20"/>
    </row>
    <row r="332" customFormat="false" ht="15" hidden="false" customHeight="false" outlineLevel="0" collapsed="false">
      <c r="A332" s="18"/>
      <c r="B332" s="20"/>
      <c r="C332" s="20"/>
      <c r="D332" s="20"/>
      <c r="E332" s="18"/>
      <c r="F332" s="20"/>
      <c r="G332" s="20"/>
      <c r="H332" s="20"/>
      <c r="I332" s="20"/>
      <c r="J332" s="20"/>
      <c r="K332" s="20"/>
    </row>
    <row r="333" customFormat="false" ht="15" hidden="false" customHeight="false" outlineLevel="0" collapsed="false">
      <c r="A333" s="18"/>
      <c r="B333" s="20"/>
      <c r="C333" s="20"/>
      <c r="D333" s="20"/>
      <c r="E333" s="18"/>
      <c r="F333" s="20"/>
      <c r="G333" s="20"/>
      <c r="H333" s="20"/>
      <c r="I333" s="20"/>
      <c r="J333" s="20"/>
      <c r="K333" s="20"/>
    </row>
    <row r="334" customFormat="false" ht="15" hidden="false" customHeight="false" outlineLevel="0" collapsed="false">
      <c r="A334" s="18"/>
      <c r="B334" s="20"/>
      <c r="C334" s="20"/>
      <c r="D334" s="20"/>
      <c r="E334" s="18"/>
      <c r="F334" s="20"/>
      <c r="G334" s="20"/>
      <c r="H334" s="20"/>
      <c r="I334" s="20"/>
      <c r="J334" s="20"/>
      <c r="K334" s="20"/>
    </row>
    <row r="335" customFormat="false" ht="15" hidden="false" customHeight="false" outlineLevel="0" collapsed="false">
      <c r="A335" s="18"/>
      <c r="B335" s="20"/>
      <c r="C335" s="20"/>
      <c r="D335" s="20"/>
      <c r="E335" s="18"/>
      <c r="F335" s="20"/>
      <c r="G335" s="20"/>
      <c r="H335" s="20"/>
      <c r="I335" s="20"/>
      <c r="J335" s="20"/>
      <c r="K335" s="20"/>
    </row>
    <row r="336" customFormat="false" ht="15" hidden="false" customHeight="false" outlineLevel="0" collapsed="false">
      <c r="A336" s="18"/>
      <c r="B336" s="20"/>
      <c r="C336" s="20"/>
      <c r="D336" s="20"/>
      <c r="E336" s="18"/>
      <c r="F336" s="20"/>
      <c r="G336" s="20"/>
      <c r="H336" s="20"/>
      <c r="I336" s="20"/>
      <c r="J336" s="20"/>
      <c r="K336" s="20"/>
    </row>
    <row r="337" customFormat="false" ht="15" hidden="false" customHeight="false" outlineLevel="0" collapsed="false">
      <c r="A337" s="18"/>
      <c r="B337" s="20"/>
      <c r="C337" s="20"/>
      <c r="D337" s="20"/>
      <c r="E337" s="18"/>
      <c r="F337" s="20"/>
      <c r="G337" s="20"/>
      <c r="H337" s="20"/>
      <c r="I337" s="20"/>
      <c r="J337" s="20"/>
      <c r="K337" s="20"/>
    </row>
    <row r="338" customFormat="false" ht="15" hidden="false" customHeight="false" outlineLevel="0" collapsed="false">
      <c r="A338" s="18"/>
      <c r="B338" s="20"/>
      <c r="C338" s="20"/>
      <c r="D338" s="20"/>
      <c r="E338" s="18"/>
      <c r="F338" s="20"/>
      <c r="G338" s="20"/>
      <c r="H338" s="20"/>
      <c r="I338" s="20"/>
      <c r="J338" s="20"/>
      <c r="K338" s="20"/>
    </row>
    <row r="339" customFormat="false" ht="15" hidden="false" customHeight="false" outlineLevel="0" collapsed="false">
      <c r="A339" s="18"/>
      <c r="B339" s="20"/>
      <c r="C339" s="20"/>
      <c r="D339" s="20"/>
      <c r="E339" s="18"/>
      <c r="F339" s="20"/>
      <c r="G339" s="20"/>
      <c r="H339" s="20"/>
      <c r="I339" s="20"/>
      <c r="J339" s="20"/>
      <c r="K339" s="20"/>
    </row>
    <row r="340" customFormat="false" ht="15" hidden="false" customHeight="false" outlineLevel="0" collapsed="false">
      <c r="A340" s="18"/>
      <c r="B340" s="20"/>
      <c r="C340" s="20"/>
      <c r="D340" s="20"/>
      <c r="E340" s="18"/>
      <c r="F340" s="20"/>
      <c r="G340" s="20"/>
      <c r="H340" s="20"/>
      <c r="I340" s="20"/>
      <c r="J340" s="20"/>
      <c r="K340" s="20"/>
    </row>
    <row r="341" customFormat="false" ht="15" hidden="false" customHeight="false" outlineLevel="0" collapsed="false">
      <c r="A341" s="18"/>
      <c r="B341" s="20"/>
      <c r="C341" s="20"/>
      <c r="D341" s="20"/>
      <c r="E341" s="18"/>
      <c r="F341" s="20"/>
      <c r="G341" s="20"/>
      <c r="H341" s="20"/>
      <c r="I341" s="20"/>
      <c r="J341" s="20"/>
      <c r="K341" s="20"/>
    </row>
    <row r="342" customFormat="false" ht="15" hidden="false" customHeight="false" outlineLevel="0" collapsed="false">
      <c r="A342" s="18"/>
      <c r="B342" s="20"/>
      <c r="C342" s="20"/>
      <c r="D342" s="20"/>
      <c r="E342" s="18"/>
      <c r="F342" s="20"/>
      <c r="G342" s="20"/>
      <c r="H342" s="20"/>
      <c r="I342" s="20"/>
      <c r="J342" s="20"/>
      <c r="K342" s="20"/>
    </row>
    <row r="343" customFormat="false" ht="15" hidden="false" customHeight="false" outlineLevel="0" collapsed="false">
      <c r="A343" s="18"/>
      <c r="B343" s="20"/>
      <c r="C343" s="20"/>
      <c r="D343" s="20"/>
      <c r="E343" s="18"/>
      <c r="F343" s="20"/>
      <c r="G343" s="20"/>
      <c r="H343" s="20"/>
      <c r="I343" s="20"/>
      <c r="J343" s="20"/>
      <c r="K343" s="20"/>
    </row>
    <row r="344" customFormat="false" ht="15" hidden="false" customHeight="false" outlineLevel="0" collapsed="false">
      <c r="A344" s="18"/>
      <c r="B344" s="20"/>
      <c r="C344" s="20"/>
      <c r="D344" s="20"/>
      <c r="E344" s="18"/>
      <c r="F344" s="20"/>
      <c r="G344" s="20"/>
      <c r="H344" s="20"/>
      <c r="I344" s="20"/>
      <c r="J344" s="20"/>
      <c r="K344" s="20"/>
    </row>
    <row r="345" customFormat="false" ht="15" hidden="false" customHeight="false" outlineLevel="0" collapsed="false">
      <c r="A345" s="18"/>
      <c r="B345" s="20"/>
      <c r="C345" s="20"/>
      <c r="D345" s="20"/>
      <c r="E345" s="18"/>
      <c r="F345" s="20"/>
      <c r="G345" s="20"/>
      <c r="H345" s="20"/>
      <c r="I345" s="20"/>
      <c r="J345" s="20"/>
      <c r="K345" s="20"/>
    </row>
    <row r="346" customFormat="false" ht="15" hidden="false" customHeight="false" outlineLevel="0" collapsed="false">
      <c r="A346" s="18"/>
      <c r="B346" s="20"/>
      <c r="C346" s="20"/>
      <c r="D346" s="20"/>
      <c r="E346" s="18"/>
      <c r="F346" s="20"/>
      <c r="G346" s="20"/>
      <c r="H346" s="20"/>
      <c r="I346" s="20"/>
      <c r="J346" s="20"/>
      <c r="K346" s="20"/>
    </row>
    <row r="347" customFormat="false" ht="15" hidden="false" customHeight="false" outlineLevel="0" collapsed="false">
      <c r="A347" s="18"/>
      <c r="B347" s="20"/>
      <c r="C347" s="20"/>
      <c r="D347" s="20"/>
      <c r="E347" s="18"/>
      <c r="F347" s="20"/>
      <c r="G347" s="20"/>
      <c r="H347" s="20"/>
      <c r="I347" s="20"/>
      <c r="J347" s="20"/>
      <c r="K347" s="20"/>
    </row>
    <row r="348" customFormat="false" ht="15" hidden="false" customHeight="false" outlineLevel="0" collapsed="false">
      <c r="A348" s="18"/>
      <c r="B348" s="20"/>
      <c r="C348" s="20"/>
      <c r="D348" s="20"/>
      <c r="E348" s="18"/>
      <c r="F348" s="20"/>
      <c r="G348" s="20"/>
      <c r="H348" s="20"/>
      <c r="I348" s="20"/>
      <c r="J348" s="20"/>
      <c r="K348" s="20"/>
    </row>
    <row r="349" customFormat="false" ht="15" hidden="false" customHeight="false" outlineLevel="0" collapsed="false">
      <c r="A349" s="18"/>
      <c r="B349" s="20"/>
      <c r="C349" s="20"/>
      <c r="D349" s="20"/>
      <c r="E349" s="18"/>
      <c r="F349" s="20"/>
      <c r="G349" s="20"/>
      <c r="H349" s="20"/>
      <c r="I349" s="20"/>
      <c r="J349" s="20"/>
      <c r="K349" s="20"/>
    </row>
    <row r="350" customFormat="false" ht="15" hidden="false" customHeight="false" outlineLevel="0" collapsed="false">
      <c r="A350" s="18"/>
      <c r="B350" s="20"/>
      <c r="C350" s="20"/>
      <c r="D350" s="20"/>
      <c r="E350" s="18"/>
      <c r="F350" s="20"/>
      <c r="G350" s="20"/>
      <c r="H350" s="20"/>
      <c r="I350" s="20"/>
      <c r="J350" s="20"/>
      <c r="K350" s="20"/>
    </row>
    <row r="351" customFormat="false" ht="15" hidden="false" customHeight="false" outlineLevel="0" collapsed="false">
      <c r="A351" s="18"/>
      <c r="B351" s="20"/>
      <c r="C351" s="20"/>
      <c r="D351" s="20"/>
      <c r="E351" s="18"/>
      <c r="F351" s="20"/>
      <c r="G351" s="20"/>
      <c r="H351" s="20"/>
      <c r="I351" s="20"/>
      <c r="J351" s="20"/>
      <c r="K351" s="20"/>
    </row>
    <row r="352" customFormat="false" ht="15" hidden="false" customHeight="false" outlineLevel="0" collapsed="false">
      <c r="A352" s="18"/>
      <c r="B352" s="20"/>
      <c r="C352" s="20"/>
      <c r="D352" s="20"/>
      <c r="E352" s="18"/>
      <c r="F352" s="20"/>
      <c r="G352" s="20"/>
      <c r="H352" s="20"/>
      <c r="I352" s="20"/>
      <c r="J352" s="20"/>
      <c r="K352" s="20"/>
    </row>
    <row r="353" customFormat="false" ht="15" hidden="false" customHeight="false" outlineLevel="0" collapsed="false">
      <c r="A353" s="18"/>
      <c r="B353" s="20"/>
      <c r="C353" s="20"/>
      <c r="D353" s="20"/>
      <c r="E353" s="18"/>
      <c r="F353" s="20"/>
      <c r="G353" s="20"/>
      <c r="H353" s="20"/>
      <c r="I353" s="20"/>
      <c r="J353" s="20"/>
      <c r="K353" s="20"/>
    </row>
    <row r="354" customFormat="false" ht="15" hidden="false" customHeight="false" outlineLevel="0" collapsed="false">
      <c r="A354" s="18"/>
      <c r="B354" s="20"/>
      <c r="C354" s="20"/>
      <c r="D354" s="20"/>
      <c r="E354" s="18"/>
      <c r="F354" s="20"/>
      <c r="G354" s="20"/>
      <c r="H354" s="20"/>
      <c r="I354" s="20"/>
      <c r="J354" s="20"/>
      <c r="K354" s="20"/>
    </row>
    <row r="355" customFormat="false" ht="15" hidden="false" customHeight="false" outlineLevel="0" collapsed="false">
      <c r="A355" s="18"/>
      <c r="B355" s="20"/>
      <c r="C355" s="20"/>
      <c r="D355" s="20"/>
      <c r="E355" s="18"/>
      <c r="F355" s="20"/>
      <c r="G355" s="20"/>
      <c r="H355" s="20"/>
      <c r="I355" s="20"/>
      <c r="J355" s="20"/>
      <c r="K355" s="20"/>
    </row>
    <row r="356" customFormat="false" ht="15" hidden="false" customHeight="false" outlineLevel="0" collapsed="false">
      <c r="A356" s="18"/>
      <c r="B356" s="20"/>
      <c r="C356" s="20"/>
      <c r="D356" s="20"/>
      <c r="E356" s="18"/>
      <c r="F356" s="20"/>
      <c r="G356" s="20"/>
      <c r="H356" s="20"/>
      <c r="I356" s="20"/>
      <c r="J356" s="20"/>
      <c r="K356" s="20"/>
    </row>
    <row r="357" customFormat="false" ht="15" hidden="false" customHeight="false" outlineLevel="0" collapsed="false">
      <c r="A357" s="18"/>
      <c r="B357" s="20"/>
      <c r="C357" s="20"/>
      <c r="D357" s="20"/>
      <c r="E357" s="18"/>
      <c r="F357" s="20"/>
      <c r="G357" s="20"/>
      <c r="H357" s="20"/>
      <c r="I357" s="20"/>
      <c r="J357" s="20"/>
      <c r="K357" s="20"/>
    </row>
    <row r="358" customFormat="false" ht="15" hidden="false" customHeight="false" outlineLevel="0" collapsed="false">
      <c r="A358" s="18"/>
      <c r="B358" s="20"/>
      <c r="C358" s="20"/>
      <c r="D358" s="20"/>
      <c r="E358" s="18"/>
      <c r="F358" s="20"/>
      <c r="G358" s="20"/>
      <c r="H358" s="20"/>
      <c r="I358" s="20"/>
      <c r="J358" s="20"/>
      <c r="K358" s="20"/>
    </row>
    <row r="359" customFormat="false" ht="15" hidden="false" customHeight="false" outlineLevel="0" collapsed="false">
      <c r="A359" s="18"/>
      <c r="B359" s="20"/>
      <c r="C359" s="20"/>
      <c r="D359" s="20"/>
      <c r="E359" s="18"/>
      <c r="F359" s="20"/>
      <c r="G359" s="20"/>
      <c r="H359" s="20"/>
      <c r="I359" s="20"/>
      <c r="J359" s="20"/>
      <c r="K359" s="20"/>
    </row>
    <row r="360" customFormat="false" ht="15" hidden="false" customHeight="false" outlineLevel="0" collapsed="false">
      <c r="A360" s="18"/>
      <c r="B360" s="20"/>
      <c r="C360" s="20"/>
      <c r="D360" s="20"/>
      <c r="E360" s="18"/>
      <c r="F360" s="20"/>
      <c r="G360" s="20"/>
      <c r="H360" s="20"/>
      <c r="I360" s="20"/>
      <c r="J360" s="20"/>
      <c r="K360" s="20"/>
    </row>
    <row r="361" customFormat="false" ht="15" hidden="false" customHeight="false" outlineLevel="0" collapsed="false">
      <c r="A361" s="18"/>
      <c r="B361" s="20"/>
      <c r="C361" s="20"/>
      <c r="D361" s="20"/>
      <c r="E361" s="18"/>
      <c r="F361" s="20"/>
      <c r="G361" s="20"/>
      <c r="H361" s="20"/>
      <c r="I361" s="20"/>
      <c r="J361" s="20"/>
      <c r="K361" s="20"/>
    </row>
    <row r="362" customFormat="false" ht="15" hidden="false" customHeight="false" outlineLevel="0" collapsed="false">
      <c r="A362" s="18"/>
      <c r="B362" s="20"/>
      <c r="C362" s="20"/>
      <c r="D362" s="20"/>
      <c r="E362" s="18"/>
      <c r="F362" s="20"/>
      <c r="G362" s="20"/>
      <c r="H362" s="20"/>
      <c r="I362" s="20"/>
      <c r="J362" s="20"/>
      <c r="K362" s="20"/>
    </row>
    <row r="363" customFormat="false" ht="15" hidden="false" customHeight="false" outlineLevel="0" collapsed="false">
      <c r="A363" s="18"/>
      <c r="B363" s="20"/>
      <c r="C363" s="20"/>
      <c r="D363" s="20"/>
      <c r="E363" s="18"/>
      <c r="F363" s="20"/>
      <c r="G363" s="20"/>
      <c r="H363" s="20"/>
      <c r="I363" s="20"/>
      <c r="J363" s="20"/>
      <c r="K363" s="20"/>
    </row>
    <row r="364" customFormat="false" ht="15" hidden="false" customHeight="false" outlineLevel="0" collapsed="false">
      <c r="A364" s="18"/>
      <c r="B364" s="20"/>
      <c r="C364" s="20"/>
      <c r="D364" s="20"/>
      <c r="E364" s="18"/>
      <c r="F364" s="20"/>
      <c r="G364" s="20"/>
      <c r="H364" s="20"/>
      <c r="I364" s="20"/>
      <c r="J364" s="20"/>
      <c r="K364" s="20"/>
    </row>
    <row r="365" customFormat="false" ht="15" hidden="false" customHeight="false" outlineLevel="0" collapsed="false">
      <c r="A365" s="18"/>
      <c r="B365" s="20"/>
      <c r="C365" s="20"/>
      <c r="D365" s="20"/>
      <c r="E365" s="18"/>
      <c r="F365" s="20"/>
      <c r="G365" s="20"/>
      <c r="H365" s="20"/>
      <c r="I365" s="20"/>
      <c r="J365" s="20"/>
      <c r="K365" s="20"/>
    </row>
    <row r="366" customFormat="false" ht="15" hidden="false" customHeight="false" outlineLevel="0" collapsed="false">
      <c r="A366" s="18"/>
      <c r="B366" s="20"/>
      <c r="C366" s="20"/>
      <c r="D366" s="20"/>
      <c r="E366" s="18"/>
      <c r="F366" s="20"/>
      <c r="G366" s="20"/>
      <c r="H366" s="20"/>
      <c r="I366" s="20"/>
      <c r="J366" s="20"/>
      <c r="K366" s="20"/>
    </row>
    <row r="367" customFormat="false" ht="15" hidden="false" customHeight="false" outlineLevel="0" collapsed="false">
      <c r="A367" s="18"/>
      <c r="B367" s="20"/>
      <c r="C367" s="20"/>
      <c r="D367" s="20"/>
      <c r="E367" s="18"/>
      <c r="F367" s="20"/>
      <c r="G367" s="20"/>
      <c r="H367" s="20"/>
      <c r="I367" s="20"/>
      <c r="J367" s="20"/>
      <c r="K367" s="20"/>
    </row>
    <row r="368" customFormat="false" ht="15" hidden="false" customHeight="false" outlineLevel="0" collapsed="false">
      <c r="A368" s="18"/>
      <c r="B368" s="20"/>
      <c r="C368" s="20"/>
      <c r="D368" s="20"/>
      <c r="E368" s="18"/>
      <c r="F368" s="20"/>
      <c r="G368" s="20"/>
      <c r="H368" s="20"/>
      <c r="I368" s="20"/>
      <c r="J368" s="20"/>
      <c r="K368" s="20"/>
    </row>
    <row r="369" customFormat="false" ht="15" hidden="false" customHeight="false" outlineLevel="0" collapsed="false">
      <c r="A369" s="18"/>
      <c r="B369" s="20"/>
      <c r="C369" s="20"/>
      <c r="D369" s="20"/>
      <c r="E369" s="18"/>
      <c r="F369" s="20"/>
      <c r="G369" s="20"/>
      <c r="H369" s="20"/>
      <c r="I369" s="20"/>
      <c r="J369" s="20"/>
      <c r="K369" s="20"/>
    </row>
    <row r="370" customFormat="false" ht="15" hidden="false" customHeight="false" outlineLevel="0" collapsed="false">
      <c r="A370" s="18"/>
      <c r="B370" s="20"/>
      <c r="C370" s="20"/>
      <c r="D370" s="20"/>
      <c r="E370" s="18"/>
      <c r="F370" s="20"/>
      <c r="G370" s="20"/>
      <c r="H370" s="20"/>
      <c r="I370" s="20"/>
      <c r="J370" s="20"/>
      <c r="K370" s="20"/>
    </row>
    <row r="371" customFormat="false" ht="15" hidden="false" customHeight="false" outlineLevel="0" collapsed="false">
      <c r="A371" s="18"/>
      <c r="B371" s="20"/>
      <c r="C371" s="20"/>
      <c r="D371" s="20"/>
      <c r="E371" s="18"/>
      <c r="F371" s="20"/>
      <c r="G371" s="20"/>
      <c r="H371" s="20"/>
      <c r="I371" s="20"/>
      <c r="J371" s="20"/>
      <c r="K371" s="20"/>
    </row>
    <row r="372" customFormat="false" ht="15" hidden="false" customHeight="false" outlineLevel="0" collapsed="false">
      <c r="A372" s="18"/>
      <c r="B372" s="20"/>
      <c r="C372" s="20"/>
      <c r="D372" s="20"/>
      <c r="E372" s="18"/>
      <c r="F372" s="20"/>
      <c r="G372" s="20"/>
      <c r="H372" s="20"/>
      <c r="I372" s="20"/>
      <c r="J372" s="20"/>
      <c r="K372" s="20"/>
    </row>
    <row r="373" customFormat="false" ht="15" hidden="false" customHeight="false" outlineLevel="0" collapsed="false">
      <c r="A373" s="18"/>
      <c r="B373" s="20"/>
      <c r="C373" s="20"/>
      <c r="D373" s="20"/>
      <c r="E373" s="18"/>
      <c r="F373" s="20"/>
      <c r="G373" s="20"/>
      <c r="H373" s="20"/>
      <c r="I373" s="20"/>
      <c r="J373" s="20"/>
      <c r="K373" s="20"/>
    </row>
    <row r="374" customFormat="false" ht="15" hidden="false" customHeight="false" outlineLevel="0" collapsed="false">
      <c r="A374" s="18"/>
      <c r="B374" s="20"/>
      <c r="C374" s="20"/>
      <c r="D374" s="20"/>
      <c r="E374" s="18"/>
      <c r="F374" s="20"/>
      <c r="G374" s="20"/>
      <c r="H374" s="20"/>
      <c r="I374" s="20"/>
      <c r="J374" s="20"/>
      <c r="K374" s="20"/>
    </row>
    <row r="375" customFormat="false" ht="15" hidden="false" customHeight="false" outlineLevel="0" collapsed="false">
      <c r="A375" s="18"/>
      <c r="B375" s="20"/>
      <c r="C375" s="20"/>
      <c r="D375" s="20"/>
      <c r="E375" s="18"/>
      <c r="F375" s="20"/>
      <c r="G375" s="20"/>
      <c r="H375" s="20"/>
      <c r="I375" s="20"/>
      <c r="J375" s="20"/>
      <c r="K375" s="20"/>
    </row>
    <row r="376" customFormat="false" ht="15" hidden="false" customHeight="false" outlineLevel="0" collapsed="false">
      <c r="A376" s="18"/>
      <c r="B376" s="20"/>
      <c r="C376" s="20"/>
      <c r="D376" s="20"/>
      <c r="E376" s="18"/>
      <c r="F376" s="20"/>
      <c r="G376" s="20"/>
      <c r="H376" s="20"/>
      <c r="I376" s="20"/>
      <c r="J376" s="20"/>
      <c r="K376" s="20"/>
    </row>
    <row r="377" customFormat="false" ht="15" hidden="false" customHeight="false" outlineLevel="0" collapsed="false">
      <c r="A377" s="18"/>
      <c r="B377" s="20"/>
      <c r="C377" s="20"/>
      <c r="D377" s="20"/>
      <c r="E377" s="18"/>
      <c r="F377" s="20"/>
      <c r="G377" s="20"/>
      <c r="H377" s="20"/>
      <c r="I377" s="20"/>
      <c r="J377" s="20"/>
      <c r="K377" s="20"/>
    </row>
    <row r="378" customFormat="false" ht="15" hidden="false" customHeight="false" outlineLevel="0" collapsed="false">
      <c r="A378" s="18"/>
      <c r="B378" s="20"/>
      <c r="C378" s="20"/>
      <c r="D378" s="20"/>
      <c r="E378" s="18"/>
      <c r="F378" s="20"/>
      <c r="G378" s="20"/>
      <c r="H378" s="20"/>
      <c r="I378" s="20"/>
      <c r="J378" s="20"/>
      <c r="K378" s="20"/>
    </row>
    <row r="379" customFormat="false" ht="15" hidden="false" customHeight="false" outlineLevel="0" collapsed="false">
      <c r="A379" s="18"/>
      <c r="B379" s="20"/>
      <c r="C379" s="20"/>
      <c r="D379" s="20"/>
      <c r="E379" s="18"/>
      <c r="F379" s="20"/>
      <c r="G379" s="20"/>
      <c r="H379" s="20"/>
      <c r="I379" s="20"/>
      <c r="J379" s="20"/>
      <c r="K379" s="20"/>
    </row>
    <row r="380" customFormat="false" ht="15" hidden="false" customHeight="false" outlineLevel="0" collapsed="false">
      <c r="A380" s="18"/>
      <c r="B380" s="20"/>
      <c r="C380" s="20"/>
      <c r="D380" s="20"/>
      <c r="E380" s="18"/>
      <c r="F380" s="20"/>
      <c r="G380" s="20"/>
      <c r="H380" s="20"/>
      <c r="I380" s="20"/>
      <c r="J380" s="20"/>
      <c r="K380" s="20"/>
    </row>
    <row r="381" customFormat="false" ht="15" hidden="false" customHeight="false" outlineLevel="0" collapsed="false">
      <c r="A381" s="18"/>
      <c r="B381" s="20"/>
      <c r="C381" s="20"/>
      <c r="D381" s="20"/>
      <c r="E381" s="18"/>
      <c r="F381" s="20"/>
      <c r="G381" s="20"/>
      <c r="H381" s="20"/>
      <c r="I381" s="20"/>
      <c r="J381" s="20"/>
      <c r="K381" s="20"/>
    </row>
    <row r="382" customFormat="false" ht="15" hidden="false" customHeight="false" outlineLevel="0" collapsed="false">
      <c r="A382" s="18"/>
      <c r="B382" s="20"/>
      <c r="C382" s="20"/>
      <c r="D382" s="20"/>
      <c r="E382" s="18"/>
      <c r="F382" s="20"/>
      <c r="G382" s="20"/>
      <c r="H382" s="20"/>
      <c r="I382" s="20"/>
      <c r="J382" s="20"/>
      <c r="K382" s="20"/>
    </row>
    <row r="383" customFormat="false" ht="15" hidden="false" customHeight="false" outlineLevel="0" collapsed="false">
      <c r="A383" s="18"/>
      <c r="B383" s="20"/>
      <c r="C383" s="20"/>
      <c r="D383" s="20"/>
      <c r="E383" s="18"/>
      <c r="F383" s="20"/>
      <c r="G383" s="20"/>
      <c r="H383" s="20"/>
      <c r="I383" s="20"/>
      <c r="J383" s="20"/>
      <c r="K383" s="20"/>
    </row>
    <row r="384" customFormat="false" ht="15" hidden="false" customHeight="false" outlineLevel="0" collapsed="false">
      <c r="A384" s="18"/>
      <c r="B384" s="20"/>
      <c r="C384" s="20"/>
      <c r="D384" s="20"/>
      <c r="E384" s="18"/>
      <c r="F384" s="20"/>
      <c r="G384" s="20"/>
      <c r="H384" s="20"/>
      <c r="I384" s="20"/>
      <c r="J384" s="20"/>
      <c r="K384" s="20"/>
    </row>
    <row r="385" customFormat="false" ht="15" hidden="false" customHeight="false" outlineLevel="0" collapsed="false">
      <c r="A385" s="18"/>
      <c r="B385" s="20"/>
      <c r="C385" s="20"/>
      <c r="D385" s="20"/>
      <c r="E385" s="18"/>
      <c r="F385" s="20"/>
      <c r="G385" s="20"/>
      <c r="H385" s="20"/>
      <c r="I385" s="20"/>
      <c r="J385" s="20"/>
      <c r="K385" s="20"/>
    </row>
    <row r="386" customFormat="false" ht="15" hidden="false" customHeight="false" outlineLevel="0" collapsed="false">
      <c r="A386" s="18"/>
      <c r="B386" s="20"/>
      <c r="C386" s="20"/>
      <c r="D386" s="20"/>
      <c r="E386" s="18"/>
      <c r="F386" s="20"/>
      <c r="G386" s="20"/>
      <c r="H386" s="20"/>
      <c r="I386" s="20"/>
      <c r="J386" s="20"/>
      <c r="K386" s="20"/>
    </row>
    <row r="387" customFormat="false" ht="15" hidden="false" customHeight="false" outlineLevel="0" collapsed="false">
      <c r="A387" s="18"/>
      <c r="B387" s="20"/>
      <c r="C387" s="20"/>
      <c r="D387" s="20"/>
      <c r="E387" s="18"/>
      <c r="F387" s="20"/>
      <c r="G387" s="20"/>
      <c r="H387" s="20"/>
      <c r="I387" s="20"/>
      <c r="J387" s="20"/>
      <c r="K387" s="20"/>
    </row>
    <row r="388" customFormat="false" ht="15" hidden="false" customHeight="false" outlineLevel="0" collapsed="false">
      <c r="A388" s="18"/>
      <c r="B388" s="20"/>
      <c r="C388" s="20"/>
      <c r="D388" s="20"/>
      <c r="E388" s="18"/>
      <c r="F388" s="20"/>
      <c r="G388" s="20"/>
      <c r="H388" s="20"/>
      <c r="I388" s="20"/>
      <c r="J388" s="20"/>
      <c r="K388" s="20"/>
    </row>
    <row r="389" customFormat="false" ht="15" hidden="false" customHeight="false" outlineLevel="0" collapsed="false">
      <c r="A389" s="18"/>
      <c r="B389" s="20"/>
      <c r="C389" s="20"/>
      <c r="D389" s="20"/>
      <c r="E389" s="18"/>
      <c r="F389" s="20"/>
      <c r="G389" s="20"/>
      <c r="H389" s="20"/>
      <c r="I389" s="20"/>
      <c r="J389" s="20"/>
      <c r="K389" s="20"/>
    </row>
    <row r="390" customFormat="false" ht="15" hidden="false" customHeight="false" outlineLevel="0" collapsed="false">
      <c r="A390" s="18"/>
      <c r="B390" s="20"/>
      <c r="C390" s="20"/>
      <c r="D390" s="20"/>
      <c r="E390" s="18"/>
      <c r="F390" s="20"/>
      <c r="G390" s="20"/>
      <c r="H390" s="20"/>
      <c r="I390" s="20"/>
      <c r="J390" s="20"/>
      <c r="K390" s="20"/>
    </row>
    <row r="391" customFormat="false" ht="15" hidden="false" customHeight="false" outlineLevel="0" collapsed="false">
      <c r="A391" s="18"/>
      <c r="B391" s="20"/>
      <c r="C391" s="20"/>
      <c r="D391" s="20"/>
      <c r="E391" s="18"/>
      <c r="F391" s="20"/>
      <c r="G391" s="20"/>
      <c r="H391" s="20"/>
      <c r="I391" s="20"/>
      <c r="J391" s="20"/>
      <c r="K391" s="20"/>
    </row>
    <row r="392" customFormat="false" ht="15" hidden="false" customHeight="false" outlineLevel="0" collapsed="false">
      <c r="A392" s="18"/>
      <c r="B392" s="20"/>
      <c r="C392" s="20"/>
      <c r="D392" s="20"/>
      <c r="E392" s="18"/>
      <c r="F392" s="20"/>
      <c r="G392" s="20"/>
      <c r="H392" s="20"/>
      <c r="I392" s="20"/>
      <c r="J392" s="20"/>
      <c r="K392" s="20"/>
    </row>
    <row r="393" customFormat="false" ht="15" hidden="false" customHeight="false" outlineLevel="0" collapsed="false">
      <c r="A393" s="18"/>
      <c r="B393" s="20"/>
      <c r="C393" s="20"/>
      <c r="D393" s="20"/>
      <c r="E393" s="18"/>
      <c r="F393" s="20"/>
      <c r="G393" s="20"/>
      <c r="H393" s="20"/>
      <c r="I393" s="20"/>
      <c r="J393" s="20"/>
      <c r="K393" s="20"/>
    </row>
    <row r="394" customFormat="false" ht="15" hidden="false" customHeight="false" outlineLevel="0" collapsed="false">
      <c r="A394" s="18"/>
      <c r="B394" s="20"/>
      <c r="C394" s="20"/>
      <c r="D394" s="20"/>
      <c r="E394" s="18"/>
      <c r="F394" s="20"/>
      <c r="G394" s="20"/>
      <c r="H394" s="20"/>
      <c r="I394" s="20"/>
      <c r="J394" s="20"/>
      <c r="K394" s="20"/>
    </row>
    <row r="395" customFormat="false" ht="15" hidden="false" customHeight="false" outlineLevel="0" collapsed="false">
      <c r="A395" s="18"/>
      <c r="B395" s="20"/>
      <c r="C395" s="20"/>
      <c r="D395" s="20"/>
      <c r="E395" s="18"/>
      <c r="F395" s="20"/>
      <c r="G395" s="20"/>
      <c r="H395" s="20"/>
      <c r="I395" s="20"/>
      <c r="J395" s="20"/>
      <c r="K395" s="20"/>
    </row>
    <row r="396" customFormat="false" ht="15" hidden="false" customHeight="false" outlineLevel="0" collapsed="false">
      <c r="A396" s="18"/>
      <c r="B396" s="20"/>
      <c r="C396" s="20"/>
      <c r="D396" s="20"/>
      <c r="E396" s="18"/>
      <c r="F396" s="20"/>
      <c r="G396" s="20"/>
      <c r="H396" s="20"/>
      <c r="I396" s="20"/>
      <c r="J396" s="20"/>
      <c r="K396" s="20"/>
    </row>
    <row r="397" customFormat="false" ht="15" hidden="false" customHeight="false" outlineLevel="0" collapsed="false">
      <c r="A397" s="18"/>
      <c r="B397" s="20"/>
      <c r="C397" s="20"/>
      <c r="D397" s="20"/>
      <c r="E397" s="18"/>
      <c r="F397" s="20"/>
      <c r="G397" s="20"/>
      <c r="H397" s="20"/>
      <c r="I397" s="20"/>
      <c r="J397" s="20"/>
      <c r="K397" s="20"/>
    </row>
    <row r="398" customFormat="false" ht="15" hidden="false" customHeight="false" outlineLevel="0" collapsed="false">
      <c r="A398" s="18"/>
      <c r="B398" s="20"/>
      <c r="C398" s="20"/>
      <c r="D398" s="20"/>
      <c r="E398" s="18"/>
      <c r="F398" s="20"/>
      <c r="G398" s="20"/>
      <c r="H398" s="20"/>
      <c r="I398" s="20"/>
      <c r="J398" s="20"/>
      <c r="K398" s="20"/>
    </row>
    <row r="399" customFormat="false" ht="15" hidden="false" customHeight="false" outlineLevel="0" collapsed="false">
      <c r="A399" s="18"/>
      <c r="B399" s="20"/>
      <c r="C399" s="20"/>
      <c r="D399" s="20"/>
      <c r="E399" s="18"/>
      <c r="F399" s="20"/>
      <c r="G399" s="20"/>
      <c r="H399" s="20"/>
      <c r="I399" s="20"/>
      <c r="J399" s="20"/>
      <c r="K399" s="20"/>
    </row>
    <row r="400" customFormat="false" ht="15" hidden="false" customHeight="false" outlineLevel="0" collapsed="false">
      <c r="A400" s="18"/>
      <c r="B400" s="20"/>
      <c r="C400" s="20"/>
      <c r="D400" s="20"/>
      <c r="E400" s="18"/>
      <c r="F400" s="20"/>
      <c r="G400" s="20"/>
      <c r="H400" s="20"/>
      <c r="I400" s="20"/>
      <c r="J400" s="20"/>
      <c r="K400" s="20"/>
    </row>
    <row r="401" customFormat="false" ht="15" hidden="false" customHeight="false" outlineLevel="0" collapsed="false">
      <c r="A401" s="18"/>
      <c r="B401" s="20"/>
      <c r="C401" s="20"/>
      <c r="D401" s="20"/>
      <c r="E401" s="18"/>
      <c r="F401" s="20"/>
      <c r="G401" s="20"/>
      <c r="H401" s="20"/>
      <c r="I401" s="20"/>
      <c r="J401" s="20"/>
      <c r="K401" s="20"/>
    </row>
    <row r="402" customFormat="false" ht="15" hidden="false" customHeight="false" outlineLevel="0" collapsed="false">
      <c r="A402" s="18"/>
      <c r="B402" s="20"/>
      <c r="C402" s="20"/>
      <c r="D402" s="20"/>
      <c r="E402" s="18"/>
      <c r="F402" s="20"/>
      <c r="G402" s="20"/>
      <c r="H402" s="20"/>
      <c r="I402" s="20"/>
      <c r="J402" s="20"/>
      <c r="K402" s="20"/>
    </row>
    <row r="403" customFormat="false" ht="15" hidden="false" customHeight="false" outlineLevel="0" collapsed="false">
      <c r="A403" s="18"/>
      <c r="B403" s="20"/>
      <c r="C403" s="20"/>
      <c r="D403" s="20"/>
      <c r="E403" s="18"/>
      <c r="F403" s="20"/>
      <c r="G403" s="20"/>
      <c r="H403" s="20"/>
      <c r="I403" s="20"/>
      <c r="J403" s="20"/>
      <c r="K403" s="20"/>
    </row>
    <row r="404" customFormat="false" ht="15" hidden="false" customHeight="false" outlineLevel="0" collapsed="false">
      <c r="A404" s="18"/>
      <c r="B404" s="20"/>
      <c r="C404" s="20"/>
      <c r="D404" s="20"/>
      <c r="E404" s="18"/>
      <c r="F404" s="20"/>
      <c r="G404" s="20"/>
      <c r="H404" s="20"/>
      <c r="I404" s="20"/>
      <c r="J404" s="20"/>
      <c r="K404" s="20"/>
    </row>
    <row r="405" customFormat="false" ht="15" hidden="false" customHeight="false" outlineLevel="0" collapsed="false">
      <c r="A405" s="18"/>
      <c r="B405" s="20"/>
      <c r="C405" s="20"/>
      <c r="D405" s="20"/>
      <c r="E405" s="18"/>
      <c r="F405" s="20"/>
      <c r="G405" s="20"/>
      <c r="H405" s="20"/>
      <c r="I405" s="20"/>
      <c r="J405" s="20"/>
      <c r="K405" s="20"/>
    </row>
    <row r="406" customFormat="false" ht="15" hidden="false" customHeight="false" outlineLevel="0" collapsed="false">
      <c r="A406" s="18"/>
      <c r="B406" s="20"/>
      <c r="C406" s="20"/>
      <c r="D406" s="20"/>
      <c r="E406" s="18"/>
      <c r="F406" s="20"/>
      <c r="G406" s="20"/>
      <c r="H406" s="20"/>
      <c r="I406" s="20"/>
      <c r="J406" s="20"/>
      <c r="K406" s="20"/>
    </row>
    <row r="407" customFormat="false" ht="15" hidden="false" customHeight="false" outlineLevel="0" collapsed="false">
      <c r="A407" s="18"/>
      <c r="B407" s="20"/>
      <c r="C407" s="20"/>
      <c r="D407" s="20"/>
      <c r="E407" s="18"/>
      <c r="F407" s="20"/>
      <c r="G407" s="20"/>
      <c r="H407" s="20"/>
      <c r="I407" s="20"/>
      <c r="J407" s="20"/>
      <c r="K407" s="20"/>
    </row>
    <row r="408" customFormat="false" ht="15" hidden="false" customHeight="false" outlineLevel="0" collapsed="false">
      <c r="A408" s="18"/>
      <c r="B408" s="20"/>
      <c r="C408" s="20"/>
      <c r="D408" s="20"/>
      <c r="E408" s="18"/>
      <c r="F408" s="20"/>
      <c r="G408" s="20"/>
      <c r="H408" s="20"/>
      <c r="I408" s="20"/>
      <c r="J408" s="20"/>
      <c r="K408" s="20"/>
    </row>
    <row r="409" customFormat="false" ht="15" hidden="false" customHeight="false" outlineLevel="0" collapsed="false">
      <c r="A409" s="18"/>
      <c r="B409" s="20"/>
      <c r="C409" s="20"/>
      <c r="D409" s="20"/>
      <c r="E409" s="18"/>
      <c r="F409" s="20"/>
      <c r="G409" s="20"/>
      <c r="H409" s="20"/>
      <c r="I409" s="20"/>
      <c r="J409" s="20"/>
      <c r="K409" s="20"/>
    </row>
    <row r="410" customFormat="false" ht="15" hidden="false" customHeight="false" outlineLevel="0" collapsed="false">
      <c r="A410" s="18"/>
      <c r="B410" s="20"/>
      <c r="C410" s="20"/>
      <c r="D410" s="20"/>
      <c r="E410" s="18"/>
      <c r="F410" s="20"/>
      <c r="G410" s="20"/>
      <c r="H410" s="20"/>
      <c r="I410" s="20"/>
      <c r="J410" s="20"/>
      <c r="K410" s="20"/>
    </row>
    <row r="411" customFormat="false" ht="15" hidden="false" customHeight="false" outlineLevel="0" collapsed="false">
      <c r="A411" s="18"/>
      <c r="B411" s="20"/>
      <c r="C411" s="20"/>
      <c r="D411" s="20"/>
      <c r="E411" s="18"/>
      <c r="F411" s="20"/>
      <c r="G411" s="20"/>
      <c r="H411" s="20"/>
      <c r="I411" s="20"/>
      <c r="J411" s="20"/>
      <c r="K411" s="20"/>
    </row>
    <row r="412" customFormat="false" ht="15" hidden="false" customHeight="false" outlineLevel="0" collapsed="false">
      <c r="A412" s="18"/>
      <c r="B412" s="20"/>
      <c r="C412" s="20"/>
      <c r="D412" s="20"/>
      <c r="E412" s="18"/>
      <c r="F412" s="20"/>
      <c r="G412" s="20"/>
      <c r="H412" s="20"/>
      <c r="I412" s="20"/>
      <c r="J412" s="20"/>
      <c r="K412" s="20"/>
    </row>
    <row r="413" customFormat="false" ht="15" hidden="false" customHeight="false" outlineLevel="0" collapsed="false">
      <c r="A413" s="18"/>
      <c r="B413" s="20"/>
      <c r="C413" s="20"/>
      <c r="D413" s="20"/>
      <c r="E413" s="18"/>
      <c r="F413" s="20"/>
      <c r="G413" s="20"/>
      <c r="H413" s="20"/>
      <c r="I413" s="20"/>
      <c r="J413" s="20"/>
      <c r="K413" s="20"/>
    </row>
    <row r="414" customFormat="false" ht="15" hidden="false" customHeight="false" outlineLevel="0" collapsed="false">
      <c r="A414" s="18"/>
      <c r="B414" s="20"/>
      <c r="C414" s="20"/>
      <c r="D414" s="20"/>
      <c r="E414" s="18"/>
      <c r="F414" s="20"/>
      <c r="G414" s="20"/>
      <c r="H414" s="20"/>
      <c r="I414" s="20"/>
      <c r="J414" s="20"/>
      <c r="K414" s="20"/>
    </row>
    <row r="415" customFormat="false" ht="15" hidden="false" customHeight="false" outlineLevel="0" collapsed="false">
      <c r="A415" s="18"/>
      <c r="B415" s="20"/>
      <c r="C415" s="20"/>
      <c r="D415" s="20"/>
      <c r="E415" s="18"/>
      <c r="F415" s="20"/>
      <c r="G415" s="20"/>
      <c r="H415" s="20"/>
      <c r="I415" s="20"/>
      <c r="J415" s="20"/>
      <c r="K415" s="20"/>
    </row>
    <row r="416" customFormat="false" ht="15" hidden="false" customHeight="false" outlineLevel="0" collapsed="false">
      <c r="A416" s="18"/>
      <c r="B416" s="20"/>
      <c r="C416" s="20"/>
      <c r="D416" s="20"/>
      <c r="E416" s="18"/>
      <c r="F416" s="20"/>
      <c r="G416" s="20"/>
      <c r="H416" s="20"/>
      <c r="I416" s="20"/>
      <c r="J416" s="20"/>
      <c r="K416" s="20"/>
    </row>
    <row r="417" customFormat="false" ht="15" hidden="false" customHeight="false" outlineLevel="0" collapsed="false">
      <c r="A417" s="18"/>
      <c r="B417" s="20"/>
      <c r="C417" s="20"/>
      <c r="D417" s="20"/>
      <c r="E417" s="18"/>
      <c r="F417" s="20"/>
      <c r="G417" s="20"/>
      <c r="H417" s="20"/>
      <c r="I417" s="20"/>
      <c r="J417" s="20"/>
      <c r="K417" s="20"/>
    </row>
    <row r="418" customFormat="false" ht="15" hidden="false" customHeight="false" outlineLevel="0" collapsed="false">
      <c r="A418" s="18"/>
      <c r="B418" s="20"/>
      <c r="C418" s="20"/>
      <c r="D418" s="20"/>
      <c r="E418" s="18"/>
      <c r="F418" s="20"/>
      <c r="G418" s="20"/>
      <c r="H418" s="20"/>
      <c r="I418" s="20"/>
      <c r="J418" s="20"/>
      <c r="K418" s="20"/>
    </row>
    <row r="419" customFormat="false" ht="15" hidden="false" customHeight="false" outlineLevel="0" collapsed="false">
      <c r="A419" s="18"/>
      <c r="B419" s="20"/>
      <c r="C419" s="20"/>
      <c r="D419" s="20"/>
      <c r="E419" s="18"/>
      <c r="F419" s="20"/>
      <c r="G419" s="20"/>
      <c r="H419" s="20"/>
      <c r="I419" s="20"/>
      <c r="J419" s="20"/>
      <c r="K419" s="20"/>
    </row>
    <row r="420" customFormat="false" ht="15" hidden="false" customHeight="false" outlineLevel="0" collapsed="false">
      <c r="A420" s="18"/>
      <c r="B420" s="20"/>
      <c r="C420" s="20"/>
      <c r="D420" s="20"/>
      <c r="E420" s="18"/>
      <c r="F420" s="20"/>
      <c r="G420" s="20"/>
      <c r="H420" s="20"/>
      <c r="I420" s="20"/>
      <c r="J420" s="20"/>
      <c r="K420" s="20"/>
    </row>
    <row r="421" customFormat="false" ht="15" hidden="false" customHeight="false" outlineLevel="0" collapsed="false">
      <c r="A421" s="18"/>
      <c r="B421" s="20"/>
      <c r="C421" s="20"/>
      <c r="D421" s="20"/>
      <c r="E421" s="18"/>
      <c r="F421" s="20"/>
      <c r="G421" s="20"/>
      <c r="H421" s="20"/>
      <c r="I421" s="20"/>
      <c r="J421" s="20"/>
      <c r="K421" s="20"/>
    </row>
    <row r="422" customFormat="false" ht="15" hidden="false" customHeight="false" outlineLevel="0" collapsed="false">
      <c r="A422" s="18"/>
      <c r="B422" s="20"/>
      <c r="C422" s="20"/>
      <c r="D422" s="20"/>
      <c r="E422" s="18"/>
      <c r="F422" s="20"/>
      <c r="G422" s="20"/>
      <c r="H422" s="20"/>
      <c r="I422" s="20"/>
      <c r="J422" s="20"/>
      <c r="K422" s="20"/>
    </row>
    <row r="423" customFormat="false" ht="15" hidden="false" customHeight="false" outlineLevel="0" collapsed="false">
      <c r="A423" s="18"/>
      <c r="B423" s="20"/>
      <c r="C423" s="20"/>
      <c r="D423" s="20"/>
      <c r="E423" s="18"/>
      <c r="F423" s="20"/>
      <c r="G423" s="20"/>
      <c r="H423" s="20"/>
      <c r="I423" s="20"/>
      <c r="J423" s="20"/>
      <c r="K423" s="20"/>
    </row>
    <row r="424" customFormat="false" ht="15" hidden="false" customHeight="false" outlineLevel="0" collapsed="false">
      <c r="A424" s="18"/>
      <c r="B424" s="20"/>
      <c r="C424" s="20"/>
      <c r="D424" s="20"/>
      <c r="E424" s="18"/>
      <c r="F424" s="20"/>
      <c r="G424" s="20"/>
      <c r="H424" s="20"/>
      <c r="I424" s="20"/>
      <c r="J424" s="20"/>
      <c r="K424" s="20"/>
    </row>
    <row r="425" customFormat="false" ht="15" hidden="false" customHeight="false" outlineLevel="0" collapsed="false">
      <c r="A425" s="18"/>
      <c r="B425" s="20"/>
      <c r="C425" s="20"/>
      <c r="D425" s="20"/>
      <c r="E425" s="18"/>
      <c r="F425" s="20"/>
      <c r="G425" s="20"/>
      <c r="H425" s="20"/>
      <c r="I425" s="20"/>
      <c r="J425" s="20"/>
      <c r="K425" s="20"/>
    </row>
    <row r="426" customFormat="false" ht="15" hidden="false" customHeight="false" outlineLevel="0" collapsed="false">
      <c r="A426" s="18"/>
      <c r="B426" s="20"/>
      <c r="C426" s="20"/>
      <c r="D426" s="20"/>
      <c r="E426" s="18"/>
      <c r="F426" s="20"/>
      <c r="G426" s="20"/>
      <c r="H426" s="20"/>
      <c r="I426" s="20"/>
      <c r="J426" s="20"/>
      <c r="K426" s="20"/>
    </row>
    <row r="427" customFormat="false" ht="15" hidden="false" customHeight="false" outlineLevel="0" collapsed="false">
      <c r="A427" s="18"/>
      <c r="B427" s="20"/>
      <c r="C427" s="20"/>
      <c r="D427" s="20"/>
      <c r="E427" s="18"/>
      <c r="F427" s="20"/>
      <c r="G427" s="20"/>
      <c r="H427" s="20"/>
      <c r="I427" s="20"/>
      <c r="J427" s="20"/>
      <c r="K427" s="20"/>
    </row>
    <row r="428" customFormat="false" ht="15" hidden="false" customHeight="false" outlineLevel="0" collapsed="false">
      <c r="A428" s="18"/>
      <c r="B428" s="20"/>
      <c r="C428" s="20"/>
      <c r="D428" s="20"/>
      <c r="E428" s="18"/>
      <c r="F428" s="20"/>
      <c r="G428" s="20"/>
      <c r="H428" s="20"/>
      <c r="I428" s="20"/>
      <c r="J428" s="20"/>
      <c r="K428" s="20"/>
    </row>
    <row r="429" customFormat="false" ht="15" hidden="false" customHeight="false" outlineLevel="0" collapsed="false">
      <c r="A429" s="18"/>
      <c r="B429" s="20"/>
      <c r="C429" s="20"/>
      <c r="D429" s="20"/>
      <c r="E429" s="18"/>
      <c r="F429" s="20"/>
      <c r="G429" s="20"/>
      <c r="H429" s="20"/>
      <c r="I429" s="20"/>
      <c r="J429" s="20"/>
      <c r="K429" s="20"/>
    </row>
    <row r="430" customFormat="false" ht="15" hidden="false" customHeight="false" outlineLevel="0" collapsed="false">
      <c r="A430" s="18"/>
      <c r="B430" s="20"/>
      <c r="C430" s="20"/>
      <c r="D430" s="20"/>
      <c r="E430" s="18"/>
      <c r="F430" s="20"/>
      <c r="G430" s="20"/>
      <c r="H430" s="20"/>
      <c r="I430" s="20"/>
      <c r="J430" s="20"/>
      <c r="K430" s="20"/>
    </row>
    <row r="431" customFormat="false" ht="15" hidden="false" customHeight="false" outlineLevel="0" collapsed="false">
      <c r="A431" s="18"/>
      <c r="B431" s="20"/>
      <c r="C431" s="20"/>
      <c r="D431" s="20"/>
      <c r="E431" s="18"/>
      <c r="F431" s="20"/>
      <c r="G431" s="20"/>
      <c r="H431" s="20"/>
      <c r="I431" s="20"/>
      <c r="J431" s="20"/>
      <c r="K431" s="20"/>
    </row>
    <row r="432" customFormat="false" ht="15" hidden="false" customHeight="false" outlineLevel="0" collapsed="false">
      <c r="A432" s="18"/>
      <c r="B432" s="20"/>
      <c r="C432" s="20"/>
      <c r="D432" s="20"/>
      <c r="E432" s="18"/>
      <c r="F432" s="20"/>
      <c r="G432" s="20"/>
      <c r="H432" s="20"/>
      <c r="I432" s="20"/>
      <c r="J432" s="20"/>
      <c r="K432" s="20"/>
    </row>
    <row r="433" customFormat="false" ht="15" hidden="false" customHeight="false" outlineLevel="0" collapsed="false">
      <c r="A433" s="18"/>
      <c r="B433" s="20"/>
      <c r="C433" s="20"/>
      <c r="D433" s="20"/>
      <c r="E433" s="18"/>
      <c r="F433" s="20"/>
      <c r="G433" s="20"/>
      <c r="H433" s="20"/>
      <c r="I433" s="20"/>
      <c r="J433" s="20"/>
      <c r="K433" s="20"/>
    </row>
    <row r="434" customFormat="false" ht="15" hidden="false" customHeight="false" outlineLevel="0" collapsed="false">
      <c r="A434" s="18"/>
      <c r="B434" s="20"/>
      <c r="C434" s="20"/>
      <c r="D434" s="20"/>
      <c r="E434" s="18"/>
      <c r="F434" s="20"/>
      <c r="G434" s="20"/>
      <c r="H434" s="20"/>
      <c r="I434" s="20"/>
      <c r="J434" s="20"/>
      <c r="K434" s="20"/>
    </row>
    <row r="435" customFormat="false" ht="15" hidden="false" customHeight="false" outlineLevel="0" collapsed="false">
      <c r="A435" s="18"/>
      <c r="B435" s="20"/>
      <c r="C435" s="20"/>
      <c r="D435" s="20"/>
      <c r="E435" s="18"/>
      <c r="F435" s="20"/>
      <c r="G435" s="20"/>
      <c r="H435" s="20"/>
      <c r="I435" s="20"/>
      <c r="J435" s="20"/>
      <c r="K435" s="20"/>
    </row>
    <row r="436" customFormat="false" ht="15" hidden="false" customHeight="false" outlineLevel="0" collapsed="false">
      <c r="A436" s="18"/>
      <c r="B436" s="20"/>
      <c r="C436" s="20"/>
      <c r="D436" s="20"/>
      <c r="E436" s="18"/>
      <c r="F436" s="20"/>
      <c r="G436" s="20"/>
      <c r="H436" s="20"/>
      <c r="I436" s="20"/>
      <c r="J436" s="20"/>
      <c r="K436" s="20"/>
    </row>
    <row r="437" customFormat="false" ht="15" hidden="false" customHeight="false" outlineLevel="0" collapsed="false">
      <c r="A437" s="18"/>
      <c r="B437" s="20"/>
      <c r="C437" s="20"/>
      <c r="D437" s="20"/>
      <c r="E437" s="18"/>
      <c r="F437" s="20"/>
      <c r="G437" s="20"/>
      <c r="H437" s="20"/>
      <c r="I437" s="20"/>
      <c r="J437" s="20"/>
      <c r="K437" s="20"/>
    </row>
    <row r="438" customFormat="false" ht="15" hidden="false" customHeight="false" outlineLevel="0" collapsed="false">
      <c r="A438" s="18"/>
      <c r="B438" s="20"/>
      <c r="C438" s="20"/>
      <c r="D438" s="20"/>
      <c r="E438" s="18"/>
      <c r="F438" s="20"/>
      <c r="G438" s="20"/>
      <c r="H438" s="20"/>
      <c r="I438" s="20"/>
      <c r="J438" s="20"/>
      <c r="K438" s="20"/>
    </row>
    <row r="439" customFormat="false" ht="15" hidden="false" customHeight="false" outlineLevel="0" collapsed="false">
      <c r="A439" s="18"/>
      <c r="B439" s="20"/>
      <c r="C439" s="20"/>
      <c r="D439" s="20"/>
      <c r="E439" s="18"/>
      <c r="F439" s="20"/>
      <c r="G439" s="20"/>
      <c r="H439" s="20"/>
      <c r="I439" s="20"/>
      <c r="J439" s="20"/>
      <c r="K439" s="20"/>
    </row>
    <row r="440" customFormat="false" ht="15" hidden="false" customHeight="false" outlineLevel="0" collapsed="false">
      <c r="A440" s="18"/>
      <c r="B440" s="20"/>
      <c r="C440" s="20"/>
      <c r="D440" s="20"/>
      <c r="E440" s="18"/>
      <c r="F440" s="20"/>
      <c r="G440" s="20"/>
      <c r="H440" s="20"/>
      <c r="I440" s="20"/>
      <c r="J440" s="20"/>
      <c r="K440" s="20"/>
    </row>
    <row r="441" customFormat="false" ht="15" hidden="false" customHeight="false" outlineLevel="0" collapsed="false">
      <c r="A441" s="18"/>
      <c r="B441" s="20"/>
      <c r="C441" s="20"/>
      <c r="D441" s="20"/>
      <c r="E441" s="18"/>
      <c r="F441" s="20"/>
      <c r="G441" s="20"/>
      <c r="H441" s="20"/>
      <c r="I441" s="20"/>
      <c r="J441" s="20"/>
      <c r="K441" s="20"/>
    </row>
    <row r="442" customFormat="false" ht="15" hidden="false" customHeight="false" outlineLevel="0" collapsed="false">
      <c r="A442" s="18"/>
      <c r="B442" s="20"/>
      <c r="C442" s="20"/>
      <c r="D442" s="20"/>
      <c r="E442" s="18"/>
      <c r="F442" s="20"/>
      <c r="G442" s="20"/>
      <c r="H442" s="20"/>
      <c r="I442" s="20"/>
      <c r="J442" s="20"/>
      <c r="K442" s="20"/>
    </row>
    <row r="443" customFormat="false" ht="15" hidden="false" customHeight="false" outlineLevel="0" collapsed="false">
      <c r="A443" s="18"/>
      <c r="B443" s="20"/>
      <c r="C443" s="20"/>
      <c r="D443" s="20"/>
      <c r="E443" s="18"/>
      <c r="F443" s="20"/>
      <c r="G443" s="20"/>
      <c r="H443" s="20"/>
      <c r="I443" s="20"/>
      <c r="J443" s="20"/>
      <c r="K443" s="20"/>
    </row>
    <row r="444" customFormat="false" ht="15" hidden="false" customHeight="false" outlineLevel="0" collapsed="false">
      <c r="A444" s="18"/>
      <c r="B444" s="20"/>
      <c r="C444" s="20"/>
      <c r="D444" s="20"/>
      <c r="E444" s="18"/>
      <c r="F444" s="20"/>
      <c r="G444" s="20"/>
      <c r="H444" s="20"/>
      <c r="I444" s="20"/>
      <c r="J444" s="20"/>
      <c r="K444" s="20"/>
    </row>
    <row r="445" customFormat="false" ht="15" hidden="false" customHeight="false" outlineLevel="0" collapsed="false">
      <c r="A445" s="18"/>
      <c r="B445" s="20"/>
      <c r="C445" s="20"/>
      <c r="D445" s="20"/>
      <c r="E445" s="18"/>
      <c r="F445" s="20"/>
      <c r="G445" s="20"/>
      <c r="H445" s="20"/>
      <c r="I445" s="20"/>
      <c r="J445" s="20"/>
      <c r="K445" s="20"/>
    </row>
    <row r="446" customFormat="false" ht="15" hidden="false" customHeight="false" outlineLevel="0" collapsed="false">
      <c r="A446" s="18"/>
      <c r="B446" s="20"/>
      <c r="C446" s="20"/>
      <c r="D446" s="20"/>
      <c r="E446" s="18"/>
      <c r="F446" s="20"/>
      <c r="G446" s="20"/>
      <c r="H446" s="20"/>
      <c r="I446" s="20"/>
      <c r="J446" s="20"/>
      <c r="K446" s="20"/>
    </row>
    <row r="447" customFormat="false" ht="15" hidden="false" customHeight="false" outlineLevel="0" collapsed="false">
      <c r="A447" s="18"/>
      <c r="B447" s="20"/>
      <c r="C447" s="20"/>
      <c r="D447" s="20"/>
      <c r="E447" s="18"/>
      <c r="F447" s="20"/>
      <c r="G447" s="20"/>
      <c r="H447" s="20"/>
      <c r="I447" s="20"/>
      <c r="J447" s="20"/>
      <c r="K447" s="20"/>
    </row>
    <row r="448" customFormat="false" ht="15" hidden="false" customHeight="false" outlineLevel="0" collapsed="false">
      <c r="A448" s="18"/>
      <c r="B448" s="20"/>
      <c r="C448" s="20"/>
      <c r="D448" s="20"/>
      <c r="E448" s="18"/>
      <c r="F448" s="20"/>
      <c r="G448" s="20"/>
      <c r="H448" s="20"/>
      <c r="I448" s="20"/>
      <c r="J448" s="20"/>
      <c r="K448" s="20"/>
    </row>
    <row r="449" customFormat="false" ht="15" hidden="false" customHeight="false" outlineLevel="0" collapsed="false">
      <c r="A449" s="18"/>
      <c r="B449" s="20"/>
      <c r="C449" s="20"/>
      <c r="D449" s="20"/>
      <c r="E449" s="18"/>
      <c r="F449" s="20"/>
      <c r="G449" s="20"/>
      <c r="H449" s="20"/>
      <c r="I449" s="20"/>
      <c r="J449" s="20"/>
      <c r="K449" s="20"/>
    </row>
    <row r="450" customFormat="false" ht="15" hidden="false" customHeight="false" outlineLevel="0" collapsed="false">
      <c r="A450" s="18"/>
      <c r="B450" s="20"/>
      <c r="C450" s="20"/>
      <c r="D450" s="20"/>
      <c r="E450" s="18"/>
      <c r="F450" s="20"/>
      <c r="G450" s="20"/>
      <c r="H450" s="20"/>
      <c r="I450" s="20"/>
      <c r="J450" s="20"/>
      <c r="K450" s="20"/>
    </row>
    <row r="451" customFormat="false" ht="15" hidden="false" customHeight="false" outlineLevel="0" collapsed="false">
      <c r="A451" s="18"/>
      <c r="B451" s="20"/>
      <c r="C451" s="20"/>
      <c r="D451" s="20"/>
      <c r="E451" s="18"/>
      <c r="F451" s="20"/>
      <c r="G451" s="20"/>
      <c r="H451" s="20"/>
      <c r="I451" s="20"/>
      <c r="J451" s="20"/>
      <c r="K451" s="20"/>
    </row>
    <row r="452" customFormat="false" ht="15" hidden="false" customHeight="false" outlineLevel="0" collapsed="false">
      <c r="A452" s="18"/>
      <c r="B452" s="20"/>
      <c r="C452" s="20"/>
      <c r="D452" s="20"/>
      <c r="E452" s="18"/>
      <c r="F452" s="20"/>
      <c r="G452" s="20"/>
      <c r="H452" s="20"/>
      <c r="I452" s="20"/>
      <c r="J452" s="20"/>
      <c r="K452" s="20"/>
    </row>
    <row r="453" customFormat="false" ht="15" hidden="false" customHeight="false" outlineLevel="0" collapsed="false">
      <c r="A453" s="18"/>
      <c r="B453" s="20"/>
      <c r="C453" s="20"/>
      <c r="D453" s="20"/>
      <c r="E453" s="18"/>
      <c r="F453" s="20"/>
      <c r="G453" s="20"/>
      <c r="H453" s="20"/>
      <c r="I453" s="20"/>
      <c r="J453" s="20"/>
      <c r="K453" s="20"/>
    </row>
    <row r="454" customFormat="false" ht="15" hidden="false" customHeight="false" outlineLevel="0" collapsed="false">
      <c r="A454" s="18"/>
      <c r="B454" s="20"/>
      <c r="C454" s="20"/>
      <c r="D454" s="20"/>
      <c r="E454" s="18"/>
      <c r="F454" s="20"/>
      <c r="G454" s="20"/>
      <c r="H454" s="20"/>
      <c r="I454" s="20"/>
      <c r="J454" s="20"/>
      <c r="K454" s="20"/>
    </row>
    <row r="455" customFormat="false" ht="15" hidden="false" customHeight="false" outlineLevel="0" collapsed="false">
      <c r="A455" s="18"/>
      <c r="B455" s="20"/>
      <c r="C455" s="20"/>
      <c r="D455" s="20"/>
      <c r="E455" s="18"/>
      <c r="F455" s="20"/>
      <c r="G455" s="20"/>
      <c r="H455" s="20"/>
      <c r="I455" s="20"/>
      <c r="J455" s="20"/>
      <c r="K455" s="20"/>
    </row>
    <row r="456" customFormat="false" ht="15" hidden="false" customHeight="false" outlineLevel="0" collapsed="false">
      <c r="A456" s="18"/>
      <c r="B456" s="20"/>
      <c r="C456" s="20"/>
      <c r="D456" s="20"/>
      <c r="E456" s="18"/>
      <c r="F456" s="20"/>
      <c r="G456" s="20"/>
      <c r="H456" s="20"/>
      <c r="I456" s="20"/>
      <c r="J456" s="20"/>
      <c r="K456" s="20"/>
    </row>
    <row r="457" customFormat="false" ht="15" hidden="false" customHeight="false" outlineLevel="0" collapsed="false">
      <c r="A457" s="18"/>
      <c r="B457" s="20"/>
      <c r="C457" s="20"/>
      <c r="D457" s="20"/>
      <c r="E457" s="18"/>
      <c r="F457" s="20"/>
      <c r="G457" s="20"/>
      <c r="H457" s="20"/>
      <c r="I457" s="20"/>
      <c r="J457" s="20"/>
      <c r="K457" s="20"/>
    </row>
    <row r="458" customFormat="false" ht="15" hidden="false" customHeight="false" outlineLevel="0" collapsed="false">
      <c r="A458" s="18"/>
      <c r="B458" s="20"/>
      <c r="C458" s="20"/>
      <c r="D458" s="20"/>
      <c r="E458" s="18"/>
      <c r="F458" s="20"/>
      <c r="G458" s="20"/>
      <c r="H458" s="20"/>
      <c r="I458" s="20"/>
      <c r="J458" s="20"/>
      <c r="K458" s="20"/>
    </row>
    <row r="459" customFormat="false" ht="15" hidden="false" customHeight="false" outlineLevel="0" collapsed="false">
      <c r="A459" s="18"/>
      <c r="B459" s="20"/>
      <c r="C459" s="20"/>
      <c r="D459" s="20"/>
      <c r="E459" s="18"/>
      <c r="F459" s="20"/>
      <c r="G459" s="20"/>
      <c r="H459" s="20"/>
      <c r="I459" s="20"/>
      <c r="J459" s="20"/>
      <c r="K459" s="20"/>
    </row>
    <row r="460" customFormat="false" ht="15" hidden="false" customHeight="false" outlineLevel="0" collapsed="false">
      <c r="A460" s="18"/>
      <c r="B460" s="20"/>
      <c r="C460" s="20"/>
      <c r="D460" s="20"/>
      <c r="E460" s="18"/>
      <c r="F460" s="20"/>
      <c r="G460" s="20"/>
      <c r="H460" s="20"/>
      <c r="I460" s="20"/>
      <c r="J460" s="20"/>
      <c r="K460" s="20"/>
    </row>
    <row r="461" customFormat="false" ht="15" hidden="false" customHeight="false" outlineLevel="0" collapsed="false">
      <c r="A461" s="18"/>
      <c r="B461" s="20"/>
      <c r="C461" s="20"/>
      <c r="D461" s="20"/>
      <c r="E461" s="18"/>
      <c r="F461" s="20"/>
      <c r="G461" s="20"/>
      <c r="H461" s="20"/>
      <c r="I461" s="20"/>
      <c r="J461" s="20"/>
      <c r="K461" s="20"/>
    </row>
    <row r="462" customFormat="false" ht="15" hidden="false" customHeight="false" outlineLevel="0" collapsed="false">
      <c r="A462" s="18"/>
      <c r="B462" s="20"/>
      <c r="C462" s="20"/>
      <c r="D462" s="20"/>
      <c r="E462" s="18"/>
      <c r="F462" s="20"/>
      <c r="G462" s="20"/>
      <c r="H462" s="20"/>
      <c r="I462" s="20"/>
      <c r="J462" s="20"/>
      <c r="K462" s="20"/>
    </row>
    <row r="463" customFormat="false" ht="15" hidden="false" customHeight="false" outlineLevel="0" collapsed="false">
      <c r="A463" s="18"/>
      <c r="B463" s="20"/>
      <c r="C463" s="20"/>
      <c r="D463" s="20"/>
      <c r="E463" s="18"/>
      <c r="F463" s="20"/>
      <c r="G463" s="20"/>
      <c r="H463" s="20"/>
      <c r="I463" s="20"/>
      <c r="J463" s="20"/>
      <c r="K463" s="20"/>
    </row>
    <row r="464" customFormat="false" ht="15" hidden="false" customHeight="false" outlineLevel="0" collapsed="false">
      <c r="A464" s="18"/>
      <c r="B464" s="20"/>
      <c r="C464" s="20"/>
      <c r="D464" s="20"/>
      <c r="E464" s="18"/>
      <c r="F464" s="20"/>
      <c r="G464" s="20"/>
      <c r="H464" s="20"/>
      <c r="I464" s="20"/>
      <c r="J464" s="20"/>
      <c r="K464" s="20"/>
    </row>
    <row r="465" customFormat="false" ht="15" hidden="false" customHeight="false" outlineLevel="0" collapsed="false">
      <c r="A465" s="18"/>
      <c r="B465" s="20"/>
      <c r="C465" s="20"/>
      <c r="D465" s="20"/>
      <c r="E465" s="18"/>
      <c r="F465" s="20"/>
      <c r="G465" s="20"/>
      <c r="H465" s="20"/>
      <c r="I465" s="20"/>
      <c r="J465" s="20"/>
      <c r="K465" s="20"/>
    </row>
    <row r="466" customFormat="false" ht="15" hidden="false" customHeight="false" outlineLevel="0" collapsed="false">
      <c r="A466" s="18"/>
      <c r="B466" s="20"/>
      <c r="C466" s="20"/>
      <c r="D466" s="20"/>
      <c r="E466" s="18"/>
      <c r="F466" s="20"/>
      <c r="G466" s="20"/>
      <c r="H466" s="20"/>
      <c r="I466" s="20"/>
      <c r="J466" s="20"/>
      <c r="K466" s="20"/>
    </row>
    <row r="467" customFormat="false" ht="15" hidden="false" customHeight="false" outlineLevel="0" collapsed="false">
      <c r="A467" s="18"/>
      <c r="B467" s="20"/>
      <c r="C467" s="20"/>
      <c r="D467" s="20"/>
      <c r="E467" s="18"/>
      <c r="F467" s="20"/>
      <c r="G467" s="20"/>
      <c r="H467" s="20"/>
      <c r="I467" s="20"/>
      <c r="J467" s="20"/>
      <c r="K467" s="20"/>
    </row>
    <row r="468" customFormat="false" ht="15" hidden="false" customHeight="false" outlineLevel="0" collapsed="false">
      <c r="A468" s="18"/>
      <c r="B468" s="20"/>
      <c r="C468" s="20"/>
      <c r="D468" s="20"/>
      <c r="E468" s="18"/>
      <c r="F468" s="20"/>
      <c r="G468" s="20"/>
      <c r="H468" s="20"/>
      <c r="I468" s="20"/>
      <c r="J468" s="20"/>
      <c r="K468" s="20"/>
    </row>
    <row r="469" customFormat="false" ht="15" hidden="false" customHeight="false" outlineLevel="0" collapsed="false">
      <c r="A469" s="18"/>
      <c r="B469" s="20"/>
      <c r="C469" s="20"/>
      <c r="D469" s="20"/>
      <c r="E469" s="18"/>
      <c r="F469" s="20"/>
      <c r="G469" s="20"/>
      <c r="H469" s="20"/>
      <c r="I469" s="20"/>
      <c r="J469" s="20"/>
      <c r="K469" s="20"/>
    </row>
    <row r="470" customFormat="false" ht="15" hidden="false" customHeight="false" outlineLevel="0" collapsed="false">
      <c r="A470" s="18"/>
      <c r="B470" s="20"/>
      <c r="C470" s="20"/>
      <c r="D470" s="20"/>
      <c r="E470" s="18"/>
      <c r="F470" s="20"/>
      <c r="G470" s="20"/>
      <c r="H470" s="20"/>
      <c r="I470" s="20"/>
      <c r="J470" s="20"/>
      <c r="K470" s="20"/>
    </row>
    <row r="471" customFormat="false" ht="15" hidden="false" customHeight="false" outlineLevel="0" collapsed="false">
      <c r="A471" s="18"/>
      <c r="B471" s="20"/>
      <c r="C471" s="20"/>
      <c r="D471" s="20"/>
      <c r="E471" s="18"/>
      <c r="F471" s="20"/>
      <c r="G471" s="20"/>
      <c r="H471" s="20"/>
      <c r="I471" s="20"/>
      <c r="J471" s="20"/>
      <c r="K471" s="20"/>
    </row>
    <row r="472" customFormat="false" ht="15" hidden="false" customHeight="false" outlineLevel="0" collapsed="false">
      <c r="A472" s="18"/>
      <c r="B472" s="20"/>
      <c r="C472" s="20"/>
      <c r="D472" s="20"/>
      <c r="E472" s="18"/>
      <c r="F472" s="20"/>
      <c r="G472" s="20"/>
      <c r="H472" s="20"/>
      <c r="I472" s="20"/>
      <c r="J472" s="20"/>
      <c r="K472" s="20"/>
    </row>
    <row r="473" customFormat="false" ht="15" hidden="false" customHeight="false" outlineLevel="0" collapsed="false">
      <c r="A473" s="18"/>
      <c r="B473" s="20"/>
      <c r="C473" s="20"/>
      <c r="D473" s="20"/>
      <c r="E473" s="18"/>
      <c r="F473" s="20"/>
      <c r="G473" s="20"/>
      <c r="H473" s="20"/>
      <c r="I473" s="20"/>
      <c r="J473" s="20"/>
      <c r="K473" s="20"/>
    </row>
    <row r="474" customFormat="false" ht="15" hidden="false" customHeight="false" outlineLevel="0" collapsed="false">
      <c r="A474" s="18"/>
      <c r="B474" s="20"/>
      <c r="C474" s="20"/>
      <c r="D474" s="20"/>
      <c r="E474" s="18"/>
      <c r="F474" s="20"/>
      <c r="G474" s="20"/>
      <c r="H474" s="20"/>
      <c r="I474" s="20"/>
      <c r="J474" s="20"/>
      <c r="K474" s="20"/>
    </row>
    <row r="475" customFormat="false" ht="15" hidden="false" customHeight="false" outlineLevel="0" collapsed="false">
      <c r="A475" s="18"/>
      <c r="B475" s="20"/>
      <c r="C475" s="20"/>
      <c r="D475" s="20"/>
      <c r="E475" s="18"/>
      <c r="F475" s="20"/>
      <c r="G475" s="20"/>
      <c r="H475" s="20"/>
      <c r="I475" s="20"/>
      <c r="J475" s="20"/>
      <c r="K475" s="20"/>
    </row>
    <row r="476" customFormat="false" ht="15" hidden="false" customHeight="false" outlineLevel="0" collapsed="false">
      <c r="A476" s="18"/>
      <c r="B476" s="20"/>
      <c r="C476" s="20"/>
      <c r="D476" s="20"/>
      <c r="E476" s="18"/>
      <c r="F476" s="20"/>
      <c r="G476" s="20"/>
      <c r="H476" s="20"/>
      <c r="I476" s="20"/>
      <c r="J476" s="20"/>
      <c r="K476" s="20"/>
    </row>
    <row r="477" customFormat="false" ht="15" hidden="false" customHeight="false" outlineLevel="0" collapsed="false">
      <c r="A477" s="18"/>
      <c r="B477" s="20"/>
      <c r="C477" s="20"/>
      <c r="D477" s="20"/>
      <c r="E477" s="18"/>
      <c r="F477" s="20"/>
      <c r="G477" s="20"/>
      <c r="H477" s="20"/>
      <c r="I477" s="20"/>
      <c r="J477" s="20"/>
      <c r="K477" s="20"/>
    </row>
    <row r="478" customFormat="false" ht="15" hidden="false" customHeight="false" outlineLevel="0" collapsed="false">
      <c r="A478" s="18"/>
      <c r="B478" s="20"/>
      <c r="C478" s="20"/>
      <c r="D478" s="20"/>
      <c r="E478" s="18"/>
      <c r="F478" s="20"/>
      <c r="G478" s="20"/>
      <c r="H478" s="20"/>
      <c r="I478" s="20"/>
      <c r="J478" s="20"/>
      <c r="K478" s="20"/>
    </row>
    <row r="479" customFormat="false" ht="15" hidden="false" customHeight="false" outlineLevel="0" collapsed="false">
      <c r="A479" s="18"/>
      <c r="B479" s="20"/>
      <c r="C479" s="20"/>
      <c r="D479" s="20"/>
      <c r="E479" s="18"/>
      <c r="F479" s="20"/>
      <c r="G479" s="20"/>
      <c r="H479" s="20"/>
      <c r="I479" s="20"/>
      <c r="J479" s="20"/>
      <c r="K479" s="20"/>
    </row>
    <row r="480" customFormat="false" ht="15" hidden="false" customHeight="false" outlineLevel="0" collapsed="false">
      <c r="A480" s="18"/>
      <c r="B480" s="20"/>
      <c r="C480" s="20"/>
      <c r="D480" s="20"/>
      <c r="E480" s="18"/>
      <c r="F480" s="20"/>
      <c r="G480" s="20"/>
      <c r="H480" s="20"/>
      <c r="I480" s="20"/>
      <c r="J480" s="20"/>
      <c r="K480" s="20"/>
    </row>
    <row r="481" customFormat="false" ht="15" hidden="false" customHeight="false" outlineLevel="0" collapsed="false">
      <c r="A481" s="18"/>
      <c r="B481" s="20"/>
      <c r="C481" s="20"/>
      <c r="D481" s="20"/>
      <c r="E481" s="18"/>
      <c r="F481" s="20"/>
      <c r="G481" s="20"/>
      <c r="H481" s="20"/>
      <c r="I481" s="20"/>
      <c r="J481" s="20"/>
      <c r="K481" s="20"/>
    </row>
    <row r="482" customFormat="false" ht="15" hidden="false" customHeight="false" outlineLevel="0" collapsed="false">
      <c r="A482" s="18"/>
      <c r="B482" s="20"/>
      <c r="C482" s="20"/>
      <c r="D482" s="20"/>
      <c r="E482" s="18"/>
      <c r="F482" s="20"/>
      <c r="G482" s="20"/>
      <c r="H482" s="20"/>
      <c r="I482" s="20"/>
      <c r="J482" s="20"/>
      <c r="K482" s="20"/>
    </row>
    <row r="483" customFormat="false" ht="15" hidden="false" customHeight="false" outlineLevel="0" collapsed="false">
      <c r="A483" s="18"/>
      <c r="B483" s="20"/>
      <c r="C483" s="20"/>
      <c r="D483" s="20"/>
      <c r="E483" s="18"/>
      <c r="F483" s="20"/>
      <c r="G483" s="20"/>
      <c r="H483" s="20"/>
      <c r="I483" s="20"/>
      <c r="J483" s="20"/>
      <c r="K483" s="20"/>
    </row>
    <row r="484" customFormat="false" ht="15" hidden="false" customHeight="false" outlineLevel="0" collapsed="false">
      <c r="A484" s="18"/>
      <c r="B484" s="20"/>
      <c r="C484" s="20"/>
      <c r="D484" s="20"/>
      <c r="E484" s="18"/>
      <c r="F484" s="20"/>
      <c r="G484" s="20"/>
      <c r="H484" s="20"/>
      <c r="I484" s="20"/>
      <c r="J484" s="20"/>
      <c r="K484" s="20"/>
    </row>
    <row r="485" customFormat="false" ht="15" hidden="false" customHeight="false" outlineLevel="0" collapsed="false">
      <c r="A485" s="18"/>
      <c r="B485" s="20"/>
      <c r="C485" s="20"/>
      <c r="D485" s="20"/>
      <c r="E485" s="18"/>
      <c r="F485" s="20"/>
      <c r="G485" s="20"/>
      <c r="H485" s="20"/>
      <c r="I485" s="20"/>
      <c r="J485" s="20"/>
      <c r="K485" s="20"/>
    </row>
    <row r="486" customFormat="false" ht="15" hidden="false" customHeight="false" outlineLevel="0" collapsed="false">
      <c r="A486" s="18"/>
      <c r="B486" s="20"/>
      <c r="C486" s="20"/>
      <c r="D486" s="20"/>
      <c r="E486" s="18"/>
      <c r="F486" s="20"/>
      <c r="G486" s="20"/>
      <c r="H486" s="20"/>
      <c r="I486" s="20"/>
      <c r="J486" s="20"/>
      <c r="K486" s="20"/>
    </row>
    <row r="487" customFormat="false" ht="15" hidden="false" customHeight="false" outlineLevel="0" collapsed="false">
      <c r="A487" s="18"/>
      <c r="B487" s="20"/>
      <c r="C487" s="20"/>
      <c r="D487" s="20"/>
      <c r="E487" s="18"/>
      <c r="F487" s="20"/>
      <c r="G487" s="20"/>
      <c r="H487" s="20"/>
      <c r="I487" s="20"/>
      <c r="J487" s="20"/>
      <c r="K487" s="20"/>
    </row>
    <row r="488" customFormat="false" ht="15" hidden="false" customHeight="false" outlineLevel="0" collapsed="false">
      <c r="A488" s="18"/>
      <c r="B488" s="20"/>
      <c r="C488" s="20"/>
      <c r="D488" s="20"/>
      <c r="E488" s="18"/>
      <c r="F488" s="20"/>
      <c r="G488" s="20"/>
      <c r="H488" s="20"/>
      <c r="I488" s="20"/>
      <c r="J488" s="20"/>
      <c r="K488" s="20"/>
    </row>
    <row r="489" customFormat="false" ht="15" hidden="false" customHeight="false" outlineLevel="0" collapsed="false">
      <c r="A489" s="18"/>
      <c r="B489" s="20"/>
      <c r="C489" s="20"/>
      <c r="D489" s="20"/>
      <c r="E489" s="18"/>
      <c r="F489" s="20"/>
      <c r="G489" s="20"/>
      <c r="H489" s="20"/>
      <c r="I489" s="20"/>
      <c r="J489" s="20"/>
      <c r="K489" s="20"/>
    </row>
    <row r="490" customFormat="false" ht="15" hidden="false" customHeight="false" outlineLevel="0" collapsed="false">
      <c r="A490" s="18"/>
      <c r="B490" s="20"/>
      <c r="C490" s="20"/>
      <c r="D490" s="20"/>
      <c r="E490" s="18"/>
      <c r="F490" s="20"/>
      <c r="G490" s="20"/>
      <c r="H490" s="20"/>
      <c r="I490" s="20"/>
      <c r="J490" s="20"/>
      <c r="K490" s="20"/>
    </row>
    <row r="491" customFormat="false" ht="15" hidden="false" customHeight="false" outlineLevel="0" collapsed="false">
      <c r="A491" s="18"/>
      <c r="B491" s="20"/>
      <c r="C491" s="20"/>
      <c r="D491" s="20"/>
      <c r="E491" s="18"/>
      <c r="F491" s="20"/>
      <c r="G491" s="20"/>
      <c r="H491" s="20"/>
      <c r="I491" s="20"/>
      <c r="J491" s="20"/>
      <c r="K491" s="20"/>
    </row>
    <row r="492" customFormat="false" ht="15" hidden="false" customHeight="false" outlineLevel="0" collapsed="false">
      <c r="A492" s="18"/>
      <c r="B492" s="20"/>
      <c r="C492" s="20"/>
      <c r="D492" s="20"/>
      <c r="E492" s="18"/>
      <c r="F492" s="20"/>
      <c r="G492" s="20"/>
      <c r="H492" s="20"/>
      <c r="I492" s="20"/>
      <c r="J492" s="20"/>
      <c r="K492" s="20"/>
    </row>
    <row r="493" customFormat="false" ht="15" hidden="false" customHeight="false" outlineLevel="0" collapsed="false">
      <c r="A493" s="18"/>
      <c r="B493" s="20"/>
      <c r="C493" s="20"/>
      <c r="D493" s="20"/>
      <c r="E493" s="18"/>
      <c r="F493" s="20"/>
      <c r="G493" s="20"/>
      <c r="H493" s="20"/>
      <c r="I493" s="20"/>
      <c r="J493" s="20"/>
      <c r="K493" s="20"/>
    </row>
    <row r="494" customFormat="false" ht="15" hidden="false" customHeight="false" outlineLevel="0" collapsed="false">
      <c r="A494" s="18"/>
      <c r="B494" s="20"/>
      <c r="C494" s="20"/>
      <c r="D494" s="20"/>
      <c r="E494" s="18"/>
      <c r="F494" s="20"/>
      <c r="G494" s="20"/>
      <c r="H494" s="20"/>
      <c r="I494" s="20"/>
      <c r="J494" s="20"/>
      <c r="K494" s="20"/>
    </row>
    <row r="495" customFormat="false" ht="15" hidden="false" customHeight="false" outlineLevel="0" collapsed="false">
      <c r="A495" s="18"/>
      <c r="B495" s="20"/>
      <c r="C495" s="20"/>
      <c r="D495" s="20"/>
      <c r="E495" s="18"/>
      <c r="F495" s="20"/>
      <c r="G495" s="20"/>
      <c r="H495" s="20"/>
      <c r="I495" s="20"/>
      <c r="J495" s="20"/>
      <c r="K495" s="20"/>
    </row>
    <row r="496" customFormat="false" ht="15" hidden="false" customHeight="false" outlineLevel="0" collapsed="false">
      <c r="A496" s="18"/>
      <c r="B496" s="20"/>
      <c r="C496" s="20"/>
      <c r="D496" s="20"/>
      <c r="E496" s="18"/>
      <c r="F496" s="20"/>
      <c r="G496" s="20"/>
      <c r="H496" s="20"/>
      <c r="I496" s="20"/>
      <c r="J496" s="20"/>
      <c r="K496" s="20"/>
    </row>
    <row r="497" customFormat="false" ht="15" hidden="false" customHeight="false" outlineLevel="0" collapsed="false">
      <c r="A497" s="18"/>
      <c r="B497" s="20"/>
      <c r="C497" s="20"/>
      <c r="D497" s="20"/>
      <c r="E497" s="18"/>
      <c r="F497" s="20"/>
      <c r="G497" s="20"/>
      <c r="H497" s="20"/>
      <c r="I497" s="20"/>
      <c r="J497" s="20"/>
      <c r="K497" s="20"/>
    </row>
    <row r="498" customFormat="false" ht="15" hidden="false" customHeight="false" outlineLevel="0" collapsed="false">
      <c r="A498" s="18"/>
      <c r="B498" s="20"/>
      <c r="C498" s="20"/>
      <c r="D498" s="20"/>
      <c r="E498" s="18"/>
      <c r="F498" s="20"/>
      <c r="G498" s="20"/>
      <c r="H498" s="20"/>
      <c r="I498" s="20"/>
      <c r="J498" s="20"/>
      <c r="K498" s="20"/>
    </row>
    <row r="499" customFormat="false" ht="15" hidden="false" customHeight="false" outlineLevel="0" collapsed="false">
      <c r="A499" s="18"/>
      <c r="B499" s="20"/>
      <c r="C499" s="20"/>
      <c r="D499" s="20"/>
      <c r="E499" s="18"/>
      <c r="F499" s="20"/>
      <c r="G499" s="20"/>
      <c r="H499" s="20"/>
      <c r="I499" s="20"/>
      <c r="J499" s="20"/>
      <c r="K499" s="20"/>
    </row>
    <row r="500" customFormat="false" ht="15" hidden="false" customHeight="false" outlineLevel="0" collapsed="false">
      <c r="A500" s="18"/>
      <c r="B500" s="20"/>
      <c r="C500" s="20"/>
      <c r="D500" s="20"/>
      <c r="E500" s="18"/>
      <c r="F500" s="20"/>
      <c r="G500" s="20"/>
      <c r="H500" s="20"/>
      <c r="I500" s="20"/>
      <c r="J500" s="20"/>
      <c r="K500" s="20"/>
    </row>
    <row r="501" customFormat="false" ht="15" hidden="false" customHeight="false" outlineLevel="0" collapsed="false">
      <c r="A501" s="18"/>
      <c r="B501" s="20"/>
      <c r="C501" s="20"/>
      <c r="D501" s="20"/>
      <c r="E501" s="18"/>
      <c r="F501" s="20"/>
      <c r="G501" s="20"/>
      <c r="H501" s="20"/>
      <c r="I501" s="20"/>
      <c r="J501" s="20"/>
      <c r="K501" s="20"/>
    </row>
    <row r="502" customFormat="false" ht="15" hidden="false" customHeight="false" outlineLevel="0" collapsed="false">
      <c r="A502" s="18"/>
      <c r="B502" s="20"/>
      <c r="C502" s="20"/>
      <c r="D502" s="20"/>
      <c r="E502" s="18"/>
      <c r="F502" s="20"/>
      <c r="G502" s="20"/>
      <c r="H502" s="20"/>
      <c r="I502" s="20"/>
      <c r="J502" s="20"/>
      <c r="K502" s="20"/>
    </row>
    <row r="503" customFormat="false" ht="15" hidden="false" customHeight="false" outlineLevel="0" collapsed="false">
      <c r="A503" s="18"/>
      <c r="B503" s="20"/>
      <c r="C503" s="20"/>
      <c r="D503" s="20"/>
      <c r="E503" s="18"/>
      <c r="F503" s="20"/>
      <c r="G503" s="20"/>
      <c r="H503" s="20"/>
      <c r="I503" s="20"/>
      <c r="J503" s="20"/>
      <c r="K503" s="20"/>
    </row>
    <row r="504" customFormat="false" ht="15" hidden="false" customHeight="false" outlineLevel="0" collapsed="false">
      <c r="A504" s="18"/>
      <c r="B504" s="20"/>
      <c r="C504" s="20"/>
      <c r="D504" s="20"/>
      <c r="E504" s="18"/>
      <c r="F504" s="20"/>
      <c r="G504" s="20"/>
      <c r="H504" s="20"/>
      <c r="I504" s="20"/>
      <c r="J504" s="20"/>
      <c r="K504" s="20"/>
    </row>
  </sheetData>
  <autoFilter ref="A4:K504"/>
  <conditionalFormatting sqref="H5:H504">
    <cfRule type="cellIs" priority="2" operator="equal" aboveAverage="0" equalAverage="0" bottom="0" percent="0" rank="0" text="" dxfId="10">
      <formula>"Open"</formula>
    </cfRule>
  </conditionalFormatting>
  <dataValidations count="1">
    <dataValidation allowBlank="true" errorStyle="stop" operator="between" showDropDown="false" showErrorMessage="false" showInputMessage="false" sqref="H5:H504" type="list">
      <formula1>"Open,Answered,Dropped"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2026-10-13T21:26:16Z</dcterms:created>
  <dc:creator>openpyxl</dc:creator>
  <dc:description/>
  <dc:language>en-US</dc:language>
  <cp:lastModifiedBy/>
  <dcterms:modified xsi:type="dcterms:W3CDTF">2026-10-13T21:26:25Z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